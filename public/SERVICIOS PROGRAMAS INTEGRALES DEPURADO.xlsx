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blo.ramirez\ownCloud - analistadecostos@cloudino.planetaip.co\COSTOS\12. INFORMES\4. COSTOS RUTAS PROGRAMAS INTEGRALES\INFORME LILI RUTAS PROGRAMAS INTEGRALES\"/>
    </mc:Choice>
  </mc:AlternateContent>
  <xr:revisionPtr revIDLastSave="0" documentId="13_ncr:1_{FEB9054A-DF79-4E69-956F-9B3E6C645059}" xr6:coauthVersionLast="47" xr6:coauthVersionMax="47" xr10:uidLastSave="{00000000-0000-0000-0000-000000000000}"/>
  <bookViews>
    <workbookView xWindow="-120" yWindow="-120" windowWidth="29040" windowHeight="15720" tabRatio="855" activeTab="3" xr2:uid="{C4863E4C-4682-475F-AA0B-3357F1C368AA}"/>
    <workbookView xWindow="-120" yWindow="-120" windowWidth="29040" windowHeight="15720" activeTab="2" xr2:uid="{698B53B5-D038-4FB7-8213-3BDE002B7A77}"/>
  </bookViews>
  <sheets>
    <sheet name="DASHBOARD" sheetId="40" r:id="rId1"/>
    <sheet name="COSTOS SERVICIOS" sheetId="15" r:id="rId2"/>
    <sheet name="BASE12MESES" sheetId="37" r:id="rId3"/>
    <sheet name="BASE18MESES" sheetId="38" r:id="rId4"/>
    <sheet name="Categorias" sheetId="35" r:id="rId5"/>
    <sheet name="ASMA costo" sheetId="21" r:id="rId6"/>
    <sheet name="HIP. PUL con costo" sheetId="20" r:id="rId7"/>
    <sheet name="EJERCICIO FISICO costo" sheetId="23" r:id="rId8"/>
    <sheet name="TRASTORNOS DE SUEÑO costo" sheetId="24" r:id="rId9"/>
    <sheet name="EPOC costo" sheetId="25" r:id="rId10"/>
    <sheet name="CESACION TAB. costo" sheetId="26" r:id="rId11"/>
    <sheet name="DISNEA - OBESIDAD costo" sheetId="27" r:id="rId12"/>
    <sheet name="NODULO PULMONAR costo" sheetId="28" r:id="rId13"/>
    <sheet name="EPI costo" sheetId="29" r:id="rId14"/>
    <sheet name="CUIDADO RESP. costo" sheetId="30" r:id="rId15"/>
    <sheet name="Calculos" sheetId="39" r:id="rId16"/>
  </sheets>
  <externalReferences>
    <externalReference r:id="rId17"/>
    <externalReference r:id="rId18"/>
  </externalReferences>
  <definedNames>
    <definedName name="_xlnm._FilterDatabase" localSheetId="5" hidden="1">'ASMA costo'!$AD$2:$AF$43</definedName>
    <definedName name="CIUDAD">[1]LISTAS!$L$2:$L$5</definedName>
    <definedName name="Lista_servicios">[2]LISTAS!$E$2:$E$353</definedName>
    <definedName name="Lista_unidad_negocio">[1]LISTAS!$J$2:$J$23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39" l="1" a="1"/>
  <c r="G19" i="39" s="1"/>
  <c r="D19" i="39" a="1"/>
  <c r="D19" i="39" s="1"/>
  <c r="C19" i="39" a="1"/>
  <c r="C19" i="39" s="1"/>
  <c r="B19" i="39" a="1"/>
  <c r="B19" i="39" s="1"/>
  <c r="A19" i="39" a="1"/>
  <c r="A19" i="39" s="1"/>
  <c r="M49" i="15"/>
  <c r="M48" i="15"/>
  <c r="M47" i="15"/>
  <c r="J42" i="15"/>
  <c r="M43" i="15"/>
  <c r="J11" i="15" l="1"/>
  <c r="J33" i="15" l="1"/>
  <c r="J32" i="15"/>
  <c r="J31" i="15"/>
  <c r="J22" i="15"/>
  <c r="J21" i="15"/>
  <c r="J14" i="15"/>
  <c r="M42" i="15" l="1"/>
  <c r="M21" i="15"/>
  <c r="M11" i="15"/>
  <c r="I12" i="21" l="1" a="1"/>
  <c r="I12" i="21" s="1"/>
  <c r="C3" i="21"/>
  <c r="G3" i="21" a="1"/>
  <c r="G3" i="21" s="1"/>
  <c r="I3" i="21" a="1"/>
  <c r="I3" i="21" s="1"/>
  <c r="K3" i="21" a="1"/>
  <c r="K3" i="21" s="1"/>
  <c r="M3" i="21" a="1"/>
  <c r="M3" i="21" s="1"/>
  <c r="O3" i="21" a="1"/>
  <c r="O3" i="21" s="1"/>
  <c r="Q3" i="21" a="1"/>
  <c r="Q3" i="21" s="1"/>
  <c r="S3" i="21" a="1"/>
  <c r="S3" i="21" s="1"/>
  <c r="U3" i="21" a="1"/>
  <c r="U3" i="21" s="1"/>
  <c r="W3" i="21" a="1"/>
  <c r="W3" i="21" s="1"/>
  <c r="Y3" i="21" a="1"/>
  <c r="Y3" i="21" s="1"/>
  <c r="AA3" i="21" a="1"/>
  <c r="AA3" i="21" s="1"/>
  <c r="AC3" i="21"/>
  <c r="C4" i="21"/>
  <c r="G4" i="21" a="1"/>
  <c r="G4" i="21" s="1"/>
  <c r="I4" i="21" a="1"/>
  <c r="I4" i="21" s="1"/>
  <c r="K4" i="21" a="1"/>
  <c r="K4" i="21" s="1"/>
  <c r="M4" i="21" a="1"/>
  <c r="M4" i="21" s="1"/>
  <c r="O4" i="21" a="1"/>
  <c r="O4" i="21" s="1"/>
  <c r="Q4" i="21" a="1"/>
  <c r="Q4" i="21" s="1"/>
  <c r="S4" i="21" a="1"/>
  <c r="S4" i="21" s="1"/>
  <c r="U4" i="21" a="1"/>
  <c r="U4" i="21" s="1"/>
  <c r="W4" i="21" a="1"/>
  <c r="W4" i="21" s="1"/>
  <c r="Y4" i="21" a="1"/>
  <c r="Y4" i="21" s="1"/>
  <c r="AA4" i="21" a="1"/>
  <c r="AA4" i="21" s="1"/>
  <c r="AC4" i="21"/>
  <c r="C5" i="21"/>
  <c r="E5" i="21" a="1"/>
  <c r="E5" i="21" s="1"/>
  <c r="G5" i="21" a="1"/>
  <c r="G5" i="21" s="1"/>
  <c r="I5" i="21" a="1"/>
  <c r="I5" i="21" s="1"/>
  <c r="K5" i="21" a="1"/>
  <c r="K5" i="21" s="1"/>
  <c r="M5" i="21" a="1"/>
  <c r="M5" i="21" s="1"/>
  <c r="O5" i="21" a="1"/>
  <c r="O5" i="21" s="1"/>
  <c r="Q5" i="21" a="1"/>
  <c r="Q5" i="21" s="1"/>
  <c r="S5" i="21" a="1"/>
  <c r="S5" i="21" s="1"/>
  <c r="U5" i="21" a="1"/>
  <c r="U5" i="21" s="1"/>
  <c r="W5" i="21" a="1"/>
  <c r="W5" i="21" s="1"/>
  <c r="Y5" i="21" a="1"/>
  <c r="Y5" i="21" s="1"/>
  <c r="AC5" i="21"/>
  <c r="C6" i="21"/>
  <c r="E6" i="21" a="1"/>
  <c r="E6" i="21" s="1"/>
  <c r="G6" i="21" a="1"/>
  <c r="G6" i="21" s="1"/>
  <c r="K6" i="21" a="1"/>
  <c r="K6" i="21" s="1"/>
  <c r="M6" i="21" a="1"/>
  <c r="M6" i="21" s="1"/>
  <c r="O6" i="21" a="1"/>
  <c r="O6" i="21" s="1"/>
  <c r="Q6" i="21" a="1"/>
  <c r="Q6" i="21" s="1"/>
  <c r="S6" i="21" a="1"/>
  <c r="S6" i="21" s="1"/>
  <c r="U6" i="21" a="1"/>
  <c r="U6" i="21" s="1"/>
  <c r="W6" i="21" a="1"/>
  <c r="W6" i="21" s="1"/>
  <c r="Y6" i="21" a="1"/>
  <c r="Y6" i="21" s="1"/>
  <c r="AA6" i="21" a="1"/>
  <c r="AA6" i="21" s="1"/>
  <c r="AC6" i="21"/>
  <c r="C7" i="21"/>
  <c r="K7" i="21" a="1"/>
  <c r="K7" i="21" s="1"/>
  <c r="M7" i="21" a="1"/>
  <c r="M7" i="21" s="1"/>
  <c r="Q7" i="21" a="1"/>
  <c r="Q7" i="21" s="1"/>
  <c r="S7" i="21" a="1"/>
  <c r="S7" i="21" s="1"/>
  <c r="W7" i="21" a="1"/>
  <c r="W7" i="21" s="1"/>
  <c r="Y7" i="21" a="1"/>
  <c r="Y7" i="21" s="1"/>
  <c r="AC7" i="21"/>
  <c r="C8" i="21"/>
  <c r="AC8" i="21"/>
  <c r="C9" i="21"/>
  <c r="G9" i="21" a="1"/>
  <c r="G9" i="21" s="1"/>
  <c r="I9" i="21" a="1"/>
  <c r="I9" i="21" s="1"/>
  <c r="K9" i="21" a="1"/>
  <c r="K9" i="21" s="1"/>
  <c r="M9" i="21" a="1"/>
  <c r="M9" i="21" s="1"/>
  <c r="O9" i="21" a="1"/>
  <c r="O9" i="21" s="1"/>
  <c r="Q9" i="21" a="1"/>
  <c r="Q9" i="21" s="1"/>
  <c r="S9" i="21" a="1"/>
  <c r="S9" i="21" s="1"/>
  <c r="U9" i="21" a="1"/>
  <c r="U9" i="21" s="1"/>
  <c r="W9" i="21" a="1"/>
  <c r="W9" i="21" s="1"/>
  <c r="Y9" i="21" a="1"/>
  <c r="Y9" i="21" s="1"/>
  <c r="AA9" i="21" a="1"/>
  <c r="AA9" i="21" s="1"/>
  <c r="AC9" i="21"/>
  <c r="C10" i="21"/>
  <c r="G10" i="21" a="1"/>
  <c r="G10" i="21" s="1"/>
  <c r="I10" i="21" a="1"/>
  <c r="I10" i="21" s="1"/>
  <c r="K10" i="21" a="1"/>
  <c r="K10" i="21" s="1"/>
  <c r="M10" i="21" a="1"/>
  <c r="M10" i="21" s="1"/>
  <c r="O10" i="21" a="1"/>
  <c r="O10" i="21" s="1"/>
  <c r="Q10" i="21" a="1"/>
  <c r="Q10" i="21" s="1"/>
  <c r="S10" i="21" a="1"/>
  <c r="S10" i="21" s="1"/>
  <c r="U10" i="21" a="1"/>
  <c r="U10" i="21" s="1"/>
  <c r="W10" i="21" a="1"/>
  <c r="W10" i="21" s="1"/>
  <c r="Y10" i="21" a="1"/>
  <c r="Y10" i="21" s="1"/>
  <c r="AA10" i="21" a="1"/>
  <c r="AA10" i="21" s="1"/>
  <c r="AC10" i="21"/>
  <c r="C11" i="21"/>
  <c r="E11" i="21" a="1"/>
  <c r="E11" i="21" s="1"/>
  <c r="G11" i="21" a="1"/>
  <c r="G11" i="21" s="1"/>
  <c r="K11" i="21" a="1"/>
  <c r="K11" i="21" s="1"/>
  <c r="M11" i="21" a="1"/>
  <c r="M11" i="21" s="1"/>
  <c r="O11" i="21" a="1"/>
  <c r="O11" i="21" s="1"/>
  <c r="Q11" i="21" a="1"/>
  <c r="Q11" i="21" s="1"/>
  <c r="S11" i="21" a="1"/>
  <c r="S11" i="21" s="1"/>
  <c r="U11" i="21" a="1"/>
  <c r="U11" i="21" s="1"/>
  <c r="W11" i="21" a="1"/>
  <c r="W11" i="21" s="1"/>
  <c r="Y11" i="21" a="1"/>
  <c r="Y11" i="21" s="1"/>
  <c r="AA11" i="21" a="1"/>
  <c r="AA11" i="21" s="1"/>
  <c r="AC11" i="21"/>
  <c r="C12" i="21"/>
  <c r="E12" i="21" a="1"/>
  <c r="E12" i="21" s="1"/>
  <c r="G12" i="21" a="1"/>
  <c r="G12" i="21" s="1"/>
  <c r="K12" i="21" a="1"/>
  <c r="K12" i="21" s="1"/>
  <c r="M12" i="21" a="1"/>
  <c r="M12" i="21" s="1"/>
  <c r="O12" i="21" a="1"/>
  <c r="O12" i="21" s="1"/>
  <c r="Q12" i="21" a="1"/>
  <c r="Q12" i="21" s="1"/>
  <c r="S12" i="21" a="1"/>
  <c r="S12" i="21" s="1"/>
  <c r="U12" i="21" a="1"/>
  <c r="U12" i="21" s="1"/>
  <c r="W12" i="21" a="1"/>
  <c r="W12" i="21" s="1"/>
  <c r="Y12" i="21" a="1"/>
  <c r="Y12" i="21" s="1"/>
  <c r="AA12" i="21" a="1"/>
  <c r="AA12" i="21" s="1"/>
  <c r="AC12" i="21"/>
  <c r="C13" i="21"/>
  <c r="E13" i="21" a="1"/>
  <c r="E13" i="21" s="1"/>
  <c r="G13" i="21" a="1"/>
  <c r="G13" i="21" s="1"/>
  <c r="I13" i="21" a="1"/>
  <c r="I13" i="21" s="1"/>
  <c r="K13" i="21" a="1"/>
  <c r="K13" i="21" s="1"/>
  <c r="M13" i="21" a="1"/>
  <c r="M13" i="21" s="1"/>
  <c r="O13" i="21" a="1"/>
  <c r="O13" i="21" s="1"/>
  <c r="Q13" i="21" a="1"/>
  <c r="Q13" i="21" s="1"/>
  <c r="S13" i="21" a="1"/>
  <c r="S13" i="21" s="1"/>
  <c r="U13" i="21" a="1"/>
  <c r="U13" i="21" s="1"/>
  <c r="W13" i="21" a="1"/>
  <c r="W13" i="21" s="1"/>
  <c r="Y13" i="21" a="1"/>
  <c r="Y13" i="21" s="1"/>
  <c r="AC13" i="21"/>
  <c r="C14" i="21"/>
  <c r="E14" i="21" a="1"/>
  <c r="E14" i="21" s="1"/>
  <c r="G14" i="21" a="1"/>
  <c r="G14" i="21" s="1"/>
  <c r="I14" i="21" a="1"/>
  <c r="I14" i="21" s="1"/>
  <c r="K14" i="21" a="1"/>
  <c r="K14" i="21" s="1"/>
  <c r="M14" i="21" a="1"/>
  <c r="M14" i="21" s="1"/>
  <c r="O14" i="21" a="1"/>
  <c r="O14" i="21" s="1"/>
  <c r="Q14" i="21" a="1"/>
  <c r="Q14" i="21" s="1"/>
  <c r="S14" i="21" a="1"/>
  <c r="S14" i="21" s="1"/>
  <c r="U14" i="21" a="1"/>
  <c r="U14" i="21" s="1"/>
  <c r="W14" i="21" a="1"/>
  <c r="W14" i="21" s="1"/>
  <c r="Y14" i="21" a="1"/>
  <c r="Y14" i="21" s="1"/>
  <c r="AC14" i="21"/>
  <c r="C15" i="21"/>
  <c r="G15" i="21" a="1"/>
  <c r="G15" i="21" s="1"/>
  <c r="I15" i="21" a="1"/>
  <c r="I15" i="21" s="1"/>
  <c r="K15" i="21" a="1"/>
  <c r="K15" i="21" s="1"/>
  <c r="M15" i="21" a="1"/>
  <c r="M15" i="21" s="1"/>
  <c r="O15" i="21" a="1"/>
  <c r="O15" i="21" s="1"/>
  <c r="Q15" i="21" a="1"/>
  <c r="Q15" i="21" s="1"/>
  <c r="S15" i="21" a="1"/>
  <c r="S15" i="21" s="1"/>
  <c r="U15" i="21" a="1"/>
  <c r="U15" i="21" s="1"/>
  <c r="W15" i="21" a="1"/>
  <c r="W15" i="21" s="1"/>
  <c r="Y15" i="21" a="1"/>
  <c r="Y15" i="21" s="1"/>
  <c r="AC15" i="21"/>
  <c r="C16" i="21"/>
  <c r="E16" i="21" a="1"/>
  <c r="E16" i="21" s="1"/>
  <c r="G16" i="21" a="1"/>
  <c r="G16" i="21" s="1"/>
  <c r="K16" i="21" a="1"/>
  <c r="K16" i="21" s="1"/>
  <c r="M16" i="21" a="1"/>
  <c r="M16" i="21" s="1"/>
  <c r="O16" i="21" a="1"/>
  <c r="O16" i="21" s="1"/>
  <c r="Q16" i="21" a="1"/>
  <c r="Q16" i="21" s="1"/>
  <c r="S16" i="21" a="1"/>
  <c r="S16" i="21" s="1"/>
  <c r="U16" i="21" a="1"/>
  <c r="U16" i="21" s="1"/>
  <c r="W16" i="21" a="1"/>
  <c r="W16" i="21" s="1"/>
  <c r="Y16" i="21" a="1"/>
  <c r="Y16" i="21" s="1"/>
  <c r="AC16" i="21"/>
  <c r="C17" i="21"/>
  <c r="G17" i="21" a="1"/>
  <c r="G17" i="21" s="1"/>
  <c r="I17" i="21" a="1"/>
  <c r="I17" i="21" s="1"/>
  <c r="K17" i="21" a="1"/>
  <c r="K17" i="21" s="1"/>
  <c r="M17" i="21" a="1"/>
  <c r="M17" i="21" s="1"/>
  <c r="O17" i="21" a="1"/>
  <c r="O17" i="21" s="1"/>
  <c r="Q17" i="21" a="1"/>
  <c r="Q17" i="21" s="1"/>
  <c r="S17" i="21" a="1"/>
  <c r="S17" i="21" s="1"/>
  <c r="U17" i="21" a="1"/>
  <c r="U17" i="21" s="1"/>
  <c r="W17" i="21" a="1"/>
  <c r="W17" i="21" s="1"/>
  <c r="Y17" i="21" a="1"/>
  <c r="Y17" i="21" s="1"/>
  <c r="AA17" i="21" a="1"/>
  <c r="AA17" i="21" s="1"/>
  <c r="AC17" i="21"/>
  <c r="C18" i="21"/>
  <c r="G18" i="21" a="1"/>
  <c r="G18" i="21" s="1"/>
  <c r="I18" i="21" a="1"/>
  <c r="I18" i="21" s="1"/>
  <c r="K18" i="21" a="1"/>
  <c r="K18" i="21" s="1"/>
  <c r="M18" i="21" a="1"/>
  <c r="M18" i="21" s="1"/>
  <c r="O18" i="21" a="1"/>
  <c r="O18" i="21" s="1"/>
  <c r="Q18" i="21" a="1"/>
  <c r="Q18" i="21" s="1"/>
  <c r="S18" i="21" a="1"/>
  <c r="S18" i="21" s="1"/>
  <c r="U18" i="21" a="1"/>
  <c r="U18" i="21" s="1"/>
  <c r="W18" i="21" a="1"/>
  <c r="W18" i="21" s="1"/>
  <c r="Y18" i="21" a="1"/>
  <c r="Y18" i="21" s="1"/>
  <c r="AA18" i="21" a="1"/>
  <c r="AA18" i="21" s="1"/>
  <c r="AC18" i="21"/>
  <c r="C19" i="21"/>
  <c r="G19" i="21" a="1"/>
  <c r="G19" i="21" s="1"/>
  <c r="I19" i="21" a="1"/>
  <c r="I19" i="21" s="1"/>
  <c r="K19" i="21" a="1"/>
  <c r="K19" i="21" s="1"/>
  <c r="M19" i="21" a="1"/>
  <c r="M19" i="21" s="1"/>
  <c r="O19" i="21" a="1"/>
  <c r="O19" i="21" s="1"/>
  <c r="Q19" i="21" a="1"/>
  <c r="Q19" i="21" s="1"/>
  <c r="S19" i="21" a="1"/>
  <c r="S19" i="21" s="1"/>
  <c r="U19" i="21" a="1"/>
  <c r="U19" i="21" s="1"/>
  <c r="W19" i="21" a="1"/>
  <c r="W19" i="21" s="1"/>
  <c r="Y19" i="21" a="1"/>
  <c r="Y19" i="21" s="1"/>
  <c r="AA19" i="21" a="1"/>
  <c r="AA19" i="21" s="1"/>
  <c r="AC19" i="21"/>
  <c r="C20" i="21"/>
  <c r="G20" i="21" a="1"/>
  <c r="G20" i="21" s="1"/>
  <c r="I20" i="21" a="1"/>
  <c r="I20" i="21" s="1"/>
  <c r="K20" i="21" a="1"/>
  <c r="K20" i="21" s="1"/>
  <c r="M20" i="21" a="1"/>
  <c r="M20" i="21" s="1"/>
  <c r="O20" i="21" a="1"/>
  <c r="O20" i="21" s="1"/>
  <c r="Q20" i="21" a="1"/>
  <c r="Q20" i="21" s="1"/>
  <c r="S20" i="21" a="1"/>
  <c r="S20" i="21" s="1"/>
  <c r="U20" i="21" a="1"/>
  <c r="U20" i="21" s="1"/>
  <c r="W20" i="21" a="1"/>
  <c r="W20" i="21" s="1"/>
  <c r="Y20" i="21" a="1"/>
  <c r="Y20" i="21" s="1"/>
  <c r="AA20" i="21" a="1"/>
  <c r="AA20" i="21" s="1"/>
  <c r="AC20" i="21"/>
  <c r="C21" i="21"/>
  <c r="G21" i="21" a="1"/>
  <c r="G21" i="21" s="1"/>
  <c r="I21" i="21" a="1"/>
  <c r="I21" i="21" s="1"/>
  <c r="K21" i="21" a="1"/>
  <c r="K21" i="21" s="1"/>
  <c r="M21" i="21" a="1"/>
  <c r="M21" i="21" s="1"/>
  <c r="O21" i="21" a="1"/>
  <c r="O21" i="21" s="1"/>
  <c r="Q21" i="21" a="1"/>
  <c r="Q21" i="21" s="1"/>
  <c r="S21" i="21" a="1"/>
  <c r="S21" i="21" s="1"/>
  <c r="U21" i="21" a="1"/>
  <c r="U21" i="21" s="1"/>
  <c r="W21" i="21" a="1"/>
  <c r="W21" i="21" s="1"/>
  <c r="Y21" i="21" a="1"/>
  <c r="Y21" i="21" s="1"/>
  <c r="AA21" i="21" a="1"/>
  <c r="AA21" i="21" s="1"/>
  <c r="AC21" i="21"/>
  <c r="C22" i="21"/>
  <c r="G22" i="21" a="1"/>
  <c r="G22" i="21" s="1"/>
  <c r="I22" i="21" a="1"/>
  <c r="I22" i="21" s="1"/>
  <c r="K22" i="21" a="1"/>
  <c r="K22" i="21" s="1"/>
  <c r="M22" i="21" a="1"/>
  <c r="M22" i="21" s="1"/>
  <c r="O22" i="21" a="1"/>
  <c r="O22" i="21" s="1"/>
  <c r="Q22" i="21" a="1"/>
  <c r="Q22" i="21" s="1"/>
  <c r="S22" i="21" a="1"/>
  <c r="S22" i="21" s="1"/>
  <c r="U22" i="21" a="1"/>
  <c r="U22" i="21" s="1"/>
  <c r="W22" i="21" a="1"/>
  <c r="W22" i="21" s="1"/>
  <c r="Y22" i="21" a="1"/>
  <c r="Y22" i="21" s="1"/>
  <c r="AA22" i="21" a="1"/>
  <c r="AA22" i="21" s="1"/>
  <c r="AC22" i="21"/>
  <c r="C23" i="21"/>
  <c r="E23" i="21" a="1"/>
  <c r="E23" i="21" s="1"/>
  <c r="G23" i="21" a="1"/>
  <c r="G23" i="21" s="1"/>
  <c r="I23" i="21" a="1"/>
  <c r="I23" i="21" s="1"/>
  <c r="K23" i="21" a="1"/>
  <c r="K23" i="21" s="1"/>
  <c r="M23" i="21" a="1"/>
  <c r="M23" i="21" s="1"/>
  <c r="O23" i="21" a="1"/>
  <c r="O23" i="21" s="1"/>
  <c r="Q23" i="21" a="1"/>
  <c r="Q23" i="21" s="1"/>
  <c r="S23" i="21" a="1"/>
  <c r="S23" i="21" s="1"/>
  <c r="U23" i="21" a="1"/>
  <c r="U23" i="21" s="1"/>
  <c r="W23" i="21" a="1"/>
  <c r="W23" i="21" s="1"/>
  <c r="Y23" i="21" a="1"/>
  <c r="Y23" i="21" s="1"/>
  <c r="AC23" i="21"/>
  <c r="C24" i="21"/>
  <c r="E24" i="21" a="1"/>
  <c r="E24" i="21" s="1"/>
  <c r="G24" i="21" a="1"/>
  <c r="G24" i="21" s="1"/>
  <c r="I24" i="21" a="1"/>
  <c r="I24" i="21" s="1"/>
  <c r="K24" i="21" a="1"/>
  <c r="K24" i="21" s="1"/>
  <c r="M24" i="21" a="1"/>
  <c r="M24" i="21" s="1"/>
  <c r="Q24" i="21" a="1"/>
  <c r="Q24" i="21" s="1"/>
  <c r="S24" i="21" a="1"/>
  <c r="S24" i="21" s="1"/>
  <c r="U24" i="21" a="1"/>
  <c r="U24" i="21" s="1"/>
  <c r="W24" i="21" a="1"/>
  <c r="W24" i="21" s="1"/>
  <c r="Y24" i="21" a="1"/>
  <c r="Y24" i="21" s="1"/>
  <c r="AC24" i="21"/>
  <c r="C25" i="21"/>
  <c r="G25" i="21" a="1"/>
  <c r="G25" i="21" s="1"/>
  <c r="I25" i="21" a="1"/>
  <c r="I25" i="21" s="1"/>
  <c r="K25" i="21" a="1"/>
  <c r="K25" i="21" s="1"/>
  <c r="M25" i="21" a="1"/>
  <c r="M25" i="21" s="1"/>
  <c r="O25" i="21" a="1"/>
  <c r="O25" i="21" s="1"/>
  <c r="Q25" i="21" a="1"/>
  <c r="Q25" i="21" s="1"/>
  <c r="S25" i="21" a="1"/>
  <c r="S25" i="21" s="1"/>
  <c r="U25" i="21" a="1"/>
  <c r="U25" i="21" s="1"/>
  <c r="W25" i="21" a="1"/>
  <c r="W25" i="21" s="1"/>
  <c r="Y25" i="21" a="1"/>
  <c r="Y25" i="21" s="1"/>
  <c r="AA25" i="21" a="1"/>
  <c r="AA25" i="21" s="1"/>
  <c r="AC25" i="21"/>
  <c r="C26" i="21"/>
  <c r="E26" i="21" a="1"/>
  <c r="E26" i="21" s="1"/>
  <c r="G26" i="21" a="1"/>
  <c r="G26" i="21" s="1"/>
  <c r="I26" i="21" a="1"/>
  <c r="I26" i="21" s="1"/>
  <c r="K26" i="21" a="1"/>
  <c r="K26" i="21" s="1"/>
  <c r="M26" i="21" a="1"/>
  <c r="M26" i="21" s="1"/>
  <c r="O26" i="21" a="1"/>
  <c r="O26" i="21" s="1"/>
  <c r="Q26" i="21" a="1"/>
  <c r="Q26" i="21" s="1"/>
  <c r="S26" i="21" a="1"/>
  <c r="S26" i="21" s="1"/>
  <c r="U26" i="21" a="1"/>
  <c r="U26" i="21" s="1"/>
  <c r="W26" i="21" a="1"/>
  <c r="W26" i="21" s="1"/>
  <c r="Y26" i="21" a="1"/>
  <c r="Y26" i="21" s="1"/>
  <c r="AC26" i="21"/>
  <c r="C27" i="21"/>
  <c r="G27" i="21" a="1"/>
  <c r="G27" i="21" s="1"/>
  <c r="I27" i="21" a="1"/>
  <c r="I27" i="21" s="1"/>
  <c r="K27" i="21" a="1"/>
  <c r="K27" i="21" s="1"/>
  <c r="M27" i="21" a="1"/>
  <c r="M27" i="21" s="1"/>
  <c r="O27" i="21" a="1"/>
  <c r="O27" i="21" s="1"/>
  <c r="Q27" i="21" a="1"/>
  <c r="Q27" i="21" s="1"/>
  <c r="S27" i="21" a="1"/>
  <c r="S27" i="21" s="1"/>
  <c r="U27" i="21" a="1"/>
  <c r="U27" i="21" s="1"/>
  <c r="W27" i="21" a="1"/>
  <c r="W27" i="21" s="1"/>
  <c r="Y27" i="21" a="1"/>
  <c r="Y27" i="21" s="1"/>
  <c r="AA27" i="21" a="1"/>
  <c r="AA27" i="21" s="1"/>
  <c r="AC27" i="21"/>
  <c r="C28" i="21"/>
  <c r="G28" i="21" a="1"/>
  <c r="G28" i="21" s="1"/>
  <c r="I28" i="21" a="1"/>
  <c r="I28" i="21" s="1"/>
  <c r="K28" i="21" a="1"/>
  <c r="K28" i="21" s="1"/>
  <c r="M28" i="21" a="1"/>
  <c r="M28" i="21" s="1"/>
  <c r="O28" i="21" a="1"/>
  <c r="O28" i="21" s="1"/>
  <c r="Q28" i="21" a="1"/>
  <c r="Q28" i="21" s="1"/>
  <c r="S28" i="21" a="1"/>
  <c r="S28" i="21" s="1"/>
  <c r="U28" i="21" a="1"/>
  <c r="U28" i="21" s="1"/>
  <c r="W28" i="21" a="1"/>
  <c r="W28" i="21" s="1"/>
  <c r="Y28" i="21" a="1"/>
  <c r="Y28" i="21" s="1"/>
  <c r="AA28" i="21" a="1"/>
  <c r="AA28" i="21" s="1"/>
  <c r="AC28" i="21"/>
  <c r="C29" i="21"/>
  <c r="G29" i="21" a="1"/>
  <c r="G29" i="21" s="1"/>
  <c r="I29" i="21" a="1"/>
  <c r="I29" i="21" s="1"/>
  <c r="K29" i="21" a="1"/>
  <c r="K29" i="21" s="1"/>
  <c r="M29" i="21" a="1"/>
  <c r="M29" i="21" s="1"/>
  <c r="O29" i="21" a="1"/>
  <c r="O29" i="21" s="1"/>
  <c r="Q29" i="21" a="1"/>
  <c r="Q29" i="21" s="1"/>
  <c r="S29" i="21" a="1"/>
  <c r="S29" i="21" s="1"/>
  <c r="U29" i="21" a="1"/>
  <c r="U29" i="21" s="1"/>
  <c r="W29" i="21" a="1"/>
  <c r="W29" i="21" s="1"/>
  <c r="Y29" i="21" a="1"/>
  <c r="Y29" i="21" s="1"/>
  <c r="AA29" i="21" a="1"/>
  <c r="AA29" i="21" s="1"/>
  <c r="AC29" i="21"/>
  <c r="C30" i="21"/>
  <c r="E30" i="21" a="1"/>
  <c r="E30" i="21" s="1"/>
  <c r="G30" i="21" a="1"/>
  <c r="G30" i="21" s="1"/>
  <c r="I30" i="21" a="1"/>
  <c r="I30" i="21" s="1"/>
  <c r="K30" i="21" a="1"/>
  <c r="K30" i="21" s="1"/>
  <c r="M30" i="21" a="1"/>
  <c r="M30" i="21" s="1"/>
  <c r="Q30" i="21" a="1"/>
  <c r="Q30" i="21" s="1"/>
  <c r="S30" i="21" a="1"/>
  <c r="S30" i="21" s="1"/>
  <c r="U30" i="21" a="1"/>
  <c r="U30" i="21" s="1"/>
  <c r="W30" i="21" a="1"/>
  <c r="W30" i="21" s="1"/>
  <c r="Y30" i="21" a="1"/>
  <c r="Y30" i="21" s="1"/>
  <c r="AA30" i="21" a="1"/>
  <c r="AA30" i="21" s="1"/>
  <c r="AC30" i="21"/>
  <c r="C31" i="21"/>
  <c r="E31" i="21" a="1"/>
  <c r="E31" i="21" s="1"/>
  <c r="G31" i="21" a="1"/>
  <c r="G31" i="21" s="1"/>
  <c r="I31" i="21" a="1"/>
  <c r="I31" i="21" s="1"/>
  <c r="K31" i="21" a="1"/>
  <c r="K31" i="21" s="1"/>
  <c r="M31" i="21" a="1"/>
  <c r="M31" i="21" s="1"/>
  <c r="O31" i="21" a="1"/>
  <c r="O31" i="21" s="1"/>
  <c r="S31" i="21" a="1"/>
  <c r="S31" i="21" s="1"/>
  <c r="U31" i="21" a="1"/>
  <c r="U31" i="21" s="1"/>
  <c r="W31" i="21" a="1"/>
  <c r="W31" i="21" s="1"/>
  <c r="Y31" i="21" a="1"/>
  <c r="Y31" i="21" s="1"/>
  <c r="AA31" i="21" a="1"/>
  <c r="AA31" i="21" s="1"/>
  <c r="AC31" i="21"/>
  <c r="C32" i="21"/>
  <c r="G32" i="21" a="1"/>
  <c r="G32" i="21" s="1"/>
  <c r="I32" i="21" a="1"/>
  <c r="I32" i="21" s="1"/>
  <c r="K32" i="21" a="1"/>
  <c r="K32" i="21" s="1"/>
  <c r="M32" i="21" a="1"/>
  <c r="M32" i="21" s="1"/>
  <c r="O32" i="21" a="1"/>
  <c r="O32" i="21" s="1"/>
  <c r="Q32" i="21" a="1"/>
  <c r="Q32" i="21" s="1"/>
  <c r="S32" i="21" a="1"/>
  <c r="S32" i="21" s="1"/>
  <c r="U32" i="21" a="1"/>
  <c r="U32" i="21" s="1"/>
  <c r="W32" i="21" a="1"/>
  <c r="W32" i="21" s="1"/>
  <c r="Y32" i="21" a="1"/>
  <c r="Y32" i="21" s="1"/>
  <c r="AA32" i="21" a="1"/>
  <c r="AA32" i="21" s="1"/>
  <c r="AC32" i="21"/>
  <c r="C33" i="21"/>
  <c r="G33" i="21" a="1"/>
  <c r="G33" i="21" s="1"/>
  <c r="I33" i="21" a="1"/>
  <c r="I33" i="21" s="1"/>
  <c r="K33" i="21" a="1"/>
  <c r="K33" i="21" s="1"/>
  <c r="M33" i="21" a="1"/>
  <c r="M33" i="21" s="1"/>
  <c r="O33" i="21" a="1"/>
  <c r="O33" i="21" s="1"/>
  <c r="Q33" i="21" a="1"/>
  <c r="Q33" i="21" s="1"/>
  <c r="S33" i="21" a="1"/>
  <c r="S33" i="21" s="1"/>
  <c r="U33" i="21" a="1"/>
  <c r="U33" i="21" s="1"/>
  <c r="W33" i="21" a="1"/>
  <c r="W33" i="21" s="1"/>
  <c r="Y33" i="21" a="1"/>
  <c r="Y33" i="21" s="1"/>
  <c r="AA33" i="21" a="1"/>
  <c r="AA33" i="21" s="1"/>
  <c r="AC33" i="21"/>
  <c r="C34" i="21"/>
  <c r="E34" i="21" a="1"/>
  <c r="E34" i="21" s="1"/>
  <c r="G34" i="21" a="1"/>
  <c r="G34" i="21" s="1"/>
  <c r="I34" i="21" a="1"/>
  <c r="I34" i="21" s="1"/>
  <c r="K34" i="21" a="1"/>
  <c r="K34" i="21" s="1"/>
  <c r="M34" i="21" a="1"/>
  <c r="M34" i="21" s="1"/>
  <c r="O34" i="21" a="1"/>
  <c r="O34" i="21" s="1"/>
  <c r="S34" i="21" a="1"/>
  <c r="S34" i="21" s="1"/>
  <c r="U34" i="21" a="1"/>
  <c r="U34" i="21" s="1"/>
  <c r="W34" i="21" a="1"/>
  <c r="W34" i="21" s="1"/>
  <c r="Y34" i="21" a="1"/>
  <c r="Y34" i="21" s="1"/>
  <c r="AA34" i="21" a="1"/>
  <c r="AA34" i="21" s="1"/>
  <c r="AC34" i="21"/>
  <c r="C35" i="21"/>
  <c r="E35" i="21" a="1"/>
  <c r="E35" i="21" s="1"/>
  <c r="G35" i="21" a="1"/>
  <c r="G35" i="21" s="1"/>
  <c r="I35" i="21" a="1"/>
  <c r="I35" i="21" s="1"/>
  <c r="K35" i="21" a="1"/>
  <c r="K35" i="21" s="1"/>
  <c r="M35" i="21" a="1"/>
  <c r="M35" i="21" s="1"/>
  <c r="O35" i="21" a="1"/>
  <c r="O35" i="21" s="1"/>
  <c r="Q35" i="21" a="1"/>
  <c r="Q35" i="21" s="1"/>
  <c r="S35" i="21" a="1"/>
  <c r="S35" i="21" s="1"/>
  <c r="U35" i="21" a="1"/>
  <c r="U35" i="21" s="1"/>
  <c r="W35" i="21" a="1"/>
  <c r="W35" i="21" s="1"/>
  <c r="Y35" i="21" a="1"/>
  <c r="Y35" i="21" s="1"/>
  <c r="AC35" i="21"/>
  <c r="C36" i="21"/>
  <c r="E36" i="21" a="1"/>
  <c r="E36" i="21" s="1"/>
  <c r="G36" i="21" a="1"/>
  <c r="G36" i="21" s="1"/>
  <c r="I36" i="21" a="1"/>
  <c r="I36" i="21" s="1"/>
  <c r="K36" i="21" a="1"/>
  <c r="K36" i="21" s="1"/>
  <c r="M36" i="21" a="1"/>
  <c r="M36" i="21" s="1"/>
  <c r="O36" i="21" a="1"/>
  <c r="O36" i="21" s="1"/>
  <c r="Q36" i="21" a="1"/>
  <c r="Q36" i="21" s="1"/>
  <c r="S36" i="21" a="1"/>
  <c r="S36" i="21" s="1"/>
  <c r="U36" i="21" a="1"/>
  <c r="U36" i="21" s="1"/>
  <c r="W36" i="21" a="1"/>
  <c r="W36" i="21" s="1"/>
  <c r="Y36" i="21" a="1"/>
  <c r="Y36" i="21" s="1"/>
  <c r="AC36" i="21"/>
  <c r="C37" i="21"/>
  <c r="E37" i="21" a="1"/>
  <c r="E37" i="21" s="1"/>
  <c r="G37" i="21" a="1"/>
  <c r="G37" i="21" s="1"/>
  <c r="K37" i="21" a="1"/>
  <c r="K37" i="21" s="1"/>
  <c r="M37" i="21" a="1"/>
  <c r="M37" i="21" s="1"/>
  <c r="O37" i="21" a="1"/>
  <c r="O37" i="21" s="1"/>
  <c r="Q37" i="21" a="1"/>
  <c r="Q37" i="21" s="1"/>
  <c r="S37" i="21" a="1"/>
  <c r="S37" i="21" s="1"/>
  <c r="U37" i="21" a="1"/>
  <c r="U37" i="21" s="1"/>
  <c r="W37" i="21" a="1"/>
  <c r="W37" i="21" s="1"/>
  <c r="Y37" i="21" a="1"/>
  <c r="Y37" i="21" s="1"/>
  <c r="AA37" i="21" a="1"/>
  <c r="AA37" i="21" s="1"/>
  <c r="AC37" i="21"/>
  <c r="C38" i="21"/>
  <c r="E38" i="21" a="1"/>
  <c r="E38" i="21" s="1"/>
  <c r="G38" i="21" a="1"/>
  <c r="G38" i="21" s="1"/>
  <c r="I38" i="21" a="1"/>
  <c r="I38" i="21" s="1"/>
  <c r="K38" i="21" a="1"/>
  <c r="K38" i="21" s="1"/>
  <c r="M38" i="21" a="1"/>
  <c r="M38" i="21" s="1"/>
  <c r="O38" i="21" a="1"/>
  <c r="O38" i="21" s="1"/>
  <c r="Q38" i="21" a="1"/>
  <c r="Q38" i="21" s="1"/>
  <c r="S38" i="21" a="1"/>
  <c r="S38" i="21" s="1"/>
  <c r="U38" i="21" a="1"/>
  <c r="U38" i="21" s="1"/>
  <c r="W38" i="21" a="1"/>
  <c r="W38" i="21" s="1"/>
  <c r="Y38" i="21" a="1"/>
  <c r="Y38" i="21" s="1"/>
  <c r="AA38" i="21" a="1"/>
  <c r="AA38" i="21" s="1"/>
  <c r="AC38" i="21"/>
  <c r="C39" i="21"/>
  <c r="G39" i="21" a="1"/>
  <c r="G39" i="21" s="1"/>
  <c r="I39" i="21" a="1"/>
  <c r="I39" i="21" s="1"/>
  <c r="K39" i="21" a="1"/>
  <c r="K39" i="21" s="1"/>
  <c r="M39" i="21" a="1"/>
  <c r="M39" i="21" s="1"/>
  <c r="O39" i="21" a="1"/>
  <c r="O39" i="21" s="1"/>
  <c r="Q39" i="21" a="1"/>
  <c r="Q39" i="21" s="1"/>
  <c r="S39" i="21" a="1"/>
  <c r="S39" i="21" s="1"/>
  <c r="U39" i="21" a="1"/>
  <c r="U39" i="21" s="1"/>
  <c r="W39" i="21" a="1"/>
  <c r="W39" i="21" s="1"/>
  <c r="Y39" i="21" a="1"/>
  <c r="Y39" i="21" s="1"/>
  <c r="AA39" i="21" a="1"/>
  <c r="AA39" i="21" s="1"/>
  <c r="AC39" i="21"/>
  <c r="C40" i="21"/>
  <c r="G40" i="21" a="1"/>
  <c r="G40" i="21" s="1"/>
  <c r="I40" i="21" a="1"/>
  <c r="I40" i="21" s="1"/>
  <c r="K40" i="21" a="1"/>
  <c r="K40" i="21" s="1"/>
  <c r="M40" i="21" a="1"/>
  <c r="M40" i="21" s="1"/>
  <c r="O40" i="21" a="1"/>
  <c r="O40" i="21" s="1"/>
  <c r="Q40" i="21" a="1"/>
  <c r="Q40" i="21" s="1"/>
  <c r="S40" i="21" a="1"/>
  <c r="S40" i="21" s="1"/>
  <c r="U40" i="21" a="1"/>
  <c r="U40" i="21" s="1"/>
  <c r="W40" i="21" a="1"/>
  <c r="W40" i="21" s="1"/>
  <c r="Y40" i="21" a="1"/>
  <c r="Y40" i="21" s="1"/>
  <c r="AA40" i="21" a="1"/>
  <c r="AA40" i="21" s="1"/>
  <c r="AC40" i="21"/>
  <c r="C41" i="21"/>
  <c r="G41" i="21" a="1"/>
  <c r="G41" i="21" s="1"/>
  <c r="I41" i="21" a="1"/>
  <c r="I41" i="21" s="1"/>
  <c r="K41" i="21" a="1"/>
  <c r="K41" i="21" s="1"/>
  <c r="M41" i="21" a="1"/>
  <c r="M41" i="21" s="1"/>
  <c r="O41" i="21" a="1"/>
  <c r="O41" i="21" s="1"/>
  <c r="Q41" i="21" a="1"/>
  <c r="Q41" i="21" s="1"/>
  <c r="S41" i="21" a="1"/>
  <c r="S41" i="21" s="1"/>
  <c r="U41" i="21" a="1"/>
  <c r="U41" i="21" s="1"/>
  <c r="W41" i="21" a="1"/>
  <c r="W41" i="21" s="1"/>
  <c r="Y41" i="21" a="1"/>
  <c r="Y41" i="21" s="1"/>
  <c r="AA41" i="21" a="1"/>
  <c r="AA41" i="21" s="1"/>
  <c r="AC41" i="21"/>
  <c r="C42" i="21"/>
  <c r="G42" i="21" a="1"/>
  <c r="G42" i="21" s="1"/>
  <c r="I42" i="21" a="1"/>
  <c r="I42" i="21" s="1"/>
  <c r="K42" i="21" a="1"/>
  <c r="K42" i="21" s="1"/>
  <c r="M42" i="21" a="1"/>
  <c r="M42" i="21" s="1"/>
  <c r="O42" i="21" a="1"/>
  <c r="O42" i="21" s="1"/>
  <c r="Q42" i="21" a="1"/>
  <c r="Q42" i="21" s="1"/>
  <c r="S42" i="21" a="1"/>
  <c r="S42" i="21" s="1"/>
  <c r="U42" i="21" a="1"/>
  <c r="U42" i="21" s="1"/>
  <c r="W42" i="21" a="1"/>
  <c r="W42" i="21" s="1"/>
  <c r="Y42" i="21" a="1"/>
  <c r="Y42" i="21" s="1"/>
  <c r="AA42" i="21" a="1"/>
  <c r="AA42" i="21" s="1"/>
  <c r="AC42" i="21"/>
  <c r="AB38" i="21" l="1"/>
  <c r="AF38" i="21" s="1"/>
  <c r="AB12" i="21"/>
  <c r="AF12" i="21" s="1"/>
  <c r="AI12" i="21" s="1"/>
  <c r="Y11" i="27" l="1" a="1"/>
  <c r="Y11" i="27" s="1"/>
  <c r="AC16" i="28" l="1"/>
  <c r="J47" i="39"/>
  <c r="I47" i="39"/>
  <c r="H47" i="39"/>
  <c r="J46" i="39"/>
  <c r="I46" i="39"/>
  <c r="H46" i="39"/>
  <c r="J45" i="39"/>
  <c r="I45" i="39"/>
  <c r="H45" i="39"/>
  <c r="J44" i="39"/>
  <c r="I44" i="39"/>
  <c r="H44" i="39"/>
  <c r="J43" i="39"/>
  <c r="I43" i="39"/>
  <c r="H43" i="39"/>
  <c r="J42" i="39"/>
  <c r="I42" i="39"/>
  <c r="H42" i="39"/>
  <c r="J41" i="39"/>
  <c r="I41" i="39"/>
  <c r="H41" i="39"/>
  <c r="J40" i="39"/>
  <c r="I40" i="39"/>
  <c r="H40" i="39"/>
  <c r="J39" i="39"/>
  <c r="I39" i="39"/>
  <c r="H39" i="39"/>
  <c r="J38" i="39"/>
  <c r="I38" i="39"/>
  <c r="H38" i="39"/>
  <c r="A31" i="40"/>
  <c r="A30" i="40"/>
  <c r="A29" i="40"/>
  <c r="A28" i="40"/>
  <c r="A27" i="40"/>
  <c r="H30" i="40"/>
  <c r="H29" i="40"/>
  <c r="H28" i="40"/>
  <c r="H27" i="40"/>
  <c r="A25" i="40"/>
  <c r="O5" i="40"/>
  <c r="H5" i="40"/>
  <c r="I3" i="39"/>
  <c r="I4" i="39" s="1"/>
  <c r="F14" i="39"/>
  <c r="E14" i="39"/>
  <c r="P14" i="39" s="1"/>
  <c r="D14" i="39"/>
  <c r="C14" i="39"/>
  <c r="Q14" i="39" s="1"/>
  <c r="F13" i="39"/>
  <c r="E13" i="39"/>
  <c r="P13" i="39" s="1"/>
  <c r="D13" i="39"/>
  <c r="C13" i="39"/>
  <c r="Q13" i="39" s="1"/>
  <c r="F12" i="39"/>
  <c r="E12" i="39"/>
  <c r="P12" i="39" s="1"/>
  <c r="D12" i="39"/>
  <c r="C12" i="39"/>
  <c r="Q12" i="39" s="1"/>
  <c r="F11" i="39"/>
  <c r="E11" i="39"/>
  <c r="P11" i="39" s="1"/>
  <c r="D11" i="39"/>
  <c r="C11" i="39"/>
  <c r="Q11" i="39" s="1"/>
  <c r="F10" i="39"/>
  <c r="E10" i="39"/>
  <c r="P10" i="39" s="1"/>
  <c r="D10" i="39"/>
  <c r="C10" i="39"/>
  <c r="Q10" i="39" s="1"/>
  <c r="F9" i="39"/>
  <c r="E9" i="39"/>
  <c r="P9" i="39" s="1"/>
  <c r="D9" i="39"/>
  <c r="C9" i="39"/>
  <c r="Q9" i="39" s="1"/>
  <c r="F8" i="39"/>
  <c r="D8" i="39"/>
  <c r="F7" i="39"/>
  <c r="E7" i="39"/>
  <c r="P7" i="39" s="1"/>
  <c r="D7" i="39"/>
  <c r="C7" i="39"/>
  <c r="Q7" i="39" s="1"/>
  <c r="F6" i="39"/>
  <c r="E6" i="39"/>
  <c r="P6" i="39" s="1"/>
  <c r="D6" i="39"/>
  <c r="C6" i="39"/>
  <c r="Q6" i="39" s="1"/>
  <c r="F5" i="39"/>
  <c r="E5" i="39"/>
  <c r="P5" i="39" s="1"/>
  <c r="D5" i="39"/>
  <c r="C5" i="39"/>
  <c r="AJ87" i="21"/>
  <c r="AL87" i="21"/>
  <c r="AP87" i="21"/>
  <c r="AQ87" i="21"/>
  <c r="F87" i="21"/>
  <c r="H87" i="21"/>
  <c r="J87" i="21"/>
  <c r="L87" i="21"/>
  <c r="N87" i="21"/>
  <c r="P87" i="21"/>
  <c r="R87" i="21"/>
  <c r="T87" i="21"/>
  <c r="V87" i="21"/>
  <c r="X87" i="21"/>
  <c r="Z87" i="21"/>
  <c r="AB87" i="21"/>
  <c r="AD87" i="21"/>
  <c r="AF87" i="21"/>
  <c r="AH87" i="21"/>
  <c r="D87" i="21"/>
  <c r="F31" i="20"/>
  <c r="H31" i="20"/>
  <c r="J31" i="20"/>
  <c r="L31" i="20"/>
  <c r="N31" i="20"/>
  <c r="P31" i="20"/>
  <c r="R31" i="20"/>
  <c r="T31" i="20"/>
  <c r="V31" i="20"/>
  <c r="X31" i="20"/>
  <c r="Z31" i="20"/>
  <c r="AD31" i="20"/>
  <c r="AE31" i="20"/>
  <c r="AG31" i="20"/>
  <c r="D31" i="20"/>
  <c r="AJ63" i="20"/>
  <c r="F63" i="20"/>
  <c r="H63" i="20"/>
  <c r="J63" i="20"/>
  <c r="L63" i="20"/>
  <c r="N63" i="20"/>
  <c r="P63" i="20"/>
  <c r="R63" i="20"/>
  <c r="T63" i="20"/>
  <c r="V63" i="20"/>
  <c r="X63" i="20"/>
  <c r="Z63" i="20"/>
  <c r="AB63" i="20"/>
  <c r="AD63" i="20"/>
  <c r="AF63" i="20"/>
  <c r="AH63" i="20"/>
  <c r="AL63" i="20"/>
  <c r="D63" i="20"/>
  <c r="L43" i="21"/>
  <c r="N43" i="21"/>
  <c r="Z43" i="21"/>
  <c r="X43" i="21"/>
  <c r="V43" i="21"/>
  <c r="T43" i="21"/>
  <c r="R43" i="21"/>
  <c r="P43" i="21"/>
  <c r="J43" i="21"/>
  <c r="H43" i="21"/>
  <c r="F43" i="21"/>
  <c r="D43" i="21"/>
  <c r="Z32" i="23"/>
  <c r="X32" i="23"/>
  <c r="V32" i="23"/>
  <c r="T32" i="23"/>
  <c r="R32" i="23"/>
  <c r="P32" i="23"/>
  <c r="N32" i="23"/>
  <c r="L32" i="23"/>
  <c r="J32" i="23"/>
  <c r="H32" i="23"/>
  <c r="F32" i="23"/>
  <c r="D32" i="23"/>
  <c r="D65" i="23"/>
  <c r="C54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32" i="30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3" i="30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34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3" i="29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35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" i="28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34" i="27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3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3" i="26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3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3" i="25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32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3" i="24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36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" i="23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" i="20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47" i="21"/>
  <c r="AO33" i="30"/>
  <c r="AO34" i="30"/>
  <c r="AO35" i="30"/>
  <c r="AO36" i="30"/>
  <c r="AO37" i="30"/>
  <c r="AO38" i="30"/>
  <c r="AO39" i="30"/>
  <c r="AO40" i="30"/>
  <c r="AO41" i="30"/>
  <c r="AO42" i="30"/>
  <c r="AO43" i="30"/>
  <c r="AO44" i="30"/>
  <c r="AO45" i="30"/>
  <c r="AO46" i="30"/>
  <c r="AO47" i="30"/>
  <c r="AO48" i="30"/>
  <c r="AO49" i="30"/>
  <c r="AO50" i="30"/>
  <c r="AO51" i="30"/>
  <c r="AO52" i="30"/>
  <c r="AO53" i="30"/>
  <c r="AO54" i="30"/>
  <c r="AO32" i="30"/>
  <c r="AO35" i="29"/>
  <c r="AO36" i="29"/>
  <c r="AO37" i="29"/>
  <c r="AO38" i="29"/>
  <c r="AO39" i="29"/>
  <c r="AO40" i="29"/>
  <c r="AO41" i="29"/>
  <c r="AO42" i="29"/>
  <c r="AO43" i="29"/>
  <c r="AO44" i="29"/>
  <c r="AO45" i="29"/>
  <c r="AO46" i="29"/>
  <c r="AO47" i="29"/>
  <c r="AO48" i="29"/>
  <c r="AO49" i="29"/>
  <c r="AO50" i="29"/>
  <c r="AO51" i="29"/>
  <c r="AO52" i="29"/>
  <c r="AO53" i="29"/>
  <c r="AO54" i="29"/>
  <c r="AO55" i="29"/>
  <c r="AO56" i="29"/>
  <c r="AO57" i="29"/>
  <c r="AO58" i="29"/>
  <c r="AO59" i="29"/>
  <c r="AO34" i="29"/>
  <c r="AO48" i="28"/>
  <c r="AO42" i="28"/>
  <c r="AO36" i="28"/>
  <c r="AO37" i="28"/>
  <c r="AO38" i="28"/>
  <c r="AO39" i="28"/>
  <c r="AO40" i="28"/>
  <c r="AO41" i="28"/>
  <c r="AO43" i="28"/>
  <c r="AO44" i="28"/>
  <c r="AO45" i="28"/>
  <c r="AO46" i="28"/>
  <c r="AO47" i="28"/>
  <c r="AO49" i="28"/>
  <c r="AO50" i="28"/>
  <c r="AO51" i="28"/>
  <c r="AO52" i="28"/>
  <c r="AO53" i="28"/>
  <c r="AO54" i="28"/>
  <c r="AO55" i="28"/>
  <c r="AO56" i="28"/>
  <c r="AO57" i="28"/>
  <c r="AO58" i="28"/>
  <c r="AO59" i="28"/>
  <c r="AO60" i="28"/>
  <c r="AO61" i="28"/>
  <c r="AO62" i="28"/>
  <c r="AO35" i="28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50" i="27"/>
  <c r="AO51" i="27"/>
  <c r="AO52" i="27"/>
  <c r="AO53" i="27"/>
  <c r="AO54" i="27"/>
  <c r="AO55" i="27"/>
  <c r="AO56" i="27"/>
  <c r="AO57" i="27"/>
  <c r="AO58" i="27"/>
  <c r="AO59" i="27"/>
  <c r="AO60" i="27"/>
  <c r="AO34" i="27"/>
  <c r="AO34" i="26"/>
  <c r="AO35" i="26"/>
  <c r="AO36" i="26"/>
  <c r="AO37" i="26"/>
  <c r="AO38" i="26"/>
  <c r="AO39" i="26"/>
  <c r="AO40" i="26"/>
  <c r="AO41" i="26"/>
  <c r="AO42" i="26"/>
  <c r="AO43" i="26"/>
  <c r="AO44" i="26"/>
  <c r="AO45" i="26"/>
  <c r="AO46" i="26"/>
  <c r="AO47" i="26"/>
  <c r="AO48" i="26"/>
  <c r="AO49" i="26"/>
  <c r="AO50" i="26"/>
  <c r="AO51" i="26"/>
  <c r="AO52" i="26"/>
  <c r="AO53" i="26"/>
  <c r="AO54" i="26"/>
  <c r="AO55" i="26"/>
  <c r="AO56" i="26"/>
  <c r="AO57" i="26"/>
  <c r="AO58" i="26"/>
  <c r="AO33" i="26"/>
  <c r="S57" i="25" a="1"/>
  <c r="S57" i="25" s="1"/>
  <c r="Q57" i="25" a="1"/>
  <c r="Q57" i="25" s="1"/>
  <c r="M57" i="25" a="1"/>
  <c r="M57" i="25" s="1"/>
  <c r="K57" i="25" a="1"/>
  <c r="K57" i="25" s="1"/>
  <c r="I57" i="25" a="1"/>
  <c r="I57" i="25" s="1"/>
  <c r="G57" i="25" a="1"/>
  <c r="G57" i="25" s="1"/>
  <c r="E57" i="25" a="1"/>
  <c r="E57" i="25" s="1"/>
  <c r="S56" i="25" a="1"/>
  <c r="S56" i="25" s="1"/>
  <c r="Q56" i="25" a="1"/>
  <c r="Q56" i="25" s="1"/>
  <c r="O56" i="25" a="1"/>
  <c r="O56" i="25" s="1"/>
  <c r="M56" i="25" a="1"/>
  <c r="M56" i="25" s="1"/>
  <c r="K56" i="25" a="1"/>
  <c r="K56" i="25" s="1"/>
  <c r="I56" i="25" a="1"/>
  <c r="I56" i="25" s="1"/>
  <c r="G56" i="25" a="1"/>
  <c r="G56" i="25" s="1"/>
  <c r="S55" i="25" a="1"/>
  <c r="S55" i="25" s="1"/>
  <c r="Q55" i="25" a="1"/>
  <c r="Q55" i="25" s="1"/>
  <c r="O55" i="25" a="1"/>
  <c r="O55" i="25" s="1"/>
  <c r="M55" i="25" a="1"/>
  <c r="M55" i="25" s="1"/>
  <c r="K55" i="25" a="1"/>
  <c r="K55" i="25" s="1"/>
  <c r="I55" i="25" a="1"/>
  <c r="I55" i="25" s="1"/>
  <c r="G55" i="25" a="1"/>
  <c r="G55" i="25" s="1"/>
  <c r="S54" i="25" a="1"/>
  <c r="S54" i="25" s="1"/>
  <c r="Q54" i="25" a="1"/>
  <c r="Q54" i="25" s="1"/>
  <c r="O54" i="25" a="1"/>
  <c r="O54" i="25" s="1"/>
  <c r="M54" i="25" a="1"/>
  <c r="M54" i="25" s="1"/>
  <c r="K54" i="25" a="1"/>
  <c r="K54" i="25" s="1"/>
  <c r="I54" i="25" a="1"/>
  <c r="I54" i="25" s="1"/>
  <c r="G54" i="25" a="1"/>
  <c r="G54" i="25" s="1"/>
  <c r="S53" i="25" a="1"/>
  <c r="S53" i="25" s="1"/>
  <c r="Q53" i="25" a="1"/>
  <c r="Q53" i="25" s="1"/>
  <c r="O53" i="25" a="1"/>
  <c r="O53" i="25" s="1"/>
  <c r="M53" i="25" a="1"/>
  <c r="M53" i="25" s="1"/>
  <c r="K53" i="25" a="1"/>
  <c r="K53" i="25" s="1"/>
  <c r="I53" i="25" a="1"/>
  <c r="I53" i="25" s="1"/>
  <c r="G53" i="25" a="1"/>
  <c r="G53" i="25" s="1"/>
  <c r="S52" i="25" a="1"/>
  <c r="S52" i="25" s="1"/>
  <c r="Q52" i="25" a="1"/>
  <c r="Q52" i="25" s="1"/>
  <c r="O52" i="25" a="1"/>
  <c r="O52" i="25" s="1"/>
  <c r="M52" i="25" a="1"/>
  <c r="M52" i="25" s="1"/>
  <c r="K52" i="25" a="1"/>
  <c r="K52" i="25" s="1"/>
  <c r="I52" i="25" a="1"/>
  <c r="I52" i="25" s="1"/>
  <c r="G52" i="25" a="1"/>
  <c r="G52" i="25" s="1"/>
  <c r="S51" i="25" a="1"/>
  <c r="S51" i="25" s="1"/>
  <c r="Q51" i="25" a="1"/>
  <c r="Q51" i="25" s="1"/>
  <c r="O51" i="25" a="1"/>
  <c r="O51" i="25" s="1"/>
  <c r="M51" i="25" a="1"/>
  <c r="M51" i="25" s="1"/>
  <c r="K51" i="25" a="1"/>
  <c r="K51" i="25" s="1"/>
  <c r="I51" i="25" a="1"/>
  <c r="I51" i="25" s="1"/>
  <c r="G51" i="25" a="1"/>
  <c r="G51" i="25" s="1"/>
  <c r="E51" i="25" a="1"/>
  <c r="E51" i="25" s="1"/>
  <c r="S50" i="25" a="1"/>
  <c r="S50" i="25" s="1"/>
  <c r="Q50" i="25" a="1"/>
  <c r="Q50" i="25" s="1"/>
  <c r="O50" i="25" a="1"/>
  <c r="O50" i="25" s="1"/>
  <c r="M50" i="25" a="1"/>
  <c r="M50" i="25" s="1"/>
  <c r="K50" i="25" a="1"/>
  <c r="K50" i="25" s="1"/>
  <c r="I50" i="25" a="1"/>
  <c r="I50" i="25" s="1"/>
  <c r="G50" i="25" a="1"/>
  <c r="G50" i="25" s="1"/>
  <c r="E50" i="25" a="1"/>
  <c r="E50" i="25" s="1"/>
  <c r="S49" i="25" a="1"/>
  <c r="S49" i="25" s="1"/>
  <c r="Q49" i="25" a="1"/>
  <c r="Q49" i="25" s="1"/>
  <c r="O49" i="25" a="1"/>
  <c r="O49" i="25" s="1"/>
  <c r="M49" i="25" a="1"/>
  <c r="M49" i="25" s="1"/>
  <c r="K49" i="25" a="1"/>
  <c r="K49" i="25" s="1"/>
  <c r="I49" i="25" a="1"/>
  <c r="I49" i="25" s="1"/>
  <c r="G49" i="25" a="1"/>
  <c r="G49" i="25" s="1"/>
  <c r="S48" i="25" a="1"/>
  <c r="S48" i="25" s="1"/>
  <c r="Q48" i="25" a="1"/>
  <c r="Q48" i="25" s="1"/>
  <c r="M48" i="25" a="1"/>
  <c r="M48" i="25" s="1"/>
  <c r="K48" i="25" a="1"/>
  <c r="K48" i="25" s="1"/>
  <c r="I48" i="25" a="1"/>
  <c r="I48" i="25" s="1"/>
  <c r="G48" i="25" a="1"/>
  <c r="G48" i="25" s="1"/>
  <c r="E48" i="25" a="1"/>
  <c r="E48" i="25" s="1"/>
  <c r="S47" i="25" a="1"/>
  <c r="S47" i="25" s="1"/>
  <c r="Q47" i="25" a="1"/>
  <c r="Q47" i="25" s="1"/>
  <c r="O47" i="25" a="1"/>
  <c r="O47" i="25" s="1"/>
  <c r="M47" i="25" a="1"/>
  <c r="M47" i="25" s="1"/>
  <c r="K47" i="25" a="1"/>
  <c r="K47" i="25" s="1"/>
  <c r="I47" i="25" a="1"/>
  <c r="I47" i="25" s="1"/>
  <c r="G47" i="25" a="1"/>
  <c r="G47" i="25" s="1"/>
  <c r="S46" i="25" a="1"/>
  <c r="S46" i="25" s="1"/>
  <c r="Q46" i="25" a="1"/>
  <c r="Q46" i="25" s="1"/>
  <c r="O46" i="25" a="1"/>
  <c r="O46" i="25" s="1"/>
  <c r="M46" i="25" a="1"/>
  <c r="M46" i="25" s="1"/>
  <c r="K46" i="25" a="1"/>
  <c r="K46" i="25" s="1"/>
  <c r="I46" i="25" a="1"/>
  <c r="I46" i="25" s="1"/>
  <c r="G46" i="25" a="1"/>
  <c r="G46" i="25" s="1"/>
  <c r="S45" i="25" a="1"/>
  <c r="S45" i="25" s="1"/>
  <c r="Q45" i="25" a="1"/>
  <c r="Q45" i="25" s="1"/>
  <c r="O45" i="25" a="1"/>
  <c r="O45" i="25" s="1"/>
  <c r="M45" i="25" a="1"/>
  <c r="M45" i="25" s="1"/>
  <c r="K45" i="25" a="1"/>
  <c r="K45" i="25" s="1"/>
  <c r="I45" i="25" a="1"/>
  <c r="I45" i="25" s="1"/>
  <c r="G45" i="25" a="1"/>
  <c r="G45" i="25" s="1"/>
  <c r="S44" i="25" a="1"/>
  <c r="S44" i="25" s="1"/>
  <c r="Q44" i="25" a="1"/>
  <c r="Q44" i="25" s="1"/>
  <c r="O44" i="25" a="1"/>
  <c r="O44" i="25" s="1"/>
  <c r="M44" i="25" a="1"/>
  <c r="M44" i="25" s="1"/>
  <c r="K44" i="25" a="1"/>
  <c r="K44" i="25" s="1"/>
  <c r="I44" i="25" a="1"/>
  <c r="I44" i="25" s="1"/>
  <c r="G44" i="25" a="1"/>
  <c r="G44" i="25" s="1"/>
  <c r="S43" i="25" a="1"/>
  <c r="S43" i="25" s="1"/>
  <c r="Q43" i="25" a="1"/>
  <c r="Q43" i="25" s="1"/>
  <c r="O43" i="25" a="1"/>
  <c r="O43" i="25" s="1"/>
  <c r="M43" i="25" a="1"/>
  <c r="M43" i="25" s="1"/>
  <c r="K43" i="25" a="1"/>
  <c r="K43" i="25" s="1"/>
  <c r="I43" i="25" a="1"/>
  <c r="I43" i="25" s="1"/>
  <c r="G43" i="25" a="1"/>
  <c r="G43" i="25" s="1"/>
  <c r="S42" i="25" a="1"/>
  <c r="S42" i="25" s="1"/>
  <c r="Q42" i="25" a="1"/>
  <c r="Q42" i="25" s="1"/>
  <c r="O42" i="25" a="1"/>
  <c r="O42" i="25" s="1"/>
  <c r="M42" i="25" a="1"/>
  <c r="M42" i="25" s="1"/>
  <c r="K42" i="25" a="1"/>
  <c r="K42" i="25" s="1"/>
  <c r="I42" i="25" a="1"/>
  <c r="I42" i="25" s="1"/>
  <c r="G42" i="25" a="1"/>
  <c r="G42" i="25" s="1"/>
  <c r="E42" i="25" a="1"/>
  <c r="E42" i="25" s="1"/>
  <c r="S41" i="25" a="1"/>
  <c r="S41" i="25" s="1"/>
  <c r="Q41" i="25" a="1"/>
  <c r="Q41" i="25" s="1"/>
  <c r="M41" i="25" a="1"/>
  <c r="M41" i="25" s="1"/>
  <c r="K41" i="25" a="1"/>
  <c r="K41" i="25" s="1"/>
  <c r="I41" i="25" a="1"/>
  <c r="I41" i="25" s="1"/>
  <c r="G41" i="25" a="1"/>
  <c r="G41" i="25" s="1"/>
  <c r="E41" i="25" a="1"/>
  <c r="E41" i="25" s="1"/>
  <c r="S40" i="25" a="1"/>
  <c r="S40" i="25" s="1"/>
  <c r="Q40" i="25" a="1"/>
  <c r="Q40" i="25" s="1"/>
  <c r="O40" i="25" a="1"/>
  <c r="O40" i="25" s="1"/>
  <c r="M40" i="25" a="1"/>
  <c r="M40" i="25" s="1"/>
  <c r="K40" i="25" a="1"/>
  <c r="K40" i="25" s="1"/>
  <c r="I40" i="25" a="1"/>
  <c r="I40" i="25" s="1"/>
  <c r="G40" i="25" a="1"/>
  <c r="G40" i="25" s="1"/>
  <c r="S38" i="25" a="1"/>
  <c r="S38" i="25" s="1"/>
  <c r="Q38" i="25" a="1"/>
  <c r="Q38" i="25" s="1"/>
  <c r="O38" i="25" a="1"/>
  <c r="O38" i="25" s="1"/>
  <c r="M38" i="25" a="1"/>
  <c r="M38" i="25" s="1"/>
  <c r="K38" i="25" a="1"/>
  <c r="K38" i="25" s="1"/>
  <c r="I38" i="25" a="1"/>
  <c r="I38" i="25" s="1"/>
  <c r="G38" i="25" a="1"/>
  <c r="G38" i="25" s="1"/>
  <c r="S37" i="25" a="1"/>
  <c r="S37" i="25" s="1"/>
  <c r="Q37" i="25" a="1"/>
  <c r="Q37" i="25" s="1"/>
  <c r="M37" i="25" a="1"/>
  <c r="M37" i="25" s="1"/>
  <c r="K37" i="25" a="1"/>
  <c r="K37" i="25" s="1"/>
  <c r="I37" i="25" a="1"/>
  <c r="I37" i="25" s="1"/>
  <c r="G37" i="25" a="1"/>
  <c r="G37" i="25" s="1"/>
  <c r="S36" i="25" a="1"/>
  <c r="S36" i="25" s="1"/>
  <c r="Q36" i="25" a="1"/>
  <c r="Q36" i="25" s="1"/>
  <c r="M36" i="25" a="1"/>
  <c r="M36" i="25" s="1"/>
  <c r="K36" i="25" a="1"/>
  <c r="K36" i="25" s="1"/>
  <c r="I36" i="25" a="1"/>
  <c r="I36" i="25" s="1"/>
  <c r="G36" i="25" a="1"/>
  <c r="G36" i="25" s="1"/>
  <c r="S35" i="25" a="1"/>
  <c r="S35" i="25" s="1"/>
  <c r="Q35" i="25" a="1"/>
  <c r="Q35" i="25" s="1"/>
  <c r="O35" i="25" a="1"/>
  <c r="O35" i="25" s="1"/>
  <c r="M35" i="25" a="1"/>
  <c r="M35" i="25" s="1"/>
  <c r="K35" i="25" a="1"/>
  <c r="K35" i="25" s="1"/>
  <c r="I35" i="25" a="1"/>
  <c r="I35" i="25" s="1"/>
  <c r="G35" i="25" a="1"/>
  <c r="G35" i="25" s="1"/>
  <c r="E35" i="25" a="1"/>
  <c r="E35" i="25" s="1"/>
  <c r="S34" i="25" a="1"/>
  <c r="S34" i="25" s="1"/>
  <c r="Q34" i="25" a="1"/>
  <c r="Q34" i="25" s="1"/>
  <c r="O34" i="25" a="1"/>
  <c r="O34" i="25" s="1"/>
  <c r="M34" i="25" a="1"/>
  <c r="M34" i="25" s="1"/>
  <c r="K34" i="25" a="1"/>
  <c r="K34" i="25" s="1"/>
  <c r="I34" i="25" a="1"/>
  <c r="I34" i="25" s="1"/>
  <c r="G34" i="25" a="1"/>
  <c r="G34" i="25" s="1"/>
  <c r="S33" i="25" a="1"/>
  <c r="S33" i="25" s="1"/>
  <c r="Q33" i="25" a="1"/>
  <c r="Q33" i="25" s="1"/>
  <c r="O33" i="25" a="1"/>
  <c r="O33" i="25" s="1"/>
  <c r="M33" i="25" a="1"/>
  <c r="M33" i="25" s="1"/>
  <c r="K33" i="25" a="1"/>
  <c r="K33" i="25" s="1"/>
  <c r="I33" i="25" a="1"/>
  <c r="I33" i="25" s="1"/>
  <c r="G33" i="25" a="1"/>
  <c r="G33" i="25" s="1"/>
  <c r="AO33" i="25"/>
  <c r="AM56" i="25" a="1"/>
  <c r="AM56" i="25" s="1"/>
  <c r="AM55" i="25" a="1"/>
  <c r="AM55" i="25" s="1"/>
  <c r="AM54" i="25" a="1"/>
  <c r="AM54" i="25" s="1"/>
  <c r="AM53" i="25" a="1"/>
  <c r="AM53" i="25" s="1"/>
  <c r="AM52" i="25" a="1"/>
  <c r="AM52" i="25" s="1"/>
  <c r="AM50" i="25" a="1"/>
  <c r="AM50" i="25" s="1"/>
  <c r="AM49" i="25" a="1"/>
  <c r="AM49" i="25" s="1"/>
  <c r="AM47" i="25" a="1"/>
  <c r="AM47" i="25" s="1"/>
  <c r="AM46" i="25" a="1"/>
  <c r="AM46" i="25" s="1"/>
  <c r="AM45" i="25" a="1"/>
  <c r="AM45" i="25" s="1"/>
  <c r="AM44" i="25" a="1"/>
  <c r="AM44" i="25" s="1"/>
  <c r="AM43" i="25" a="1"/>
  <c r="AM43" i="25" s="1"/>
  <c r="AM40" i="25" a="1"/>
  <c r="AM40" i="25" s="1"/>
  <c r="AM38" i="25" a="1"/>
  <c r="AM38" i="25" s="1"/>
  <c r="AM34" i="25" a="1"/>
  <c r="AM34" i="25" s="1"/>
  <c r="AM33" i="25" a="1"/>
  <c r="AM33" i="25" s="1"/>
  <c r="AO34" i="25"/>
  <c r="AO35" i="25"/>
  <c r="AO36" i="25"/>
  <c r="AO37" i="25"/>
  <c r="AO38" i="25"/>
  <c r="AO39" i="25"/>
  <c r="AO40" i="25"/>
  <c r="AO41" i="25"/>
  <c r="AO42" i="25"/>
  <c r="AO43" i="25"/>
  <c r="AO44" i="25"/>
  <c r="AO45" i="25"/>
  <c r="AO46" i="25"/>
  <c r="AO47" i="25"/>
  <c r="AO48" i="25"/>
  <c r="AO49" i="25"/>
  <c r="AO50" i="25"/>
  <c r="AO51" i="25"/>
  <c r="AO52" i="25"/>
  <c r="AO53" i="25"/>
  <c r="AO54" i="25"/>
  <c r="AO55" i="25"/>
  <c r="AO56" i="25"/>
  <c r="AO57" i="25"/>
  <c r="AM56" i="24" a="1"/>
  <c r="AM56" i="24" s="1"/>
  <c r="AM54" i="24" a="1"/>
  <c r="AM54" i="24" s="1"/>
  <c r="AM53" i="24" a="1"/>
  <c r="AM53" i="24" s="1"/>
  <c r="AM51" i="24" a="1"/>
  <c r="AM51" i="24" s="1"/>
  <c r="AM50" i="24" a="1"/>
  <c r="AM50" i="24" s="1"/>
  <c r="AM48" i="24" a="1"/>
  <c r="AM48" i="24" s="1"/>
  <c r="AM47" i="24" a="1"/>
  <c r="AM47" i="24" s="1"/>
  <c r="AM46" i="24" a="1"/>
  <c r="AM46" i="24" s="1"/>
  <c r="AM44" i="24" a="1"/>
  <c r="AM44" i="24" s="1"/>
  <c r="AM43" i="24" a="1"/>
  <c r="AM43" i="24" s="1"/>
  <c r="AM42" i="24" a="1"/>
  <c r="AM42" i="24" s="1"/>
  <c r="AM41" i="24" a="1"/>
  <c r="AM41" i="24" s="1"/>
  <c r="AM40" i="24" a="1"/>
  <c r="AM40" i="24" s="1"/>
  <c r="AM38" i="24" a="1"/>
  <c r="AM38" i="24" s="1"/>
  <c r="AM36" i="24" a="1"/>
  <c r="AM36" i="24" s="1"/>
  <c r="AM33" i="24" a="1"/>
  <c r="AM33" i="24" s="1"/>
  <c r="AM32" i="24" a="1"/>
  <c r="AM32" i="24" s="1"/>
  <c r="AO33" i="24"/>
  <c r="AO34" i="24"/>
  <c r="AO35" i="24"/>
  <c r="AO36" i="24"/>
  <c r="AO37" i="24"/>
  <c r="AO38" i="24"/>
  <c r="AO39" i="24"/>
  <c r="AO40" i="24"/>
  <c r="AO41" i="24"/>
  <c r="AO42" i="24"/>
  <c r="AO43" i="24"/>
  <c r="AO44" i="24"/>
  <c r="AO45" i="24"/>
  <c r="AO46" i="24"/>
  <c r="AO47" i="24"/>
  <c r="AO48" i="24"/>
  <c r="AO49" i="24"/>
  <c r="AO50" i="24"/>
  <c r="AO51" i="24"/>
  <c r="AO52" i="24"/>
  <c r="AO53" i="24"/>
  <c r="AO54" i="24"/>
  <c r="AO55" i="24"/>
  <c r="AO56" i="24"/>
  <c r="AO32" i="24"/>
  <c r="AM63" i="23" a="1"/>
  <c r="AM63" i="23" s="1"/>
  <c r="AM62" i="23" a="1"/>
  <c r="AM62" i="23" s="1"/>
  <c r="AM61" i="23" a="1"/>
  <c r="AM61" i="23" s="1"/>
  <c r="AM60" i="23" a="1"/>
  <c r="AM60" i="23" s="1"/>
  <c r="AM59" i="23" a="1"/>
  <c r="AM59" i="23" s="1"/>
  <c r="AM58" i="23" a="1"/>
  <c r="AM58" i="23" s="1"/>
  <c r="AM57" i="23" a="1"/>
  <c r="AM57" i="23" s="1"/>
  <c r="AM56" i="23" a="1"/>
  <c r="AM56" i="23" s="1"/>
  <c r="AM54" i="23" a="1"/>
  <c r="AM54" i="23" s="1"/>
  <c r="AM53" i="23" a="1"/>
  <c r="AM53" i="23" s="1"/>
  <c r="AM52" i="23" a="1"/>
  <c r="AM52" i="23" s="1"/>
  <c r="AM51" i="23" a="1"/>
  <c r="AM51" i="23" s="1"/>
  <c r="AM50" i="23" a="1"/>
  <c r="AM50" i="23" s="1"/>
  <c r="AM49" i="23" a="1"/>
  <c r="AM49" i="23" s="1"/>
  <c r="AM48" i="23" a="1"/>
  <c r="AM48" i="23" s="1"/>
  <c r="AM47" i="23" a="1"/>
  <c r="AM47" i="23" s="1"/>
  <c r="AM46" i="23" a="1"/>
  <c r="AM46" i="23" s="1"/>
  <c r="AM44" i="23" a="1"/>
  <c r="AM44" i="23" s="1"/>
  <c r="AM43" i="23" a="1"/>
  <c r="AM43" i="23" s="1"/>
  <c r="AM42" i="23" a="1"/>
  <c r="AM42" i="23" s="1"/>
  <c r="AM41" i="23" a="1"/>
  <c r="AM41" i="23" s="1"/>
  <c r="AM40" i="23" a="1"/>
  <c r="AM40" i="23" s="1"/>
  <c r="AM39" i="23" a="1"/>
  <c r="AM39" i="23" s="1"/>
  <c r="AM38" i="23" a="1"/>
  <c r="AM38" i="23" s="1"/>
  <c r="AM37" i="23" a="1"/>
  <c r="AM37" i="23" s="1"/>
  <c r="AM36" i="23" a="1"/>
  <c r="AM36" i="23" s="1"/>
  <c r="AO64" i="23"/>
  <c r="AO63" i="23"/>
  <c r="AO62" i="23"/>
  <c r="AO61" i="23"/>
  <c r="AO60" i="23"/>
  <c r="AO59" i="23"/>
  <c r="AO58" i="23"/>
  <c r="AO57" i="23"/>
  <c r="AO56" i="23"/>
  <c r="AO55" i="23"/>
  <c r="AO54" i="23"/>
  <c r="AO53" i="23"/>
  <c r="AO52" i="23"/>
  <c r="AO51" i="23"/>
  <c r="AO50" i="23"/>
  <c r="AO49" i="23"/>
  <c r="AO48" i="23"/>
  <c r="AO47" i="23"/>
  <c r="AO46" i="23"/>
  <c r="AO45" i="23"/>
  <c r="AO44" i="23"/>
  <c r="AO43" i="23"/>
  <c r="AO42" i="23"/>
  <c r="AO41" i="23"/>
  <c r="AO40" i="23"/>
  <c r="AO39" i="23"/>
  <c r="AO38" i="23"/>
  <c r="AO37" i="23"/>
  <c r="AA3" i="23" a="1"/>
  <c r="AA3" i="23" s="1"/>
  <c r="AA5" i="23" a="1"/>
  <c r="AA5" i="23" s="1"/>
  <c r="AO47" i="21"/>
  <c r="AM53" i="30" a="1"/>
  <c r="AM53" i="30" s="1"/>
  <c r="AM52" i="30" a="1"/>
  <c r="AM52" i="30" s="1"/>
  <c r="AM51" i="30" a="1"/>
  <c r="AM51" i="30" s="1"/>
  <c r="AM50" i="30" a="1"/>
  <c r="AM50" i="30" s="1"/>
  <c r="AM49" i="30" a="1"/>
  <c r="AM49" i="30" s="1"/>
  <c r="AM48" i="30" a="1"/>
  <c r="AM48" i="30" s="1"/>
  <c r="AM47" i="30" a="1"/>
  <c r="AM47" i="30" s="1"/>
  <c r="AM46" i="30" a="1"/>
  <c r="AM46" i="30" s="1"/>
  <c r="AM45" i="30" a="1"/>
  <c r="AM45" i="30" s="1"/>
  <c r="AM44" i="30" a="1"/>
  <c r="AM44" i="30" s="1"/>
  <c r="AM40" i="30" a="1"/>
  <c r="AM40" i="30" s="1"/>
  <c r="AM38" i="30" a="1"/>
  <c r="AM38" i="30" s="1"/>
  <c r="AM36" i="30" a="1"/>
  <c r="AM36" i="30" s="1"/>
  <c r="AM34" i="30" a="1"/>
  <c r="AM34" i="30" s="1"/>
  <c r="AM33" i="30" a="1"/>
  <c r="AM33" i="30" s="1"/>
  <c r="AM32" i="30" a="1"/>
  <c r="AM32" i="30" s="1"/>
  <c r="AK54" i="30" a="1"/>
  <c r="AK54" i="30" s="1"/>
  <c r="AK53" i="30" a="1"/>
  <c r="AK53" i="30" s="1"/>
  <c r="AK52" i="30" a="1"/>
  <c r="AK52" i="30" s="1"/>
  <c r="AK51" i="30" a="1"/>
  <c r="AK51" i="30" s="1"/>
  <c r="AK50" i="30" a="1"/>
  <c r="AK50" i="30" s="1"/>
  <c r="AK49" i="30" a="1"/>
  <c r="AK49" i="30" s="1"/>
  <c r="AK48" i="30" a="1"/>
  <c r="AK48" i="30" s="1"/>
  <c r="AK47" i="30" a="1"/>
  <c r="AK47" i="30" s="1"/>
  <c r="AK46" i="30" a="1"/>
  <c r="AK46" i="30" s="1"/>
  <c r="AK45" i="30" a="1"/>
  <c r="AK45" i="30" s="1"/>
  <c r="AK44" i="30" a="1"/>
  <c r="AK44" i="30" s="1"/>
  <c r="AK41" i="30" a="1"/>
  <c r="AK41" i="30" s="1"/>
  <c r="AK40" i="30" a="1"/>
  <c r="AK40" i="30" s="1"/>
  <c r="AK39" i="30" a="1"/>
  <c r="AK39" i="30" s="1"/>
  <c r="AK38" i="30" a="1"/>
  <c r="AK38" i="30" s="1"/>
  <c r="AK37" i="30" a="1"/>
  <c r="AK37" i="30" s="1"/>
  <c r="AK36" i="30" a="1"/>
  <c r="AK36" i="30" s="1"/>
  <c r="AK35" i="30" a="1"/>
  <c r="AK35" i="30" s="1"/>
  <c r="AK34" i="30" a="1"/>
  <c r="AK34" i="30" s="1"/>
  <c r="AK33" i="30" a="1"/>
  <c r="AK33" i="30" s="1"/>
  <c r="AK32" i="30" a="1"/>
  <c r="AK32" i="30" s="1"/>
  <c r="AI54" i="30" a="1"/>
  <c r="AI54" i="30" s="1"/>
  <c r="AI53" i="30" a="1"/>
  <c r="AI53" i="30" s="1"/>
  <c r="AI52" i="30" a="1"/>
  <c r="AI52" i="30" s="1"/>
  <c r="AI51" i="30" a="1"/>
  <c r="AI51" i="30" s="1"/>
  <c r="AI50" i="30" a="1"/>
  <c r="AI50" i="30" s="1"/>
  <c r="AI49" i="30" a="1"/>
  <c r="AI49" i="30" s="1"/>
  <c r="AI48" i="30" a="1"/>
  <c r="AI48" i="30" s="1"/>
  <c r="AI47" i="30" a="1"/>
  <c r="AI47" i="30" s="1"/>
  <c r="AI46" i="30" a="1"/>
  <c r="AI46" i="30" s="1"/>
  <c r="AI45" i="30" a="1"/>
  <c r="AI45" i="30" s="1"/>
  <c r="AI44" i="30" a="1"/>
  <c r="AI44" i="30" s="1"/>
  <c r="AI41" i="30" a="1"/>
  <c r="AI41" i="30" s="1"/>
  <c r="AI40" i="30" a="1"/>
  <c r="AI40" i="30" s="1"/>
  <c r="AI39" i="30" a="1"/>
  <c r="AI39" i="30" s="1"/>
  <c r="AI38" i="30" a="1"/>
  <c r="AI38" i="30" s="1"/>
  <c r="AI37" i="30" a="1"/>
  <c r="AI37" i="30" s="1"/>
  <c r="AI36" i="30" a="1"/>
  <c r="AI36" i="30" s="1"/>
  <c r="AI35" i="30" a="1"/>
  <c r="AI35" i="30" s="1"/>
  <c r="AI34" i="30" a="1"/>
  <c r="AI34" i="30" s="1"/>
  <c r="AI33" i="30" a="1"/>
  <c r="AI33" i="30" s="1"/>
  <c r="AI32" i="30" a="1"/>
  <c r="AI32" i="30" s="1"/>
  <c r="AG54" i="30" a="1"/>
  <c r="AG54" i="30" s="1"/>
  <c r="AG53" i="30" a="1"/>
  <c r="AG53" i="30" s="1"/>
  <c r="AG52" i="30" a="1"/>
  <c r="AG52" i="30" s="1"/>
  <c r="AG51" i="30" a="1"/>
  <c r="AG51" i="30" s="1"/>
  <c r="AG50" i="30" a="1"/>
  <c r="AG50" i="30" s="1"/>
  <c r="AG49" i="30" a="1"/>
  <c r="AG49" i="30" s="1"/>
  <c r="AG48" i="30" a="1"/>
  <c r="AG48" i="30" s="1"/>
  <c r="AG47" i="30" a="1"/>
  <c r="AG47" i="30" s="1"/>
  <c r="AG46" i="30" a="1"/>
  <c r="AG46" i="30" s="1"/>
  <c r="AG45" i="30" a="1"/>
  <c r="AG45" i="30" s="1"/>
  <c r="AG44" i="30" a="1"/>
  <c r="AG44" i="30" s="1"/>
  <c r="AG41" i="30" a="1"/>
  <c r="AG41" i="30" s="1"/>
  <c r="AG40" i="30" a="1"/>
  <c r="AG40" i="30" s="1"/>
  <c r="AG39" i="30" a="1"/>
  <c r="AG39" i="30" s="1"/>
  <c r="AG38" i="30" a="1"/>
  <c r="AG38" i="30" s="1"/>
  <c r="AG37" i="30" a="1"/>
  <c r="AG37" i="30" s="1"/>
  <c r="AG36" i="30" a="1"/>
  <c r="AG36" i="30" s="1"/>
  <c r="AG35" i="30" a="1"/>
  <c r="AG35" i="30" s="1"/>
  <c r="AG34" i="30" a="1"/>
  <c r="AG34" i="30" s="1"/>
  <c r="AG33" i="30" a="1"/>
  <c r="AG33" i="30" s="1"/>
  <c r="AG32" i="30" a="1"/>
  <c r="AG32" i="30" s="1"/>
  <c r="AE54" i="30" a="1"/>
  <c r="AE54" i="30" s="1"/>
  <c r="AE53" i="30" a="1"/>
  <c r="AE53" i="30" s="1"/>
  <c r="AE52" i="30" a="1"/>
  <c r="AE52" i="30" s="1"/>
  <c r="AE51" i="30" a="1"/>
  <c r="AE51" i="30" s="1"/>
  <c r="AE50" i="30" a="1"/>
  <c r="AE50" i="30" s="1"/>
  <c r="AE49" i="30" a="1"/>
  <c r="AE49" i="30" s="1"/>
  <c r="AE48" i="30" a="1"/>
  <c r="AE48" i="30" s="1"/>
  <c r="AE47" i="30" a="1"/>
  <c r="AE47" i="30" s="1"/>
  <c r="AE46" i="30" a="1"/>
  <c r="AE46" i="30" s="1"/>
  <c r="AE45" i="30" a="1"/>
  <c r="AE45" i="30" s="1"/>
  <c r="AE44" i="30" a="1"/>
  <c r="AE44" i="30" s="1"/>
  <c r="AE41" i="30" a="1"/>
  <c r="AE41" i="30" s="1"/>
  <c r="AE40" i="30" a="1"/>
  <c r="AE40" i="30" s="1"/>
  <c r="AE39" i="30" a="1"/>
  <c r="AE39" i="30" s="1"/>
  <c r="AE38" i="30" a="1"/>
  <c r="AE38" i="30" s="1"/>
  <c r="AE37" i="30" a="1"/>
  <c r="AE37" i="30" s="1"/>
  <c r="AE36" i="30" a="1"/>
  <c r="AE36" i="30" s="1"/>
  <c r="AE35" i="30" a="1"/>
  <c r="AE35" i="30" s="1"/>
  <c r="AE34" i="30" a="1"/>
  <c r="AE34" i="30" s="1"/>
  <c r="AE33" i="30" a="1"/>
  <c r="AE33" i="30" s="1"/>
  <c r="AE32" i="30" a="1"/>
  <c r="AE32" i="30" s="1"/>
  <c r="AC54" i="30" a="1"/>
  <c r="AC54" i="30" s="1"/>
  <c r="AC53" i="30" a="1"/>
  <c r="AC53" i="30" s="1"/>
  <c r="AC52" i="30" a="1"/>
  <c r="AC52" i="30" s="1"/>
  <c r="AC51" i="30" a="1"/>
  <c r="AC51" i="30" s="1"/>
  <c r="AC50" i="30" a="1"/>
  <c r="AC50" i="30" s="1"/>
  <c r="AC49" i="30" a="1"/>
  <c r="AC49" i="30" s="1"/>
  <c r="AC48" i="30" a="1"/>
  <c r="AC48" i="30" s="1"/>
  <c r="AC47" i="30" a="1"/>
  <c r="AC47" i="30" s="1"/>
  <c r="AC46" i="30" a="1"/>
  <c r="AC46" i="30" s="1"/>
  <c r="AC45" i="30" a="1"/>
  <c r="AC45" i="30" s="1"/>
  <c r="AC44" i="30" a="1"/>
  <c r="AC44" i="30" s="1"/>
  <c r="AC41" i="30" a="1"/>
  <c r="AC41" i="30" s="1"/>
  <c r="AC40" i="30" a="1"/>
  <c r="AC40" i="30" s="1"/>
  <c r="AC39" i="30" a="1"/>
  <c r="AC39" i="30" s="1"/>
  <c r="AC38" i="30" a="1"/>
  <c r="AC38" i="30" s="1"/>
  <c r="AC37" i="30" a="1"/>
  <c r="AC37" i="30" s="1"/>
  <c r="AC36" i="30" a="1"/>
  <c r="AC36" i="30" s="1"/>
  <c r="AC35" i="30" a="1"/>
  <c r="AC35" i="30" s="1"/>
  <c r="AC34" i="30" a="1"/>
  <c r="AC34" i="30" s="1"/>
  <c r="AC33" i="30" a="1"/>
  <c r="AC33" i="30" s="1"/>
  <c r="AC32" i="30" a="1"/>
  <c r="AC32" i="30" s="1"/>
  <c r="AA54" i="30" a="1"/>
  <c r="AA54" i="30" s="1"/>
  <c r="AA53" i="30" a="1"/>
  <c r="AA53" i="30" s="1"/>
  <c r="AA52" i="30" a="1"/>
  <c r="AA52" i="30" s="1"/>
  <c r="AA51" i="30" a="1"/>
  <c r="AA51" i="30" s="1"/>
  <c r="AA50" i="30" a="1"/>
  <c r="AA50" i="30" s="1"/>
  <c r="AA49" i="30" a="1"/>
  <c r="AA49" i="30" s="1"/>
  <c r="AA48" i="30" a="1"/>
  <c r="AA48" i="30" s="1"/>
  <c r="AA47" i="30" a="1"/>
  <c r="AA47" i="30" s="1"/>
  <c r="AA46" i="30" a="1"/>
  <c r="AA46" i="30" s="1"/>
  <c r="AA45" i="30" a="1"/>
  <c r="AA45" i="30" s="1"/>
  <c r="AA44" i="30" a="1"/>
  <c r="AA44" i="30" s="1"/>
  <c r="AA41" i="30" a="1"/>
  <c r="AA41" i="30" s="1"/>
  <c r="AA40" i="30" a="1"/>
  <c r="AA40" i="30" s="1"/>
  <c r="AA39" i="30" a="1"/>
  <c r="AA39" i="30" s="1"/>
  <c r="AA38" i="30" a="1"/>
  <c r="AA38" i="30" s="1"/>
  <c r="AA37" i="30" a="1"/>
  <c r="AA37" i="30" s="1"/>
  <c r="AA36" i="30" a="1"/>
  <c r="AA36" i="30" s="1"/>
  <c r="AA35" i="30" a="1"/>
  <c r="AA35" i="30" s="1"/>
  <c r="AA34" i="30" a="1"/>
  <c r="AA34" i="30" s="1"/>
  <c r="AA33" i="30" a="1"/>
  <c r="AA33" i="30" s="1"/>
  <c r="AA32" i="30" a="1"/>
  <c r="AA32" i="30" s="1"/>
  <c r="Y54" i="30" a="1"/>
  <c r="Y54" i="30" s="1"/>
  <c r="W54" i="30" a="1"/>
  <c r="W54" i="30" s="1"/>
  <c r="U54" i="30" a="1"/>
  <c r="U54" i="30" s="1"/>
  <c r="S54" i="30" a="1"/>
  <c r="S54" i="30" s="1"/>
  <c r="Q54" i="30" a="1"/>
  <c r="Q54" i="30" s="1"/>
  <c r="O54" i="30" a="1"/>
  <c r="O54" i="30" s="1"/>
  <c r="M54" i="30" a="1"/>
  <c r="M54" i="30" s="1"/>
  <c r="K54" i="30" a="1"/>
  <c r="K54" i="30" s="1"/>
  <c r="I54" i="30" a="1"/>
  <c r="I54" i="30" s="1"/>
  <c r="G54" i="30" a="1"/>
  <c r="G54" i="30" s="1"/>
  <c r="E54" i="30" a="1"/>
  <c r="E54" i="30" s="1"/>
  <c r="Y53" i="30" a="1"/>
  <c r="Y53" i="30" s="1"/>
  <c r="W53" i="30" a="1"/>
  <c r="W53" i="30" s="1"/>
  <c r="U53" i="30" a="1"/>
  <c r="U53" i="30" s="1"/>
  <c r="S53" i="30" a="1"/>
  <c r="S53" i="30" s="1"/>
  <c r="Q53" i="30" a="1"/>
  <c r="Q53" i="30" s="1"/>
  <c r="O53" i="30" a="1"/>
  <c r="O53" i="30" s="1"/>
  <c r="M53" i="30" a="1"/>
  <c r="M53" i="30" s="1"/>
  <c r="K53" i="30" a="1"/>
  <c r="K53" i="30" s="1"/>
  <c r="I53" i="30" a="1"/>
  <c r="I53" i="30" s="1"/>
  <c r="G53" i="30" a="1"/>
  <c r="G53" i="30" s="1"/>
  <c r="Y52" i="30" a="1"/>
  <c r="Y52" i="30" s="1"/>
  <c r="W52" i="30" a="1"/>
  <c r="W52" i="30" s="1"/>
  <c r="U52" i="30" a="1"/>
  <c r="U52" i="30" s="1"/>
  <c r="S52" i="30" a="1"/>
  <c r="S52" i="30" s="1"/>
  <c r="Q52" i="30" a="1"/>
  <c r="Q52" i="30" s="1"/>
  <c r="O52" i="30" a="1"/>
  <c r="O52" i="30" s="1"/>
  <c r="M52" i="30" a="1"/>
  <c r="M52" i="30" s="1"/>
  <c r="K52" i="30" a="1"/>
  <c r="K52" i="30" s="1"/>
  <c r="I52" i="30" a="1"/>
  <c r="I52" i="30" s="1"/>
  <c r="G52" i="30" a="1"/>
  <c r="G52" i="30" s="1"/>
  <c r="Y51" i="30" a="1"/>
  <c r="Y51" i="30" s="1"/>
  <c r="W51" i="30" a="1"/>
  <c r="W51" i="30" s="1"/>
  <c r="U51" i="30" a="1"/>
  <c r="U51" i="30" s="1"/>
  <c r="S51" i="30" a="1"/>
  <c r="S51" i="30" s="1"/>
  <c r="Q51" i="30" a="1"/>
  <c r="Q51" i="30" s="1"/>
  <c r="O51" i="30" a="1"/>
  <c r="O51" i="30" s="1"/>
  <c r="M51" i="30" a="1"/>
  <c r="M51" i="30" s="1"/>
  <c r="K51" i="30" a="1"/>
  <c r="K51" i="30" s="1"/>
  <c r="I51" i="30" a="1"/>
  <c r="I51" i="30" s="1"/>
  <c r="E51" i="30" a="1"/>
  <c r="E51" i="30" s="1"/>
  <c r="Y50" i="30" a="1"/>
  <c r="Y50" i="30" s="1"/>
  <c r="W50" i="30" a="1"/>
  <c r="W50" i="30" s="1"/>
  <c r="U50" i="30" a="1"/>
  <c r="U50" i="30" s="1"/>
  <c r="S50" i="30" a="1"/>
  <c r="S50" i="30" s="1"/>
  <c r="Q50" i="30" a="1"/>
  <c r="Q50" i="30" s="1"/>
  <c r="O50" i="30" a="1"/>
  <c r="O50" i="30" s="1"/>
  <c r="M50" i="30" a="1"/>
  <c r="M50" i="30" s="1"/>
  <c r="K50" i="30" a="1"/>
  <c r="K50" i="30" s="1"/>
  <c r="I50" i="30" a="1"/>
  <c r="I50" i="30" s="1"/>
  <c r="G50" i="30" a="1"/>
  <c r="G50" i="30" s="1"/>
  <c r="Y49" i="30" a="1"/>
  <c r="Y49" i="30" s="1"/>
  <c r="W49" i="30" a="1"/>
  <c r="W49" i="30" s="1"/>
  <c r="U49" i="30" a="1"/>
  <c r="U49" i="30" s="1"/>
  <c r="S49" i="30" a="1"/>
  <c r="S49" i="30" s="1"/>
  <c r="Q49" i="30" a="1"/>
  <c r="Q49" i="30" s="1"/>
  <c r="O49" i="30" a="1"/>
  <c r="O49" i="30" s="1"/>
  <c r="M49" i="30" a="1"/>
  <c r="M49" i="30" s="1"/>
  <c r="K49" i="30" a="1"/>
  <c r="K49" i="30" s="1"/>
  <c r="I49" i="30" a="1"/>
  <c r="I49" i="30" s="1"/>
  <c r="G49" i="30" a="1"/>
  <c r="G49" i="30" s="1"/>
  <c r="Y48" i="30" a="1"/>
  <c r="Y48" i="30" s="1"/>
  <c r="W48" i="30" a="1"/>
  <c r="W48" i="30" s="1"/>
  <c r="U48" i="30" a="1"/>
  <c r="U48" i="30" s="1"/>
  <c r="S48" i="30" a="1"/>
  <c r="S48" i="30" s="1"/>
  <c r="Q48" i="30" a="1"/>
  <c r="Q48" i="30" s="1"/>
  <c r="O48" i="30" a="1"/>
  <c r="O48" i="30" s="1"/>
  <c r="M48" i="30" a="1"/>
  <c r="M48" i="30" s="1"/>
  <c r="K48" i="30" a="1"/>
  <c r="K48" i="30" s="1"/>
  <c r="I48" i="30" a="1"/>
  <c r="I48" i="30" s="1"/>
  <c r="G48" i="30" a="1"/>
  <c r="G48" i="30" s="1"/>
  <c r="Y47" i="30" a="1"/>
  <c r="Y47" i="30" s="1"/>
  <c r="W47" i="30" a="1"/>
  <c r="W47" i="30" s="1"/>
  <c r="U47" i="30" a="1"/>
  <c r="U47" i="30" s="1"/>
  <c r="S47" i="30" a="1"/>
  <c r="S47" i="30" s="1"/>
  <c r="Q47" i="30" a="1"/>
  <c r="Q47" i="30" s="1"/>
  <c r="O47" i="30" a="1"/>
  <c r="O47" i="30" s="1"/>
  <c r="M47" i="30" a="1"/>
  <c r="M47" i="30" s="1"/>
  <c r="K47" i="30" a="1"/>
  <c r="K47" i="30" s="1"/>
  <c r="I47" i="30" a="1"/>
  <c r="I47" i="30" s="1"/>
  <c r="G47" i="30" a="1"/>
  <c r="G47" i="30" s="1"/>
  <c r="Y46" i="30" a="1"/>
  <c r="Y46" i="30" s="1"/>
  <c r="W46" i="30" a="1"/>
  <c r="W46" i="30" s="1"/>
  <c r="U46" i="30" a="1"/>
  <c r="U46" i="30" s="1"/>
  <c r="S46" i="30" a="1"/>
  <c r="S46" i="30" s="1"/>
  <c r="Q46" i="30" a="1"/>
  <c r="Q46" i="30" s="1"/>
  <c r="O46" i="30" a="1"/>
  <c r="O46" i="30" s="1"/>
  <c r="M46" i="30" a="1"/>
  <c r="M46" i="30" s="1"/>
  <c r="K46" i="30" a="1"/>
  <c r="K46" i="30" s="1"/>
  <c r="I46" i="30" a="1"/>
  <c r="I46" i="30" s="1"/>
  <c r="G46" i="30" a="1"/>
  <c r="G46" i="30" s="1"/>
  <c r="Y45" i="30" a="1"/>
  <c r="Y45" i="30" s="1"/>
  <c r="W45" i="30" a="1"/>
  <c r="W45" i="30" s="1"/>
  <c r="U45" i="30" a="1"/>
  <c r="U45" i="30" s="1"/>
  <c r="S45" i="30" a="1"/>
  <c r="S45" i="30" s="1"/>
  <c r="Q45" i="30" a="1"/>
  <c r="Q45" i="30" s="1"/>
  <c r="O45" i="30" a="1"/>
  <c r="O45" i="30" s="1"/>
  <c r="M45" i="30" a="1"/>
  <c r="M45" i="30" s="1"/>
  <c r="K45" i="30" a="1"/>
  <c r="K45" i="30" s="1"/>
  <c r="I45" i="30" a="1"/>
  <c r="I45" i="30" s="1"/>
  <c r="G45" i="30" a="1"/>
  <c r="G45" i="30" s="1"/>
  <c r="Y44" i="30" a="1"/>
  <c r="Y44" i="30" s="1"/>
  <c r="W44" i="30" a="1"/>
  <c r="W44" i="30" s="1"/>
  <c r="U44" i="30" a="1"/>
  <c r="U44" i="30" s="1"/>
  <c r="S44" i="30" a="1"/>
  <c r="S44" i="30" s="1"/>
  <c r="Q44" i="30" a="1"/>
  <c r="Q44" i="30" s="1"/>
  <c r="O44" i="30" a="1"/>
  <c r="O44" i="30" s="1"/>
  <c r="M44" i="30" a="1"/>
  <c r="M44" i="30" s="1"/>
  <c r="K44" i="30" a="1"/>
  <c r="K44" i="30" s="1"/>
  <c r="I44" i="30" a="1"/>
  <c r="I44" i="30" s="1"/>
  <c r="G44" i="30" a="1"/>
  <c r="G44" i="30" s="1"/>
  <c r="Y41" i="30" a="1"/>
  <c r="Y41" i="30" s="1"/>
  <c r="W41" i="30" a="1"/>
  <c r="W41" i="30" s="1"/>
  <c r="U41" i="30" a="1"/>
  <c r="U41" i="30" s="1"/>
  <c r="S41" i="30" a="1"/>
  <c r="S41" i="30" s="1"/>
  <c r="Q41" i="30" a="1"/>
  <c r="Q41" i="30" s="1"/>
  <c r="O41" i="30" a="1"/>
  <c r="O41" i="30" s="1"/>
  <c r="M41" i="30" a="1"/>
  <c r="M41" i="30" s="1"/>
  <c r="K41" i="30" a="1"/>
  <c r="K41" i="30" s="1"/>
  <c r="I41" i="30" a="1"/>
  <c r="I41" i="30" s="1"/>
  <c r="G41" i="30" a="1"/>
  <c r="G41" i="30" s="1"/>
  <c r="E41" i="30" a="1"/>
  <c r="E41" i="30" s="1"/>
  <c r="Y40" i="30" a="1"/>
  <c r="Y40" i="30" s="1"/>
  <c r="W40" i="30" a="1"/>
  <c r="W40" i="30" s="1"/>
  <c r="U40" i="30" a="1"/>
  <c r="U40" i="30" s="1"/>
  <c r="S40" i="30" a="1"/>
  <c r="S40" i="30" s="1"/>
  <c r="Q40" i="30" a="1"/>
  <c r="Q40" i="30" s="1"/>
  <c r="O40" i="30" a="1"/>
  <c r="O40" i="30" s="1"/>
  <c r="M40" i="30" a="1"/>
  <c r="M40" i="30" s="1"/>
  <c r="K40" i="30" a="1"/>
  <c r="K40" i="30" s="1"/>
  <c r="I40" i="30" a="1"/>
  <c r="I40" i="30" s="1"/>
  <c r="G40" i="30" a="1"/>
  <c r="G40" i="30" s="1"/>
  <c r="Y39" i="30" a="1"/>
  <c r="Y39" i="30" s="1"/>
  <c r="W39" i="30" a="1"/>
  <c r="W39" i="30" s="1"/>
  <c r="U39" i="30" a="1"/>
  <c r="U39" i="30" s="1"/>
  <c r="S39" i="30" a="1"/>
  <c r="S39" i="30" s="1"/>
  <c r="Q39" i="30" a="1"/>
  <c r="Q39" i="30" s="1"/>
  <c r="M39" i="30" a="1"/>
  <c r="M39" i="30" s="1"/>
  <c r="K39" i="30" a="1"/>
  <c r="K39" i="30" s="1"/>
  <c r="I39" i="30" a="1"/>
  <c r="I39" i="30" s="1"/>
  <c r="G39" i="30" a="1"/>
  <c r="G39" i="30" s="1"/>
  <c r="E39" i="30" a="1"/>
  <c r="E39" i="30" s="1"/>
  <c r="Y38" i="30" a="1"/>
  <c r="Y38" i="30" s="1"/>
  <c r="W38" i="30" a="1"/>
  <c r="W38" i="30" s="1"/>
  <c r="U38" i="30" a="1"/>
  <c r="U38" i="30" s="1"/>
  <c r="S38" i="30" a="1"/>
  <c r="S38" i="30" s="1"/>
  <c r="Q38" i="30" a="1"/>
  <c r="Q38" i="30" s="1"/>
  <c r="O38" i="30" a="1"/>
  <c r="O38" i="30" s="1"/>
  <c r="M38" i="30" a="1"/>
  <c r="M38" i="30" s="1"/>
  <c r="K38" i="30" a="1"/>
  <c r="K38" i="30" s="1"/>
  <c r="I38" i="30" a="1"/>
  <c r="I38" i="30" s="1"/>
  <c r="G38" i="30" a="1"/>
  <c r="G38" i="30" s="1"/>
  <c r="Y37" i="30" a="1"/>
  <c r="Y37" i="30" s="1"/>
  <c r="W37" i="30" a="1"/>
  <c r="W37" i="30" s="1"/>
  <c r="U37" i="30" a="1"/>
  <c r="U37" i="30" s="1"/>
  <c r="S37" i="30" a="1"/>
  <c r="S37" i="30" s="1"/>
  <c r="Q37" i="30" a="1"/>
  <c r="Q37" i="30" s="1"/>
  <c r="M37" i="30" a="1"/>
  <c r="M37" i="30" s="1"/>
  <c r="K37" i="30" a="1"/>
  <c r="K37" i="30" s="1"/>
  <c r="I37" i="30" a="1"/>
  <c r="I37" i="30" s="1"/>
  <c r="G37" i="30" a="1"/>
  <c r="G37" i="30" s="1"/>
  <c r="E37" i="30" a="1"/>
  <c r="E37" i="30" s="1"/>
  <c r="Y36" i="30" a="1"/>
  <c r="Y36" i="30" s="1"/>
  <c r="W36" i="30" a="1"/>
  <c r="W36" i="30" s="1"/>
  <c r="U36" i="30" a="1"/>
  <c r="U36" i="30" s="1"/>
  <c r="S36" i="30" a="1"/>
  <c r="S36" i="30" s="1"/>
  <c r="Q36" i="30" a="1"/>
  <c r="Q36" i="30" s="1"/>
  <c r="O36" i="30" a="1"/>
  <c r="O36" i="30" s="1"/>
  <c r="M36" i="30" a="1"/>
  <c r="M36" i="30" s="1"/>
  <c r="K36" i="30" a="1"/>
  <c r="K36" i="30" s="1"/>
  <c r="I36" i="30" a="1"/>
  <c r="I36" i="30" s="1"/>
  <c r="G36" i="30" a="1"/>
  <c r="G36" i="30" s="1"/>
  <c r="Y35" i="30" a="1"/>
  <c r="Y35" i="30" s="1"/>
  <c r="W35" i="30" a="1"/>
  <c r="W35" i="30" s="1"/>
  <c r="U35" i="30" a="1"/>
  <c r="U35" i="30" s="1"/>
  <c r="S35" i="30" a="1"/>
  <c r="S35" i="30" s="1"/>
  <c r="Q35" i="30" a="1"/>
  <c r="Q35" i="30" s="1"/>
  <c r="O35" i="30" a="1"/>
  <c r="O35" i="30" s="1"/>
  <c r="M35" i="30" a="1"/>
  <c r="M35" i="30" s="1"/>
  <c r="K35" i="30" a="1"/>
  <c r="K35" i="30" s="1"/>
  <c r="I35" i="30" a="1"/>
  <c r="I35" i="30" s="1"/>
  <c r="G35" i="30" a="1"/>
  <c r="G35" i="30" s="1"/>
  <c r="E35" i="30" a="1"/>
  <c r="E35" i="30" s="1"/>
  <c r="Y34" i="30" a="1"/>
  <c r="Y34" i="30" s="1"/>
  <c r="W34" i="30" a="1"/>
  <c r="W34" i="30" s="1"/>
  <c r="U34" i="30" a="1"/>
  <c r="U34" i="30" s="1"/>
  <c r="S34" i="30" a="1"/>
  <c r="S34" i="30" s="1"/>
  <c r="Q34" i="30" a="1"/>
  <c r="Q34" i="30" s="1"/>
  <c r="O34" i="30" a="1"/>
  <c r="O34" i="30" s="1"/>
  <c r="M34" i="30" a="1"/>
  <c r="M34" i="30" s="1"/>
  <c r="K34" i="30" a="1"/>
  <c r="K34" i="30" s="1"/>
  <c r="I34" i="30" a="1"/>
  <c r="I34" i="30" s="1"/>
  <c r="G34" i="30" a="1"/>
  <c r="G34" i="30" s="1"/>
  <c r="Y33" i="30" a="1"/>
  <c r="Y33" i="30" s="1"/>
  <c r="W33" i="30" a="1"/>
  <c r="W33" i="30" s="1"/>
  <c r="U33" i="30" a="1"/>
  <c r="U33" i="30" s="1"/>
  <c r="S33" i="30" a="1"/>
  <c r="S33" i="30" s="1"/>
  <c r="Q33" i="30" a="1"/>
  <c r="Q33" i="30" s="1"/>
  <c r="O33" i="30" a="1"/>
  <c r="O33" i="30" s="1"/>
  <c r="M33" i="30" a="1"/>
  <c r="M33" i="30" s="1"/>
  <c r="K33" i="30" a="1"/>
  <c r="K33" i="30" s="1"/>
  <c r="I33" i="30" a="1"/>
  <c r="I33" i="30" s="1"/>
  <c r="G33" i="30" a="1"/>
  <c r="G33" i="30" s="1"/>
  <c r="Y32" i="30" a="1"/>
  <c r="Y32" i="30" s="1"/>
  <c r="W32" i="30" a="1"/>
  <c r="W32" i="30" s="1"/>
  <c r="U32" i="30" a="1"/>
  <c r="U32" i="30" s="1"/>
  <c r="S32" i="30" a="1"/>
  <c r="S32" i="30" s="1"/>
  <c r="Q32" i="30" a="1"/>
  <c r="Q32" i="30" s="1"/>
  <c r="O32" i="30" a="1"/>
  <c r="O32" i="30" s="1"/>
  <c r="M32" i="30" a="1"/>
  <c r="M32" i="30" s="1"/>
  <c r="K32" i="30" a="1"/>
  <c r="K32" i="30" s="1"/>
  <c r="I32" i="30" a="1"/>
  <c r="I32" i="30" s="1"/>
  <c r="G32" i="30" a="1"/>
  <c r="G32" i="30" s="1"/>
  <c r="B58" i="30"/>
  <c r="B80" i="30"/>
  <c r="B78" i="30"/>
  <c r="B79" i="30"/>
  <c r="B77" i="30"/>
  <c r="B69" i="30"/>
  <c r="B70" i="30"/>
  <c r="B71" i="30"/>
  <c r="B72" i="30"/>
  <c r="B73" i="30"/>
  <c r="B74" i="30"/>
  <c r="B75" i="30"/>
  <c r="B76" i="30"/>
  <c r="B59" i="30"/>
  <c r="B60" i="30"/>
  <c r="B61" i="30"/>
  <c r="B62" i="30"/>
  <c r="B63" i="30"/>
  <c r="B64" i="30"/>
  <c r="B65" i="30"/>
  <c r="B66" i="30"/>
  <c r="B67" i="30"/>
  <c r="B68" i="30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D26" i="30"/>
  <c r="F26" i="30"/>
  <c r="H26" i="30"/>
  <c r="J26" i="30"/>
  <c r="L26" i="30"/>
  <c r="N26" i="30"/>
  <c r="P26" i="30"/>
  <c r="R26" i="30"/>
  <c r="T26" i="30"/>
  <c r="V26" i="30"/>
  <c r="X26" i="30"/>
  <c r="Z26" i="30"/>
  <c r="AL60" i="29"/>
  <c r="AJ60" i="29"/>
  <c r="AH60" i="29"/>
  <c r="AF60" i="29"/>
  <c r="AD60" i="29"/>
  <c r="AB60" i="29"/>
  <c r="Z60" i="29"/>
  <c r="X60" i="29"/>
  <c r="V60" i="29"/>
  <c r="T60" i="29"/>
  <c r="R60" i="29"/>
  <c r="P60" i="29"/>
  <c r="N60" i="29"/>
  <c r="L60" i="29"/>
  <c r="J60" i="29"/>
  <c r="H60" i="29"/>
  <c r="F60" i="29"/>
  <c r="D60" i="29"/>
  <c r="Z29" i="29"/>
  <c r="X29" i="29"/>
  <c r="V29" i="29"/>
  <c r="T29" i="29"/>
  <c r="R29" i="29"/>
  <c r="P29" i="29"/>
  <c r="N29" i="29"/>
  <c r="L29" i="29"/>
  <c r="J29" i="29"/>
  <c r="H29" i="29"/>
  <c r="F29" i="29"/>
  <c r="D29" i="29"/>
  <c r="AM58" i="29" a="1"/>
  <c r="AM58" i="29" s="1"/>
  <c r="AM57" i="29" a="1"/>
  <c r="AM57" i="29" s="1"/>
  <c r="AM56" i="29" a="1"/>
  <c r="AM56" i="29" s="1"/>
  <c r="AM55" i="29" a="1"/>
  <c r="AM55" i="29" s="1"/>
  <c r="AM54" i="29" a="1"/>
  <c r="AM54" i="29" s="1"/>
  <c r="AM52" i="29" a="1"/>
  <c r="AM52" i="29" s="1"/>
  <c r="AM51" i="29" a="1"/>
  <c r="AM51" i="29" s="1"/>
  <c r="AM49" i="29" a="1"/>
  <c r="AM49" i="29" s="1"/>
  <c r="AM48" i="29" a="1"/>
  <c r="AM48" i="29" s="1"/>
  <c r="AM47" i="29" a="1"/>
  <c r="AM47" i="29" s="1"/>
  <c r="AM45" i="29" a="1"/>
  <c r="AM45" i="29" s="1"/>
  <c r="AM42" i="29" a="1"/>
  <c r="AM42" i="29" s="1"/>
  <c r="AM40" i="29" a="1"/>
  <c r="AM40" i="29" s="1"/>
  <c r="AM35" i="29" a="1"/>
  <c r="AM35" i="29" s="1"/>
  <c r="AM34" i="29" a="1"/>
  <c r="AM34" i="29" s="1"/>
  <c r="AK59" i="29" a="1"/>
  <c r="AK59" i="29" s="1"/>
  <c r="AK58" i="29" a="1"/>
  <c r="AK58" i="29" s="1"/>
  <c r="AK57" i="29" a="1"/>
  <c r="AK57" i="29" s="1"/>
  <c r="AK56" i="29" a="1"/>
  <c r="AK56" i="29" s="1"/>
  <c r="AK55" i="29" a="1"/>
  <c r="AK55" i="29" s="1"/>
  <c r="AK54" i="29" a="1"/>
  <c r="AK54" i="29" s="1"/>
  <c r="AK53" i="29" a="1"/>
  <c r="AK53" i="29" s="1"/>
  <c r="AK52" i="29" a="1"/>
  <c r="AK52" i="29" s="1"/>
  <c r="AK51" i="29" a="1"/>
  <c r="AK51" i="29" s="1"/>
  <c r="AK50" i="29" a="1"/>
  <c r="AK50" i="29" s="1"/>
  <c r="AK49" i="29" a="1"/>
  <c r="AK49" i="29" s="1"/>
  <c r="AK48" i="29" a="1"/>
  <c r="AK48" i="29" s="1"/>
  <c r="AK47" i="29" a="1"/>
  <c r="AK47" i="29" s="1"/>
  <c r="AK45" i="29" a="1"/>
  <c r="AK45" i="29" s="1"/>
  <c r="AK44" i="29" a="1"/>
  <c r="AK44" i="29" s="1"/>
  <c r="AK43" i="29" a="1"/>
  <c r="AK43" i="29" s="1"/>
  <c r="AK42" i="29" a="1"/>
  <c r="AK42" i="29" s="1"/>
  <c r="AK40" i="29" a="1"/>
  <c r="AK40" i="29" s="1"/>
  <c r="AK39" i="29" a="1"/>
  <c r="AK39" i="29" s="1"/>
  <c r="AK38" i="29" a="1"/>
  <c r="AK38" i="29" s="1"/>
  <c r="AK37" i="29" a="1"/>
  <c r="AK37" i="29" s="1"/>
  <c r="AK36" i="29" a="1"/>
  <c r="AK36" i="29" s="1"/>
  <c r="AK35" i="29" a="1"/>
  <c r="AK35" i="29" s="1"/>
  <c r="AK34" i="29" a="1"/>
  <c r="AK34" i="29" s="1"/>
  <c r="AI59" i="29" a="1"/>
  <c r="AI59" i="29" s="1"/>
  <c r="AI58" i="29" a="1"/>
  <c r="AI58" i="29" s="1"/>
  <c r="AI57" i="29" a="1"/>
  <c r="AI57" i="29" s="1"/>
  <c r="AI56" i="29" a="1"/>
  <c r="AI56" i="29" s="1"/>
  <c r="AI55" i="29" a="1"/>
  <c r="AI55" i="29" s="1"/>
  <c r="AI54" i="29" a="1"/>
  <c r="AI54" i="29" s="1"/>
  <c r="AI53" i="29" a="1"/>
  <c r="AI53" i="29" s="1"/>
  <c r="AI52" i="29" a="1"/>
  <c r="AI52" i="29" s="1"/>
  <c r="AI51" i="29" a="1"/>
  <c r="AI51" i="29" s="1"/>
  <c r="AI50" i="29" a="1"/>
  <c r="AI50" i="29" s="1"/>
  <c r="AI49" i="29" a="1"/>
  <c r="AI49" i="29" s="1"/>
  <c r="AI48" i="29" a="1"/>
  <c r="AI48" i="29" s="1"/>
  <c r="AI47" i="29" a="1"/>
  <c r="AI47" i="29" s="1"/>
  <c r="AI45" i="29" a="1"/>
  <c r="AI45" i="29" s="1"/>
  <c r="AI44" i="29" a="1"/>
  <c r="AI44" i="29" s="1"/>
  <c r="AI43" i="29" a="1"/>
  <c r="AI43" i="29" s="1"/>
  <c r="AI42" i="29" a="1"/>
  <c r="AI42" i="29" s="1"/>
  <c r="AI40" i="29" a="1"/>
  <c r="AI40" i="29" s="1"/>
  <c r="AI39" i="29" a="1"/>
  <c r="AI39" i="29" s="1"/>
  <c r="AI38" i="29" a="1"/>
  <c r="AI38" i="29" s="1"/>
  <c r="AI37" i="29" a="1"/>
  <c r="AI37" i="29" s="1"/>
  <c r="AI36" i="29" a="1"/>
  <c r="AI36" i="29" s="1"/>
  <c r="AI35" i="29" a="1"/>
  <c r="AI35" i="29" s="1"/>
  <c r="AI34" i="29" a="1"/>
  <c r="AI34" i="29" s="1"/>
  <c r="AG59" i="29" a="1"/>
  <c r="AG59" i="29" s="1"/>
  <c r="AG58" i="29" a="1"/>
  <c r="AG58" i="29" s="1"/>
  <c r="AG57" i="29" a="1"/>
  <c r="AG57" i="29" s="1"/>
  <c r="AG56" i="29" a="1"/>
  <c r="AG56" i="29" s="1"/>
  <c r="AG55" i="29" a="1"/>
  <c r="AG55" i="29" s="1"/>
  <c r="AG54" i="29" a="1"/>
  <c r="AG54" i="29" s="1"/>
  <c r="AG53" i="29" a="1"/>
  <c r="AG53" i="29" s="1"/>
  <c r="AG52" i="29" a="1"/>
  <c r="AG52" i="29" s="1"/>
  <c r="AG51" i="29" a="1"/>
  <c r="AG51" i="29" s="1"/>
  <c r="AG50" i="29" a="1"/>
  <c r="AG50" i="29" s="1"/>
  <c r="AG49" i="29" a="1"/>
  <c r="AG49" i="29" s="1"/>
  <c r="AG48" i="29" a="1"/>
  <c r="AG48" i="29" s="1"/>
  <c r="AG47" i="29" a="1"/>
  <c r="AG47" i="29" s="1"/>
  <c r="AG45" i="29" a="1"/>
  <c r="AG45" i="29" s="1"/>
  <c r="AG44" i="29" a="1"/>
  <c r="AG44" i="29" s="1"/>
  <c r="AG43" i="29" a="1"/>
  <c r="AG43" i="29" s="1"/>
  <c r="AG42" i="29" a="1"/>
  <c r="AG42" i="29" s="1"/>
  <c r="AG40" i="29" a="1"/>
  <c r="AG40" i="29" s="1"/>
  <c r="AG39" i="29" a="1"/>
  <c r="AG39" i="29" s="1"/>
  <c r="AG38" i="29" a="1"/>
  <c r="AG38" i="29" s="1"/>
  <c r="AG37" i="29" a="1"/>
  <c r="AG37" i="29" s="1"/>
  <c r="AG36" i="29" a="1"/>
  <c r="AG36" i="29" s="1"/>
  <c r="AG35" i="29" a="1"/>
  <c r="AG35" i="29" s="1"/>
  <c r="AG34" i="29" a="1"/>
  <c r="AG34" i="29" s="1"/>
  <c r="AE59" i="29" a="1"/>
  <c r="AE59" i="29" s="1"/>
  <c r="AE58" i="29" a="1"/>
  <c r="AE58" i="29" s="1"/>
  <c r="AE57" i="29" a="1"/>
  <c r="AE57" i="29" s="1"/>
  <c r="AE56" i="29" a="1"/>
  <c r="AE56" i="29" s="1"/>
  <c r="AE55" i="29" a="1"/>
  <c r="AE55" i="29" s="1"/>
  <c r="AE54" i="29" a="1"/>
  <c r="AE54" i="29" s="1"/>
  <c r="AE53" i="29" a="1"/>
  <c r="AE53" i="29" s="1"/>
  <c r="AE52" i="29" a="1"/>
  <c r="AE52" i="29" s="1"/>
  <c r="AE51" i="29" a="1"/>
  <c r="AE51" i="29" s="1"/>
  <c r="AE50" i="29" a="1"/>
  <c r="AE50" i="29" s="1"/>
  <c r="AE49" i="29" a="1"/>
  <c r="AE49" i="29" s="1"/>
  <c r="AE48" i="29" a="1"/>
  <c r="AE48" i="29" s="1"/>
  <c r="AE47" i="29" a="1"/>
  <c r="AE47" i="29" s="1"/>
  <c r="AE45" i="29" a="1"/>
  <c r="AE45" i="29" s="1"/>
  <c r="AE44" i="29" a="1"/>
  <c r="AE44" i="29" s="1"/>
  <c r="AE43" i="29" a="1"/>
  <c r="AE43" i="29" s="1"/>
  <c r="AE42" i="29" a="1"/>
  <c r="AE42" i="29" s="1"/>
  <c r="AE40" i="29" a="1"/>
  <c r="AE40" i="29" s="1"/>
  <c r="AE39" i="29" a="1"/>
  <c r="AE39" i="29" s="1"/>
  <c r="AE38" i="29" a="1"/>
  <c r="AE38" i="29" s="1"/>
  <c r="AE37" i="29" a="1"/>
  <c r="AE37" i="29" s="1"/>
  <c r="AE36" i="29" a="1"/>
  <c r="AE36" i="29" s="1"/>
  <c r="AE35" i="29" a="1"/>
  <c r="AE35" i="29" s="1"/>
  <c r="AE34" i="29" a="1"/>
  <c r="AE34" i="29" s="1"/>
  <c r="AC59" i="29" a="1"/>
  <c r="AC59" i="29" s="1"/>
  <c r="AC58" i="29" a="1"/>
  <c r="AC58" i="29" s="1"/>
  <c r="AC57" i="29" a="1"/>
  <c r="AC57" i="29" s="1"/>
  <c r="AC56" i="29" a="1"/>
  <c r="AC56" i="29" s="1"/>
  <c r="AC55" i="29" a="1"/>
  <c r="AC55" i="29" s="1"/>
  <c r="AC54" i="29" a="1"/>
  <c r="AC54" i="29" s="1"/>
  <c r="AC53" i="29" a="1"/>
  <c r="AC53" i="29" s="1"/>
  <c r="AC52" i="29" a="1"/>
  <c r="AC52" i="29" s="1"/>
  <c r="AC51" i="29" a="1"/>
  <c r="AC51" i="29" s="1"/>
  <c r="AC50" i="29" a="1"/>
  <c r="AC50" i="29" s="1"/>
  <c r="AC49" i="29" a="1"/>
  <c r="AC49" i="29" s="1"/>
  <c r="AC48" i="29" a="1"/>
  <c r="AC48" i="29" s="1"/>
  <c r="AC47" i="29" a="1"/>
  <c r="AC47" i="29" s="1"/>
  <c r="AC45" i="29" a="1"/>
  <c r="AC45" i="29" s="1"/>
  <c r="AC44" i="29" a="1"/>
  <c r="AC44" i="29" s="1"/>
  <c r="AC43" i="29" a="1"/>
  <c r="AC43" i="29" s="1"/>
  <c r="AC42" i="29" a="1"/>
  <c r="AC42" i="29" s="1"/>
  <c r="AC40" i="29" a="1"/>
  <c r="AC40" i="29" s="1"/>
  <c r="AC39" i="29" a="1"/>
  <c r="AC39" i="29" s="1"/>
  <c r="AC38" i="29" a="1"/>
  <c r="AC38" i="29" s="1"/>
  <c r="AC37" i="29" a="1"/>
  <c r="AC37" i="29" s="1"/>
  <c r="AC36" i="29" a="1"/>
  <c r="AC36" i="29" s="1"/>
  <c r="AC35" i="29" a="1"/>
  <c r="AC35" i="29" s="1"/>
  <c r="AC34" i="29" a="1"/>
  <c r="AC34" i="29" s="1"/>
  <c r="AA59" i="29" a="1"/>
  <c r="AA59" i="29" s="1"/>
  <c r="AA58" i="29" a="1"/>
  <c r="AA58" i="29" s="1"/>
  <c r="AA57" i="29" a="1"/>
  <c r="AA57" i="29" s="1"/>
  <c r="AA56" i="29" a="1"/>
  <c r="AA56" i="29" s="1"/>
  <c r="AA55" i="29" a="1"/>
  <c r="AA55" i="29" s="1"/>
  <c r="AA54" i="29" a="1"/>
  <c r="AA54" i="29" s="1"/>
  <c r="AA53" i="29" a="1"/>
  <c r="AA53" i="29" s="1"/>
  <c r="AA52" i="29" a="1"/>
  <c r="AA52" i="29" s="1"/>
  <c r="AA51" i="29" a="1"/>
  <c r="AA51" i="29" s="1"/>
  <c r="AA50" i="29" a="1"/>
  <c r="AA50" i="29" s="1"/>
  <c r="AA49" i="29" a="1"/>
  <c r="AA49" i="29" s="1"/>
  <c r="AA48" i="29" a="1"/>
  <c r="AA48" i="29" s="1"/>
  <c r="AA47" i="29" a="1"/>
  <c r="AA47" i="29" s="1"/>
  <c r="AA45" i="29" a="1"/>
  <c r="AA45" i="29" s="1"/>
  <c r="AA44" i="29" a="1"/>
  <c r="AA44" i="29" s="1"/>
  <c r="AA43" i="29" a="1"/>
  <c r="AA43" i="29" s="1"/>
  <c r="AA42" i="29" a="1"/>
  <c r="AA42" i="29" s="1"/>
  <c r="AA40" i="29" a="1"/>
  <c r="AA40" i="29" s="1"/>
  <c r="AA39" i="29" a="1"/>
  <c r="AA39" i="29" s="1"/>
  <c r="AA38" i="29" a="1"/>
  <c r="AA38" i="29" s="1"/>
  <c r="AA37" i="29" a="1"/>
  <c r="AA37" i="29" s="1"/>
  <c r="AA36" i="29" a="1"/>
  <c r="AA36" i="29" s="1"/>
  <c r="AA35" i="29" a="1"/>
  <c r="AA35" i="29" s="1"/>
  <c r="AA34" i="29" a="1"/>
  <c r="AA34" i="29" s="1"/>
  <c r="Y59" i="29" a="1"/>
  <c r="Y59" i="29" s="1"/>
  <c r="W59" i="29" a="1"/>
  <c r="W59" i="29" s="1"/>
  <c r="U59" i="29" a="1"/>
  <c r="U59" i="29" s="1"/>
  <c r="S59" i="29" a="1"/>
  <c r="S59" i="29" s="1"/>
  <c r="Q59" i="29" a="1"/>
  <c r="Q59" i="29" s="1"/>
  <c r="O59" i="29" a="1"/>
  <c r="O59" i="29" s="1"/>
  <c r="M59" i="29" a="1"/>
  <c r="M59" i="29" s="1"/>
  <c r="K59" i="29" a="1"/>
  <c r="K59" i="29" s="1"/>
  <c r="I59" i="29" a="1"/>
  <c r="I59" i="29" s="1"/>
  <c r="G59" i="29" a="1"/>
  <c r="G59" i="29" s="1"/>
  <c r="E59" i="29" a="1"/>
  <c r="E59" i="29" s="1"/>
  <c r="Y58" i="29" a="1"/>
  <c r="Y58" i="29" s="1"/>
  <c r="W58" i="29" a="1"/>
  <c r="W58" i="29" s="1"/>
  <c r="U58" i="29" a="1"/>
  <c r="U58" i="29" s="1"/>
  <c r="S58" i="29" a="1"/>
  <c r="S58" i="29" s="1"/>
  <c r="Q58" i="29" a="1"/>
  <c r="Q58" i="29" s="1"/>
  <c r="O58" i="29" a="1"/>
  <c r="O58" i="29" s="1"/>
  <c r="M58" i="29" a="1"/>
  <c r="M58" i="29" s="1"/>
  <c r="K58" i="29" a="1"/>
  <c r="K58" i="29" s="1"/>
  <c r="I58" i="29" a="1"/>
  <c r="I58" i="29" s="1"/>
  <c r="G58" i="29" a="1"/>
  <c r="G58" i="29" s="1"/>
  <c r="Y57" i="29" a="1"/>
  <c r="Y57" i="29" s="1"/>
  <c r="W57" i="29" a="1"/>
  <c r="W57" i="29" s="1"/>
  <c r="U57" i="29" a="1"/>
  <c r="U57" i="29" s="1"/>
  <c r="S57" i="29" a="1"/>
  <c r="S57" i="29" s="1"/>
  <c r="Q57" i="29" a="1"/>
  <c r="Q57" i="29" s="1"/>
  <c r="O57" i="29" a="1"/>
  <c r="O57" i="29" s="1"/>
  <c r="M57" i="29" a="1"/>
  <c r="M57" i="29" s="1"/>
  <c r="K57" i="29" a="1"/>
  <c r="K57" i="29" s="1"/>
  <c r="I57" i="29" a="1"/>
  <c r="I57" i="29" s="1"/>
  <c r="G57" i="29" a="1"/>
  <c r="G57" i="29" s="1"/>
  <c r="Y56" i="29" a="1"/>
  <c r="Y56" i="29" s="1"/>
  <c r="W56" i="29" a="1"/>
  <c r="W56" i="29" s="1"/>
  <c r="U56" i="29" a="1"/>
  <c r="U56" i="29" s="1"/>
  <c r="S56" i="29" a="1"/>
  <c r="S56" i="29" s="1"/>
  <c r="Q56" i="29" a="1"/>
  <c r="Q56" i="29" s="1"/>
  <c r="O56" i="29" a="1"/>
  <c r="O56" i="29" s="1"/>
  <c r="M56" i="29" a="1"/>
  <c r="M56" i="29" s="1"/>
  <c r="K56" i="29" a="1"/>
  <c r="K56" i="29" s="1"/>
  <c r="I56" i="29" a="1"/>
  <c r="I56" i="29" s="1"/>
  <c r="G56" i="29" a="1"/>
  <c r="G56" i="29" s="1"/>
  <c r="Y55" i="29" a="1"/>
  <c r="Y55" i="29" s="1"/>
  <c r="W55" i="29" a="1"/>
  <c r="W55" i="29" s="1"/>
  <c r="U55" i="29" a="1"/>
  <c r="U55" i="29" s="1"/>
  <c r="S55" i="29" a="1"/>
  <c r="S55" i="29" s="1"/>
  <c r="Q55" i="29" a="1"/>
  <c r="Q55" i="29" s="1"/>
  <c r="O55" i="29" a="1"/>
  <c r="O55" i="29" s="1"/>
  <c r="M55" i="29" a="1"/>
  <c r="M55" i="29" s="1"/>
  <c r="K55" i="29" a="1"/>
  <c r="K55" i="29" s="1"/>
  <c r="I55" i="29" a="1"/>
  <c r="I55" i="29" s="1"/>
  <c r="G55" i="29" a="1"/>
  <c r="G55" i="29" s="1"/>
  <c r="Y54" i="29" a="1"/>
  <c r="Y54" i="29" s="1"/>
  <c r="W54" i="29" a="1"/>
  <c r="W54" i="29" s="1"/>
  <c r="U54" i="29" a="1"/>
  <c r="U54" i="29" s="1"/>
  <c r="S54" i="29" a="1"/>
  <c r="S54" i="29" s="1"/>
  <c r="Q54" i="29" a="1"/>
  <c r="Q54" i="29" s="1"/>
  <c r="O54" i="29" a="1"/>
  <c r="O54" i="29" s="1"/>
  <c r="M54" i="29" a="1"/>
  <c r="M54" i="29" s="1"/>
  <c r="K54" i="29" a="1"/>
  <c r="K54" i="29" s="1"/>
  <c r="I54" i="29" a="1"/>
  <c r="I54" i="29" s="1"/>
  <c r="G54" i="29" a="1"/>
  <c r="G54" i="29" s="1"/>
  <c r="Y53" i="29" a="1"/>
  <c r="Y53" i="29" s="1"/>
  <c r="W53" i="29" a="1"/>
  <c r="W53" i="29" s="1"/>
  <c r="U53" i="29" a="1"/>
  <c r="U53" i="29" s="1"/>
  <c r="S53" i="29" a="1"/>
  <c r="S53" i="29" s="1"/>
  <c r="Q53" i="29" a="1"/>
  <c r="Q53" i="29" s="1"/>
  <c r="O53" i="29" a="1"/>
  <c r="O53" i="29" s="1"/>
  <c r="M53" i="29" a="1"/>
  <c r="M53" i="29" s="1"/>
  <c r="K53" i="29" a="1"/>
  <c r="K53" i="29" s="1"/>
  <c r="I53" i="29" a="1"/>
  <c r="I53" i="29" s="1"/>
  <c r="G53" i="29" a="1"/>
  <c r="G53" i="29" s="1"/>
  <c r="E53" i="29" a="1"/>
  <c r="E53" i="29" s="1"/>
  <c r="Y52" i="29" a="1"/>
  <c r="Y52" i="29" s="1"/>
  <c r="W52" i="29" a="1"/>
  <c r="W52" i="29" s="1"/>
  <c r="U52" i="29" a="1"/>
  <c r="U52" i="29" s="1"/>
  <c r="S52" i="29" a="1"/>
  <c r="S52" i="29" s="1"/>
  <c r="Q52" i="29" a="1"/>
  <c r="Q52" i="29" s="1"/>
  <c r="O52" i="29" a="1"/>
  <c r="O52" i="29" s="1"/>
  <c r="M52" i="29" a="1"/>
  <c r="M52" i="29" s="1"/>
  <c r="K52" i="29" a="1"/>
  <c r="K52" i="29" s="1"/>
  <c r="I52" i="29" a="1"/>
  <c r="I52" i="29" s="1"/>
  <c r="G52" i="29" a="1"/>
  <c r="G52" i="29" s="1"/>
  <c r="Y51" i="29" a="1"/>
  <c r="Y51" i="29" s="1"/>
  <c r="W51" i="29" a="1"/>
  <c r="W51" i="29" s="1"/>
  <c r="U51" i="29" a="1"/>
  <c r="U51" i="29" s="1"/>
  <c r="S51" i="29" a="1"/>
  <c r="S51" i="29" s="1"/>
  <c r="Q51" i="29" a="1"/>
  <c r="Q51" i="29" s="1"/>
  <c r="O51" i="29" a="1"/>
  <c r="O51" i="29" s="1"/>
  <c r="M51" i="29" a="1"/>
  <c r="M51" i="29" s="1"/>
  <c r="K51" i="29" a="1"/>
  <c r="K51" i="29" s="1"/>
  <c r="I51" i="29" a="1"/>
  <c r="I51" i="29" s="1"/>
  <c r="G51" i="29" a="1"/>
  <c r="G51" i="29" s="1"/>
  <c r="Y50" i="29" a="1"/>
  <c r="Y50" i="29" s="1"/>
  <c r="W50" i="29" a="1"/>
  <c r="W50" i="29" s="1"/>
  <c r="U50" i="29" a="1"/>
  <c r="U50" i="29" s="1"/>
  <c r="S50" i="29" a="1"/>
  <c r="S50" i="29" s="1"/>
  <c r="Q50" i="29" a="1"/>
  <c r="Q50" i="29" s="1"/>
  <c r="M50" i="29" a="1"/>
  <c r="M50" i="29" s="1"/>
  <c r="K50" i="29" a="1"/>
  <c r="K50" i="29" s="1"/>
  <c r="I50" i="29" a="1"/>
  <c r="I50" i="29" s="1"/>
  <c r="G50" i="29" a="1"/>
  <c r="G50" i="29" s="1"/>
  <c r="E50" i="29" a="1"/>
  <c r="E50" i="29" s="1"/>
  <c r="Y49" i="29" a="1"/>
  <c r="Y49" i="29" s="1"/>
  <c r="W49" i="29" a="1"/>
  <c r="W49" i="29" s="1"/>
  <c r="U49" i="29" a="1"/>
  <c r="U49" i="29" s="1"/>
  <c r="S49" i="29" a="1"/>
  <c r="S49" i="29" s="1"/>
  <c r="Q49" i="29" a="1"/>
  <c r="Q49" i="29" s="1"/>
  <c r="O49" i="29" a="1"/>
  <c r="O49" i="29" s="1"/>
  <c r="M49" i="29" a="1"/>
  <c r="M49" i="29" s="1"/>
  <c r="K49" i="29" a="1"/>
  <c r="K49" i="29" s="1"/>
  <c r="I49" i="29" a="1"/>
  <c r="I49" i="29" s="1"/>
  <c r="G49" i="29" a="1"/>
  <c r="G49" i="29" s="1"/>
  <c r="Y48" i="29" a="1"/>
  <c r="Y48" i="29" s="1"/>
  <c r="W48" i="29" a="1"/>
  <c r="W48" i="29" s="1"/>
  <c r="U48" i="29" a="1"/>
  <c r="U48" i="29" s="1"/>
  <c r="S48" i="29" a="1"/>
  <c r="S48" i="29" s="1"/>
  <c r="Q48" i="29" a="1"/>
  <c r="Q48" i="29" s="1"/>
  <c r="O48" i="29" a="1"/>
  <c r="O48" i="29" s="1"/>
  <c r="M48" i="29" a="1"/>
  <c r="M48" i="29" s="1"/>
  <c r="K48" i="29" a="1"/>
  <c r="K48" i="29" s="1"/>
  <c r="I48" i="29" a="1"/>
  <c r="I48" i="29" s="1"/>
  <c r="G48" i="29" a="1"/>
  <c r="G48" i="29" s="1"/>
  <c r="Y47" i="29" a="1"/>
  <c r="Y47" i="29" s="1"/>
  <c r="W47" i="29" a="1"/>
  <c r="W47" i="29" s="1"/>
  <c r="U47" i="29" a="1"/>
  <c r="U47" i="29" s="1"/>
  <c r="S47" i="29" a="1"/>
  <c r="S47" i="29" s="1"/>
  <c r="Q47" i="29" a="1"/>
  <c r="Q47" i="29" s="1"/>
  <c r="O47" i="29" a="1"/>
  <c r="O47" i="29" s="1"/>
  <c r="M47" i="29" a="1"/>
  <c r="M47" i="29" s="1"/>
  <c r="K47" i="29" a="1"/>
  <c r="K47" i="29" s="1"/>
  <c r="I47" i="29" a="1"/>
  <c r="I47" i="29" s="1"/>
  <c r="G47" i="29" a="1"/>
  <c r="G47" i="29" s="1"/>
  <c r="Y45" i="29" a="1"/>
  <c r="Y45" i="29" s="1"/>
  <c r="W45" i="29" a="1"/>
  <c r="W45" i="29" s="1"/>
  <c r="U45" i="29" a="1"/>
  <c r="U45" i="29" s="1"/>
  <c r="S45" i="29" a="1"/>
  <c r="S45" i="29" s="1"/>
  <c r="Q45" i="29" a="1"/>
  <c r="Q45" i="29" s="1"/>
  <c r="O45" i="29" a="1"/>
  <c r="O45" i="29" s="1"/>
  <c r="M45" i="29" a="1"/>
  <c r="M45" i="29" s="1"/>
  <c r="K45" i="29" a="1"/>
  <c r="K45" i="29" s="1"/>
  <c r="I45" i="29" a="1"/>
  <c r="I45" i="29" s="1"/>
  <c r="G45" i="29" a="1"/>
  <c r="G45" i="29" s="1"/>
  <c r="Y44" i="29" a="1"/>
  <c r="Y44" i="29" s="1"/>
  <c r="W44" i="29" a="1"/>
  <c r="W44" i="29" s="1"/>
  <c r="U44" i="29" a="1"/>
  <c r="U44" i="29" s="1"/>
  <c r="S44" i="29" a="1"/>
  <c r="S44" i="29" s="1"/>
  <c r="Q44" i="29" a="1"/>
  <c r="Q44" i="29" s="1"/>
  <c r="O44" i="29" a="1"/>
  <c r="O44" i="29" s="1"/>
  <c r="M44" i="29" a="1"/>
  <c r="M44" i="29" s="1"/>
  <c r="K44" i="29" a="1"/>
  <c r="K44" i="29" s="1"/>
  <c r="I44" i="29" a="1"/>
  <c r="I44" i="29" s="1"/>
  <c r="G44" i="29" a="1"/>
  <c r="G44" i="29" s="1"/>
  <c r="E44" i="29" a="1"/>
  <c r="E44" i="29" s="1"/>
  <c r="Y43" i="29" a="1"/>
  <c r="Y43" i="29" s="1"/>
  <c r="W43" i="29" a="1"/>
  <c r="W43" i="29" s="1"/>
  <c r="U43" i="29" a="1"/>
  <c r="U43" i="29" s="1"/>
  <c r="S43" i="29" a="1"/>
  <c r="S43" i="29" s="1"/>
  <c r="Q43" i="29" a="1"/>
  <c r="Q43" i="29" s="1"/>
  <c r="M43" i="29" a="1"/>
  <c r="M43" i="29" s="1"/>
  <c r="K43" i="29" a="1"/>
  <c r="K43" i="29" s="1"/>
  <c r="I43" i="29" a="1"/>
  <c r="I43" i="29" s="1"/>
  <c r="G43" i="29" a="1"/>
  <c r="G43" i="29" s="1"/>
  <c r="E43" i="29" a="1"/>
  <c r="E43" i="29" s="1"/>
  <c r="Y42" i="29" a="1"/>
  <c r="Y42" i="29" s="1"/>
  <c r="W42" i="29" a="1"/>
  <c r="W42" i="29" s="1"/>
  <c r="U42" i="29" a="1"/>
  <c r="U42" i="29" s="1"/>
  <c r="S42" i="29" a="1"/>
  <c r="S42" i="29" s="1"/>
  <c r="Q42" i="29" a="1"/>
  <c r="Q42" i="29" s="1"/>
  <c r="O42" i="29" a="1"/>
  <c r="O42" i="29" s="1"/>
  <c r="M42" i="29" a="1"/>
  <c r="M42" i="29" s="1"/>
  <c r="K42" i="29" a="1"/>
  <c r="K42" i="29" s="1"/>
  <c r="I42" i="29" a="1"/>
  <c r="I42" i="29" s="1"/>
  <c r="G42" i="29" a="1"/>
  <c r="G42" i="29" s="1"/>
  <c r="Y40" i="29" a="1"/>
  <c r="Y40" i="29" s="1"/>
  <c r="W40" i="29" a="1"/>
  <c r="W40" i="29" s="1"/>
  <c r="U40" i="29" a="1"/>
  <c r="U40" i="29" s="1"/>
  <c r="S40" i="29" a="1"/>
  <c r="S40" i="29" s="1"/>
  <c r="Q40" i="29" a="1"/>
  <c r="Q40" i="29" s="1"/>
  <c r="O40" i="29" a="1"/>
  <c r="O40" i="29" s="1"/>
  <c r="M40" i="29" a="1"/>
  <c r="M40" i="29" s="1"/>
  <c r="K40" i="29" a="1"/>
  <c r="K40" i="29" s="1"/>
  <c r="I40" i="29" a="1"/>
  <c r="I40" i="29" s="1"/>
  <c r="G40" i="29" a="1"/>
  <c r="G40" i="29" s="1"/>
  <c r="Y39" i="29" a="1"/>
  <c r="Y39" i="29" s="1"/>
  <c r="W39" i="29" a="1"/>
  <c r="W39" i="29" s="1"/>
  <c r="U39" i="29" a="1"/>
  <c r="U39" i="29" s="1"/>
  <c r="S39" i="29" a="1"/>
  <c r="S39" i="29" s="1"/>
  <c r="Q39" i="29" a="1"/>
  <c r="Q39" i="29" s="1"/>
  <c r="M39" i="29" a="1"/>
  <c r="M39" i="29" s="1"/>
  <c r="K39" i="29" a="1"/>
  <c r="K39" i="29" s="1"/>
  <c r="I39" i="29" a="1"/>
  <c r="I39" i="29" s="1"/>
  <c r="G39" i="29" a="1"/>
  <c r="G39" i="29" s="1"/>
  <c r="Y38" i="29" a="1"/>
  <c r="Y38" i="29" s="1"/>
  <c r="W38" i="29" a="1"/>
  <c r="W38" i="29" s="1"/>
  <c r="U38" i="29" a="1"/>
  <c r="U38" i="29" s="1"/>
  <c r="S38" i="29" a="1"/>
  <c r="S38" i="29" s="1"/>
  <c r="Q38" i="29" a="1"/>
  <c r="Q38" i="29" s="1"/>
  <c r="M38" i="29" a="1"/>
  <c r="M38" i="29" s="1"/>
  <c r="K38" i="29" a="1"/>
  <c r="K38" i="29" s="1"/>
  <c r="I38" i="29" a="1"/>
  <c r="I38" i="29" s="1"/>
  <c r="G38" i="29" a="1"/>
  <c r="G38" i="29" s="1"/>
  <c r="Y37" i="29" a="1"/>
  <c r="Y37" i="29" s="1"/>
  <c r="W37" i="29" a="1"/>
  <c r="W37" i="29" s="1"/>
  <c r="U37" i="29" a="1"/>
  <c r="U37" i="29" s="1"/>
  <c r="S37" i="29" a="1"/>
  <c r="S37" i="29" s="1"/>
  <c r="Q37" i="29" a="1"/>
  <c r="Q37" i="29" s="1"/>
  <c r="M37" i="29" a="1"/>
  <c r="M37" i="29" s="1"/>
  <c r="K37" i="29" a="1"/>
  <c r="K37" i="29" s="1"/>
  <c r="I37" i="29" a="1"/>
  <c r="I37" i="29" s="1"/>
  <c r="G37" i="29" a="1"/>
  <c r="G37" i="29" s="1"/>
  <c r="Y36" i="29" a="1"/>
  <c r="Y36" i="29" s="1"/>
  <c r="W36" i="29" a="1"/>
  <c r="W36" i="29" s="1"/>
  <c r="U36" i="29" a="1"/>
  <c r="U36" i="29" s="1"/>
  <c r="S36" i="29" a="1"/>
  <c r="S36" i="29" s="1"/>
  <c r="Q36" i="29" a="1"/>
  <c r="Q36" i="29" s="1"/>
  <c r="O36" i="29" a="1"/>
  <c r="O36" i="29" s="1"/>
  <c r="M36" i="29" a="1"/>
  <c r="M36" i="29" s="1"/>
  <c r="K36" i="29" a="1"/>
  <c r="K36" i="29" s="1"/>
  <c r="I36" i="29" a="1"/>
  <c r="I36" i="29" s="1"/>
  <c r="G36" i="29" a="1"/>
  <c r="G36" i="29" s="1"/>
  <c r="E36" i="29" a="1"/>
  <c r="E36" i="29" s="1"/>
  <c r="Y35" i="29" a="1"/>
  <c r="Y35" i="29" s="1"/>
  <c r="W35" i="29" a="1"/>
  <c r="W35" i="29" s="1"/>
  <c r="U35" i="29" a="1"/>
  <c r="U35" i="29" s="1"/>
  <c r="S35" i="29" a="1"/>
  <c r="S35" i="29" s="1"/>
  <c r="Q35" i="29" a="1"/>
  <c r="Q35" i="29" s="1"/>
  <c r="O35" i="29" a="1"/>
  <c r="O35" i="29" s="1"/>
  <c r="M35" i="29" a="1"/>
  <c r="M35" i="29" s="1"/>
  <c r="K35" i="29" a="1"/>
  <c r="K35" i="29" s="1"/>
  <c r="I35" i="29" a="1"/>
  <c r="I35" i="29" s="1"/>
  <c r="G35" i="29" a="1"/>
  <c r="G35" i="29" s="1"/>
  <c r="Y34" i="29" a="1"/>
  <c r="Y34" i="29" s="1"/>
  <c r="W34" i="29" a="1"/>
  <c r="W34" i="29" s="1"/>
  <c r="U34" i="29" a="1"/>
  <c r="U34" i="29" s="1"/>
  <c r="S34" i="29" a="1"/>
  <c r="S34" i="29" s="1"/>
  <c r="Q34" i="29" a="1"/>
  <c r="Q34" i="29" s="1"/>
  <c r="O34" i="29" a="1"/>
  <c r="O34" i="29" s="1"/>
  <c r="M34" i="29" a="1"/>
  <c r="M34" i="29" s="1"/>
  <c r="K34" i="29" a="1"/>
  <c r="K34" i="29" s="1"/>
  <c r="I34" i="29" a="1"/>
  <c r="I34" i="29" s="1"/>
  <c r="G34" i="29" a="1"/>
  <c r="G34" i="29" s="1"/>
  <c r="B68" i="29"/>
  <c r="B65" i="29"/>
  <c r="B66" i="29"/>
  <c r="B67" i="29"/>
  <c r="B64" i="29"/>
  <c r="AL63" i="28"/>
  <c r="AJ63" i="28"/>
  <c r="AH63" i="28"/>
  <c r="AF63" i="28"/>
  <c r="AD63" i="28"/>
  <c r="AB63" i="28"/>
  <c r="Z63" i="28"/>
  <c r="X63" i="28"/>
  <c r="V63" i="28"/>
  <c r="T63" i="28"/>
  <c r="R63" i="28"/>
  <c r="P63" i="28"/>
  <c r="N63" i="28"/>
  <c r="L63" i="28"/>
  <c r="J63" i="28"/>
  <c r="H63" i="28"/>
  <c r="F63" i="28"/>
  <c r="D63" i="28"/>
  <c r="Z31" i="28"/>
  <c r="X31" i="28"/>
  <c r="V31" i="28"/>
  <c r="T31" i="28"/>
  <c r="R31" i="28"/>
  <c r="P31" i="28"/>
  <c r="N31" i="28"/>
  <c r="L31" i="28"/>
  <c r="J31" i="28"/>
  <c r="H31" i="28"/>
  <c r="F31" i="28"/>
  <c r="D31" i="28"/>
  <c r="AM61" i="28" a="1"/>
  <c r="AM61" i="28" s="1"/>
  <c r="AM60" i="28" a="1"/>
  <c r="AM60" i="28" s="1"/>
  <c r="AM59" i="28" a="1"/>
  <c r="AM59" i="28" s="1"/>
  <c r="AM58" i="28" a="1"/>
  <c r="AM58" i="28" s="1"/>
  <c r="AM56" i="28" a="1"/>
  <c r="AM56" i="28" s="1"/>
  <c r="AM55" i="28" a="1"/>
  <c r="AM55" i="28" s="1"/>
  <c r="AM53" i="28" a="1"/>
  <c r="AM53" i="28" s="1"/>
  <c r="AM52" i="28" a="1"/>
  <c r="AM52" i="28" s="1"/>
  <c r="AM46" i="28" a="1"/>
  <c r="AM46" i="28" s="1"/>
  <c r="AM45" i="28" a="1"/>
  <c r="AM45" i="28" s="1"/>
  <c r="AM44" i="28" a="1"/>
  <c r="AM44" i="28" s="1"/>
  <c r="AM41" i="28" a="1"/>
  <c r="AM41" i="28" s="1"/>
  <c r="AM40" i="28" a="1"/>
  <c r="AM40" i="28" s="1"/>
  <c r="AM38" i="28" a="1"/>
  <c r="AM38" i="28" s="1"/>
  <c r="AM36" i="28" a="1"/>
  <c r="AM36" i="28" s="1"/>
  <c r="AM35" i="28" a="1"/>
  <c r="AM35" i="28" s="1"/>
  <c r="AK62" i="28" a="1"/>
  <c r="AK62" i="28" s="1"/>
  <c r="AK61" i="28" a="1"/>
  <c r="AK61" i="28" s="1"/>
  <c r="AK60" i="28" a="1"/>
  <c r="AK60" i="28" s="1"/>
  <c r="AK59" i="28" a="1"/>
  <c r="AK59" i="28" s="1"/>
  <c r="AK58" i="28" a="1"/>
  <c r="AK58" i="28" s="1"/>
  <c r="AK57" i="28" a="1"/>
  <c r="AK57" i="28" s="1"/>
  <c r="AK56" i="28" a="1"/>
  <c r="AK56" i="28" s="1"/>
  <c r="AK55" i="28" a="1"/>
  <c r="AK55" i="28" s="1"/>
  <c r="AK54" i="28" a="1"/>
  <c r="AK54" i="28" s="1"/>
  <c r="AK53" i="28" a="1"/>
  <c r="AK53" i="28" s="1"/>
  <c r="AK52" i="28" a="1"/>
  <c r="AK52" i="28" s="1"/>
  <c r="AK51" i="28" a="1"/>
  <c r="AK51" i="28" s="1"/>
  <c r="AK50" i="28" a="1"/>
  <c r="AK50" i="28" s="1"/>
  <c r="AK49" i="28" a="1"/>
  <c r="AK49" i="28" s="1"/>
  <c r="AK47" i="28" a="1"/>
  <c r="AK47" i="28" s="1"/>
  <c r="AK46" i="28" a="1"/>
  <c r="AK46" i="28" s="1"/>
  <c r="AK45" i="28" a="1"/>
  <c r="AK45" i="28" s="1"/>
  <c r="AK44" i="28" a="1"/>
  <c r="AK44" i="28" s="1"/>
  <c r="AK41" i="28" a="1"/>
  <c r="AK41" i="28" s="1"/>
  <c r="AK40" i="28" a="1"/>
  <c r="AK40" i="28" s="1"/>
  <c r="AK39" i="28" a="1"/>
  <c r="AK39" i="28" s="1"/>
  <c r="AK38" i="28" a="1"/>
  <c r="AK38" i="28" s="1"/>
  <c r="AK37" i="28" a="1"/>
  <c r="AK37" i="28" s="1"/>
  <c r="AK36" i="28" a="1"/>
  <c r="AK36" i="28" s="1"/>
  <c r="AK35" i="28" a="1"/>
  <c r="AK35" i="28" s="1"/>
  <c r="AI62" i="28" a="1"/>
  <c r="AI62" i="28" s="1"/>
  <c r="AI61" i="28" a="1"/>
  <c r="AI61" i="28" s="1"/>
  <c r="AI60" i="28" a="1"/>
  <c r="AI60" i="28" s="1"/>
  <c r="AI59" i="28" a="1"/>
  <c r="AI59" i="28" s="1"/>
  <c r="AI58" i="28" a="1"/>
  <c r="AI58" i="28" s="1"/>
  <c r="AI57" i="28" a="1"/>
  <c r="AI57" i="28" s="1"/>
  <c r="AI56" i="28" a="1"/>
  <c r="AI56" i="28" s="1"/>
  <c r="AI55" i="28" a="1"/>
  <c r="AI55" i="28" s="1"/>
  <c r="AI54" i="28" a="1"/>
  <c r="AI54" i="28" s="1"/>
  <c r="AI53" i="28" a="1"/>
  <c r="AI53" i="28" s="1"/>
  <c r="AI52" i="28" a="1"/>
  <c r="AI52" i="28" s="1"/>
  <c r="AI51" i="28" a="1"/>
  <c r="AI51" i="28" s="1"/>
  <c r="AI50" i="28" a="1"/>
  <c r="AI50" i="28" s="1"/>
  <c r="AI49" i="28" a="1"/>
  <c r="AI49" i="28" s="1"/>
  <c r="AI47" i="28" a="1"/>
  <c r="AI47" i="28" s="1"/>
  <c r="AI46" i="28" a="1"/>
  <c r="AI46" i="28" s="1"/>
  <c r="AI45" i="28" a="1"/>
  <c r="AI45" i="28" s="1"/>
  <c r="AI44" i="28" a="1"/>
  <c r="AI44" i="28" s="1"/>
  <c r="AI41" i="28" a="1"/>
  <c r="AI41" i="28" s="1"/>
  <c r="AI40" i="28" a="1"/>
  <c r="AI40" i="28" s="1"/>
  <c r="AI39" i="28" a="1"/>
  <c r="AI39" i="28" s="1"/>
  <c r="AI38" i="28" a="1"/>
  <c r="AI38" i="28" s="1"/>
  <c r="AI37" i="28" a="1"/>
  <c r="AI37" i="28" s="1"/>
  <c r="AI36" i="28" a="1"/>
  <c r="AI36" i="28" s="1"/>
  <c r="AI35" i="28" a="1"/>
  <c r="AI35" i="28" s="1"/>
  <c r="AG62" i="28" a="1"/>
  <c r="AG62" i="28" s="1"/>
  <c r="AG61" i="28" a="1"/>
  <c r="AG61" i="28" s="1"/>
  <c r="AG60" i="28" a="1"/>
  <c r="AG60" i="28" s="1"/>
  <c r="AG59" i="28" a="1"/>
  <c r="AG59" i="28" s="1"/>
  <c r="AG58" i="28" a="1"/>
  <c r="AG58" i="28" s="1"/>
  <c r="AG57" i="28" a="1"/>
  <c r="AG57" i="28" s="1"/>
  <c r="AG56" i="28" a="1"/>
  <c r="AG56" i="28" s="1"/>
  <c r="AG55" i="28" a="1"/>
  <c r="AG55" i="28" s="1"/>
  <c r="AG54" i="28" a="1"/>
  <c r="AG54" i="28" s="1"/>
  <c r="AG53" i="28" a="1"/>
  <c r="AG53" i="28" s="1"/>
  <c r="AG52" i="28" a="1"/>
  <c r="AG52" i="28" s="1"/>
  <c r="AG51" i="28" a="1"/>
  <c r="AG51" i="28" s="1"/>
  <c r="AG50" i="28" a="1"/>
  <c r="AG50" i="28" s="1"/>
  <c r="AG49" i="28" a="1"/>
  <c r="AG49" i="28" s="1"/>
  <c r="AG47" i="28" a="1"/>
  <c r="AG47" i="28" s="1"/>
  <c r="AG46" i="28" a="1"/>
  <c r="AG46" i="28" s="1"/>
  <c r="AG45" i="28" a="1"/>
  <c r="AG45" i="28" s="1"/>
  <c r="AG44" i="28" a="1"/>
  <c r="AG44" i="28" s="1"/>
  <c r="AG41" i="28" a="1"/>
  <c r="AG41" i="28" s="1"/>
  <c r="AG40" i="28" a="1"/>
  <c r="AG40" i="28" s="1"/>
  <c r="AG39" i="28" a="1"/>
  <c r="AG39" i="28" s="1"/>
  <c r="AG38" i="28" a="1"/>
  <c r="AG38" i="28" s="1"/>
  <c r="AG37" i="28" a="1"/>
  <c r="AG37" i="28" s="1"/>
  <c r="AG36" i="28" a="1"/>
  <c r="AG36" i="28" s="1"/>
  <c r="AG35" i="28" a="1"/>
  <c r="AG35" i="28" s="1"/>
  <c r="AE62" i="28" a="1"/>
  <c r="AE62" i="28" s="1"/>
  <c r="AE61" i="28" a="1"/>
  <c r="AE61" i="28" s="1"/>
  <c r="AE60" i="28" a="1"/>
  <c r="AE60" i="28" s="1"/>
  <c r="AE59" i="28" a="1"/>
  <c r="AE59" i="28" s="1"/>
  <c r="AE58" i="28" a="1"/>
  <c r="AE58" i="28" s="1"/>
  <c r="AE57" i="28" a="1"/>
  <c r="AE57" i="28" s="1"/>
  <c r="AE56" i="28" a="1"/>
  <c r="AE56" i="28" s="1"/>
  <c r="AE55" i="28" a="1"/>
  <c r="AE55" i="28" s="1"/>
  <c r="AE54" i="28" a="1"/>
  <c r="AE54" i="28" s="1"/>
  <c r="AE53" i="28" a="1"/>
  <c r="AE53" i="28" s="1"/>
  <c r="AE52" i="28" a="1"/>
  <c r="AE52" i="28" s="1"/>
  <c r="AE51" i="28" a="1"/>
  <c r="AE51" i="28" s="1"/>
  <c r="AE50" i="28" a="1"/>
  <c r="AE50" i="28" s="1"/>
  <c r="AE49" i="28" a="1"/>
  <c r="AE49" i="28" s="1"/>
  <c r="AE47" i="28" a="1"/>
  <c r="AE47" i="28" s="1"/>
  <c r="AE46" i="28" a="1"/>
  <c r="AE46" i="28" s="1"/>
  <c r="AE45" i="28" a="1"/>
  <c r="AE45" i="28" s="1"/>
  <c r="AE44" i="28" a="1"/>
  <c r="AE44" i="28" s="1"/>
  <c r="AE41" i="28" a="1"/>
  <c r="AE41" i="28" s="1"/>
  <c r="AE40" i="28" a="1"/>
  <c r="AE40" i="28" s="1"/>
  <c r="AE39" i="28" a="1"/>
  <c r="AE39" i="28" s="1"/>
  <c r="AE38" i="28" a="1"/>
  <c r="AE38" i="28" s="1"/>
  <c r="AE37" i="28" a="1"/>
  <c r="AE37" i="28" s="1"/>
  <c r="AE36" i="28" a="1"/>
  <c r="AE36" i="28" s="1"/>
  <c r="AE35" i="28" a="1"/>
  <c r="AE35" i="28" s="1"/>
  <c r="AC62" i="28" a="1"/>
  <c r="AC62" i="28" s="1"/>
  <c r="AC61" i="28" a="1"/>
  <c r="AC61" i="28" s="1"/>
  <c r="AC60" i="28" a="1"/>
  <c r="AC60" i="28" s="1"/>
  <c r="AC59" i="28" a="1"/>
  <c r="AC59" i="28" s="1"/>
  <c r="AC58" i="28" a="1"/>
  <c r="AC58" i="28" s="1"/>
  <c r="AC57" i="28" a="1"/>
  <c r="AC57" i="28" s="1"/>
  <c r="AC56" i="28" a="1"/>
  <c r="AC56" i="28" s="1"/>
  <c r="AC55" i="28" a="1"/>
  <c r="AC55" i="28" s="1"/>
  <c r="AC54" i="28" a="1"/>
  <c r="AC54" i="28" s="1"/>
  <c r="AC53" i="28" a="1"/>
  <c r="AC53" i="28" s="1"/>
  <c r="AC52" i="28" a="1"/>
  <c r="AC52" i="28" s="1"/>
  <c r="AC51" i="28" a="1"/>
  <c r="AC51" i="28" s="1"/>
  <c r="AC50" i="28" a="1"/>
  <c r="AC50" i="28" s="1"/>
  <c r="AC49" i="28" a="1"/>
  <c r="AC49" i="28" s="1"/>
  <c r="AC47" i="28" a="1"/>
  <c r="AC47" i="28" s="1"/>
  <c r="AC46" i="28" a="1"/>
  <c r="AC46" i="28" s="1"/>
  <c r="AC45" i="28" a="1"/>
  <c r="AC45" i="28" s="1"/>
  <c r="AC44" i="28" a="1"/>
  <c r="AC44" i="28" s="1"/>
  <c r="AC41" i="28" a="1"/>
  <c r="AC41" i="28" s="1"/>
  <c r="AC40" i="28" a="1"/>
  <c r="AC40" i="28" s="1"/>
  <c r="AC39" i="28" a="1"/>
  <c r="AC39" i="28" s="1"/>
  <c r="AC38" i="28" a="1"/>
  <c r="AC38" i="28" s="1"/>
  <c r="AC37" i="28" a="1"/>
  <c r="AC37" i="28" s="1"/>
  <c r="AC36" i="28" a="1"/>
  <c r="AC36" i="28" s="1"/>
  <c r="AC35" i="28" a="1"/>
  <c r="AC35" i="28" s="1"/>
  <c r="AA62" i="28" a="1"/>
  <c r="AA62" i="28" s="1"/>
  <c r="AA61" i="28" a="1"/>
  <c r="AA61" i="28" s="1"/>
  <c r="AA60" i="28" a="1"/>
  <c r="AA60" i="28" s="1"/>
  <c r="AA59" i="28" a="1"/>
  <c r="AA59" i="28" s="1"/>
  <c r="AA58" i="28" a="1"/>
  <c r="AA58" i="28" s="1"/>
  <c r="AA57" i="28" a="1"/>
  <c r="AA57" i="28" s="1"/>
  <c r="AA56" i="28" a="1"/>
  <c r="AA56" i="28" s="1"/>
  <c r="AA55" i="28" a="1"/>
  <c r="AA55" i="28" s="1"/>
  <c r="AA54" i="28" a="1"/>
  <c r="AA54" i="28" s="1"/>
  <c r="AA53" i="28" a="1"/>
  <c r="AA53" i="28" s="1"/>
  <c r="AA52" i="28" a="1"/>
  <c r="AA52" i="28" s="1"/>
  <c r="AA51" i="28" a="1"/>
  <c r="AA51" i="28" s="1"/>
  <c r="AA50" i="28" a="1"/>
  <c r="AA50" i="28" s="1"/>
  <c r="AA49" i="28" a="1"/>
  <c r="AA49" i="28" s="1"/>
  <c r="AA47" i="28" a="1"/>
  <c r="AA47" i="28" s="1"/>
  <c r="AA46" i="28" a="1"/>
  <c r="AA46" i="28" s="1"/>
  <c r="AA45" i="28" a="1"/>
  <c r="AA45" i="28" s="1"/>
  <c r="AA44" i="28" a="1"/>
  <c r="AA44" i="28" s="1"/>
  <c r="AA41" i="28" a="1"/>
  <c r="AA41" i="28" s="1"/>
  <c r="AA40" i="28" a="1"/>
  <c r="AA40" i="28" s="1"/>
  <c r="AA39" i="28" a="1"/>
  <c r="AA39" i="28" s="1"/>
  <c r="AA38" i="28" a="1"/>
  <c r="AA38" i="28" s="1"/>
  <c r="AA37" i="28" a="1"/>
  <c r="AA37" i="28" s="1"/>
  <c r="AA36" i="28" a="1"/>
  <c r="AA36" i="28" s="1"/>
  <c r="AA35" i="28" a="1"/>
  <c r="AA35" i="28" s="1"/>
  <c r="Y62" i="28" a="1"/>
  <c r="Y62" i="28" s="1"/>
  <c r="W62" i="28" a="1"/>
  <c r="W62" i="28" s="1"/>
  <c r="U62" i="28" a="1"/>
  <c r="U62" i="28" s="1"/>
  <c r="S62" i="28" a="1"/>
  <c r="S62" i="28" s="1"/>
  <c r="Q62" i="28" a="1"/>
  <c r="Q62" i="28" s="1"/>
  <c r="O62" i="28" a="1"/>
  <c r="O62" i="28" s="1"/>
  <c r="M62" i="28" a="1"/>
  <c r="M62" i="28" s="1"/>
  <c r="K62" i="28" a="1"/>
  <c r="K62" i="28" s="1"/>
  <c r="I62" i="28" a="1"/>
  <c r="I62" i="28" s="1"/>
  <c r="G62" i="28" a="1"/>
  <c r="G62" i="28" s="1"/>
  <c r="E62" i="28" a="1"/>
  <c r="E62" i="28" s="1"/>
  <c r="Y61" i="28" a="1"/>
  <c r="Y61" i="28" s="1"/>
  <c r="W61" i="28" a="1"/>
  <c r="W61" i="28" s="1"/>
  <c r="U61" i="28" a="1"/>
  <c r="U61" i="28" s="1"/>
  <c r="S61" i="28" a="1"/>
  <c r="S61" i="28" s="1"/>
  <c r="Q61" i="28" a="1"/>
  <c r="Q61" i="28" s="1"/>
  <c r="O61" i="28" a="1"/>
  <c r="O61" i="28" s="1"/>
  <c r="M61" i="28" a="1"/>
  <c r="M61" i="28" s="1"/>
  <c r="K61" i="28" a="1"/>
  <c r="K61" i="28" s="1"/>
  <c r="I61" i="28" a="1"/>
  <c r="I61" i="28" s="1"/>
  <c r="G61" i="28" a="1"/>
  <c r="G61" i="28" s="1"/>
  <c r="Y60" i="28" a="1"/>
  <c r="Y60" i="28" s="1"/>
  <c r="W60" i="28" a="1"/>
  <c r="W60" i="28" s="1"/>
  <c r="U60" i="28" a="1"/>
  <c r="U60" i="28" s="1"/>
  <c r="S60" i="28" a="1"/>
  <c r="S60" i="28" s="1"/>
  <c r="Q60" i="28" a="1"/>
  <c r="Q60" i="28" s="1"/>
  <c r="O60" i="28" a="1"/>
  <c r="O60" i="28" s="1"/>
  <c r="M60" i="28" a="1"/>
  <c r="M60" i="28" s="1"/>
  <c r="K60" i="28" a="1"/>
  <c r="K60" i="28" s="1"/>
  <c r="I60" i="28" a="1"/>
  <c r="I60" i="28" s="1"/>
  <c r="G60" i="28" a="1"/>
  <c r="G60" i="28" s="1"/>
  <c r="Y59" i="28" a="1"/>
  <c r="Y59" i="28" s="1"/>
  <c r="W59" i="28" a="1"/>
  <c r="W59" i="28" s="1"/>
  <c r="U59" i="28" a="1"/>
  <c r="U59" i="28" s="1"/>
  <c r="S59" i="28" a="1"/>
  <c r="S59" i="28" s="1"/>
  <c r="Q59" i="28" a="1"/>
  <c r="Q59" i="28" s="1"/>
  <c r="O59" i="28" a="1"/>
  <c r="O59" i="28" s="1"/>
  <c r="M59" i="28" a="1"/>
  <c r="M59" i="28" s="1"/>
  <c r="K59" i="28" a="1"/>
  <c r="K59" i="28" s="1"/>
  <c r="I59" i="28" a="1"/>
  <c r="I59" i="28" s="1"/>
  <c r="G59" i="28" a="1"/>
  <c r="G59" i="28" s="1"/>
  <c r="Y58" i="28" a="1"/>
  <c r="Y58" i="28" s="1"/>
  <c r="W58" i="28" a="1"/>
  <c r="W58" i="28" s="1"/>
  <c r="U58" i="28" a="1"/>
  <c r="U58" i="28" s="1"/>
  <c r="S58" i="28" a="1"/>
  <c r="S58" i="28" s="1"/>
  <c r="Q58" i="28" a="1"/>
  <c r="Q58" i="28" s="1"/>
  <c r="O58" i="28" a="1"/>
  <c r="O58" i="28" s="1"/>
  <c r="M58" i="28" a="1"/>
  <c r="M58" i="28" s="1"/>
  <c r="K58" i="28" a="1"/>
  <c r="K58" i="28" s="1"/>
  <c r="G58" i="28" a="1"/>
  <c r="G58" i="28" s="1"/>
  <c r="Y57" i="28" a="1"/>
  <c r="Y57" i="28" s="1"/>
  <c r="W57" i="28" a="1"/>
  <c r="W57" i="28" s="1"/>
  <c r="U57" i="28" a="1"/>
  <c r="U57" i="28" s="1"/>
  <c r="S57" i="28" a="1"/>
  <c r="S57" i="28" s="1"/>
  <c r="Q57" i="28" a="1"/>
  <c r="Q57" i="28" s="1"/>
  <c r="O57" i="28" a="1"/>
  <c r="O57" i="28" s="1"/>
  <c r="M57" i="28" a="1"/>
  <c r="M57" i="28" s="1"/>
  <c r="K57" i="28" a="1"/>
  <c r="K57" i="28" s="1"/>
  <c r="I57" i="28" a="1"/>
  <c r="I57" i="28" s="1"/>
  <c r="G57" i="28" a="1"/>
  <c r="G57" i="28" s="1"/>
  <c r="E57" i="28" a="1"/>
  <c r="E57" i="28" s="1"/>
  <c r="Y56" i="28" a="1"/>
  <c r="Y56" i="28" s="1"/>
  <c r="W56" i="28" a="1"/>
  <c r="W56" i="28" s="1"/>
  <c r="U56" i="28" a="1"/>
  <c r="U56" i="28" s="1"/>
  <c r="S56" i="28" a="1"/>
  <c r="S56" i="28" s="1"/>
  <c r="Q56" i="28" a="1"/>
  <c r="Q56" i="28" s="1"/>
  <c r="O56" i="28" a="1"/>
  <c r="O56" i="28" s="1"/>
  <c r="M56" i="28" a="1"/>
  <c r="M56" i="28" s="1"/>
  <c r="K56" i="28" a="1"/>
  <c r="K56" i="28" s="1"/>
  <c r="I56" i="28" a="1"/>
  <c r="I56" i="28" s="1"/>
  <c r="G56" i="28" a="1"/>
  <c r="G56" i="28" s="1"/>
  <c r="Y55" i="28" a="1"/>
  <c r="Y55" i="28" s="1"/>
  <c r="W55" i="28" a="1"/>
  <c r="W55" i="28" s="1"/>
  <c r="U55" i="28" a="1"/>
  <c r="U55" i="28" s="1"/>
  <c r="S55" i="28" a="1"/>
  <c r="S55" i="28" s="1"/>
  <c r="Q55" i="28" a="1"/>
  <c r="Q55" i="28" s="1"/>
  <c r="O55" i="28" a="1"/>
  <c r="O55" i="28" s="1"/>
  <c r="M55" i="28" a="1"/>
  <c r="M55" i="28" s="1"/>
  <c r="K55" i="28" a="1"/>
  <c r="K55" i="28" s="1"/>
  <c r="I55" i="28" a="1"/>
  <c r="I55" i="28" s="1"/>
  <c r="G55" i="28" a="1"/>
  <c r="G55" i="28" s="1"/>
  <c r="Y54" i="28" a="1"/>
  <c r="Y54" i="28" s="1"/>
  <c r="W54" i="28" a="1"/>
  <c r="W54" i="28" s="1"/>
  <c r="U54" i="28" a="1"/>
  <c r="U54" i="28" s="1"/>
  <c r="S54" i="28" a="1"/>
  <c r="S54" i="28" s="1"/>
  <c r="Q54" i="28" a="1"/>
  <c r="Q54" i="28" s="1"/>
  <c r="O54" i="28" a="1"/>
  <c r="O54" i="28" s="1"/>
  <c r="M54" i="28" a="1"/>
  <c r="M54" i="28" s="1"/>
  <c r="K54" i="28" a="1"/>
  <c r="K54" i="28" s="1"/>
  <c r="I54" i="28" a="1"/>
  <c r="I54" i="28" s="1"/>
  <c r="G54" i="28" a="1"/>
  <c r="G54" i="28" s="1"/>
  <c r="E54" i="28" a="1"/>
  <c r="E54" i="28" s="1"/>
  <c r="Y53" i="28" a="1"/>
  <c r="Y53" i="28" s="1"/>
  <c r="W53" i="28" a="1"/>
  <c r="W53" i="28" s="1"/>
  <c r="U53" i="28" a="1"/>
  <c r="U53" i="28" s="1"/>
  <c r="S53" i="28" a="1"/>
  <c r="S53" i="28" s="1"/>
  <c r="Q53" i="28" a="1"/>
  <c r="Q53" i="28" s="1"/>
  <c r="O53" i="28" a="1"/>
  <c r="O53" i="28" s="1"/>
  <c r="M53" i="28" a="1"/>
  <c r="M53" i="28" s="1"/>
  <c r="K53" i="28" a="1"/>
  <c r="K53" i="28" s="1"/>
  <c r="I53" i="28" a="1"/>
  <c r="I53" i="28" s="1"/>
  <c r="G53" i="28" a="1"/>
  <c r="G53" i="28" s="1"/>
  <c r="E53" i="28" a="1"/>
  <c r="E53" i="28" s="1"/>
  <c r="Y52" i="28" a="1"/>
  <c r="Y52" i="28" s="1"/>
  <c r="W52" i="28" a="1"/>
  <c r="W52" i="28" s="1"/>
  <c r="U52" i="28" a="1"/>
  <c r="U52" i="28" s="1"/>
  <c r="S52" i="28" a="1"/>
  <c r="S52" i="28" s="1"/>
  <c r="Q52" i="28" a="1"/>
  <c r="Q52" i="28" s="1"/>
  <c r="O52" i="28" a="1"/>
  <c r="O52" i="28" s="1"/>
  <c r="M52" i="28" a="1"/>
  <c r="M52" i="28" s="1"/>
  <c r="K52" i="28" a="1"/>
  <c r="K52" i="28" s="1"/>
  <c r="I52" i="28" a="1"/>
  <c r="I52" i="28" s="1"/>
  <c r="G52" i="28" a="1"/>
  <c r="G52" i="28" s="1"/>
  <c r="Y51" i="28" a="1"/>
  <c r="Y51" i="28" s="1"/>
  <c r="W51" i="28" a="1"/>
  <c r="W51" i="28" s="1"/>
  <c r="U51" i="28" a="1"/>
  <c r="U51" i="28" s="1"/>
  <c r="S51" i="28" a="1"/>
  <c r="S51" i="28" s="1"/>
  <c r="Q51" i="28" a="1"/>
  <c r="Q51" i="28" s="1"/>
  <c r="O51" i="28" a="1"/>
  <c r="O51" i="28" s="1"/>
  <c r="M51" i="28" a="1"/>
  <c r="M51" i="28" s="1"/>
  <c r="K51" i="28" a="1"/>
  <c r="K51" i="28" s="1"/>
  <c r="I51" i="28" a="1"/>
  <c r="I51" i="28" s="1"/>
  <c r="G51" i="28" a="1"/>
  <c r="G51" i="28" s="1"/>
  <c r="E51" i="28" a="1"/>
  <c r="E51" i="28" s="1"/>
  <c r="Y50" i="28" a="1"/>
  <c r="Y50" i="28" s="1"/>
  <c r="W50" i="28" a="1"/>
  <c r="W50" i="28" s="1"/>
  <c r="U50" i="28" a="1"/>
  <c r="U50" i="28" s="1"/>
  <c r="S50" i="28" a="1"/>
  <c r="S50" i="28" s="1"/>
  <c r="Q50" i="28" a="1"/>
  <c r="Q50" i="28" s="1"/>
  <c r="O50" i="28" a="1"/>
  <c r="O50" i="28" s="1"/>
  <c r="M50" i="28" a="1"/>
  <c r="M50" i="28" s="1"/>
  <c r="K50" i="28" a="1"/>
  <c r="K50" i="28" s="1"/>
  <c r="I50" i="28" a="1"/>
  <c r="I50" i="28" s="1"/>
  <c r="G50" i="28" a="1"/>
  <c r="G50" i="28" s="1"/>
  <c r="Y49" i="28" a="1"/>
  <c r="Y49" i="28" s="1"/>
  <c r="W49" i="28" a="1"/>
  <c r="W49" i="28" s="1"/>
  <c r="U49" i="28" a="1"/>
  <c r="U49" i="28" s="1"/>
  <c r="S49" i="28" a="1"/>
  <c r="S49" i="28" s="1"/>
  <c r="Q49" i="28" a="1"/>
  <c r="Q49" i="28" s="1"/>
  <c r="O49" i="28" a="1"/>
  <c r="O49" i="28" s="1"/>
  <c r="M49" i="28" a="1"/>
  <c r="M49" i="28" s="1"/>
  <c r="K49" i="28" a="1"/>
  <c r="K49" i="28" s="1"/>
  <c r="I49" i="28" a="1"/>
  <c r="I49" i="28" s="1"/>
  <c r="G49" i="28" a="1"/>
  <c r="G49" i="28" s="1"/>
  <c r="Y47" i="28" a="1"/>
  <c r="Y47" i="28" s="1"/>
  <c r="W47" i="28" a="1"/>
  <c r="W47" i="28" s="1"/>
  <c r="S47" i="28" a="1"/>
  <c r="S47" i="28" s="1"/>
  <c r="Q47" i="28" a="1"/>
  <c r="Q47" i="28" s="1"/>
  <c r="M47" i="28" a="1"/>
  <c r="M47" i="28" s="1"/>
  <c r="K47" i="28" a="1"/>
  <c r="K47" i="28" s="1"/>
  <c r="G47" i="28" a="1"/>
  <c r="G47" i="28" s="1"/>
  <c r="E47" i="28" a="1"/>
  <c r="E47" i="28" s="1"/>
  <c r="Y46" i="28" a="1"/>
  <c r="Y46" i="28" s="1"/>
  <c r="W46" i="28" a="1"/>
  <c r="W46" i="28" s="1"/>
  <c r="U46" i="28" a="1"/>
  <c r="U46" i="28" s="1"/>
  <c r="S46" i="28" a="1"/>
  <c r="S46" i="28" s="1"/>
  <c r="Q46" i="28" a="1"/>
  <c r="Q46" i="28" s="1"/>
  <c r="O46" i="28" a="1"/>
  <c r="O46" i="28" s="1"/>
  <c r="M46" i="28" a="1"/>
  <c r="M46" i="28" s="1"/>
  <c r="K46" i="28" a="1"/>
  <c r="K46" i="28" s="1"/>
  <c r="I46" i="28" a="1"/>
  <c r="I46" i="28" s="1"/>
  <c r="G46" i="28" a="1"/>
  <c r="G46" i="28" s="1"/>
  <c r="Y45" i="28" a="1"/>
  <c r="Y45" i="28" s="1"/>
  <c r="W45" i="28" a="1"/>
  <c r="W45" i="28" s="1"/>
  <c r="U45" i="28" a="1"/>
  <c r="U45" i="28" s="1"/>
  <c r="S45" i="28" a="1"/>
  <c r="S45" i="28" s="1"/>
  <c r="Q45" i="28" a="1"/>
  <c r="Q45" i="28" s="1"/>
  <c r="O45" i="28" a="1"/>
  <c r="O45" i="28" s="1"/>
  <c r="M45" i="28" a="1"/>
  <c r="M45" i="28" s="1"/>
  <c r="K45" i="28" a="1"/>
  <c r="K45" i="28" s="1"/>
  <c r="I45" i="28" a="1"/>
  <c r="I45" i="28" s="1"/>
  <c r="G45" i="28" a="1"/>
  <c r="G45" i="28" s="1"/>
  <c r="Y44" i="28" a="1"/>
  <c r="Y44" i="28" s="1"/>
  <c r="W44" i="28" a="1"/>
  <c r="W44" i="28" s="1"/>
  <c r="U44" i="28" a="1"/>
  <c r="U44" i="28" s="1"/>
  <c r="S44" i="28" a="1"/>
  <c r="S44" i="28" s="1"/>
  <c r="Q44" i="28" a="1"/>
  <c r="Q44" i="28" s="1"/>
  <c r="O44" i="28" a="1"/>
  <c r="O44" i="28" s="1"/>
  <c r="M44" i="28" a="1"/>
  <c r="M44" i="28" s="1"/>
  <c r="K44" i="28" a="1"/>
  <c r="K44" i="28" s="1"/>
  <c r="I44" i="28" a="1"/>
  <c r="I44" i="28" s="1"/>
  <c r="G44" i="28" a="1"/>
  <c r="G44" i="28" s="1"/>
  <c r="Y41" i="28" a="1"/>
  <c r="Y41" i="28" s="1"/>
  <c r="W41" i="28" a="1"/>
  <c r="W41" i="28" s="1"/>
  <c r="U41" i="28" a="1"/>
  <c r="U41" i="28" s="1"/>
  <c r="S41" i="28" a="1"/>
  <c r="S41" i="28" s="1"/>
  <c r="Q41" i="28" a="1"/>
  <c r="Q41" i="28" s="1"/>
  <c r="O41" i="28" a="1"/>
  <c r="O41" i="28" s="1"/>
  <c r="M41" i="28" a="1"/>
  <c r="M41" i="28" s="1"/>
  <c r="K41" i="28" a="1"/>
  <c r="K41" i="28" s="1"/>
  <c r="I41" i="28" a="1"/>
  <c r="I41" i="28" s="1"/>
  <c r="G41" i="28" a="1"/>
  <c r="G41" i="28" s="1"/>
  <c r="Y40" i="28" a="1"/>
  <c r="Y40" i="28" s="1"/>
  <c r="W40" i="28" a="1"/>
  <c r="W40" i="28" s="1"/>
  <c r="U40" i="28" a="1"/>
  <c r="U40" i="28" s="1"/>
  <c r="S40" i="28" a="1"/>
  <c r="S40" i="28" s="1"/>
  <c r="Q40" i="28" a="1"/>
  <c r="Q40" i="28" s="1"/>
  <c r="O40" i="28" a="1"/>
  <c r="O40" i="28" s="1"/>
  <c r="M40" i="28" a="1"/>
  <c r="M40" i="28" s="1"/>
  <c r="K40" i="28" a="1"/>
  <c r="K40" i="28" s="1"/>
  <c r="I40" i="28" a="1"/>
  <c r="I40" i="28" s="1"/>
  <c r="G40" i="28" a="1"/>
  <c r="G40" i="28" s="1"/>
  <c r="Y39" i="28" a="1"/>
  <c r="Y39" i="28" s="1"/>
  <c r="W39" i="28" a="1"/>
  <c r="W39" i="28" s="1"/>
  <c r="U39" i="28" a="1"/>
  <c r="U39" i="28" s="1"/>
  <c r="S39" i="28" a="1"/>
  <c r="S39" i="28" s="1"/>
  <c r="Q39" i="28" a="1"/>
  <c r="Q39" i="28" s="1"/>
  <c r="M39" i="28" a="1"/>
  <c r="M39" i="28" s="1"/>
  <c r="K39" i="28" a="1"/>
  <c r="K39" i="28" s="1"/>
  <c r="I39" i="28" a="1"/>
  <c r="I39" i="28" s="1"/>
  <c r="G39" i="28" a="1"/>
  <c r="G39" i="28" s="1"/>
  <c r="E39" i="28" a="1"/>
  <c r="E39" i="28" s="1"/>
  <c r="Y38" i="28" a="1"/>
  <c r="Y38" i="28" s="1"/>
  <c r="W38" i="28" a="1"/>
  <c r="W38" i="28" s="1"/>
  <c r="U38" i="28" a="1"/>
  <c r="U38" i="28" s="1"/>
  <c r="S38" i="28" a="1"/>
  <c r="S38" i="28" s="1"/>
  <c r="Q38" i="28" a="1"/>
  <c r="Q38" i="28" s="1"/>
  <c r="O38" i="28" a="1"/>
  <c r="O38" i="28" s="1"/>
  <c r="M38" i="28" a="1"/>
  <c r="M38" i="28" s="1"/>
  <c r="K38" i="28" a="1"/>
  <c r="K38" i="28" s="1"/>
  <c r="I38" i="28" a="1"/>
  <c r="I38" i="28" s="1"/>
  <c r="G38" i="28" a="1"/>
  <c r="G38" i="28" s="1"/>
  <c r="Y37" i="28" a="1"/>
  <c r="Y37" i="28" s="1"/>
  <c r="W37" i="28" a="1"/>
  <c r="W37" i="28" s="1"/>
  <c r="U37" i="28" a="1"/>
  <c r="U37" i="28" s="1"/>
  <c r="S37" i="28" a="1"/>
  <c r="S37" i="28" s="1"/>
  <c r="Q37" i="28" a="1"/>
  <c r="Q37" i="28" s="1"/>
  <c r="O37" i="28" a="1"/>
  <c r="O37" i="28" s="1"/>
  <c r="M37" i="28" a="1"/>
  <c r="M37" i="28" s="1"/>
  <c r="K37" i="28" a="1"/>
  <c r="K37" i="28" s="1"/>
  <c r="I37" i="28" a="1"/>
  <c r="I37" i="28" s="1"/>
  <c r="G37" i="28" a="1"/>
  <c r="G37" i="28" s="1"/>
  <c r="E37" i="28" a="1"/>
  <c r="E37" i="28" s="1"/>
  <c r="Y36" i="28" a="1"/>
  <c r="Y36" i="28" s="1"/>
  <c r="W36" i="28" a="1"/>
  <c r="W36" i="28" s="1"/>
  <c r="U36" i="28" a="1"/>
  <c r="U36" i="28" s="1"/>
  <c r="S36" i="28" a="1"/>
  <c r="S36" i="28" s="1"/>
  <c r="Q36" i="28" a="1"/>
  <c r="Q36" i="28" s="1"/>
  <c r="O36" i="28" a="1"/>
  <c r="O36" i="28" s="1"/>
  <c r="M36" i="28" a="1"/>
  <c r="M36" i="28" s="1"/>
  <c r="K36" i="28" a="1"/>
  <c r="K36" i="28" s="1"/>
  <c r="I36" i="28" a="1"/>
  <c r="I36" i="28" s="1"/>
  <c r="G36" i="28" a="1"/>
  <c r="G36" i="28" s="1"/>
  <c r="Y35" i="28" a="1"/>
  <c r="Y35" i="28" s="1"/>
  <c r="W35" i="28" a="1"/>
  <c r="W35" i="28" s="1"/>
  <c r="U35" i="28" a="1"/>
  <c r="U35" i="28" s="1"/>
  <c r="S35" i="28" a="1"/>
  <c r="S35" i="28" s="1"/>
  <c r="Q35" i="28" a="1"/>
  <c r="Q35" i="28" s="1"/>
  <c r="O35" i="28" a="1"/>
  <c r="O35" i="28" s="1"/>
  <c r="M35" i="28" a="1"/>
  <c r="M35" i="28" s="1"/>
  <c r="K35" i="28" a="1"/>
  <c r="K35" i="28" s="1"/>
  <c r="I35" i="28" a="1"/>
  <c r="I35" i="28" s="1"/>
  <c r="G35" i="28" a="1"/>
  <c r="G35" i="28" s="1"/>
  <c r="AL61" i="27"/>
  <c r="AJ61" i="27"/>
  <c r="AH61" i="27"/>
  <c r="AF61" i="27"/>
  <c r="AD61" i="27"/>
  <c r="AB61" i="27"/>
  <c r="Z61" i="27"/>
  <c r="X61" i="27"/>
  <c r="V61" i="27"/>
  <c r="T61" i="27"/>
  <c r="R61" i="27"/>
  <c r="P61" i="27"/>
  <c r="N61" i="27"/>
  <c r="L61" i="27"/>
  <c r="J61" i="27"/>
  <c r="H61" i="27"/>
  <c r="F61" i="27"/>
  <c r="D61" i="27"/>
  <c r="AM59" i="27" a="1"/>
  <c r="AM59" i="27" s="1"/>
  <c r="AM58" i="27" a="1"/>
  <c r="AM58" i="27" s="1"/>
  <c r="AM57" i="27" a="1"/>
  <c r="AM57" i="27" s="1"/>
  <c r="AM56" i="27" a="1"/>
  <c r="AM56" i="27" s="1"/>
  <c r="AM55" i="27" a="1"/>
  <c r="AM55" i="27" s="1"/>
  <c r="AM53" i="27" a="1"/>
  <c r="AM53" i="27" s="1"/>
  <c r="AM52" i="27" a="1"/>
  <c r="AM52" i="27" s="1"/>
  <c r="AM50" i="27" a="1"/>
  <c r="AM50" i="27" s="1"/>
  <c r="AM49" i="27" a="1"/>
  <c r="AM49" i="27" s="1"/>
  <c r="AM48" i="27" a="1"/>
  <c r="AM48" i="27" s="1"/>
  <c r="AM46" i="27" a="1"/>
  <c r="AM46" i="27" s="1"/>
  <c r="AM45" i="27" a="1"/>
  <c r="AM45" i="27" s="1"/>
  <c r="AM41" i="27" a="1"/>
  <c r="AM41" i="27" s="1"/>
  <c r="AM40" i="27" a="1"/>
  <c r="AM40" i="27" s="1"/>
  <c r="AM39" i="27" a="1"/>
  <c r="AM39" i="27" s="1"/>
  <c r="AM35" i="27" a="1"/>
  <c r="AM35" i="27" s="1"/>
  <c r="AM34" i="27" a="1"/>
  <c r="AM34" i="27" s="1"/>
  <c r="AK60" i="27" a="1"/>
  <c r="AK60" i="27" s="1"/>
  <c r="AK59" i="27" a="1"/>
  <c r="AK59" i="27" s="1"/>
  <c r="AK58" i="27" a="1"/>
  <c r="AK58" i="27" s="1"/>
  <c r="AK57" i="27" a="1"/>
  <c r="AK57" i="27" s="1"/>
  <c r="AK56" i="27" a="1"/>
  <c r="AK56" i="27" s="1"/>
  <c r="AK55" i="27" a="1"/>
  <c r="AK55" i="27" s="1"/>
  <c r="AK54" i="27" a="1"/>
  <c r="AK54" i="27" s="1"/>
  <c r="AK53" i="27" a="1"/>
  <c r="AK53" i="27" s="1"/>
  <c r="AK52" i="27" a="1"/>
  <c r="AK52" i="27" s="1"/>
  <c r="AK51" i="27" a="1"/>
  <c r="AK51" i="27" s="1"/>
  <c r="AK50" i="27" a="1"/>
  <c r="AK50" i="27" s="1"/>
  <c r="AK49" i="27" a="1"/>
  <c r="AK49" i="27" s="1"/>
  <c r="AK48" i="27" a="1"/>
  <c r="AK48" i="27" s="1"/>
  <c r="AK47" i="27" a="1"/>
  <c r="AK47" i="27" s="1"/>
  <c r="AK46" i="27" a="1"/>
  <c r="AK46" i="27" s="1"/>
  <c r="AK45" i="27" a="1"/>
  <c r="AK45" i="27" s="1"/>
  <c r="AK44" i="27" a="1"/>
  <c r="AK44" i="27" s="1"/>
  <c r="AK43" i="27" a="1"/>
  <c r="AK43" i="27" s="1"/>
  <c r="AK41" i="27" a="1"/>
  <c r="AK41" i="27" s="1"/>
  <c r="AK40" i="27" a="1"/>
  <c r="AK40" i="27" s="1"/>
  <c r="AK39" i="27" a="1"/>
  <c r="AK39" i="27" s="1"/>
  <c r="AK38" i="27" a="1"/>
  <c r="AK38" i="27" s="1"/>
  <c r="AK37" i="27" a="1"/>
  <c r="AK37" i="27" s="1"/>
  <c r="AK36" i="27" a="1"/>
  <c r="AK36" i="27" s="1"/>
  <c r="AK35" i="27" a="1"/>
  <c r="AK35" i="27" s="1"/>
  <c r="AK34" i="27" a="1"/>
  <c r="AK34" i="27" s="1"/>
  <c r="AI60" i="27" a="1"/>
  <c r="AI60" i="27" s="1"/>
  <c r="AI59" i="27" a="1"/>
  <c r="AI59" i="27" s="1"/>
  <c r="AI58" i="27" a="1"/>
  <c r="AI58" i="27" s="1"/>
  <c r="AI57" i="27" a="1"/>
  <c r="AI57" i="27" s="1"/>
  <c r="AI56" i="27" a="1"/>
  <c r="AI56" i="27" s="1"/>
  <c r="AI55" i="27" a="1"/>
  <c r="AI55" i="27" s="1"/>
  <c r="AI54" i="27" a="1"/>
  <c r="AI54" i="27" s="1"/>
  <c r="AI53" i="27" a="1"/>
  <c r="AI53" i="27" s="1"/>
  <c r="AI52" i="27" a="1"/>
  <c r="AI52" i="27" s="1"/>
  <c r="AI51" i="27" a="1"/>
  <c r="AI51" i="27" s="1"/>
  <c r="AI50" i="27" a="1"/>
  <c r="AI50" i="27" s="1"/>
  <c r="AI49" i="27" a="1"/>
  <c r="AI49" i="27" s="1"/>
  <c r="AI48" i="27" a="1"/>
  <c r="AI48" i="27" s="1"/>
  <c r="AI47" i="27" a="1"/>
  <c r="AI47" i="27" s="1"/>
  <c r="AI46" i="27" a="1"/>
  <c r="AI46" i="27" s="1"/>
  <c r="AI45" i="27" a="1"/>
  <c r="AI45" i="27" s="1"/>
  <c r="AI44" i="27" a="1"/>
  <c r="AI44" i="27" s="1"/>
  <c r="AI43" i="27" a="1"/>
  <c r="AI43" i="27" s="1"/>
  <c r="AI41" i="27" a="1"/>
  <c r="AI41" i="27" s="1"/>
  <c r="AI40" i="27" a="1"/>
  <c r="AI40" i="27" s="1"/>
  <c r="AI39" i="27" a="1"/>
  <c r="AI39" i="27" s="1"/>
  <c r="AI38" i="27" a="1"/>
  <c r="AI38" i="27" s="1"/>
  <c r="AI37" i="27" a="1"/>
  <c r="AI37" i="27" s="1"/>
  <c r="AI36" i="27" a="1"/>
  <c r="AI36" i="27" s="1"/>
  <c r="AI35" i="27" a="1"/>
  <c r="AI35" i="27" s="1"/>
  <c r="AI34" i="27" a="1"/>
  <c r="AI34" i="27" s="1"/>
  <c r="AG60" i="27" a="1"/>
  <c r="AG60" i="27" s="1"/>
  <c r="AG59" i="27" a="1"/>
  <c r="AG59" i="27" s="1"/>
  <c r="AG58" i="27" a="1"/>
  <c r="AG58" i="27" s="1"/>
  <c r="AG57" i="27" a="1"/>
  <c r="AG57" i="27" s="1"/>
  <c r="AG56" i="27" a="1"/>
  <c r="AG56" i="27" s="1"/>
  <c r="AG55" i="27" a="1"/>
  <c r="AG55" i="27" s="1"/>
  <c r="AG54" i="27" a="1"/>
  <c r="AG54" i="27" s="1"/>
  <c r="AG53" i="27" a="1"/>
  <c r="AG53" i="27" s="1"/>
  <c r="AG52" i="27" a="1"/>
  <c r="AG52" i="27" s="1"/>
  <c r="AG51" i="27" a="1"/>
  <c r="AG51" i="27" s="1"/>
  <c r="AG50" i="27" a="1"/>
  <c r="AG50" i="27" s="1"/>
  <c r="AG49" i="27" a="1"/>
  <c r="AG49" i="27" s="1"/>
  <c r="AG48" i="27" a="1"/>
  <c r="AG48" i="27" s="1"/>
  <c r="AG47" i="27" a="1"/>
  <c r="AG47" i="27" s="1"/>
  <c r="AG46" i="27" a="1"/>
  <c r="AG46" i="27" s="1"/>
  <c r="AG45" i="27" a="1"/>
  <c r="AG45" i="27" s="1"/>
  <c r="AG44" i="27" a="1"/>
  <c r="AG44" i="27" s="1"/>
  <c r="AG43" i="27" a="1"/>
  <c r="AG43" i="27" s="1"/>
  <c r="AG41" i="27" a="1"/>
  <c r="AG41" i="27" s="1"/>
  <c r="AG40" i="27" a="1"/>
  <c r="AG40" i="27" s="1"/>
  <c r="AG39" i="27" a="1"/>
  <c r="AG39" i="27" s="1"/>
  <c r="AG38" i="27" a="1"/>
  <c r="AG38" i="27" s="1"/>
  <c r="AG37" i="27" a="1"/>
  <c r="AG37" i="27" s="1"/>
  <c r="AG36" i="27" a="1"/>
  <c r="AG36" i="27" s="1"/>
  <c r="AG35" i="27" a="1"/>
  <c r="AG35" i="27" s="1"/>
  <c r="AG34" i="27" a="1"/>
  <c r="AG34" i="27" s="1"/>
  <c r="AE60" i="27" a="1"/>
  <c r="AE60" i="27" s="1"/>
  <c r="AE59" i="27" a="1"/>
  <c r="AE59" i="27" s="1"/>
  <c r="AE58" i="27" a="1"/>
  <c r="AE58" i="27" s="1"/>
  <c r="AE57" i="27" a="1"/>
  <c r="AE57" i="27" s="1"/>
  <c r="AE56" i="27" a="1"/>
  <c r="AE56" i="27" s="1"/>
  <c r="AE55" i="27" a="1"/>
  <c r="AE55" i="27" s="1"/>
  <c r="AE54" i="27" a="1"/>
  <c r="AE54" i="27" s="1"/>
  <c r="AE53" i="27" a="1"/>
  <c r="AE53" i="27" s="1"/>
  <c r="AE52" i="27" a="1"/>
  <c r="AE52" i="27" s="1"/>
  <c r="AE51" i="27" a="1"/>
  <c r="AE51" i="27" s="1"/>
  <c r="AE50" i="27" a="1"/>
  <c r="AE50" i="27" s="1"/>
  <c r="AE49" i="27" a="1"/>
  <c r="AE49" i="27" s="1"/>
  <c r="AE48" i="27" a="1"/>
  <c r="AE48" i="27" s="1"/>
  <c r="AE47" i="27" a="1"/>
  <c r="AE47" i="27" s="1"/>
  <c r="AE46" i="27" a="1"/>
  <c r="AE46" i="27" s="1"/>
  <c r="AE45" i="27" a="1"/>
  <c r="AE45" i="27" s="1"/>
  <c r="AE44" i="27" a="1"/>
  <c r="AE44" i="27" s="1"/>
  <c r="AE43" i="27" a="1"/>
  <c r="AE43" i="27" s="1"/>
  <c r="AE41" i="27" a="1"/>
  <c r="AE41" i="27" s="1"/>
  <c r="AE40" i="27" a="1"/>
  <c r="AE40" i="27" s="1"/>
  <c r="AE39" i="27" a="1"/>
  <c r="AE39" i="27" s="1"/>
  <c r="AE38" i="27" a="1"/>
  <c r="AE38" i="27" s="1"/>
  <c r="AE37" i="27" a="1"/>
  <c r="AE37" i="27" s="1"/>
  <c r="AE36" i="27" a="1"/>
  <c r="AE36" i="27" s="1"/>
  <c r="AE35" i="27" a="1"/>
  <c r="AE35" i="27" s="1"/>
  <c r="AE34" i="27" a="1"/>
  <c r="AE34" i="27" s="1"/>
  <c r="AC60" i="27" a="1"/>
  <c r="AC60" i="27" s="1"/>
  <c r="AC59" i="27" a="1"/>
  <c r="AC59" i="27" s="1"/>
  <c r="AC58" i="27" a="1"/>
  <c r="AC58" i="27" s="1"/>
  <c r="AC57" i="27" a="1"/>
  <c r="AC57" i="27" s="1"/>
  <c r="AC56" i="27" a="1"/>
  <c r="AC56" i="27" s="1"/>
  <c r="AC55" i="27" a="1"/>
  <c r="AC55" i="27" s="1"/>
  <c r="AC54" i="27" a="1"/>
  <c r="AC54" i="27" s="1"/>
  <c r="AC53" i="27" a="1"/>
  <c r="AC53" i="27" s="1"/>
  <c r="AC52" i="27" a="1"/>
  <c r="AC52" i="27" s="1"/>
  <c r="AC51" i="27" a="1"/>
  <c r="AC51" i="27" s="1"/>
  <c r="AC50" i="27" a="1"/>
  <c r="AC50" i="27" s="1"/>
  <c r="AC49" i="27" a="1"/>
  <c r="AC49" i="27" s="1"/>
  <c r="AC48" i="27" a="1"/>
  <c r="AC48" i="27" s="1"/>
  <c r="AC47" i="27" a="1"/>
  <c r="AC47" i="27" s="1"/>
  <c r="AC46" i="27" a="1"/>
  <c r="AC46" i="27" s="1"/>
  <c r="AC45" i="27" a="1"/>
  <c r="AC45" i="27" s="1"/>
  <c r="AC44" i="27" a="1"/>
  <c r="AC44" i="27" s="1"/>
  <c r="AC43" i="27" a="1"/>
  <c r="AC43" i="27" s="1"/>
  <c r="AC41" i="27" a="1"/>
  <c r="AC41" i="27" s="1"/>
  <c r="AC40" i="27" a="1"/>
  <c r="AC40" i="27" s="1"/>
  <c r="AC39" i="27" a="1"/>
  <c r="AC39" i="27" s="1"/>
  <c r="AC38" i="27" a="1"/>
  <c r="AC38" i="27" s="1"/>
  <c r="AC37" i="27" a="1"/>
  <c r="AC37" i="27" s="1"/>
  <c r="AC36" i="27" a="1"/>
  <c r="AC36" i="27" s="1"/>
  <c r="AC35" i="27" a="1"/>
  <c r="AC35" i="27" s="1"/>
  <c r="AC34" i="27" a="1"/>
  <c r="AC34" i="27" s="1"/>
  <c r="AA60" i="27" a="1"/>
  <c r="AA60" i="27" s="1"/>
  <c r="AA59" i="27" a="1"/>
  <c r="AA59" i="27" s="1"/>
  <c r="AA58" i="27" a="1"/>
  <c r="AA58" i="27" s="1"/>
  <c r="AA57" i="27" a="1"/>
  <c r="AA57" i="27" s="1"/>
  <c r="AA56" i="27" a="1"/>
  <c r="AA56" i="27" s="1"/>
  <c r="AA55" i="27" a="1"/>
  <c r="AA55" i="27" s="1"/>
  <c r="AA54" i="27" a="1"/>
  <c r="AA54" i="27" s="1"/>
  <c r="AA53" i="27" a="1"/>
  <c r="AA53" i="27" s="1"/>
  <c r="AA52" i="27" a="1"/>
  <c r="AA52" i="27" s="1"/>
  <c r="AA51" i="27" a="1"/>
  <c r="AA51" i="27" s="1"/>
  <c r="AA50" i="27" a="1"/>
  <c r="AA50" i="27" s="1"/>
  <c r="AA49" i="27" a="1"/>
  <c r="AA49" i="27" s="1"/>
  <c r="AA48" i="27" a="1"/>
  <c r="AA48" i="27" s="1"/>
  <c r="AA47" i="27" a="1"/>
  <c r="AA47" i="27" s="1"/>
  <c r="AA46" i="27" a="1"/>
  <c r="AA46" i="27" s="1"/>
  <c r="AA45" i="27" a="1"/>
  <c r="AA45" i="27" s="1"/>
  <c r="AA44" i="27" a="1"/>
  <c r="AA44" i="27" s="1"/>
  <c r="AA43" i="27" a="1"/>
  <c r="AA43" i="27" s="1"/>
  <c r="AA41" i="27" a="1"/>
  <c r="AA41" i="27" s="1"/>
  <c r="AA40" i="27" a="1"/>
  <c r="AA40" i="27" s="1"/>
  <c r="AA39" i="27" a="1"/>
  <c r="AA39" i="27" s="1"/>
  <c r="AA38" i="27" a="1"/>
  <c r="AA38" i="27" s="1"/>
  <c r="AA37" i="27" a="1"/>
  <c r="AA37" i="27" s="1"/>
  <c r="AA36" i="27" a="1"/>
  <c r="AA36" i="27" s="1"/>
  <c r="AA35" i="27" a="1"/>
  <c r="AA35" i="27" s="1"/>
  <c r="AA34" i="27" a="1"/>
  <c r="AA34" i="27" s="1"/>
  <c r="Y60" i="27" a="1"/>
  <c r="Y60" i="27" s="1"/>
  <c r="W60" i="27" a="1"/>
  <c r="W60" i="27" s="1"/>
  <c r="U60" i="27" a="1"/>
  <c r="U60" i="27" s="1"/>
  <c r="S60" i="27" a="1"/>
  <c r="S60" i="27" s="1"/>
  <c r="Q60" i="27" a="1"/>
  <c r="Q60" i="27" s="1"/>
  <c r="O60" i="27" a="1"/>
  <c r="O60" i="27" s="1"/>
  <c r="M60" i="27" a="1"/>
  <c r="M60" i="27" s="1"/>
  <c r="K60" i="27" a="1"/>
  <c r="K60" i="27" s="1"/>
  <c r="I60" i="27" a="1"/>
  <c r="I60" i="27" s="1"/>
  <c r="G60" i="27" a="1"/>
  <c r="G60" i="27" s="1"/>
  <c r="E60" i="27" a="1"/>
  <c r="E60" i="27" s="1"/>
  <c r="Y59" i="27" a="1"/>
  <c r="Y59" i="27" s="1"/>
  <c r="U59" i="27" a="1"/>
  <c r="U59" i="27" s="1"/>
  <c r="S59" i="27" a="1"/>
  <c r="S59" i="27" s="1"/>
  <c r="O59" i="27" a="1"/>
  <c r="O59" i="27" s="1"/>
  <c r="M59" i="27" a="1"/>
  <c r="M59" i="27" s="1"/>
  <c r="I59" i="27" a="1"/>
  <c r="I59" i="27" s="1"/>
  <c r="G59" i="27" a="1"/>
  <c r="G59" i="27" s="1"/>
  <c r="E59" i="27" a="1"/>
  <c r="E59" i="27" s="1"/>
  <c r="Y58" i="27" a="1"/>
  <c r="Y58" i="27" s="1"/>
  <c r="W58" i="27" a="1"/>
  <c r="W58" i="27" s="1"/>
  <c r="U58" i="27" a="1"/>
  <c r="U58" i="27" s="1"/>
  <c r="S58" i="27" a="1"/>
  <c r="S58" i="27" s="1"/>
  <c r="Q58" i="27" a="1"/>
  <c r="Q58" i="27" s="1"/>
  <c r="O58" i="27" a="1"/>
  <c r="O58" i="27" s="1"/>
  <c r="M58" i="27" a="1"/>
  <c r="M58" i="27" s="1"/>
  <c r="K58" i="27" a="1"/>
  <c r="K58" i="27" s="1"/>
  <c r="I58" i="27" a="1"/>
  <c r="I58" i="27" s="1"/>
  <c r="G58" i="27" a="1"/>
  <c r="G58" i="27" s="1"/>
  <c r="Y57" i="27" a="1"/>
  <c r="Y57" i="27" s="1"/>
  <c r="W57" i="27" a="1"/>
  <c r="W57" i="27" s="1"/>
  <c r="U57" i="27" a="1"/>
  <c r="U57" i="27" s="1"/>
  <c r="S57" i="27" a="1"/>
  <c r="S57" i="27" s="1"/>
  <c r="Q57" i="27" a="1"/>
  <c r="Q57" i="27" s="1"/>
  <c r="O57" i="27" a="1"/>
  <c r="O57" i="27" s="1"/>
  <c r="M57" i="27" a="1"/>
  <c r="M57" i="27" s="1"/>
  <c r="K57" i="27" a="1"/>
  <c r="K57" i="27" s="1"/>
  <c r="I57" i="27" a="1"/>
  <c r="I57" i="27" s="1"/>
  <c r="G57" i="27" a="1"/>
  <c r="G57" i="27" s="1"/>
  <c r="Y56" i="27" a="1"/>
  <c r="Y56" i="27" s="1"/>
  <c r="W56" i="27" a="1"/>
  <c r="W56" i="27" s="1"/>
  <c r="U56" i="27" a="1"/>
  <c r="U56" i="27" s="1"/>
  <c r="S56" i="27" a="1"/>
  <c r="S56" i="27" s="1"/>
  <c r="Q56" i="27" a="1"/>
  <c r="Q56" i="27" s="1"/>
  <c r="O56" i="27" a="1"/>
  <c r="O56" i="27" s="1"/>
  <c r="M56" i="27" a="1"/>
  <c r="M56" i="27" s="1"/>
  <c r="K56" i="27" a="1"/>
  <c r="K56" i="27" s="1"/>
  <c r="I56" i="27" a="1"/>
  <c r="I56" i="27" s="1"/>
  <c r="G56" i="27" a="1"/>
  <c r="G56" i="27" s="1"/>
  <c r="Y55" i="27" a="1"/>
  <c r="Y55" i="27" s="1"/>
  <c r="W55" i="27" a="1"/>
  <c r="W55" i="27" s="1"/>
  <c r="U55" i="27" a="1"/>
  <c r="U55" i="27" s="1"/>
  <c r="S55" i="27" a="1"/>
  <c r="S55" i="27" s="1"/>
  <c r="Q55" i="27" a="1"/>
  <c r="Q55" i="27" s="1"/>
  <c r="O55" i="27" a="1"/>
  <c r="O55" i="27" s="1"/>
  <c r="M55" i="27" a="1"/>
  <c r="M55" i="27" s="1"/>
  <c r="K55" i="27" a="1"/>
  <c r="K55" i="27" s="1"/>
  <c r="I55" i="27" a="1"/>
  <c r="I55" i="27" s="1"/>
  <c r="G55" i="27" a="1"/>
  <c r="G55" i="27" s="1"/>
  <c r="Y54" i="27" a="1"/>
  <c r="Y54" i="27" s="1"/>
  <c r="W54" i="27" a="1"/>
  <c r="W54" i="27" s="1"/>
  <c r="S54" i="27" a="1"/>
  <c r="S54" i="27" s="1"/>
  <c r="Q54" i="27" a="1"/>
  <c r="Q54" i="27" s="1"/>
  <c r="M54" i="27" a="1"/>
  <c r="M54" i="27" s="1"/>
  <c r="K54" i="27" a="1"/>
  <c r="K54" i="27" s="1"/>
  <c r="G54" i="27" a="1"/>
  <c r="G54" i="27" s="1"/>
  <c r="E54" i="27" a="1"/>
  <c r="E54" i="27" s="1"/>
  <c r="Y53" i="27" a="1"/>
  <c r="Y53" i="27" s="1"/>
  <c r="W53" i="27" a="1"/>
  <c r="W53" i="27" s="1"/>
  <c r="U53" i="27" a="1"/>
  <c r="U53" i="27" s="1"/>
  <c r="S53" i="27" a="1"/>
  <c r="S53" i="27" s="1"/>
  <c r="Q53" i="27" a="1"/>
  <c r="Q53" i="27" s="1"/>
  <c r="O53" i="27" a="1"/>
  <c r="O53" i="27" s="1"/>
  <c r="M53" i="27" a="1"/>
  <c r="M53" i="27" s="1"/>
  <c r="K53" i="27" a="1"/>
  <c r="K53" i="27" s="1"/>
  <c r="I53" i="27" a="1"/>
  <c r="I53" i="27" s="1"/>
  <c r="G53" i="27" a="1"/>
  <c r="G53" i="27" s="1"/>
  <c r="Y52" i="27" a="1"/>
  <c r="Y52" i="27" s="1"/>
  <c r="W52" i="27" a="1"/>
  <c r="W52" i="27" s="1"/>
  <c r="U52" i="27" a="1"/>
  <c r="U52" i="27" s="1"/>
  <c r="S52" i="27" a="1"/>
  <c r="S52" i="27" s="1"/>
  <c r="Q52" i="27" a="1"/>
  <c r="Q52" i="27" s="1"/>
  <c r="O52" i="27" a="1"/>
  <c r="O52" i="27" s="1"/>
  <c r="M52" i="27" a="1"/>
  <c r="M52" i="27" s="1"/>
  <c r="K52" i="27" a="1"/>
  <c r="K52" i="27" s="1"/>
  <c r="I52" i="27" a="1"/>
  <c r="I52" i="27" s="1"/>
  <c r="G52" i="27" a="1"/>
  <c r="G52" i="27" s="1"/>
  <c r="Y51" i="27" a="1"/>
  <c r="Y51" i="27" s="1"/>
  <c r="W51" i="27" a="1"/>
  <c r="W51" i="27" s="1"/>
  <c r="U51" i="27" a="1"/>
  <c r="U51" i="27" s="1"/>
  <c r="S51" i="27" a="1"/>
  <c r="S51" i="27" s="1"/>
  <c r="Q51" i="27" a="1"/>
  <c r="Q51" i="27" s="1"/>
  <c r="O51" i="27" a="1"/>
  <c r="O51" i="27" s="1"/>
  <c r="M51" i="27" a="1"/>
  <c r="M51" i="27" s="1"/>
  <c r="K51" i="27" a="1"/>
  <c r="K51" i="27" s="1"/>
  <c r="I51" i="27" a="1"/>
  <c r="I51" i="27" s="1"/>
  <c r="G51" i="27" a="1"/>
  <c r="G51" i="27" s="1"/>
  <c r="E51" i="27" a="1"/>
  <c r="E51" i="27" s="1"/>
  <c r="Y50" i="27" a="1"/>
  <c r="Y50" i="27" s="1"/>
  <c r="W50" i="27" a="1"/>
  <c r="W50" i="27" s="1"/>
  <c r="U50" i="27" a="1"/>
  <c r="U50" i="27" s="1"/>
  <c r="S50" i="27" a="1"/>
  <c r="S50" i="27" s="1"/>
  <c r="Q50" i="27" a="1"/>
  <c r="Q50" i="27" s="1"/>
  <c r="O50" i="27" a="1"/>
  <c r="O50" i="27" s="1"/>
  <c r="M50" i="27" a="1"/>
  <c r="M50" i="27" s="1"/>
  <c r="K50" i="27" a="1"/>
  <c r="K50" i="27" s="1"/>
  <c r="I50" i="27" a="1"/>
  <c r="I50" i="27" s="1"/>
  <c r="G50" i="27" a="1"/>
  <c r="G50" i="27" s="1"/>
  <c r="Y49" i="27" a="1"/>
  <c r="Y49" i="27" s="1"/>
  <c r="W49" i="27" a="1"/>
  <c r="W49" i="27" s="1"/>
  <c r="U49" i="27" a="1"/>
  <c r="U49" i="27" s="1"/>
  <c r="S49" i="27" a="1"/>
  <c r="S49" i="27" s="1"/>
  <c r="Q49" i="27" a="1"/>
  <c r="Q49" i="27" s="1"/>
  <c r="O49" i="27" a="1"/>
  <c r="O49" i="27" s="1"/>
  <c r="M49" i="27" a="1"/>
  <c r="M49" i="27" s="1"/>
  <c r="K49" i="27" a="1"/>
  <c r="K49" i="27" s="1"/>
  <c r="I49" i="27" a="1"/>
  <c r="I49" i="27" s="1"/>
  <c r="G49" i="27" a="1"/>
  <c r="G49" i="27" s="1"/>
  <c r="Y48" i="27" a="1"/>
  <c r="Y48" i="27" s="1"/>
  <c r="W48" i="27" a="1"/>
  <c r="W48" i="27" s="1"/>
  <c r="U48" i="27" a="1"/>
  <c r="U48" i="27" s="1"/>
  <c r="S48" i="27" a="1"/>
  <c r="S48" i="27" s="1"/>
  <c r="Q48" i="27" a="1"/>
  <c r="Q48" i="27" s="1"/>
  <c r="O48" i="27" a="1"/>
  <c r="O48" i="27" s="1"/>
  <c r="M48" i="27" a="1"/>
  <c r="M48" i="27" s="1"/>
  <c r="K48" i="27" a="1"/>
  <c r="K48" i="27" s="1"/>
  <c r="I48" i="27" a="1"/>
  <c r="I48" i="27" s="1"/>
  <c r="G48" i="27" a="1"/>
  <c r="G48" i="27" s="1"/>
  <c r="Y47" i="27" a="1"/>
  <c r="Y47" i="27" s="1"/>
  <c r="W47" i="27" a="1"/>
  <c r="W47" i="27" s="1"/>
  <c r="U47" i="27" a="1"/>
  <c r="U47" i="27" s="1"/>
  <c r="S47" i="27" a="1"/>
  <c r="S47" i="27" s="1"/>
  <c r="Q47" i="27" a="1"/>
  <c r="Q47" i="27" s="1"/>
  <c r="O47" i="27" a="1"/>
  <c r="O47" i="27" s="1"/>
  <c r="M47" i="27" a="1"/>
  <c r="M47" i="27" s="1"/>
  <c r="K47" i="27" a="1"/>
  <c r="K47" i="27" s="1"/>
  <c r="I47" i="27" a="1"/>
  <c r="I47" i="27" s="1"/>
  <c r="G47" i="27" a="1"/>
  <c r="G47" i="27" s="1"/>
  <c r="E47" i="27" a="1"/>
  <c r="E47" i="27" s="1"/>
  <c r="Y46" i="27" a="1"/>
  <c r="Y46" i="27" s="1"/>
  <c r="W46" i="27" a="1"/>
  <c r="W46" i="27" s="1"/>
  <c r="U46" i="27" a="1"/>
  <c r="U46" i="27" s="1"/>
  <c r="S46" i="27" a="1"/>
  <c r="S46" i="27" s="1"/>
  <c r="Q46" i="27" a="1"/>
  <c r="Q46" i="27" s="1"/>
  <c r="O46" i="27" a="1"/>
  <c r="O46" i="27" s="1"/>
  <c r="M46" i="27" a="1"/>
  <c r="M46" i="27" s="1"/>
  <c r="K46" i="27" a="1"/>
  <c r="K46" i="27" s="1"/>
  <c r="I46" i="27" a="1"/>
  <c r="I46" i="27" s="1"/>
  <c r="G46" i="27" a="1"/>
  <c r="G46" i="27" s="1"/>
  <c r="Y45" i="27" a="1"/>
  <c r="Y45" i="27" s="1"/>
  <c r="W45" i="27" a="1"/>
  <c r="W45" i="27" s="1"/>
  <c r="U45" i="27" a="1"/>
  <c r="U45" i="27" s="1"/>
  <c r="S45" i="27" a="1"/>
  <c r="S45" i="27" s="1"/>
  <c r="Q45" i="27" a="1"/>
  <c r="Q45" i="27" s="1"/>
  <c r="O45" i="27" a="1"/>
  <c r="O45" i="27" s="1"/>
  <c r="M45" i="27" a="1"/>
  <c r="M45" i="27" s="1"/>
  <c r="K45" i="27" a="1"/>
  <c r="K45" i="27" s="1"/>
  <c r="I45" i="27" a="1"/>
  <c r="I45" i="27" s="1"/>
  <c r="G45" i="27" a="1"/>
  <c r="G45" i="27" s="1"/>
  <c r="Y44" i="27" a="1"/>
  <c r="Y44" i="27" s="1"/>
  <c r="W44" i="27" a="1"/>
  <c r="W44" i="27" s="1"/>
  <c r="U44" i="27" a="1"/>
  <c r="U44" i="27" s="1"/>
  <c r="S44" i="27" a="1"/>
  <c r="S44" i="27" s="1"/>
  <c r="Q44" i="27" a="1"/>
  <c r="Q44" i="27" s="1"/>
  <c r="M44" i="27" a="1"/>
  <c r="M44" i="27" s="1"/>
  <c r="K44" i="27" a="1"/>
  <c r="K44" i="27" s="1"/>
  <c r="I44" i="27" a="1"/>
  <c r="I44" i="27" s="1"/>
  <c r="G44" i="27" a="1"/>
  <c r="G44" i="27" s="1"/>
  <c r="E44" i="27" a="1"/>
  <c r="E44" i="27" s="1"/>
  <c r="Y43" i="27" a="1"/>
  <c r="Y43" i="27" s="1"/>
  <c r="W43" i="27" a="1"/>
  <c r="W43" i="27" s="1"/>
  <c r="U43" i="27" a="1"/>
  <c r="U43" i="27" s="1"/>
  <c r="Q43" i="27" a="1"/>
  <c r="Q43" i="27" s="1"/>
  <c r="O43" i="27" a="1"/>
  <c r="O43" i="27" s="1"/>
  <c r="M43" i="27" a="1"/>
  <c r="M43" i="27" s="1"/>
  <c r="I43" i="27" a="1"/>
  <c r="I43" i="27" s="1"/>
  <c r="G43" i="27" a="1"/>
  <c r="G43" i="27" s="1"/>
  <c r="E43" i="27" a="1"/>
  <c r="E43" i="27" s="1"/>
  <c r="E42" i="27" a="1"/>
  <c r="E42" i="27" s="1"/>
  <c r="Y41" i="27" a="1"/>
  <c r="Y41" i="27" s="1"/>
  <c r="W41" i="27" a="1"/>
  <c r="W41" i="27" s="1"/>
  <c r="U41" i="27" a="1"/>
  <c r="U41" i="27" s="1"/>
  <c r="S41" i="27" a="1"/>
  <c r="S41" i="27" s="1"/>
  <c r="Q41" i="27" a="1"/>
  <c r="Q41" i="27" s="1"/>
  <c r="O41" i="27" a="1"/>
  <c r="O41" i="27" s="1"/>
  <c r="M41" i="27" a="1"/>
  <c r="M41" i="27" s="1"/>
  <c r="K41" i="27" a="1"/>
  <c r="K41" i="27" s="1"/>
  <c r="I41" i="27" a="1"/>
  <c r="I41" i="27" s="1"/>
  <c r="G41" i="27" a="1"/>
  <c r="G41" i="27" s="1"/>
  <c r="Y40" i="27" a="1"/>
  <c r="Y40" i="27" s="1"/>
  <c r="W40" i="27" a="1"/>
  <c r="W40" i="27" s="1"/>
  <c r="U40" i="27" a="1"/>
  <c r="U40" i="27" s="1"/>
  <c r="S40" i="27" a="1"/>
  <c r="S40" i="27" s="1"/>
  <c r="Q40" i="27" a="1"/>
  <c r="Q40" i="27" s="1"/>
  <c r="O40" i="27" a="1"/>
  <c r="O40" i="27" s="1"/>
  <c r="M40" i="27" a="1"/>
  <c r="M40" i="27" s="1"/>
  <c r="K40" i="27" a="1"/>
  <c r="K40" i="27" s="1"/>
  <c r="I40" i="27" a="1"/>
  <c r="I40" i="27" s="1"/>
  <c r="G40" i="27" a="1"/>
  <c r="G40" i="27" s="1"/>
  <c r="Y39" i="27" a="1"/>
  <c r="Y39" i="27" s="1"/>
  <c r="W39" i="27" a="1"/>
  <c r="W39" i="27" s="1"/>
  <c r="U39" i="27" a="1"/>
  <c r="U39" i="27" s="1"/>
  <c r="S39" i="27" a="1"/>
  <c r="S39" i="27" s="1"/>
  <c r="Q39" i="27" a="1"/>
  <c r="Q39" i="27" s="1"/>
  <c r="O39" i="27" a="1"/>
  <c r="O39" i="27" s="1"/>
  <c r="M39" i="27" a="1"/>
  <c r="M39" i="27" s="1"/>
  <c r="K39" i="27" a="1"/>
  <c r="K39" i="27" s="1"/>
  <c r="I39" i="27" a="1"/>
  <c r="I39" i="27" s="1"/>
  <c r="G39" i="27" a="1"/>
  <c r="G39" i="27" s="1"/>
  <c r="Y38" i="27" a="1"/>
  <c r="Y38" i="27" s="1"/>
  <c r="W38" i="27" a="1"/>
  <c r="W38" i="27" s="1"/>
  <c r="U38" i="27" a="1"/>
  <c r="U38" i="27" s="1"/>
  <c r="S38" i="27" a="1"/>
  <c r="S38" i="27" s="1"/>
  <c r="Q38" i="27" a="1"/>
  <c r="Q38" i="27" s="1"/>
  <c r="M38" i="27" a="1"/>
  <c r="M38" i="27" s="1"/>
  <c r="K38" i="27" a="1"/>
  <c r="K38" i="27" s="1"/>
  <c r="I38" i="27" a="1"/>
  <c r="I38" i="27" s="1"/>
  <c r="G38" i="27" a="1"/>
  <c r="G38" i="27" s="1"/>
  <c r="Y37" i="27" a="1"/>
  <c r="Y37" i="27" s="1"/>
  <c r="W37" i="27" a="1"/>
  <c r="W37" i="27" s="1"/>
  <c r="U37" i="27" a="1"/>
  <c r="U37" i="27" s="1"/>
  <c r="S37" i="27" a="1"/>
  <c r="S37" i="27" s="1"/>
  <c r="Q37" i="27" a="1"/>
  <c r="Q37" i="27" s="1"/>
  <c r="M37" i="27" a="1"/>
  <c r="M37" i="27" s="1"/>
  <c r="K37" i="27" a="1"/>
  <c r="K37" i="27" s="1"/>
  <c r="I37" i="27" a="1"/>
  <c r="I37" i="27" s="1"/>
  <c r="G37" i="27" a="1"/>
  <c r="G37" i="27" s="1"/>
  <c r="Y36" i="27" a="1"/>
  <c r="Y36" i="27" s="1"/>
  <c r="W36" i="27" a="1"/>
  <c r="W36" i="27" s="1"/>
  <c r="U36" i="27" a="1"/>
  <c r="U36" i="27" s="1"/>
  <c r="S36" i="27" a="1"/>
  <c r="S36" i="27" s="1"/>
  <c r="Q36" i="27" a="1"/>
  <c r="Q36" i="27" s="1"/>
  <c r="O36" i="27" a="1"/>
  <c r="O36" i="27" s="1"/>
  <c r="M36" i="27" a="1"/>
  <c r="M36" i="27" s="1"/>
  <c r="K36" i="27" a="1"/>
  <c r="K36" i="27" s="1"/>
  <c r="I36" i="27" a="1"/>
  <c r="I36" i="27" s="1"/>
  <c r="G36" i="27" a="1"/>
  <c r="G36" i="27" s="1"/>
  <c r="E36" i="27" a="1"/>
  <c r="E36" i="27" s="1"/>
  <c r="Y35" i="27" a="1"/>
  <c r="Y35" i="27" s="1"/>
  <c r="W35" i="27" a="1"/>
  <c r="W35" i="27" s="1"/>
  <c r="U35" i="27" a="1"/>
  <c r="U35" i="27" s="1"/>
  <c r="S35" i="27" a="1"/>
  <c r="S35" i="27" s="1"/>
  <c r="Q35" i="27" a="1"/>
  <c r="Q35" i="27" s="1"/>
  <c r="O35" i="27" a="1"/>
  <c r="O35" i="27" s="1"/>
  <c r="M35" i="27" a="1"/>
  <c r="M35" i="27" s="1"/>
  <c r="K35" i="27" a="1"/>
  <c r="K35" i="27" s="1"/>
  <c r="I35" i="27" a="1"/>
  <c r="I35" i="27" s="1"/>
  <c r="G35" i="27" a="1"/>
  <c r="G35" i="27" s="1"/>
  <c r="Y34" i="27" a="1"/>
  <c r="Y34" i="27" s="1"/>
  <c r="W34" i="27" a="1"/>
  <c r="W34" i="27" s="1"/>
  <c r="U34" i="27" a="1"/>
  <c r="U34" i="27" s="1"/>
  <c r="S34" i="27" a="1"/>
  <c r="S34" i="27" s="1"/>
  <c r="Q34" i="27" a="1"/>
  <c r="Q34" i="27" s="1"/>
  <c r="O34" i="27" a="1"/>
  <c r="O34" i="27" s="1"/>
  <c r="M34" i="27" a="1"/>
  <c r="M34" i="27" s="1"/>
  <c r="K34" i="27" a="1"/>
  <c r="K34" i="27" s="1"/>
  <c r="I34" i="27" a="1"/>
  <c r="I34" i="27" s="1"/>
  <c r="G34" i="27" a="1"/>
  <c r="G34" i="27" s="1"/>
  <c r="Z30" i="27"/>
  <c r="X30" i="27"/>
  <c r="V30" i="27"/>
  <c r="T30" i="27"/>
  <c r="R30" i="27"/>
  <c r="P30" i="27"/>
  <c r="N30" i="27"/>
  <c r="L30" i="27"/>
  <c r="J30" i="27"/>
  <c r="H30" i="27"/>
  <c r="F30" i="27"/>
  <c r="D30" i="27"/>
  <c r="AM57" i="26" a="1"/>
  <c r="AM57" i="26" s="1"/>
  <c r="AM56" i="26" a="1"/>
  <c r="AM56" i="26" s="1"/>
  <c r="AM55" i="26" a="1"/>
  <c r="AM55" i="26" s="1"/>
  <c r="AM53" i="26" a="1"/>
  <c r="AM53" i="26" s="1"/>
  <c r="AM52" i="26" a="1"/>
  <c r="AM52" i="26" s="1"/>
  <c r="AM50" i="26" a="1"/>
  <c r="AM50" i="26" s="1"/>
  <c r="AM49" i="26" a="1"/>
  <c r="AM49" i="26" s="1"/>
  <c r="AM45" i="26" a="1"/>
  <c r="AM45" i="26" s="1"/>
  <c r="AM44" i="26" a="1"/>
  <c r="AM44" i="26" s="1"/>
  <c r="AM43" i="26" a="1"/>
  <c r="AM43" i="26" s="1"/>
  <c r="AM42" i="26" a="1"/>
  <c r="AM42" i="26" s="1"/>
  <c r="AM39" i="26" a="1"/>
  <c r="AM39" i="26" s="1"/>
  <c r="AM38" i="26" a="1"/>
  <c r="AM38" i="26" s="1"/>
  <c r="AM36" i="26" a="1"/>
  <c r="AM36" i="26" s="1"/>
  <c r="AM34" i="26" a="1"/>
  <c r="AM34" i="26" s="1"/>
  <c r="AM33" i="26" a="1"/>
  <c r="AM33" i="26" s="1"/>
  <c r="AL59" i="26"/>
  <c r="AJ59" i="26"/>
  <c r="AH59" i="26"/>
  <c r="AF59" i="26"/>
  <c r="AD59" i="26"/>
  <c r="AB59" i="26"/>
  <c r="Z59" i="26"/>
  <c r="X59" i="26"/>
  <c r="V59" i="26"/>
  <c r="T59" i="26"/>
  <c r="R59" i="26"/>
  <c r="P59" i="26"/>
  <c r="N59" i="26"/>
  <c r="L59" i="26"/>
  <c r="J59" i="26"/>
  <c r="H59" i="26"/>
  <c r="F59" i="26"/>
  <c r="D59" i="26"/>
  <c r="Z29" i="26"/>
  <c r="X29" i="26"/>
  <c r="V29" i="26"/>
  <c r="T29" i="26"/>
  <c r="R29" i="26"/>
  <c r="P29" i="26"/>
  <c r="N29" i="26"/>
  <c r="L29" i="26"/>
  <c r="J29" i="26"/>
  <c r="H29" i="26"/>
  <c r="F29" i="26"/>
  <c r="D29" i="26"/>
  <c r="AK58" i="26" a="1"/>
  <c r="AK58" i="26" s="1"/>
  <c r="AK57" i="26" a="1"/>
  <c r="AK57" i="26" s="1"/>
  <c r="AK56" i="26" a="1"/>
  <c r="AK56" i="26" s="1"/>
  <c r="AK55" i="26" a="1"/>
  <c r="AK55" i="26" s="1"/>
  <c r="AK54" i="26" a="1"/>
  <c r="AK54" i="26" s="1"/>
  <c r="AK53" i="26" a="1"/>
  <c r="AK53" i="26" s="1"/>
  <c r="AK52" i="26" a="1"/>
  <c r="AK52" i="26" s="1"/>
  <c r="AK51" i="26" a="1"/>
  <c r="AK51" i="26" s="1"/>
  <c r="AK50" i="26" a="1"/>
  <c r="AK50" i="26" s="1"/>
  <c r="AK49" i="26" a="1"/>
  <c r="AK49" i="26" s="1"/>
  <c r="AK48" i="26" a="1"/>
  <c r="AK48" i="26" s="1"/>
  <c r="AK47" i="26" a="1"/>
  <c r="AK47" i="26" s="1"/>
  <c r="AK45" i="26" a="1"/>
  <c r="AK45" i="26" s="1"/>
  <c r="AK44" i="26" a="1"/>
  <c r="AK44" i="26" s="1"/>
  <c r="AK43" i="26" a="1"/>
  <c r="AK43" i="26" s="1"/>
  <c r="AK42" i="26" a="1"/>
  <c r="AK42" i="26" s="1"/>
  <c r="AK39" i="26" a="1"/>
  <c r="AK39" i="26" s="1"/>
  <c r="AK38" i="26" a="1"/>
  <c r="AK38" i="26" s="1"/>
  <c r="AK37" i="26" a="1"/>
  <c r="AK37" i="26" s="1"/>
  <c r="AK36" i="26" a="1"/>
  <c r="AK36" i="26" s="1"/>
  <c r="AK35" i="26" a="1"/>
  <c r="AK35" i="26" s="1"/>
  <c r="AK34" i="26" a="1"/>
  <c r="AK34" i="26" s="1"/>
  <c r="AK33" i="26" a="1"/>
  <c r="AK33" i="26" s="1"/>
  <c r="AI58" i="26" a="1"/>
  <c r="AI58" i="26" s="1"/>
  <c r="AI57" i="26" a="1"/>
  <c r="AI57" i="26" s="1"/>
  <c r="AI56" i="26" a="1"/>
  <c r="AI56" i="26" s="1"/>
  <c r="AI55" i="26" a="1"/>
  <c r="AI55" i="26" s="1"/>
  <c r="AI54" i="26" a="1"/>
  <c r="AI54" i="26" s="1"/>
  <c r="AI53" i="26" a="1"/>
  <c r="AI53" i="26" s="1"/>
  <c r="AI52" i="26" a="1"/>
  <c r="AI52" i="26" s="1"/>
  <c r="AI51" i="26" a="1"/>
  <c r="AI51" i="26" s="1"/>
  <c r="AI50" i="26" a="1"/>
  <c r="AI50" i="26" s="1"/>
  <c r="AI49" i="26" a="1"/>
  <c r="AI49" i="26" s="1"/>
  <c r="AI48" i="26" a="1"/>
  <c r="AI48" i="26" s="1"/>
  <c r="AI47" i="26" a="1"/>
  <c r="AI47" i="26" s="1"/>
  <c r="AI45" i="26" a="1"/>
  <c r="AI45" i="26" s="1"/>
  <c r="AI44" i="26" a="1"/>
  <c r="AI44" i="26" s="1"/>
  <c r="AI43" i="26" a="1"/>
  <c r="AI43" i="26" s="1"/>
  <c r="AI42" i="26" a="1"/>
  <c r="AI42" i="26" s="1"/>
  <c r="AI39" i="26" a="1"/>
  <c r="AI39" i="26" s="1"/>
  <c r="AI38" i="26" a="1"/>
  <c r="AI38" i="26" s="1"/>
  <c r="AI37" i="26" a="1"/>
  <c r="AI37" i="26" s="1"/>
  <c r="AI36" i="26" a="1"/>
  <c r="AI36" i="26" s="1"/>
  <c r="AI35" i="26" a="1"/>
  <c r="AI35" i="26" s="1"/>
  <c r="AI34" i="26" a="1"/>
  <c r="AI34" i="26" s="1"/>
  <c r="AI33" i="26" a="1"/>
  <c r="AI33" i="26" s="1"/>
  <c r="AG58" i="26" a="1"/>
  <c r="AG58" i="26" s="1"/>
  <c r="AG57" i="26" a="1"/>
  <c r="AG57" i="26" s="1"/>
  <c r="AG56" i="26" a="1"/>
  <c r="AG56" i="26" s="1"/>
  <c r="AG55" i="26" a="1"/>
  <c r="AG55" i="26" s="1"/>
  <c r="AG54" i="26" a="1"/>
  <c r="AG54" i="26" s="1"/>
  <c r="AG53" i="26" a="1"/>
  <c r="AG53" i="26" s="1"/>
  <c r="AG52" i="26" a="1"/>
  <c r="AG52" i="26" s="1"/>
  <c r="AG51" i="26" a="1"/>
  <c r="AG51" i="26" s="1"/>
  <c r="AG50" i="26" a="1"/>
  <c r="AG50" i="26" s="1"/>
  <c r="AG49" i="26" a="1"/>
  <c r="AG49" i="26" s="1"/>
  <c r="AG48" i="26" a="1"/>
  <c r="AG48" i="26" s="1"/>
  <c r="AG47" i="26" a="1"/>
  <c r="AG47" i="26" s="1"/>
  <c r="AG45" i="26" a="1"/>
  <c r="AG45" i="26" s="1"/>
  <c r="AG44" i="26" a="1"/>
  <c r="AG44" i="26" s="1"/>
  <c r="AG43" i="26" a="1"/>
  <c r="AG43" i="26" s="1"/>
  <c r="AG42" i="26" a="1"/>
  <c r="AG42" i="26" s="1"/>
  <c r="AG39" i="26" a="1"/>
  <c r="AG39" i="26" s="1"/>
  <c r="AG38" i="26" a="1"/>
  <c r="AG38" i="26" s="1"/>
  <c r="AG37" i="26" a="1"/>
  <c r="AG37" i="26" s="1"/>
  <c r="AG36" i="26" a="1"/>
  <c r="AG36" i="26" s="1"/>
  <c r="AG35" i="26" a="1"/>
  <c r="AG35" i="26" s="1"/>
  <c r="AG34" i="26" a="1"/>
  <c r="AG34" i="26" s="1"/>
  <c r="AG33" i="26" a="1"/>
  <c r="AG33" i="26" s="1"/>
  <c r="AE58" i="26" a="1"/>
  <c r="AE58" i="26" s="1"/>
  <c r="AE57" i="26" a="1"/>
  <c r="AE57" i="26" s="1"/>
  <c r="AE56" i="26" a="1"/>
  <c r="AE56" i="26" s="1"/>
  <c r="AE55" i="26" a="1"/>
  <c r="AE55" i="26" s="1"/>
  <c r="AE54" i="26" a="1"/>
  <c r="AE54" i="26" s="1"/>
  <c r="AE53" i="26" a="1"/>
  <c r="AE53" i="26" s="1"/>
  <c r="AE52" i="26" a="1"/>
  <c r="AE52" i="26" s="1"/>
  <c r="AE51" i="26" a="1"/>
  <c r="AE51" i="26" s="1"/>
  <c r="AE50" i="26" a="1"/>
  <c r="AE50" i="26" s="1"/>
  <c r="AE49" i="26" a="1"/>
  <c r="AE49" i="26" s="1"/>
  <c r="AE48" i="26" a="1"/>
  <c r="AE48" i="26" s="1"/>
  <c r="AE47" i="26" a="1"/>
  <c r="AE47" i="26" s="1"/>
  <c r="AE45" i="26" a="1"/>
  <c r="AE45" i="26" s="1"/>
  <c r="AE44" i="26" a="1"/>
  <c r="AE44" i="26" s="1"/>
  <c r="AE43" i="26" a="1"/>
  <c r="AE43" i="26" s="1"/>
  <c r="AE42" i="26" a="1"/>
  <c r="AE42" i="26" s="1"/>
  <c r="AE39" i="26" a="1"/>
  <c r="AE39" i="26" s="1"/>
  <c r="AE38" i="26" a="1"/>
  <c r="AE38" i="26" s="1"/>
  <c r="AE37" i="26" a="1"/>
  <c r="AE37" i="26" s="1"/>
  <c r="AE36" i="26" a="1"/>
  <c r="AE36" i="26" s="1"/>
  <c r="AE35" i="26" a="1"/>
  <c r="AE35" i="26" s="1"/>
  <c r="AE34" i="26" a="1"/>
  <c r="AE34" i="26" s="1"/>
  <c r="AE33" i="26" a="1"/>
  <c r="AE33" i="26" s="1"/>
  <c r="AC58" i="26" a="1"/>
  <c r="AC58" i="26" s="1"/>
  <c r="AC57" i="26" a="1"/>
  <c r="AC57" i="26" s="1"/>
  <c r="AC56" i="26" a="1"/>
  <c r="AC56" i="26" s="1"/>
  <c r="AC55" i="26" a="1"/>
  <c r="AC55" i="26" s="1"/>
  <c r="AC54" i="26" a="1"/>
  <c r="AC54" i="26" s="1"/>
  <c r="AC53" i="26" a="1"/>
  <c r="AC53" i="26" s="1"/>
  <c r="AC52" i="26" a="1"/>
  <c r="AC52" i="26" s="1"/>
  <c r="AC51" i="26" a="1"/>
  <c r="AC51" i="26" s="1"/>
  <c r="AC50" i="26" a="1"/>
  <c r="AC50" i="26" s="1"/>
  <c r="AC49" i="26" a="1"/>
  <c r="AC49" i="26" s="1"/>
  <c r="AC48" i="26" a="1"/>
  <c r="AC48" i="26" s="1"/>
  <c r="AC47" i="26" a="1"/>
  <c r="AC47" i="26" s="1"/>
  <c r="AC45" i="26" a="1"/>
  <c r="AC45" i="26" s="1"/>
  <c r="AC44" i="26" a="1"/>
  <c r="AC44" i="26" s="1"/>
  <c r="AC43" i="26" a="1"/>
  <c r="AC43" i="26" s="1"/>
  <c r="AC42" i="26" a="1"/>
  <c r="AC42" i="26" s="1"/>
  <c r="AC39" i="26" a="1"/>
  <c r="AC39" i="26" s="1"/>
  <c r="AC38" i="26" a="1"/>
  <c r="AC38" i="26" s="1"/>
  <c r="AC37" i="26" a="1"/>
  <c r="AC37" i="26" s="1"/>
  <c r="AC36" i="26" a="1"/>
  <c r="AC36" i="26" s="1"/>
  <c r="AC35" i="26" a="1"/>
  <c r="AC35" i="26" s="1"/>
  <c r="AC34" i="26" a="1"/>
  <c r="AC34" i="26" s="1"/>
  <c r="AC33" i="26" a="1"/>
  <c r="AC33" i="26" s="1"/>
  <c r="AA58" i="26" a="1"/>
  <c r="AA58" i="26" s="1"/>
  <c r="AA57" i="26" a="1"/>
  <c r="AA57" i="26" s="1"/>
  <c r="AA56" i="26" a="1"/>
  <c r="AA56" i="26" s="1"/>
  <c r="AA55" i="26" a="1"/>
  <c r="AA55" i="26" s="1"/>
  <c r="AA54" i="26" a="1"/>
  <c r="AA54" i="26" s="1"/>
  <c r="AA53" i="26" a="1"/>
  <c r="AA53" i="26" s="1"/>
  <c r="AA52" i="26" a="1"/>
  <c r="AA52" i="26" s="1"/>
  <c r="AA51" i="26" a="1"/>
  <c r="AA51" i="26" s="1"/>
  <c r="AA50" i="26" a="1"/>
  <c r="AA50" i="26" s="1"/>
  <c r="AA49" i="26" a="1"/>
  <c r="AA49" i="26" s="1"/>
  <c r="AA48" i="26" a="1"/>
  <c r="AA48" i="26" s="1"/>
  <c r="AA47" i="26" a="1"/>
  <c r="AA47" i="26" s="1"/>
  <c r="AA45" i="26" a="1"/>
  <c r="AA45" i="26" s="1"/>
  <c r="AA44" i="26" a="1"/>
  <c r="AA44" i="26" s="1"/>
  <c r="AA43" i="26" a="1"/>
  <c r="AA43" i="26" s="1"/>
  <c r="AA42" i="26" a="1"/>
  <c r="AA42" i="26" s="1"/>
  <c r="AA39" i="26" a="1"/>
  <c r="AA39" i="26" s="1"/>
  <c r="AA38" i="26" a="1"/>
  <c r="AA38" i="26" s="1"/>
  <c r="AA37" i="26" a="1"/>
  <c r="AA37" i="26" s="1"/>
  <c r="AA36" i="26" a="1"/>
  <c r="AA36" i="26" s="1"/>
  <c r="AA35" i="26" a="1"/>
  <c r="AA35" i="26" s="1"/>
  <c r="AA34" i="26" a="1"/>
  <c r="AA34" i="26" s="1"/>
  <c r="AA33" i="26" a="1"/>
  <c r="AA33" i="26" s="1"/>
  <c r="Y58" i="26" a="1"/>
  <c r="Y58" i="26" s="1"/>
  <c r="W58" i="26" a="1"/>
  <c r="W58" i="26" s="1"/>
  <c r="U58" i="26" a="1"/>
  <c r="U58" i="26" s="1"/>
  <c r="S58" i="26" a="1"/>
  <c r="S58" i="26" s="1"/>
  <c r="Q58" i="26" a="1"/>
  <c r="Q58" i="26" s="1"/>
  <c r="O58" i="26" a="1"/>
  <c r="O58" i="26" s="1"/>
  <c r="M58" i="26" a="1"/>
  <c r="M58" i="26" s="1"/>
  <c r="K58" i="26" a="1"/>
  <c r="K58" i="26" s="1"/>
  <c r="I58" i="26" a="1"/>
  <c r="I58" i="26" s="1"/>
  <c r="G58" i="26" a="1"/>
  <c r="G58" i="26" s="1"/>
  <c r="E58" i="26" a="1"/>
  <c r="E58" i="26" s="1"/>
  <c r="Y57" i="26" a="1"/>
  <c r="Y57" i="26" s="1"/>
  <c r="W57" i="26" a="1"/>
  <c r="W57" i="26" s="1"/>
  <c r="U57" i="26" a="1"/>
  <c r="U57" i="26" s="1"/>
  <c r="S57" i="26" a="1"/>
  <c r="S57" i="26" s="1"/>
  <c r="Q57" i="26" a="1"/>
  <c r="Q57" i="26" s="1"/>
  <c r="O57" i="26" a="1"/>
  <c r="O57" i="26" s="1"/>
  <c r="M57" i="26" a="1"/>
  <c r="M57" i="26" s="1"/>
  <c r="K57" i="26" a="1"/>
  <c r="K57" i="26" s="1"/>
  <c r="I57" i="26" a="1"/>
  <c r="I57" i="26" s="1"/>
  <c r="G57" i="26" a="1"/>
  <c r="G57" i="26" s="1"/>
  <c r="E57" i="26" a="1"/>
  <c r="E57" i="26" s="1"/>
  <c r="Y56" i="26" a="1"/>
  <c r="Y56" i="26" s="1"/>
  <c r="W56" i="26" a="1"/>
  <c r="W56" i="26" s="1"/>
  <c r="U56" i="26" a="1"/>
  <c r="U56" i="26" s="1"/>
  <c r="S56" i="26" a="1"/>
  <c r="S56" i="26" s="1"/>
  <c r="Q56" i="26" a="1"/>
  <c r="Q56" i="26" s="1"/>
  <c r="O56" i="26" a="1"/>
  <c r="O56" i="26" s="1"/>
  <c r="M56" i="26" a="1"/>
  <c r="M56" i="26" s="1"/>
  <c r="K56" i="26" a="1"/>
  <c r="K56" i="26" s="1"/>
  <c r="I56" i="26" a="1"/>
  <c r="I56" i="26" s="1"/>
  <c r="G56" i="26" a="1"/>
  <c r="G56" i="26" s="1"/>
  <c r="E56" i="26" a="1"/>
  <c r="E56" i="26" s="1"/>
  <c r="Y55" i="26" a="1"/>
  <c r="Y55" i="26" s="1"/>
  <c r="W55" i="26" a="1"/>
  <c r="W55" i="26" s="1"/>
  <c r="U55" i="26" a="1"/>
  <c r="U55" i="26" s="1"/>
  <c r="S55" i="26" a="1"/>
  <c r="S55" i="26" s="1"/>
  <c r="Q55" i="26" a="1"/>
  <c r="Q55" i="26" s="1"/>
  <c r="O55" i="26" a="1"/>
  <c r="O55" i="26" s="1"/>
  <c r="M55" i="26" a="1"/>
  <c r="M55" i="26" s="1"/>
  <c r="K55" i="26" a="1"/>
  <c r="K55" i="26" s="1"/>
  <c r="I55" i="26" a="1"/>
  <c r="I55" i="26" s="1"/>
  <c r="G55" i="26" a="1"/>
  <c r="G55" i="26" s="1"/>
  <c r="Y54" i="26" a="1"/>
  <c r="Y54" i="26" s="1"/>
  <c r="W54" i="26" a="1"/>
  <c r="W54" i="26" s="1"/>
  <c r="U54" i="26" a="1"/>
  <c r="U54" i="26" s="1"/>
  <c r="S54" i="26" a="1"/>
  <c r="S54" i="26" s="1"/>
  <c r="Q54" i="26" a="1"/>
  <c r="Q54" i="26" s="1"/>
  <c r="O54" i="26" a="1"/>
  <c r="O54" i="26" s="1"/>
  <c r="M54" i="26" a="1"/>
  <c r="M54" i="26" s="1"/>
  <c r="K54" i="26" a="1"/>
  <c r="K54" i="26" s="1"/>
  <c r="I54" i="26" a="1"/>
  <c r="I54" i="26" s="1"/>
  <c r="G54" i="26" a="1"/>
  <c r="G54" i="26" s="1"/>
  <c r="E54" i="26" a="1"/>
  <c r="E54" i="26" s="1"/>
  <c r="Y53" i="26" a="1"/>
  <c r="Y53" i="26" s="1"/>
  <c r="W53" i="26" a="1"/>
  <c r="W53" i="26" s="1"/>
  <c r="U53" i="26" a="1"/>
  <c r="U53" i="26" s="1"/>
  <c r="S53" i="26" a="1"/>
  <c r="S53" i="26" s="1"/>
  <c r="Q53" i="26" a="1"/>
  <c r="Q53" i="26" s="1"/>
  <c r="O53" i="26" a="1"/>
  <c r="O53" i="26" s="1"/>
  <c r="M53" i="26" a="1"/>
  <c r="M53" i="26" s="1"/>
  <c r="K53" i="26" a="1"/>
  <c r="K53" i="26" s="1"/>
  <c r="I53" i="26" a="1"/>
  <c r="I53" i="26" s="1"/>
  <c r="G53" i="26" a="1"/>
  <c r="G53" i="26" s="1"/>
  <c r="Y52" i="26" a="1"/>
  <c r="Y52" i="26" s="1"/>
  <c r="W52" i="26" a="1"/>
  <c r="W52" i="26" s="1"/>
  <c r="U52" i="26" a="1"/>
  <c r="U52" i="26" s="1"/>
  <c r="S52" i="26" a="1"/>
  <c r="S52" i="26" s="1"/>
  <c r="Q52" i="26" a="1"/>
  <c r="Q52" i="26" s="1"/>
  <c r="O52" i="26" a="1"/>
  <c r="O52" i="26" s="1"/>
  <c r="M52" i="26" a="1"/>
  <c r="M52" i="26" s="1"/>
  <c r="K52" i="26" a="1"/>
  <c r="K52" i="26" s="1"/>
  <c r="I52" i="26" a="1"/>
  <c r="I52" i="26" s="1"/>
  <c r="G52" i="26" a="1"/>
  <c r="G52" i="26" s="1"/>
  <c r="Y51" i="26" a="1"/>
  <c r="Y51" i="26" s="1"/>
  <c r="W51" i="26" a="1"/>
  <c r="W51" i="26" s="1"/>
  <c r="U51" i="26" a="1"/>
  <c r="U51" i="26" s="1"/>
  <c r="S51" i="26" a="1"/>
  <c r="S51" i="26" s="1"/>
  <c r="Q51" i="26" a="1"/>
  <c r="Q51" i="26" s="1"/>
  <c r="O51" i="26" a="1"/>
  <c r="O51" i="26" s="1"/>
  <c r="M51" i="26" a="1"/>
  <c r="M51" i="26" s="1"/>
  <c r="K51" i="26" a="1"/>
  <c r="K51" i="26" s="1"/>
  <c r="I51" i="26" a="1"/>
  <c r="I51" i="26" s="1"/>
  <c r="G51" i="26" a="1"/>
  <c r="G51" i="26" s="1"/>
  <c r="E51" i="26" a="1"/>
  <c r="E51" i="26" s="1"/>
  <c r="Y50" i="26" a="1"/>
  <c r="Y50" i="26" s="1"/>
  <c r="W50" i="26" a="1"/>
  <c r="W50" i="26" s="1"/>
  <c r="U50" i="26" a="1"/>
  <c r="U50" i="26" s="1"/>
  <c r="S50" i="26" a="1"/>
  <c r="S50" i="26" s="1"/>
  <c r="Q50" i="26" a="1"/>
  <c r="Q50" i="26" s="1"/>
  <c r="O50" i="26" a="1"/>
  <c r="O50" i="26" s="1"/>
  <c r="M50" i="26" a="1"/>
  <c r="M50" i="26" s="1"/>
  <c r="K50" i="26" a="1"/>
  <c r="K50" i="26" s="1"/>
  <c r="I50" i="26" a="1"/>
  <c r="I50" i="26" s="1"/>
  <c r="G50" i="26" a="1"/>
  <c r="G50" i="26" s="1"/>
  <c r="E50" i="26" a="1"/>
  <c r="E50" i="26" s="1"/>
  <c r="Y49" i="26" a="1"/>
  <c r="Y49" i="26" s="1"/>
  <c r="W49" i="26" a="1"/>
  <c r="W49" i="26" s="1"/>
  <c r="U49" i="26" a="1"/>
  <c r="U49" i="26" s="1"/>
  <c r="S49" i="26" a="1"/>
  <c r="S49" i="26" s="1"/>
  <c r="Q49" i="26" a="1"/>
  <c r="Q49" i="26" s="1"/>
  <c r="O49" i="26" a="1"/>
  <c r="O49" i="26" s="1"/>
  <c r="M49" i="26" a="1"/>
  <c r="M49" i="26" s="1"/>
  <c r="K49" i="26" a="1"/>
  <c r="K49" i="26" s="1"/>
  <c r="I49" i="26" a="1"/>
  <c r="I49" i="26" s="1"/>
  <c r="G49" i="26" a="1"/>
  <c r="G49" i="26" s="1"/>
  <c r="Y48" i="26" a="1"/>
  <c r="Y48" i="26" s="1"/>
  <c r="W48" i="26" a="1"/>
  <c r="W48" i="26" s="1"/>
  <c r="U48" i="26" a="1"/>
  <c r="U48" i="26" s="1"/>
  <c r="S48" i="26" a="1"/>
  <c r="S48" i="26" s="1"/>
  <c r="Q48" i="26" a="1"/>
  <c r="Q48" i="26" s="1"/>
  <c r="O48" i="26" a="1"/>
  <c r="O48" i="26" s="1"/>
  <c r="M48" i="26" a="1"/>
  <c r="M48" i="26" s="1"/>
  <c r="K48" i="26" a="1"/>
  <c r="K48" i="26" s="1"/>
  <c r="I48" i="26" a="1"/>
  <c r="I48" i="26" s="1"/>
  <c r="G48" i="26" a="1"/>
  <c r="G48" i="26" s="1"/>
  <c r="Y47" i="26" a="1"/>
  <c r="Y47" i="26" s="1"/>
  <c r="W47" i="26" a="1"/>
  <c r="W47" i="26" s="1"/>
  <c r="U47" i="26" a="1"/>
  <c r="U47" i="26" s="1"/>
  <c r="S47" i="26" a="1"/>
  <c r="S47" i="26" s="1"/>
  <c r="Q47" i="26" a="1"/>
  <c r="Q47" i="26" s="1"/>
  <c r="O47" i="26" a="1"/>
  <c r="O47" i="26" s="1"/>
  <c r="M47" i="26" a="1"/>
  <c r="M47" i="26" s="1"/>
  <c r="K47" i="26" a="1"/>
  <c r="K47" i="26" s="1"/>
  <c r="I47" i="26" a="1"/>
  <c r="I47" i="26" s="1"/>
  <c r="G47" i="26" a="1"/>
  <c r="G47" i="26" s="1"/>
  <c r="Y45" i="26" a="1"/>
  <c r="Y45" i="26" s="1"/>
  <c r="W45" i="26" a="1"/>
  <c r="W45" i="26" s="1"/>
  <c r="U45" i="26" a="1"/>
  <c r="U45" i="26" s="1"/>
  <c r="S45" i="26" a="1"/>
  <c r="S45" i="26" s="1"/>
  <c r="Q45" i="26" a="1"/>
  <c r="Q45" i="26" s="1"/>
  <c r="O45" i="26" a="1"/>
  <c r="O45" i="26" s="1"/>
  <c r="M45" i="26" a="1"/>
  <c r="M45" i="26" s="1"/>
  <c r="K45" i="26" a="1"/>
  <c r="K45" i="26" s="1"/>
  <c r="G45" i="26" a="1"/>
  <c r="G45" i="26" s="1"/>
  <c r="E45" i="26" a="1"/>
  <c r="E45" i="26" s="1"/>
  <c r="Y44" i="26" a="1"/>
  <c r="Y44" i="26" s="1"/>
  <c r="W44" i="26" a="1"/>
  <c r="W44" i="26" s="1"/>
  <c r="U44" i="26" a="1"/>
  <c r="U44" i="26" s="1"/>
  <c r="S44" i="26" a="1"/>
  <c r="S44" i="26" s="1"/>
  <c r="Q44" i="26" a="1"/>
  <c r="Q44" i="26" s="1"/>
  <c r="O44" i="26" a="1"/>
  <c r="O44" i="26" s="1"/>
  <c r="M44" i="26" a="1"/>
  <c r="M44" i="26" s="1"/>
  <c r="K44" i="26" a="1"/>
  <c r="K44" i="26" s="1"/>
  <c r="I44" i="26" a="1"/>
  <c r="I44" i="26" s="1"/>
  <c r="G44" i="26" a="1"/>
  <c r="G44" i="26" s="1"/>
  <c r="Y43" i="26" a="1"/>
  <c r="Y43" i="26" s="1"/>
  <c r="W43" i="26" a="1"/>
  <c r="W43" i="26" s="1"/>
  <c r="U43" i="26" a="1"/>
  <c r="U43" i="26" s="1"/>
  <c r="S43" i="26" a="1"/>
  <c r="S43" i="26" s="1"/>
  <c r="Q43" i="26" a="1"/>
  <c r="Q43" i="26" s="1"/>
  <c r="O43" i="26" a="1"/>
  <c r="O43" i="26" s="1"/>
  <c r="M43" i="26" a="1"/>
  <c r="M43" i="26" s="1"/>
  <c r="K43" i="26" a="1"/>
  <c r="K43" i="26" s="1"/>
  <c r="I43" i="26" a="1"/>
  <c r="I43" i="26" s="1"/>
  <c r="G43" i="26" a="1"/>
  <c r="G43" i="26" s="1"/>
  <c r="Y42" i="26" a="1"/>
  <c r="Y42" i="26" s="1"/>
  <c r="W42" i="26" a="1"/>
  <c r="W42" i="26" s="1"/>
  <c r="U42" i="26" a="1"/>
  <c r="U42" i="26" s="1"/>
  <c r="S42" i="26" a="1"/>
  <c r="S42" i="26" s="1"/>
  <c r="Q42" i="26" a="1"/>
  <c r="Q42" i="26" s="1"/>
  <c r="O42" i="26" a="1"/>
  <c r="O42" i="26" s="1"/>
  <c r="M42" i="26" a="1"/>
  <c r="M42" i="26" s="1"/>
  <c r="K42" i="26" a="1"/>
  <c r="K42" i="26" s="1"/>
  <c r="I42" i="26" a="1"/>
  <c r="I42" i="26" s="1"/>
  <c r="G42" i="26" a="1"/>
  <c r="G42" i="26" s="1"/>
  <c r="Y39" i="26" a="1"/>
  <c r="Y39" i="26" s="1"/>
  <c r="W39" i="26" a="1"/>
  <c r="W39" i="26" s="1"/>
  <c r="U39" i="26" a="1"/>
  <c r="U39" i="26" s="1"/>
  <c r="S39" i="26" a="1"/>
  <c r="S39" i="26" s="1"/>
  <c r="Q39" i="26" a="1"/>
  <c r="Q39" i="26" s="1"/>
  <c r="O39" i="26" a="1"/>
  <c r="O39" i="26" s="1"/>
  <c r="M39" i="26" a="1"/>
  <c r="M39" i="26" s="1"/>
  <c r="K39" i="26" a="1"/>
  <c r="K39" i="26" s="1"/>
  <c r="I39" i="26" a="1"/>
  <c r="I39" i="26" s="1"/>
  <c r="G39" i="26" a="1"/>
  <c r="G39" i="26" s="1"/>
  <c r="Y38" i="26" a="1"/>
  <c r="Y38" i="26" s="1"/>
  <c r="W38" i="26" a="1"/>
  <c r="W38" i="26" s="1"/>
  <c r="U38" i="26" a="1"/>
  <c r="U38" i="26" s="1"/>
  <c r="S38" i="26" a="1"/>
  <c r="S38" i="26" s="1"/>
  <c r="Q38" i="26" a="1"/>
  <c r="Q38" i="26" s="1"/>
  <c r="O38" i="26" a="1"/>
  <c r="O38" i="26" s="1"/>
  <c r="M38" i="26" a="1"/>
  <c r="M38" i="26" s="1"/>
  <c r="K38" i="26" a="1"/>
  <c r="K38" i="26" s="1"/>
  <c r="I38" i="26" a="1"/>
  <c r="I38" i="26" s="1"/>
  <c r="G38" i="26" a="1"/>
  <c r="G38" i="26" s="1"/>
  <c r="Y37" i="26" a="1"/>
  <c r="Y37" i="26" s="1"/>
  <c r="W37" i="26" a="1"/>
  <c r="W37" i="26" s="1"/>
  <c r="U37" i="26" a="1"/>
  <c r="U37" i="26" s="1"/>
  <c r="S37" i="26" a="1"/>
  <c r="S37" i="26" s="1"/>
  <c r="Q37" i="26" a="1"/>
  <c r="Q37" i="26" s="1"/>
  <c r="M37" i="26" a="1"/>
  <c r="M37" i="26" s="1"/>
  <c r="K37" i="26" a="1"/>
  <c r="K37" i="26" s="1"/>
  <c r="I37" i="26" a="1"/>
  <c r="I37" i="26" s="1"/>
  <c r="G37" i="26" a="1"/>
  <c r="G37" i="26" s="1"/>
  <c r="E37" i="26" a="1"/>
  <c r="E37" i="26" s="1"/>
  <c r="Y36" i="26" a="1"/>
  <c r="Y36" i="26" s="1"/>
  <c r="W36" i="26" a="1"/>
  <c r="W36" i="26" s="1"/>
  <c r="U36" i="26" a="1"/>
  <c r="U36" i="26" s="1"/>
  <c r="S36" i="26" a="1"/>
  <c r="S36" i="26" s="1"/>
  <c r="Q36" i="26" a="1"/>
  <c r="Q36" i="26" s="1"/>
  <c r="O36" i="26" a="1"/>
  <c r="O36" i="26" s="1"/>
  <c r="M36" i="26" a="1"/>
  <c r="M36" i="26" s="1"/>
  <c r="K36" i="26" a="1"/>
  <c r="K36" i="26" s="1"/>
  <c r="I36" i="26" a="1"/>
  <c r="I36" i="26" s="1"/>
  <c r="G36" i="26" a="1"/>
  <c r="G36" i="26" s="1"/>
  <c r="Y35" i="26" a="1"/>
  <c r="Y35" i="26" s="1"/>
  <c r="W35" i="26" a="1"/>
  <c r="W35" i="26" s="1"/>
  <c r="U35" i="26" a="1"/>
  <c r="U35" i="26" s="1"/>
  <c r="S35" i="26" a="1"/>
  <c r="S35" i="26" s="1"/>
  <c r="Q35" i="26" a="1"/>
  <c r="Q35" i="26" s="1"/>
  <c r="O35" i="26" a="1"/>
  <c r="O35" i="26" s="1"/>
  <c r="M35" i="26" a="1"/>
  <c r="M35" i="26" s="1"/>
  <c r="K35" i="26" a="1"/>
  <c r="K35" i="26" s="1"/>
  <c r="I35" i="26" a="1"/>
  <c r="I35" i="26" s="1"/>
  <c r="G35" i="26" a="1"/>
  <c r="G35" i="26" s="1"/>
  <c r="E35" i="26" a="1"/>
  <c r="E35" i="26" s="1"/>
  <c r="Y34" i="26" a="1"/>
  <c r="Y34" i="26" s="1"/>
  <c r="W34" i="26" a="1"/>
  <c r="W34" i="26" s="1"/>
  <c r="U34" i="26" a="1"/>
  <c r="U34" i="26" s="1"/>
  <c r="S34" i="26" a="1"/>
  <c r="S34" i="26" s="1"/>
  <c r="Q34" i="26" a="1"/>
  <c r="Q34" i="26" s="1"/>
  <c r="O34" i="26" a="1"/>
  <c r="O34" i="26" s="1"/>
  <c r="M34" i="26" a="1"/>
  <c r="M34" i="26" s="1"/>
  <c r="K34" i="26" a="1"/>
  <c r="K34" i="26" s="1"/>
  <c r="I34" i="26" a="1"/>
  <c r="I34" i="26" s="1"/>
  <c r="G34" i="26" a="1"/>
  <c r="G34" i="26" s="1"/>
  <c r="Y33" i="26" a="1"/>
  <c r="Y33" i="26" s="1"/>
  <c r="W33" i="26" a="1"/>
  <c r="W33" i="26" s="1"/>
  <c r="U33" i="26" a="1"/>
  <c r="U33" i="26" s="1"/>
  <c r="S33" i="26" a="1"/>
  <c r="S33" i="26" s="1"/>
  <c r="Q33" i="26" a="1"/>
  <c r="Q33" i="26" s="1"/>
  <c r="O33" i="26" a="1"/>
  <c r="O33" i="26" s="1"/>
  <c r="M33" i="26" a="1"/>
  <c r="M33" i="26" s="1"/>
  <c r="K33" i="26" a="1"/>
  <c r="K33" i="26" s="1"/>
  <c r="I33" i="26" a="1"/>
  <c r="I33" i="26" s="1"/>
  <c r="G33" i="26" a="1"/>
  <c r="G33" i="26" s="1"/>
  <c r="AA33" i="25" a="1"/>
  <c r="AA33" i="25" s="1"/>
  <c r="AA34" i="25" a="1"/>
  <c r="AA34" i="25" s="1"/>
  <c r="AA35" i="25" a="1"/>
  <c r="AA35" i="25" s="1"/>
  <c r="AA36" i="25" a="1"/>
  <c r="AA36" i="25" s="1"/>
  <c r="AA37" i="25" a="1"/>
  <c r="AA37" i="25" s="1"/>
  <c r="AA38" i="25" a="1"/>
  <c r="AA38" i="25" s="1"/>
  <c r="AA40" i="25" a="1"/>
  <c r="AA40" i="25" s="1"/>
  <c r="AA41" i="25" a="1"/>
  <c r="AA41" i="25" s="1"/>
  <c r="AA42" i="25" a="1"/>
  <c r="AA42" i="25" s="1"/>
  <c r="AA43" i="25" a="1"/>
  <c r="AA43" i="25" s="1"/>
  <c r="AA44" i="25" a="1"/>
  <c r="AA44" i="25" s="1"/>
  <c r="AA45" i="25" a="1"/>
  <c r="AA45" i="25" s="1"/>
  <c r="AA46" i="25" a="1"/>
  <c r="AA46" i="25" s="1"/>
  <c r="AA47" i="25" a="1"/>
  <c r="AA47" i="25" s="1"/>
  <c r="AA48" i="25" a="1"/>
  <c r="AA48" i="25" s="1"/>
  <c r="Z28" i="25"/>
  <c r="X28" i="25"/>
  <c r="V28" i="25"/>
  <c r="T28" i="25"/>
  <c r="R28" i="25"/>
  <c r="P28" i="25"/>
  <c r="N28" i="25"/>
  <c r="L28" i="25"/>
  <c r="J28" i="25"/>
  <c r="H28" i="25"/>
  <c r="F28" i="25"/>
  <c r="D28" i="25"/>
  <c r="AK57" i="25" a="1"/>
  <c r="AK57" i="25" s="1"/>
  <c r="AK56" i="25" a="1"/>
  <c r="AK56" i="25" s="1"/>
  <c r="AK55" i="25" a="1"/>
  <c r="AK55" i="25" s="1"/>
  <c r="AK54" i="25" a="1"/>
  <c r="AK54" i="25" s="1"/>
  <c r="AK53" i="25" a="1"/>
  <c r="AK53" i="25" s="1"/>
  <c r="AK52" i="25" a="1"/>
  <c r="AK52" i="25" s="1"/>
  <c r="AK51" i="25" a="1"/>
  <c r="AK51" i="25" s="1"/>
  <c r="AK50" i="25" a="1"/>
  <c r="AK50" i="25" s="1"/>
  <c r="AK49" i="25" a="1"/>
  <c r="AK49" i="25" s="1"/>
  <c r="AK48" i="25" a="1"/>
  <c r="AK48" i="25" s="1"/>
  <c r="AK47" i="25" a="1"/>
  <c r="AK47" i="25" s="1"/>
  <c r="AK46" i="25" a="1"/>
  <c r="AK46" i="25" s="1"/>
  <c r="AK45" i="25" a="1"/>
  <c r="AK45" i="25" s="1"/>
  <c r="AK44" i="25" a="1"/>
  <c r="AK44" i="25" s="1"/>
  <c r="AK43" i="25" a="1"/>
  <c r="AK43" i="25" s="1"/>
  <c r="AK42" i="25" a="1"/>
  <c r="AK42" i="25" s="1"/>
  <c r="AK41" i="25" a="1"/>
  <c r="AK41" i="25" s="1"/>
  <c r="AK40" i="25" a="1"/>
  <c r="AK40" i="25" s="1"/>
  <c r="AK38" i="25" a="1"/>
  <c r="AK38" i="25" s="1"/>
  <c r="AK37" i="25" a="1"/>
  <c r="AK37" i="25" s="1"/>
  <c r="AK36" i="25" a="1"/>
  <c r="AK36" i="25" s="1"/>
  <c r="AK35" i="25" a="1"/>
  <c r="AK35" i="25" s="1"/>
  <c r="AK34" i="25" a="1"/>
  <c r="AK34" i="25" s="1"/>
  <c r="AK33" i="25" a="1"/>
  <c r="AK33" i="25" s="1"/>
  <c r="AI57" i="25" a="1"/>
  <c r="AI57" i="25" s="1"/>
  <c r="AI56" i="25" a="1"/>
  <c r="AI56" i="25" s="1"/>
  <c r="AI55" i="25" a="1"/>
  <c r="AI55" i="25" s="1"/>
  <c r="AI54" i="25" a="1"/>
  <c r="AI54" i="25" s="1"/>
  <c r="AI53" i="25" a="1"/>
  <c r="AI53" i="25" s="1"/>
  <c r="AI52" i="25" a="1"/>
  <c r="AI52" i="25" s="1"/>
  <c r="AI51" i="25" a="1"/>
  <c r="AI51" i="25" s="1"/>
  <c r="AI50" i="25" a="1"/>
  <c r="AI50" i="25" s="1"/>
  <c r="AI49" i="25" a="1"/>
  <c r="AI49" i="25" s="1"/>
  <c r="AI48" i="25" a="1"/>
  <c r="AI48" i="25" s="1"/>
  <c r="AI47" i="25" a="1"/>
  <c r="AI47" i="25" s="1"/>
  <c r="AI46" i="25" a="1"/>
  <c r="AI46" i="25" s="1"/>
  <c r="AI45" i="25" a="1"/>
  <c r="AI45" i="25" s="1"/>
  <c r="AI44" i="25" a="1"/>
  <c r="AI44" i="25" s="1"/>
  <c r="AI43" i="25" a="1"/>
  <c r="AI43" i="25" s="1"/>
  <c r="AI42" i="25" a="1"/>
  <c r="AI42" i="25" s="1"/>
  <c r="AI41" i="25" a="1"/>
  <c r="AI41" i="25" s="1"/>
  <c r="AI40" i="25" a="1"/>
  <c r="AI40" i="25" s="1"/>
  <c r="AI38" i="25" a="1"/>
  <c r="AI38" i="25" s="1"/>
  <c r="AI37" i="25" a="1"/>
  <c r="AI37" i="25" s="1"/>
  <c r="AI36" i="25" a="1"/>
  <c r="AI36" i="25" s="1"/>
  <c r="AI35" i="25" a="1"/>
  <c r="AI35" i="25" s="1"/>
  <c r="AI34" i="25" a="1"/>
  <c r="AI34" i="25" s="1"/>
  <c r="AI33" i="25" a="1"/>
  <c r="AI33" i="25" s="1"/>
  <c r="AG57" i="25" a="1"/>
  <c r="AG57" i="25" s="1"/>
  <c r="AG56" i="25" a="1"/>
  <c r="AG56" i="25" s="1"/>
  <c r="AG55" i="25" a="1"/>
  <c r="AG55" i="25" s="1"/>
  <c r="AG54" i="25" a="1"/>
  <c r="AG54" i="25" s="1"/>
  <c r="AG53" i="25" a="1"/>
  <c r="AG53" i="25" s="1"/>
  <c r="AG52" i="25" a="1"/>
  <c r="AG52" i="25" s="1"/>
  <c r="AG51" i="25" a="1"/>
  <c r="AG51" i="25" s="1"/>
  <c r="AG50" i="25" a="1"/>
  <c r="AG50" i="25" s="1"/>
  <c r="AG49" i="25" a="1"/>
  <c r="AG49" i="25" s="1"/>
  <c r="AG48" i="25" a="1"/>
  <c r="AG48" i="25" s="1"/>
  <c r="AG47" i="25" a="1"/>
  <c r="AG47" i="25" s="1"/>
  <c r="AG46" i="25" a="1"/>
  <c r="AG46" i="25" s="1"/>
  <c r="AG45" i="25" a="1"/>
  <c r="AG45" i="25" s="1"/>
  <c r="AG44" i="25" a="1"/>
  <c r="AG44" i="25" s="1"/>
  <c r="AG43" i="25" a="1"/>
  <c r="AG43" i="25" s="1"/>
  <c r="AG42" i="25" a="1"/>
  <c r="AG42" i="25" s="1"/>
  <c r="AG41" i="25" a="1"/>
  <c r="AG41" i="25" s="1"/>
  <c r="AG40" i="25" a="1"/>
  <c r="AG40" i="25" s="1"/>
  <c r="AG38" i="25" a="1"/>
  <c r="AG38" i="25" s="1"/>
  <c r="AG37" i="25" a="1"/>
  <c r="AG37" i="25" s="1"/>
  <c r="AG36" i="25" a="1"/>
  <c r="AG36" i="25" s="1"/>
  <c r="AG35" i="25" a="1"/>
  <c r="AG35" i="25" s="1"/>
  <c r="AG34" i="25" a="1"/>
  <c r="AG34" i="25" s="1"/>
  <c r="AG33" i="25" a="1"/>
  <c r="AG33" i="25" s="1"/>
  <c r="AE57" i="25" a="1"/>
  <c r="AE57" i="25" s="1"/>
  <c r="AE56" i="25" a="1"/>
  <c r="AE56" i="25" s="1"/>
  <c r="AE55" i="25" a="1"/>
  <c r="AE55" i="25" s="1"/>
  <c r="AE54" i="25" a="1"/>
  <c r="AE54" i="25" s="1"/>
  <c r="AE53" i="25" a="1"/>
  <c r="AE53" i="25" s="1"/>
  <c r="AE52" i="25" a="1"/>
  <c r="AE52" i="25" s="1"/>
  <c r="AE51" i="25" a="1"/>
  <c r="AE51" i="25" s="1"/>
  <c r="AE50" i="25" a="1"/>
  <c r="AE50" i="25" s="1"/>
  <c r="AE49" i="25" a="1"/>
  <c r="AE49" i="25" s="1"/>
  <c r="AE48" i="25" a="1"/>
  <c r="AE48" i="25" s="1"/>
  <c r="AE47" i="25" a="1"/>
  <c r="AE47" i="25" s="1"/>
  <c r="AE46" i="25" a="1"/>
  <c r="AE46" i="25" s="1"/>
  <c r="AE45" i="25" a="1"/>
  <c r="AE45" i="25" s="1"/>
  <c r="AE44" i="25" a="1"/>
  <c r="AE44" i="25" s="1"/>
  <c r="AE43" i="25" a="1"/>
  <c r="AE43" i="25" s="1"/>
  <c r="AE42" i="25" a="1"/>
  <c r="AE42" i="25" s="1"/>
  <c r="AE41" i="25" a="1"/>
  <c r="AE41" i="25" s="1"/>
  <c r="AE40" i="25" a="1"/>
  <c r="AE40" i="25" s="1"/>
  <c r="AE38" i="25" a="1"/>
  <c r="AE38" i="25" s="1"/>
  <c r="AE37" i="25" a="1"/>
  <c r="AE37" i="25" s="1"/>
  <c r="AE36" i="25" a="1"/>
  <c r="AE36" i="25" s="1"/>
  <c r="AE35" i="25" a="1"/>
  <c r="AE35" i="25" s="1"/>
  <c r="AE34" i="25" a="1"/>
  <c r="AE34" i="25" s="1"/>
  <c r="AE33" i="25" a="1"/>
  <c r="AE33" i="25" s="1"/>
  <c r="AC57" i="25" a="1"/>
  <c r="AC57" i="25" s="1"/>
  <c r="AC56" i="25" a="1"/>
  <c r="AC56" i="25" s="1"/>
  <c r="AC55" i="25" a="1"/>
  <c r="AC55" i="25" s="1"/>
  <c r="AC54" i="25" a="1"/>
  <c r="AC54" i="25" s="1"/>
  <c r="AC53" i="25" a="1"/>
  <c r="AC53" i="25" s="1"/>
  <c r="AC52" i="25" a="1"/>
  <c r="AC52" i="25" s="1"/>
  <c r="AC51" i="25" a="1"/>
  <c r="AC51" i="25" s="1"/>
  <c r="AC50" i="25" a="1"/>
  <c r="AC50" i="25" s="1"/>
  <c r="AC49" i="25" a="1"/>
  <c r="AC49" i="25" s="1"/>
  <c r="AC48" i="25" a="1"/>
  <c r="AC48" i="25" s="1"/>
  <c r="AC47" i="25" a="1"/>
  <c r="AC47" i="25" s="1"/>
  <c r="AC46" i="25" a="1"/>
  <c r="AC46" i="25" s="1"/>
  <c r="AC45" i="25" a="1"/>
  <c r="AC45" i="25" s="1"/>
  <c r="AC44" i="25" a="1"/>
  <c r="AC44" i="25" s="1"/>
  <c r="AC43" i="25" a="1"/>
  <c r="AC43" i="25" s="1"/>
  <c r="AC42" i="25" a="1"/>
  <c r="AC42" i="25" s="1"/>
  <c r="AC41" i="25" a="1"/>
  <c r="AC41" i="25" s="1"/>
  <c r="AC40" i="25" a="1"/>
  <c r="AC40" i="25" s="1"/>
  <c r="AC38" i="25" a="1"/>
  <c r="AC38" i="25" s="1"/>
  <c r="AC37" i="25" a="1"/>
  <c r="AC37" i="25" s="1"/>
  <c r="AC36" i="25" a="1"/>
  <c r="AC36" i="25" s="1"/>
  <c r="AC35" i="25" a="1"/>
  <c r="AC35" i="25" s="1"/>
  <c r="AC34" i="25" a="1"/>
  <c r="AC34" i="25" s="1"/>
  <c r="AC33" i="25" a="1"/>
  <c r="AC33" i="25" s="1"/>
  <c r="AA57" i="25" a="1"/>
  <c r="AA57" i="25" s="1"/>
  <c r="AA56" i="25" a="1"/>
  <c r="AA56" i="25" s="1"/>
  <c r="AA55" i="25" a="1"/>
  <c r="AA55" i="25" s="1"/>
  <c r="AA54" i="25" a="1"/>
  <c r="AA54" i="25" s="1"/>
  <c r="AA53" i="25" a="1"/>
  <c r="AA53" i="25" s="1"/>
  <c r="AA52" i="25" a="1"/>
  <c r="AA52" i="25" s="1"/>
  <c r="AA51" i="25" a="1"/>
  <c r="AA51" i="25" s="1"/>
  <c r="AA50" i="25" a="1"/>
  <c r="AA50" i="25" s="1"/>
  <c r="AA49" i="25" a="1"/>
  <c r="AA49" i="25" s="1"/>
  <c r="Y57" i="25" a="1"/>
  <c r="Y57" i="25" s="1"/>
  <c r="W57" i="25" a="1"/>
  <c r="W57" i="25" s="1"/>
  <c r="U57" i="25" a="1"/>
  <c r="U57" i="25" s="1"/>
  <c r="Y56" i="25" a="1"/>
  <c r="Y56" i="25" s="1"/>
  <c r="W56" i="25" a="1"/>
  <c r="W56" i="25" s="1"/>
  <c r="U56" i="25" a="1"/>
  <c r="U56" i="25" s="1"/>
  <c r="Y55" i="25" a="1"/>
  <c r="Y55" i="25" s="1"/>
  <c r="W55" i="25" a="1"/>
  <c r="W55" i="25" s="1"/>
  <c r="U55" i="25" a="1"/>
  <c r="U55" i="25" s="1"/>
  <c r="Y54" i="25" a="1"/>
  <c r="Y54" i="25" s="1"/>
  <c r="W54" i="25" a="1"/>
  <c r="W54" i="25" s="1"/>
  <c r="U54" i="25" a="1"/>
  <c r="U54" i="25" s="1"/>
  <c r="Y53" i="25" a="1"/>
  <c r="Y53" i="25" s="1"/>
  <c r="W53" i="25" a="1"/>
  <c r="W53" i="25" s="1"/>
  <c r="U53" i="25" a="1"/>
  <c r="U53" i="25" s="1"/>
  <c r="Y52" i="25" a="1"/>
  <c r="Y52" i="25" s="1"/>
  <c r="W52" i="25" a="1"/>
  <c r="W52" i="25" s="1"/>
  <c r="U52" i="25" a="1"/>
  <c r="U52" i="25" s="1"/>
  <c r="Y51" i="25" a="1"/>
  <c r="Y51" i="25" s="1"/>
  <c r="W51" i="25" a="1"/>
  <c r="W51" i="25" s="1"/>
  <c r="U51" i="25" a="1"/>
  <c r="U51" i="25" s="1"/>
  <c r="Y50" i="25" a="1"/>
  <c r="Y50" i="25" s="1"/>
  <c r="W50" i="25" a="1"/>
  <c r="W50" i="25" s="1"/>
  <c r="U50" i="25" a="1"/>
  <c r="U50" i="25" s="1"/>
  <c r="Y49" i="25" a="1"/>
  <c r="Y49" i="25" s="1"/>
  <c r="W49" i="25" a="1"/>
  <c r="W49" i="25" s="1"/>
  <c r="U49" i="25" a="1"/>
  <c r="U49" i="25" s="1"/>
  <c r="Y48" i="25" a="1"/>
  <c r="Y48" i="25" s="1"/>
  <c r="W48" i="25" a="1"/>
  <c r="W48" i="25" s="1"/>
  <c r="U48" i="25" a="1"/>
  <c r="U48" i="25" s="1"/>
  <c r="Y47" i="25" a="1"/>
  <c r="Y47" i="25" s="1"/>
  <c r="W47" i="25" a="1"/>
  <c r="W47" i="25" s="1"/>
  <c r="U47" i="25" a="1"/>
  <c r="U47" i="25" s="1"/>
  <c r="Y46" i="25" a="1"/>
  <c r="Y46" i="25" s="1"/>
  <c r="W46" i="25" a="1"/>
  <c r="W46" i="25" s="1"/>
  <c r="U46" i="25" a="1"/>
  <c r="U46" i="25" s="1"/>
  <c r="Y45" i="25" a="1"/>
  <c r="Y45" i="25" s="1"/>
  <c r="W45" i="25" a="1"/>
  <c r="W45" i="25" s="1"/>
  <c r="U45" i="25" a="1"/>
  <c r="U45" i="25" s="1"/>
  <c r="Y44" i="25" a="1"/>
  <c r="Y44" i="25" s="1"/>
  <c r="W44" i="25" a="1"/>
  <c r="W44" i="25" s="1"/>
  <c r="U44" i="25" a="1"/>
  <c r="U44" i="25" s="1"/>
  <c r="Y43" i="25" a="1"/>
  <c r="Y43" i="25" s="1"/>
  <c r="W43" i="25" a="1"/>
  <c r="W43" i="25" s="1"/>
  <c r="U43" i="25" a="1"/>
  <c r="U43" i="25" s="1"/>
  <c r="Y42" i="25" a="1"/>
  <c r="Y42" i="25" s="1"/>
  <c r="W42" i="25" a="1"/>
  <c r="W42" i="25" s="1"/>
  <c r="U42" i="25" a="1"/>
  <c r="U42" i="25" s="1"/>
  <c r="Y41" i="25" a="1"/>
  <c r="Y41" i="25" s="1"/>
  <c r="W41" i="25" a="1"/>
  <c r="W41" i="25" s="1"/>
  <c r="U41" i="25" a="1"/>
  <c r="U41" i="25" s="1"/>
  <c r="Y40" i="25" a="1"/>
  <c r="Y40" i="25" s="1"/>
  <c r="W40" i="25" a="1"/>
  <c r="W40" i="25" s="1"/>
  <c r="U40" i="25" a="1"/>
  <c r="U40" i="25" s="1"/>
  <c r="Y38" i="25" a="1"/>
  <c r="Y38" i="25" s="1"/>
  <c r="W38" i="25" a="1"/>
  <c r="W38" i="25" s="1"/>
  <c r="U38" i="25" a="1"/>
  <c r="U38" i="25" s="1"/>
  <c r="Y37" i="25" a="1"/>
  <c r="Y37" i="25" s="1"/>
  <c r="W37" i="25" a="1"/>
  <c r="W37" i="25" s="1"/>
  <c r="U37" i="25" a="1"/>
  <c r="U37" i="25" s="1"/>
  <c r="Y36" i="25" a="1"/>
  <c r="Y36" i="25" s="1"/>
  <c r="W36" i="25" a="1"/>
  <c r="W36" i="25" s="1"/>
  <c r="U36" i="25" a="1"/>
  <c r="U36" i="25" s="1"/>
  <c r="Y35" i="25" a="1"/>
  <c r="Y35" i="25" s="1"/>
  <c r="W35" i="25" a="1"/>
  <c r="W35" i="25" s="1"/>
  <c r="U35" i="25" a="1"/>
  <c r="U35" i="25" s="1"/>
  <c r="Y34" i="25" a="1"/>
  <c r="Y34" i="25" s="1"/>
  <c r="W34" i="25" a="1"/>
  <c r="W34" i="25" s="1"/>
  <c r="U34" i="25" a="1"/>
  <c r="U34" i="25" s="1"/>
  <c r="Y33" i="25" a="1"/>
  <c r="Y33" i="25" s="1"/>
  <c r="W33" i="25" a="1"/>
  <c r="W33" i="25" s="1"/>
  <c r="U33" i="25" a="1"/>
  <c r="U33" i="25" s="1"/>
  <c r="Z28" i="24"/>
  <c r="X28" i="24"/>
  <c r="V28" i="24"/>
  <c r="T28" i="24"/>
  <c r="R28" i="24"/>
  <c r="P28" i="24"/>
  <c r="N28" i="24"/>
  <c r="L28" i="24"/>
  <c r="J28" i="24"/>
  <c r="H28" i="24"/>
  <c r="F28" i="24"/>
  <c r="D28" i="24"/>
  <c r="AL57" i="24"/>
  <c r="AJ57" i="24"/>
  <c r="AH57" i="24"/>
  <c r="AF57" i="24"/>
  <c r="AD57" i="24"/>
  <c r="AB57" i="24"/>
  <c r="Z57" i="24"/>
  <c r="X57" i="24"/>
  <c r="V57" i="24"/>
  <c r="T57" i="24"/>
  <c r="R57" i="24"/>
  <c r="P57" i="24"/>
  <c r="N57" i="24"/>
  <c r="L57" i="24"/>
  <c r="J57" i="24"/>
  <c r="H57" i="24"/>
  <c r="F57" i="24"/>
  <c r="D57" i="24"/>
  <c r="AK56" i="24" a="1"/>
  <c r="AK56" i="24" s="1"/>
  <c r="AK55" i="24" a="1"/>
  <c r="AK55" i="24" s="1"/>
  <c r="AK54" i="24" a="1"/>
  <c r="AK54" i="24" s="1"/>
  <c r="AK53" i="24" a="1"/>
  <c r="AK53" i="24" s="1"/>
  <c r="AK52" i="24" a="1"/>
  <c r="AK52" i="24" s="1"/>
  <c r="AK51" i="24" a="1"/>
  <c r="AK51" i="24" s="1"/>
  <c r="AK50" i="24" a="1"/>
  <c r="AK50" i="24" s="1"/>
  <c r="AK49" i="24" a="1"/>
  <c r="AK49" i="24" s="1"/>
  <c r="AK48" i="24" a="1"/>
  <c r="AK48" i="24" s="1"/>
  <c r="AK47" i="24" a="1"/>
  <c r="AK47" i="24" s="1"/>
  <c r="AK46" i="24" a="1"/>
  <c r="AK46" i="24" s="1"/>
  <c r="AK45" i="24" a="1"/>
  <c r="AK45" i="24" s="1"/>
  <c r="AK44" i="24" a="1"/>
  <c r="AK44" i="24" s="1"/>
  <c r="AK43" i="24" a="1"/>
  <c r="AK43" i="24" s="1"/>
  <c r="AK42" i="24" a="1"/>
  <c r="AK42" i="24" s="1"/>
  <c r="AK41" i="24" a="1"/>
  <c r="AK41" i="24" s="1"/>
  <c r="AK40" i="24" a="1"/>
  <c r="AK40" i="24" s="1"/>
  <c r="AK39" i="24" a="1"/>
  <c r="AK39" i="24" s="1"/>
  <c r="AK38" i="24" a="1"/>
  <c r="AK38" i="24" s="1"/>
  <c r="AK36" i="24" a="1"/>
  <c r="AK36" i="24" s="1"/>
  <c r="AK35" i="24" a="1"/>
  <c r="AK35" i="24" s="1"/>
  <c r="AK34" i="24" a="1"/>
  <c r="AK34" i="24" s="1"/>
  <c r="AK33" i="24" a="1"/>
  <c r="AK33" i="24" s="1"/>
  <c r="AK32" i="24" a="1"/>
  <c r="AK32" i="24" s="1"/>
  <c r="AI56" i="24" a="1"/>
  <c r="AI56" i="24" s="1"/>
  <c r="AI55" i="24" a="1"/>
  <c r="AI55" i="24" s="1"/>
  <c r="AI54" i="24" a="1"/>
  <c r="AI54" i="24" s="1"/>
  <c r="AI53" i="24" a="1"/>
  <c r="AI53" i="24" s="1"/>
  <c r="AI52" i="24" a="1"/>
  <c r="AI52" i="24" s="1"/>
  <c r="AI51" i="24" a="1"/>
  <c r="AI51" i="24" s="1"/>
  <c r="AI50" i="24" a="1"/>
  <c r="AI50" i="24" s="1"/>
  <c r="AI49" i="24" a="1"/>
  <c r="AI49" i="24" s="1"/>
  <c r="AI48" i="24" a="1"/>
  <c r="AI48" i="24" s="1"/>
  <c r="AI47" i="24" a="1"/>
  <c r="AI47" i="24" s="1"/>
  <c r="AI46" i="24" a="1"/>
  <c r="AI46" i="24" s="1"/>
  <c r="AI45" i="24" a="1"/>
  <c r="AI45" i="24" s="1"/>
  <c r="AI44" i="24" a="1"/>
  <c r="AI44" i="24" s="1"/>
  <c r="AI43" i="24" a="1"/>
  <c r="AI43" i="24" s="1"/>
  <c r="AI42" i="24" a="1"/>
  <c r="AI42" i="24" s="1"/>
  <c r="AI41" i="24" a="1"/>
  <c r="AI41" i="24" s="1"/>
  <c r="AI40" i="24" a="1"/>
  <c r="AI40" i="24" s="1"/>
  <c r="AI39" i="24" a="1"/>
  <c r="AI39" i="24" s="1"/>
  <c r="AI38" i="24" a="1"/>
  <c r="AI38" i="24" s="1"/>
  <c r="AI36" i="24" a="1"/>
  <c r="AI36" i="24" s="1"/>
  <c r="AI35" i="24" a="1"/>
  <c r="AI35" i="24" s="1"/>
  <c r="AI34" i="24" a="1"/>
  <c r="AI34" i="24" s="1"/>
  <c r="AI33" i="24" a="1"/>
  <c r="AI33" i="24" s="1"/>
  <c r="AI32" i="24" a="1"/>
  <c r="AI32" i="24" s="1"/>
  <c r="AG56" i="24" a="1"/>
  <c r="AG56" i="24" s="1"/>
  <c r="AG55" i="24" a="1"/>
  <c r="AG55" i="24" s="1"/>
  <c r="AG54" i="24" a="1"/>
  <c r="AG54" i="24" s="1"/>
  <c r="AG53" i="24" a="1"/>
  <c r="AG53" i="24" s="1"/>
  <c r="AG52" i="24" a="1"/>
  <c r="AG52" i="24" s="1"/>
  <c r="AG51" i="24" a="1"/>
  <c r="AG51" i="24" s="1"/>
  <c r="AG50" i="24" a="1"/>
  <c r="AG50" i="24" s="1"/>
  <c r="AG49" i="24" a="1"/>
  <c r="AG49" i="24" s="1"/>
  <c r="AG48" i="24" a="1"/>
  <c r="AG48" i="24" s="1"/>
  <c r="AG47" i="24" a="1"/>
  <c r="AG47" i="24" s="1"/>
  <c r="AG46" i="24" a="1"/>
  <c r="AG46" i="24" s="1"/>
  <c r="AG45" i="24" a="1"/>
  <c r="AG45" i="24" s="1"/>
  <c r="AG44" i="24" a="1"/>
  <c r="AG44" i="24" s="1"/>
  <c r="AG43" i="24" a="1"/>
  <c r="AG43" i="24" s="1"/>
  <c r="AG42" i="24" a="1"/>
  <c r="AG42" i="24" s="1"/>
  <c r="AG41" i="24" a="1"/>
  <c r="AG41" i="24" s="1"/>
  <c r="AG40" i="24" a="1"/>
  <c r="AG40" i="24" s="1"/>
  <c r="AG39" i="24" a="1"/>
  <c r="AG39" i="24" s="1"/>
  <c r="AG38" i="24" a="1"/>
  <c r="AG38" i="24" s="1"/>
  <c r="AG36" i="24" a="1"/>
  <c r="AG36" i="24" s="1"/>
  <c r="AG35" i="24" a="1"/>
  <c r="AG35" i="24" s="1"/>
  <c r="AG34" i="24" a="1"/>
  <c r="AG34" i="24" s="1"/>
  <c r="AG33" i="24" a="1"/>
  <c r="AG33" i="24" s="1"/>
  <c r="AG32" i="24" a="1"/>
  <c r="AG32" i="24" s="1"/>
  <c r="AE56" i="24" a="1"/>
  <c r="AE56" i="24" s="1"/>
  <c r="AE55" i="24" a="1"/>
  <c r="AE55" i="24" s="1"/>
  <c r="AE54" i="24" a="1"/>
  <c r="AE54" i="24" s="1"/>
  <c r="AE53" i="24" a="1"/>
  <c r="AE53" i="24" s="1"/>
  <c r="AE52" i="24" a="1"/>
  <c r="AE52" i="24" s="1"/>
  <c r="AE51" i="24" a="1"/>
  <c r="AE51" i="24" s="1"/>
  <c r="AE50" i="24" a="1"/>
  <c r="AE50" i="24" s="1"/>
  <c r="AE49" i="24" a="1"/>
  <c r="AE49" i="24" s="1"/>
  <c r="AE48" i="24" a="1"/>
  <c r="AE48" i="24" s="1"/>
  <c r="AE47" i="24" a="1"/>
  <c r="AE47" i="24" s="1"/>
  <c r="AE46" i="24" a="1"/>
  <c r="AE46" i="24" s="1"/>
  <c r="AE45" i="24" a="1"/>
  <c r="AE45" i="24" s="1"/>
  <c r="AE44" i="24" a="1"/>
  <c r="AE44" i="24" s="1"/>
  <c r="AE43" i="24" a="1"/>
  <c r="AE43" i="24" s="1"/>
  <c r="AE42" i="24" a="1"/>
  <c r="AE42" i="24" s="1"/>
  <c r="AE41" i="24" a="1"/>
  <c r="AE41" i="24" s="1"/>
  <c r="AE40" i="24" a="1"/>
  <c r="AE40" i="24" s="1"/>
  <c r="AE39" i="24" a="1"/>
  <c r="AE39" i="24" s="1"/>
  <c r="AE38" i="24" a="1"/>
  <c r="AE38" i="24" s="1"/>
  <c r="AE36" i="24" a="1"/>
  <c r="AE36" i="24" s="1"/>
  <c r="AE35" i="24" a="1"/>
  <c r="AE35" i="24" s="1"/>
  <c r="AE34" i="24" a="1"/>
  <c r="AE34" i="24" s="1"/>
  <c r="AE33" i="24" a="1"/>
  <c r="AE33" i="24" s="1"/>
  <c r="AE32" i="24" a="1"/>
  <c r="AE32" i="24" s="1"/>
  <c r="AC56" i="24" a="1"/>
  <c r="AC56" i="24" s="1"/>
  <c r="AC55" i="24" a="1"/>
  <c r="AC55" i="24" s="1"/>
  <c r="AC54" i="24" a="1"/>
  <c r="AC54" i="24" s="1"/>
  <c r="AC53" i="24" a="1"/>
  <c r="AC53" i="24" s="1"/>
  <c r="AC52" i="24" a="1"/>
  <c r="AC52" i="24" s="1"/>
  <c r="AC51" i="24" a="1"/>
  <c r="AC51" i="24" s="1"/>
  <c r="AC50" i="24" a="1"/>
  <c r="AC50" i="24" s="1"/>
  <c r="AC49" i="24" a="1"/>
  <c r="AC49" i="24" s="1"/>
  <c r="AC48" i="24" a="1"/>
  <c r="AC48" i="24" s="1"/>
  <c r="AC47" i="24" a="1"/>
  <c r="AC47" i="24" s="1"/>
  <c r="AC46" i="24" a="1"/>
  <c r="AC46" i="24" s="1"/>
  <c r="AC45" i="24" a="1"/>
  <c r="AC45" i="24" s="1"/>
  <c r="AC44" i="24" a="1"/>
  <c r="AC44" i="24" s="1"/>
  <c r="AC43" i="24" a="1"/>
  <c r="AC43" i="24" s="1"/>
  <c r="AC42" i="24" a="1"/>
  <c r="AC42" i="24" s="1"/>
  <c r="AC41" i="24" a="1"/>
  <c r="AC41" i="24" s="1"/>
  <c r="AC40" i="24" a="1"/>
  <c r="AC40" i="24" s="1"/>
  <c r="AC39" i="24" a="1"/>
  <c r="AC39" i="24" s="1"/>
  <c r="AC38" i="24" a="1"/>
  <c r="AC38" i="24" s="1"/>
  <c r="AC36" i="24" a="1"/>
  <c r="AC36" i="24" s="1"/>
  <c r="AC35" i="24" a="1"/>
  <c r="AC35" i="24" s="1"/>
  <c r="AC34" i="24" a="1"/>
  <c r="AC34" i="24" s="1"/>
  <c r="AC33" i="24" a="1"/>
  <c r="AC33" i="24" s="1"/>
  <c r="AC32" i="24" a="1"/>
  <c r="AC32" i="24" s="1"/>
  <c r="AA56" i="24" a="1"/>
  <c r="AA56" i="24" s="1"/>
  <c r="AA55" i="24" a="1"/>
  <c r="AA55" i="24" s="1"/>
  <c r="AA54" i="24" a="1"/>
  <c r="AA54" i="24" s="1"/>
  <c r="AA53" i="24" a="1"/>
  <c r="AA53" i="24" s="1"/>
  <c r="AA52" i="24" a="1"/>
  <c r="AA52" i="24" s="1"/>
  <c r="AA51" i="24" a="1"/>
  <c r="AA51" i="24" s="1"/>
  <c r="AA50" i="24" a="1"/>
  <c r="AA50" i="24" s="1"/>
  <c r="AA49" i="24" a="1"/>
  <c r="AA49" i="24" s="1"/>
  <c r="AA48" i="24" a="1"/>
  <c r="AA48" i="24" s="1"/>
  <c r="AA47" i="24" a="1"/>
  <c r="AA47" i="24" s="1"/>
  <c r="AA46" i="24" a="1"/>
  <c r="AA46" i="24" s="1"/>
  <c r="AA45" i="24" a="1"/>
  <c r="AA45" i="24" s="1"/>
  <c r="AA44" i="24" a="1"/>
  <c r="AA44" i="24" s="1"/>
  <c r="AA43" i="24" a="1"/>
  <c r="AA43" i="24" s="1"/>
  <c r="AA42" i="24" a="1"/>
  <c r="AA42" i="24" s="1"/>
  <c r="AA41" i="24" a="1"/>
  <c r="AA41" i="24" s="1"/>
  <c r="AA40" i="24" a="1"/>
  <c r="AA40" i="24" s="1"/>
  <c r="AA39" i="24" a="1"/>
  <c r="AA39" i="24" s="1"/>
  <c r="AA38" i="24" a="1"/>
  <c r="AA38" i="24" s="1"/>
  <c r="AA36" i="24" a="1"/>
  <c r="AA36" i="24" s="1"/>
  <c r="AA35" i="24" a="1"/>
  <c r="AA35" i="24" s="1"/>
  <c r="AA34" i="24" a="1"/>
  <c r="AA34" i="24" s="1"/>
  <c r="AA33" i="24" a="1"/>
  <c r="AA33" i="24" s="1"/>
  <c r="AA32" i="24" a="1"/>
  <c r="AA32" i="24" s="1"/>
  <c r="Y56" i="24" a="1"/>
  <c r="Y56" i="24" s="1"/>
  <c r="Y55" i="24" a="1"/>
  <c r="Y55" i="24" s="1"/>
  <c r="Y54" i="24" a="1"/>
  <c r="Y54" i="24" s="1"/>
  <c r="Y53" i="24" a="1"/>
  <c r="Y53" i="24" s="1"/>
  <c r="Y52" i="24" a="1"/>
  <c r="Y52" i="24" s="1"/>
  <c r="Y51" i="24" a="1"/>
  <c r="Y51" i="24" s="1"/>
  <c r="Y50" i="24" a="1"/>
  <c r="Y50" i="24" s="1"/>
  <c r="Y49" i="24" a="1"/>
  <c r="Y49" i="24" s="1"/>
  <c r="Y48" i="24" a="1"/>
  <c r="Y48" i="24" s="1"/>
  <c r="Y47" i="24" a="1"/>
  <c r="Y47" i="24" s="1"/>
  <c r="Y46" i="24" a="1"/>
  <c r="Y46" i="24" s="1"/>
  <c r="Y45" i="24" a="1"/>
  <c r="Y45" i="24" s="1"/>
  <c r="Y44" i="24" a="1"/>
  <c r="Y44" i="24" s="1"/>
  <c r="Y43" i="24" a="1"/>
  <c r="Y43" i="24" s="1"/>
  <c r="Y42" i="24" a="1"/>
  <c r="Y42" i="24" s="1"/>
  <c r="Y41" i="24" a="1"/>
  <c r="Y41" i="24" s="1"/>
  <c r="Y40" i="24" a="1"/>
  <c r="Y40" i="24" s="1"/>
  <c r="Y39" i="24" a="1"/>
  <c r="Y39" i="24" s="1"/>
  <c r="Y38" i="24" a="1"/>
  <c r="Y38" i="24" s="1"/>
  <c r="Y36" i="24" a="1"/>
  <c r="Y36" i="24" s="1"/>
  <c r="Y35" i="24" a="1"/>
  <c r="Y35" i="24" s="1"/>
  <c r="Y34" i="24" a="1"/>
  <c r="Y34" i="24" s="1"/>
  <c r="Y33" i="24" a="1"/>
  <c r="Y33" i="24" s="1"/>
  <c r="Y32" i="24" a="1"/>
  <c r="Y32" i="24" s="1"/>
  <c r="W56" i="24" a="1"/>
  <c r="W56" i="24" s="1"/>
  <c r="U56" i="24" a="1"/>
  <c r="U56" i="24" s="1"/>
  <c r="S56" i="24" a="1"/>
  <c r="S56" i="24" s="1"/>
  <c r="Q56" i="24" a="1"/>
  <c r="Q56" i="24" s="1"/>
  <c r="O56" i="24" a="1"/>
  <c r="O56" i="24" s="1"/>
  <c r="M56" i="24" a="1"/>
  <c r="M56" i="24" s="1"/>
  <c r="K56" i="24" a="1"/>
  <c r="K56" i="24" s="1"/>
  <c r="I56" i="24" a="1"/>
  <c r="I56" i="24" s="1"/>
  <c r="G56" i="24" a="1"/>
  <c r="G56" i="24" s="1"/>
  <c r="W55" i="24" a="1"/>
  <c r="W55" i="24" s="1"/>
  <c r="U55" i="24" a="1"/>
  <c r="U55" i="24" s="1"/>
  <c r="S55" i="24" a="1"/>
  <c r="S55" i="24" s="1"/>
  <c r="Q55" i="24" a="1"/>
  <c r="Q55" i="24" s="1"/>
  <c r="O55" i="24" a="1"/>
  <c r="O55" i="24" s="1"/>
  <c r="M55" i="24" a="1"/>
  <c r="M55" i="24" s="1"/>
  <c r="K55" i="24" a="1"/>
  <c r="K55" i="24" s="1"/>
  <c r="I55" i="24" a="1"/>
  <c r="I55" i="24" s="1"/>
  <c r="G55" i="24" a="1"/>
  <c r="G55" i="24" s="1"/>
  <c r="E55" i="24" a="1"/>
  <c r="E55" i="24" s="1"/>
  <c r="W54" i="24" a="1"/>
  <c r="W54" i="24" s="1"/>
  <c r="U54" i="24" a="1"/>
  <c r="U54" i="24" s="1"/>
  <c r="S54" i="24" a="1"/>
  <c r="S54" i="24" s="1"/>
  <c r="Q54" i="24" a="1"/>
  <c r="Q54" i="24" s="1"/>
  <c r="O54" i="24" a="1"/>
  <c r="O54" i="24" s="1"/>
  <c r="M54" i="24" a="1"/>
  <c r="M54" i="24" s="1"/>
  <c r="K54" i="24" a="1"/>
  <c r="K54" i="24" s="1"/>
  <c r="I54" i="24" a="1"/>
  <c r="I54" i="24" s="1"/>
  <c r="G54" i="24" a="1"/>
  <c r="G54" i="24" s="1"/>
  <c r="W53" i="24" a="1"/>
  <c r="W53" i="24" s="1"/>
  <c r="U53" i="24" a="1"/>
  <c r="U53" i="24" s="1"/>
  <c r="S53" i="24" a="1"/>
  <c r="S53" i="24" s="1"/>
  <c r="Q53" i="24" a="1"/>
  <c r="Q53" i="24" s="1"/>
  <c r="O53" i="24" a="1"/>
  <c r="O53" i="24" s="1"/>
  <c r="M53" i="24" a="1"/>
  <c r="M53" i="24" s="1"/>
  <c r="K53" i="24" a="1"/>
  <c r="K53" i="24" s="1"/>
  <c r="I53" i="24" a="1"/>
  <c r="I53" i="24" s="1"/>
  <c r="G53" i="24" a="1"/>
  <c r="G53" i="24" s="1"/>
  <c r="W52" i="24" a="1"/>
  <c r="W52" i="24" s="1"/>
  <c r="U52" i="24" a="1"/>
  <c r="U52" i="24" s="1"/>
  <c r="S52" i="24" a="1"/>
  <c r="S52" i="24" s="1"/>
  <c r="Q52" i="24" a="1"/>
  <c r="Q52" i="24" s="1"/>
  <c r="O52" i="24" a="1"/>
  <c r="O52" i="24" s="1"/>
  <c r="M52" i="24" a="1"/>
  <c r="M52" i="24" s="1"/>
  <c r="K52" i="24" a="1"/>
  <c r="K52" i="24" s="1"/>
  <c r="I52" i="24" a="1"/>
  <c r="I52" i="24" s="1"/>
  <c r="G52" i="24" a="1"/>
  <c r="G52" i="24" s="1"/>
  <c r="E52" i="24" a="1"/>
  <c r="E52" i="24" s="1"/>
  <c r="W51" i="24" a="1"/>
  <c r="W51" i="24" s="1"/>
  <c r="U51" i="24" a="1"/>
  <c r="U51" i="24" s="1"/>
  <c r="S51" i="24" a="1"/>
  <c r="S51" i="24" s="1"/>
  <c r="Q51" i="24" a="1"/>
  <c r="Q51" i="24" s="1"/>
  <c r="O51" i="24" a="1"/>
  <c r="O51" i="24" s="1"/>
  <c r="M51" i="24" a="1"/>
  <c r="M51" i="24" s="1"/>
  <c r="K51" i="24" a="1"/>
  <c r="K51" i="24" s="1"/>
  <c r="I51" i="24" a="1"/>
  <c r="I51" i="24" s="1"/>
  <c r="G51" i="24" a="1"/>
  <c r="G51" i="24" s="1"/>
  <c r="W50" i="24" a="1"/>
  <c r="W50" i="24" s="1"/>
  <c r="U50" i="24" a="1"/>
  <c r="U50" i="24" s="1"/>
  <c r="S50" i="24" a="1"/>
  <c r="S50" i="24" s="1"/>
  <c r="Q50" i="24" a="1"/>
  <c r="Q50" i="24" s="1"/>
  <c r="O50" i="24" a="1"/>
  <c r="O50" i="24" s="1"/>
  <c r="M50" i="24" a="1"/>
  <c r="M50" i="24" s="1"/>
  <c r="K50" i="24" a="1"/>
  <c r="K50" i="24" s="1"/>
  <c r="I50" i="24" a="1"/>
  <c r="I50" i="24" s="1"/>
  <c r="G50" i="24" a="1"/>
  <c r="G50" i="24" s="1"/>
  <c r="W49" i="24" a="1"/>
  <c r="W49" i="24" s="1"/>
  <c r="U49" i="24" a="1"/>
  <c r="U49" i="24" s="1"/>
  <c r="S49" i="24" a="1"/>
  <c r="S49" i="24" s="1"/>
  <c r="Q49" i="24" a="1"/>
  <c r="Q49" i="24" s="1"/>
  <c r="M49" i="24" a="1"/>
  <c r="M49" i="24" s="1"/>
  <c r="K49" i="24" a="1"/>
  <c r="K49" i="24" s="1"/>
  <c r="I49" i="24" a="1"/>
  <c r="I49" i="24" s="1"/>
  <c r="G49" i="24" a="1"/>
  <c r="G49" i="24" s="1"/>
  <c r="E49" i="24" a="1"/>
  <c r="E49" i="24" s="1"/>
  <c r="W48" i="24" a="1"/>
  <c r="W48" i="24" s="1"/>
  <c r="U48" i="24" a="1"/>
  <c r="U48" i="24" s="1"/>
  <c r="S48" i="24" a="1"/>
  <c r="S48" i="24" s="1"/>
  <c r="Q48" i="24" a="1"/>
  <c r="Q48" i="24" s="1"/>
  <c r="O48" i="24" a="1"/>
  <c r="O48" i="24" s="1"/>
  <c r="M48" i="24" a="1"/>
  <c r="M48" i="24" s="1"/>
  <c r="K48" i="24" a="1"/>
  <c r="K48" i="24" s="1"/>
  <c r="I48" i="24" a="1"/>
  <c r="I48" i="24" s="1"/>
  <c r="G48" i="24" a="1"/>
  <c r="G48" i="24" s="1"/>
  <c r="W47" i="24" a="1"/>
  <c r="W47" i="24" s="1"/>
  <c r="U47" i="24" a="1"/>
  <c r="U47" i="24" s="1"/>
  <c r="S47" i="24" a="1"/>
  <c r="S47" i="24" s="1"/>
  <c r="Q47" i="24" a="1"/>
  <c r="Q47" i="24" s="1"/>
  <c r="O47" i="24" a="1"/>
  <c r="O47" i="24" s="1"/>
  <c r="M47" i="24" a="1"/>
  <c r="M47" i="24" s="1"/>
  <c r="K47" i="24" a="1"/>
  <c r="K47" i="24" s="1"/>
  <c r="I47" i="24" a="1"/>
  <c r="I47" i="24" s="1"/>
  <c r="G47" i="24" a="1"/>
  <c r="G47" i="24" s="1"/>
  <c r="W46" i="24" a="1"/>
  <c r="W46" i="24" s="1"/>
  <c r="U46" i="24" a="1"/>
  <c r="U46" i="24" s="1"/>
  <c r="S46" i="24" a="1"/>
  <c r="S46" i="24" s="1"/>
  <c r="Q46" i="24" a="1"/>
  <c r="Q46" i="24" s="1"/>
  <c r="O46" i="24" a="1"/>
  <c r="O46" i="24" s="1"/>
  <c r="M46" i="24" a="1"/>
  <c r="M46" i="24" s="1"/>
  <c r="K46" i="24" a="1"/>
  <c r="K46" i="24" s="1"/>
  <c r="I46" i="24" a="1"/>
  <c r="I46" i="24" s="1"/>
  <c r="G46" i="24" a="1"/>
  <c r="G46" i="24" s="1"/>
  <c r="W45" i="24" a="1"/>
  <c r="W45" i="24" s="1"/>
  <c r="U45" i="24" a="1"/>
  <c r="U45" i="24" s="1"/>
  <c r="S45" i="24" a="1"/>
  <c r="S45" i="24" s="1"/>
  <c r="Q45" i="24" a="1"/>
  <c r="Q45" i="24" s="1"/>
  <c r="M45" i="24" a="1"/>
  <c r="M45" i="24" s="1"/>
  <c r="K45" i="24" a="1"/>
  <c r="K45" i="24" s="1"/>
  <c r="I45" i="24" a="1"/>
  <c r="I45" i="24" s="1"/>
  <c r="G45" i="24" a="1"/>
  <c r="G45" i="24" s="1"/>
  <c r="E45" i="24" a="1"/>
  <c r="E45" i="24" s="1"/>
  <c r="W44" i="24" a="1"/>
  <c r="W44" i="24" s="1"/>
  <c r="U44" i="24" a="1"/>
  <c r="U44" i="24" s="1"/>
  <c r="S44" i="24" a="1"/>
  <c r="S44" i="24" s="1"/>
  <c r="Q44" i="24" a="1"/>
  <c r="Q44" i="24" s="1"/>
  <c r="O44" i="24" a="1"/>
  <c r="O44" i="24" s="1"/>
  <c r="M44" i="24" a="1"/>
  <c r="M44" i="24" s="1"/>
  <c r="K44" i="24" a="1"/>
  <c r="K44" i="24" s="1"/>
  <c r="I44" i="24" a="1"/>
  <c r="I44" i="24" s="1"/>
  <c r="G44" i="24" a="1"/>
  <c r="G44" i="24" s="1"/>
  <c r="W43" i="24" a="1"/>
  <c r="W43" i="24" s="1"/>
  <c r="U43" i="24" a="1"/>
  <c r="U43" i="24" s="1"/>
  <c r="S43" i="24" a="1"/>
  <c r="S43" i="24" s="1"/>
  <c r="Q43" i="24" a="1"/>
  <c r="Q43" i="24" s="1"/>
  <c r="O43" i="24" a="1"/>
  <c r="O43" i="24" s="1"/>
  <c r="M43" i="24" a="1"/>
  <c r="M43" i="24" s="1"/>
  <c r="K43" i="24" a="1"/>
  <c r="K43" i="24" s="1"/>
  <c r="I43" i="24" a="1"/>
  <c r="I43" i="24" s="1"/>
  <c r="G43" i="24" a="1"/>
  <c r="G43" i="24" s="1"/>
  <c r="W42" i="24" a="1"/>
  <c r="W42" i="24" s="1"/>
  <c r="U42" i="24" a="1"/>
  <c r="U42" i="24" s="1"/>
  <c r="S42" i="24" a="1"/>
  <c r="S42" i="24" s="1"/>
  <c r="Q42" i="24" a="1"/>
  <c r="Q42" i="24" s="1"/>
  <c r="O42" i="24" a="1"/>
  <c r="O42" i="24" s="1"/>
  <c r="M42" i="24" a="1"/>
  <c r="M42" i="24" s="1"/>
  <c r="K42" i="24" a="1"/>
  <c r="K42" i="24" s="1"/>
  <c r="I42" i="24" a="1"/>
  <c r="I42" i="24" s="1"/>
  <c r="G42" i="24" a="1"/>
  <c r="G42" i="24" s="1"/>
  <c r="W41" i="24" a="1"/>
  <c r="W41" i="24" s="1"/>
  <c r="U41" i="24" a="1"/>
  <c r="U41" i="24" s="1"/>
  <c r="S41" i="24" a="1"/>
  <c r="S41" i="24" s="1"/>
  <c r="Q41" i="24" a="1"/>
  <c r="Q41" i="24" s="1"/>
  <c r="O41" i="24" a="1"/>
  <c r="O41" i="24" s="1"/>
  <c r="M41" i="24" a="1"/>
  <c r="M41" i="24" s="1"/>
  <c r="K41" i="24" a="1"/>
  <c r="K41" i="24" s="1"/>
  <c r="I41" i="24" a="1"/>
  <c r="I41" i="24" s="1"/>
  <c r="G41" i="24" a="1"/>
  <c r="G41" i="24" s="1"/>
  <c r="W40" i="24" a="1"/>
  <c r="W40" i="24" s="1"/>
  <c r="U40" i="24" a="1"/>
  <c r="U40" i="24" s="1"/>
  <c r="S40" i="24" a="1"/>
  <c r="S40" i="24" s="1"/>
  <c r="Q40" i="24" a="1"/>
  <c r="Q40" i="24" s="1"/>
  <c r="O40" i="24" a="1"/>
  <c r="O40" i="24" s="1"/>
  <c r="M40" i="24" a="1"/>
  <c r="M40" i="24" s="1"/>
  <c r="K40" i="24" a="1"/>
  <c r="K40" i="24" s="1"/>
  <c r="I40" i="24" a="1"/>
  <c r="I40" i="24" s="1"/>
  <c r="G40" i="24" a="1"/>
  <c r="G40" i="24" s="1"/>
  <c r="W39" i="24" a="1"/>
  <c r="W39" i="24" s="1"/>
  <c r="U39" i="24" a="1"/>
  <c r="U39" i="24" s="1"/>
  <c r="S39" i="24" a="1"/>
  <c r="S39" i="24" s="1"/>
  <c r="Q39" i="24" a="1"/>
  <c r="Q39" i="24" s="1"/>
  <c r="M39" i="24" a="1"/>
  <c r="M39" i="24" s="1"/>
  <c r="K39" i="24" a="1"/>
  <c r="K39" i="24" s="1"/>
  <c r="I39" i="24" a="1"/>
  <c r="I39" i="24" s="1"/>
  <c r="G39" i="24" a="1"/>
  <c r="G39" i="24" s="1"/>
  <c r="E39" i="24" a="1"/>
  <c r="E39" i="24" s="1"/>
  <c r="W38" i="24" a="1"/>
  <c r="W38" i="24" s="1"/>
  <c r="U38" i="24" a="1"/>
  <c r="U38" i="24" s="1"/>
  <c r="S38" i="24" a="1"/>
  <c r="S38" i="24" s="1"/>
  <c r="Q38" i="24" a="1"/>
  <c r="Q38" i="24" s="1"/>
  <c r="O38" i="24" a="1"/>
  <c r="O38" i="24" s="1"/>
  <c r="M38" i="24" a="1"/>
  <c r="M38" i="24" s="1"/>
  <c r="K38" i="24" a="1"/>
  <c r="K38" i="24" s="1"/>
  <c r="I38" i="24" a="1"/>
  <c r="I38" i="24" s="1"/>
  <c r="G38" i="24" a="1"/>
  <c r="G38" i="24" s="1"/>
  <c r="W36" i="24" a="1"/>
  <c r="W36" i="24" s="1"/>
  <c r="U36" i="24" a="1"/>
  <c r="U36" i="24" s="1"/>
  <c r="S36" i="24" a="1"/>
  <c r="S36" i="24" s="1"/>
  <c r="Q36" i="24" a="1"/>
  <c r="Q36" i="24" s="1"/>
  <c r="O36" i="24" a="1"/>
  <c r="O36" i="24" s="1"/>
  <c r="M36" i="24" a="1"/>
  <c r="M36" i="24" s="1"/>
  <c r="K36" i="24" a="1"/>
  <c r="K36" i="24" s="1"/>
  <c r="I36" i="24" a="1"/>
  <c r="I36" i="24" s="1"/>
  <c r="G36" i="24" a="1"/>
  <c r="G36" i="24" s="1"/>
  <c r="W35" i="24" a="1"/>
  <c r="W35" i="24" s="1"/>
  <c r="U35" i="24" a="1"/>
  <c r="U35" i="24" s="1"/>
  <c r="S35" i="24" a="1"/>
  <c r="S35" i="24" s="1"/>
  <c r="Q35" i="24" a="1"/>
  <c r="Q35" i="24" s="1"/>
  <c r="M35" i="24" a="1"/>
  <c r="M35" i="24" s="1"/>
  <c r="K35" i="24" a="1"/>
  <c r="K35" i="24" s="1"/>
  <c r="I35" i="24" a="1"/>
  <c r="I35" i="24" s="1"/>
  <c r="G35" i="24" a="1"/>
  <c r="G35" i="24" s="1"/>
  <c r="W34" i="24" a="1"/>
  <c r="W34" i="24" s="1"/>
  <c r="U34" i="24" a="1"/>
  <c r="U34" i="24" s="1"/>
  <c r="S34" i="24" a="1"/>
  <c r="S34" i="24" s="1"/>
  <c r="Q34" i="24" a="1"/>
  <c r="Q34" i="24" s="1"/>
  <c r="O34" i="24" a="1"/>
  <c r="O34" i="24" s="1"/>
  <c r="M34" i="24" a="1"/>
  <c r="M34" i="24" s="1"/>
  <c r="K34" i="24" a="1"/>
  <c r="K34" i="24" s="1"/>
  <c r="I34" i="24" a="1"/>
  <c r="I34" i="24" s="1"/>
  <c r="G34" i="24" a="1"/>
  <c r="G34" i="24" s="1"/>
  <c r="E34" i="24" a="1"/>
  <c r="E34" i="24" s="1"/>
  <c r="W33" i="24" a="1"/>
  <c r="W33" i="24" s="1"/>
  <c r="U33" i="24" a="1"/>
  <c r="U33" i="24" s="1"/>
  <c r="S33" i="24" a="1"/>
  <c r="S33" i="24" s="1"/>
  <c r="Q33" i="24" a="1"/>
  <c r="Q33" i="24" s="1"/>
  <c r="O33" i="24" a="1"/>
  <c r="O33" i="24" s="1"/>
  <c r="M33" i="24" a="1"/>
  <c r="M33" i="24" s="1"/>
  <c r="K33" i="24" a="1"/>
  <c r="K33" i="24" s="1"/>
  <c r="I33" i="24" a="1"/>
  <c r="I33" i="24" s="1"/>
  <c r="G33" i="24" a="1"/>
  <c r="G33" i="24" s="1"/>
  <c r="W32" i="24" a="1"/>
  <c r="W32" i="24" s="1"/>
  <c r="U32" i="24" a="1"/>
  <c r="U32" i="24" s="1"/>
  <c r="S32" i="24" a="1"/>
  <c r="S32" i="24" s="1"/>
  <c r="Q32" i="24" a="1"/>
  <c r="Q32" i="24" s="1"/>
  <c r="O32" i="24" a="1"/>
  <c r="O32" i="24" s="1"/>
  <c r="M32" i="24" a="1"/>
  <c r="M32" i="24" s="1"/>
  <c r="K32" i="24" a="1"/>
  <c r="K32" i="24" s="1"/>
  <c r="I32" i="24" a="1"/>
  <c r="I32" i="24" s="1"/>
  <c r="G32" i="24" a="1"/>
  <c r="G32" i="24" s="1"/>
  <c r="AJ65" i="23"/>
  <c r="AH65" i="23"/>
  <c r="AF65" i="23"/>
  <c r="AD65" i="23"/>
  <c r="AB65" i="23"/>
  <c r="Z65" i="23"/>
  <c r="AK64" i="23" a="1"/>
  <c r="AK64" i="23" s="1"/>
  <c r="AK63" i="23" a="1"/>
  <c r="AK63" i="23" s="1"/>
  <c r="AK62" i="23" a="1"/>
  <c r="AK62" i="23" s="1"/>
  <c r="AK61" i="23" a="1"/>
  <c r="AK61" i="23" s="1"/>
  <c r="AK60" i="23" a="1"/>
  <c r="AK60" i="23" s="1"/>
  <c r="AK59" i="23" a="1"/>
  <c r="AK59" i="23" s="1"/>
  <c r="AK58" i="23" a="1"/>
  <c r="AK58" i="23" s="1"/>
  <c r="AK57" i="23" a="1"/>
  <c r="AK57" i="23" s="1"/>
  <c r="AK56" i="23" a="1"/>
  <c r="AK56" i="23" s="1"/>
  <c r="AK55" i="23" a="1"/>
  <c r="AK55" i="23" s="1"/>
  <c r="AK54" i="23" a="1"/>
  <c r="AK54" i="23" s="1"/>
  <c r="AK53" i="23" a="1"/>
  <c r="AK53" i="23" s="1"/>
  <c r="AK52" i="23" a="1"/>
  <c r="AK52" i="23" s="1"/>
  <c r="AK51" i="23" a="1"/>
  <c r="AK51" i="23" s="1"/>
  <c r="AK50" i="23" a="1"/>
  <c r="AK50" i="23" s="1"/>
  <c r="AK49" i="23" a="1"/>
  <c r="AK49" i="23" s="1"/>
  <c r="AK48" i="23" a="1"/>
  <c r="AK48" i="23" s="1"/>
  <c r="AK47" i="23" a="1"/>
  <c r="AK47" i="23" s="1"/>
  <c r="AK46" i="23" a="1"/>
  <c r="AK46" i="23" s="1"/>
  <c r="AK44" i="23" a="1"/>
  <c r="AK44" i="23" s="1"/>
  <c r="AK43" i="23" a="1"/>
  <c r="AK43" i="23" s="1"/>
  <c r="AK42" i="23" a="1"/>
  <c r="AK42" i="23" s="1"/>
  <c r="AK41" i="23" a="1"/>
  <c r="AK41" i="23" s="1"/>
  <c r="AK40" i="23" a="1"/>
  <c r="AK40" i="23" s="1"/>
  <c r="AK39" i="23" a="1"/>
  <c r="AK39" i="23" s="1"/>
  <c r="AK38" i="23" a="1"/>
  <c r="AK38" i="23" s="1"/>
  <c r="AK37" i="23" a="1"/>
  <c r="AK37" i="23" s="1"/>
  <c r="AK36" i="23" a="1"/>
  <c r="AK36" i="23" s="1"/>
  <c r="AI64" i="23" a="1"/>
  <c r="AI64" i="23" s="1"/>
  <c r="AI63" i="23" a="1"/>
  <c r="AI63" i="23" s="1"/>
  <c r="AI62" i="23" a="1"/>
  <c r="AI62" i="23" s="1"/>
  <c r="AI61" i="23" a="1"/>
  <c r="AI61" i="23" s="1"/>
  <c r="AI60" i="23" a="1"/>
  <c r="AI60" i="23" s="1"/>
  <c r="AI59" i="23" a="1"/>
  <c r="AI59" i="23" s="1"/>
  <c r="AI58" i="23" a="1"/>
  <c r="AI58" i="23" s="1"/>
  <c r="AI57" i="23" a="1"/>
  <c r="AI57" i="23" s="1"/>
  <c r="AI56" i="23" a="1"/>
  <c r="AI56" i="23" s="1"/>
  <c r="AI55" i="23" a="1"/>
  <c r="AI55" i="23" s="1"/>
  <c r="AI54" i="23" a="1"/>
  <c r="AI54" i="23" s="1"/>
  <c r="AI53" i="23" a="1"/>
  <c r="AI53" i="23" s="1"/>
  <c r="AI52" i="23" a="1"/>
  <c r="AI52" i="23" s="1"/>
  <c r="AI51" i="23" a="1"/>
  <c r="AI51" i="23" s="1"/>
  <c r="AI50" i="23" a="1"/>
  <c r="AI50" i="23" s="1"/>
  <c r="AI49" i="23" a="1"/>
  <c r="AI49" i="23" s="1"/>
  <c r="AI48" i="23" a="1"/>
  <c r="AI48" i="23" s="1"/>
  <c r="AI47" i="23" a="1"/>
  <c r="AI47" i="23" s="1"/>
  <c r="AI46" i="23" a="1"/>
  <c r="AI46" i="23" s="1"/>
  <c r="AI44" i="23" a="1"/>
  <c r="AI44" i="23" s="1"/>
  <c r="AI43" i="23" a="1"/>
  <c r="AI43" i="23" s="1"/>
  <c r="AI42" i="23" a="1"/>
  <c r="AI42" i="23" s="1"/>
  <c r="AI41" i="23" a="1"/>
  <c r="AI41" i="23" s="1"/>
  <c r="AI40" i="23" a="1"/>
  <c r="AI40" i="23" s="1"/>
  <c r="AI39" i="23" a="1"/>
  <c r="AI39" i="23" s="1"/>
  <c r="AI38" i="23" a="1"/>
  <c r="AI38" i="23" s="1"/>
  <c r="AI37" i="23" a="1"/>
  <c r="AI37" i="23" s="1"/>
  <c r="AI36" i="23" a="1"/>
  <c r="AI36" i="23" s="1"/>
  <c r="AG64" i="23" a="1"/>
  <c r="AG64" i="23" s="1"/>
  <c r="AG63" i="23" a="1"/>
  <c r="AG63" i="23" s="1"/>
  <c r="AG62" i="23" a="1"/>
  <c r="AG62" i="23" s="1"/>
  <c r="AG61" i="23" a="1"/>
  <c r="AG61" i="23" s="1"/>
  <c r="AG60" i="23" a="1"/>
  <c r="AG60" i="23" s="1"/>
  <c r="AG59" i="23" a="1"/>
  <c r="AG59" i="23" s="1"/>
  <c r="AG58" i="23" a="1"/>
  <c r="AG58" i="23" s="1"/>
  <c r="AG57" i="23" a="1"/>
  <c r="AG57" i="23" s="1"/>
  <c r="AG56" i="23" a="1"/>
  <c r="AG56" i="23" s="1"/>
  <c r="AG55" i="23" a="1"/>
  <c r="AG55" i="23" s="1"/>
  <c r="AG54" i="23" a="1"/>
  <c r="AG54" i="23" s="1"/>
  <c r="AG53" i="23" a="1"/>
  <c r="AG53" i="23" s="1"/>
  <c r="AG52" i="23" a="1"/>
  <c r="AG52" i="23" s="1"/>
  <c r="AG51" i="23" a="1"/>
  <c r="AG51" i="23" s="1"/>
  <c r="AG50" i="23" a="1"/>
  <c r="AG50" i="23" s="1"/>
  <c r="AG49" i="23" a="1"/>
  <c r="AG49" i="23" s="1"/>
  <c r="AG48" i="23" a="1"/>
  <c r="AG48" i="23" s="1"/>
  <c r="AG47" i="23" a="1"/>
  <c r="AG47" i="23" s="1"/>
  <c r="AG46" i="23" a="1"/>
  <c r="AG46" i="23" s="1"/>
  <c r="AG44" i="23" a="1"/>
  <c r="AG44" i="23" s="1"/>
  <c r="AG43" i="23" a="1"/>
  <c r="AG43" i="23" s="1"/>
  <c r="AG42" i="23" a="1"/>
  <c r="AG42" i="23" s="1"/>
  <c r="AG41" i="23" a="1"/>
  <c r="AG41" i="23" s="1"/>
  <c r="AG40" i="23" a="1"/>
  <c r="AG40" i="23" s="1"/>
  <c r="AG39" i="23" a="1"/>
  <c r="AG39" i="23" s="1"/>
  <c r="AG38" i="23" a="1"/>
  <c r="AG38" i="23" s="1"/>
  <c r="AG37" i="23" a="1"/>
  <c r="AG37" i="23" s="1"/>
  <c r="AG36" i="23" a="1"/>
  <c r="AG36" i="23" s="1"/>
  <c r="AE64" i="23" a="1"/>
  <c r="AE64" i="23" s="1"/>
  <c r="AE63" i="23" a="1"/>
  <c r="AE63" i="23" s="1"/>
  <c r="AE62" i="23" a="1"/>
  <c r="AE62" i="23" s="1"/>
  <c r="AE61" i="23" a="1"/>
  <c r="AE61" i="23" s="1"/>
  <c r="AE60" i="23" a="1"/>
  <c r="AE60" i="23" s="1"/>
  <c r="AE59" i="23" a="1"/>
  <c r="AE59" i="23" s="1"/>
  <c r="AE58" i="23" a="1"/>
  <c r="AE58" i="23" s="1"/>
  <c r="AE57" i="23" a="1"/>
  <c r="AE57" i="23" s="1"/>
  <c r="AE56" i="23" a="1"/>
  <c r="AE56" i="23" s="1"/>
  <c r="AE55" i="23" a="1"/>
  <c r="AE55" i="23" s="1"/>
  <c r="AE54" i="23" a="1"/>
  <c r="AE54" i="23" s="1"/>
  <c r="AE53" i="23" a="1"/>
  <c r="AE53" i="23" s="1"/>
  <c r="AE52" i="23" a="1"/>
  <c r="AE52" i="23" s="1"/>
  <c r="AE51" i="23" a="1"/>
  <c r="AE51" i="23" s="1"/>
  <c r="AE50" i="23" a="1"/>
  <c r="AE50" i="23" s="1"/>
  <c r="AE49" i="23" a="1"/>
  <c r="AE49" i="23" s="1"/>
  <c r="AE48" i="23" a="1"/>
  <c r="AE48" i="23" s="1"/>
  <c r="AE47" i="23" a="1"/>
  <c r="AE47" i="23" s="1"/>
  <c r="AE46" i="23" a="1"/>
  <c r="AE46" i="23" s="1"/>
  <c r="AE44" i="23" a="1"/>
  <c r="AE44" i="23" s="1"/>
  <c r="AE43" i="23" a="1"/>
  <c r="AE43" i="23" s="1"/>
  <c r="AE42" i="23" a="1"/>
  <c r="AE42" i="23" s="1"/>
  <c r="AE41" i="23" a="1"/>
  <c r="AE41" i="23" s="1"/>
  <c r="AE40" i="23" a="1"/>
  <c r="AE40" i="23" s="1"/>
  <c r="AE39" i="23" a="1"/>
  <c r="AE39" i="23" s="1"/>
  <c r="AE38" i="23" a="1"/>
  <c r="AE38" i="23" s="1"/>
  <c r="AE37" i="23" a="1"/>
  <c r="AE37" i="23" s="1"/>
  <c r="AE36" i="23" a="1"/>
  <c r="AE36" i="23" s="1"/>
  <c r="AC64" i="23" a="1"/>
  <c r="AC64" i="23" s="1"/>
  <c r="AC63" i="23" a="1"/>
  <c r="AC63" i="23" s="1"/>
  <c r="AC62" i="23" a="1"/>
  <c r="AC62" i="23" s="1"/>
  <c r="AC61" i="23" a="1"/>
  <c r="AC61" i="23" s="1"/>
  <c r="AC60" i="23" a="1"/>
  <c r="AC60" i="23" s="1"/>
  <c r="AC59" i="23" a="1"/>
  <c r="AC59" i="23" s="1"/>
  <c r="AC58" i="23" a="1"/>
  <c r="AC58" i="23" s="1"/>
  <c r="AC57" i="23" a="1"/>
  <c r="AC57" i="23" s="1"/>
  <c r="AC56" i="23" a="1"/>
  <c r="AC56" i="23" s="1"/>
  <c r="AC55" i="23" a="1"/>
  <c r="AC55" i="23" s="1"/>
  <c r="AC54" i="23" a="1"/>
  <c r="AC54" i="23" s="1"/>
  <c r="AC53" i="23" a="1"/>
  <c r="AC53" i="23" s="1"/>
  <c r="AC52" i="23" a="1"/>
  <c r="AC52" i="23" s="1"/>
  <c r="AC51" i="23" a="1"/>
  <c r="AC51" i="23" s="1"/>
  <c r="AC50" i="23" a="1"/>
  <c r="AC50" i="23" s="1"/>
  <c r="AC49" i="23" a="1"/>
  <c r="AC49" i="23" s="1"/>
  <c r="AC48" i="23" a="1"/>
  <c r="AC48" i="23" s="1"/>
  <c r="AC47" i="23" a="1"/>
  <c r="AC47" i="23" s="1"/>
  <c r="AC46" i="23" a="1"/>
  <c r="AC46" i="23" s="1"/>
  <c r="AC44" i="23" a="1"/>
  <c r="AC44" i="23" s="1"/>
  <c r="AC43" i="23" a="1"/>
  <c r="AC43" i="23" s="1"/>
  <c r="AC42" i="23" a="1"/>
  <c r="AC42" i="23" s="1"/>
  <c r="AC41" i="23" a="1"/>
  <c r="AC41" i="23" s="1"/>
  <c r="AC40" i="23" a="1"/>
  <c r="AC40" i="23" s="1"/>
  <c r="AC39" i="23" a="1"/>
  <c r="AC39" i="23" s="1"/>
  <c r="AC38" i="23" a="1"/>
  <c r="AC38" i="23" s="1"/>
  <c r="AC37" i="23" a="1"/>
  <c r="AC37" i="23" s="1"/>
  <c r="AC36" i="23" a="1"/>
  <c r="AC36" i="23" s="1"/>
  <c r="AA64" i="23" a="1"/>
  <c r="AA64" i="23" s="1"/>
  <c r="AA63" i="23" a="1"/>
  <c r="AA63" i="23" s="1"/>
  <c r="AA62" i="23" a="1"/>
  <c r="AA62" i="23" s="1"/>
  <c r="AA61" i="23" a="1"/>
  <c r="AA61" i="23" s="1"/>
  <c r="AA60" i="23" a="1"/>
  <c r="AA60" i="23" s="1"/>
  <c r="AA59" i="23" a="1"/>
  <c r="AA59" i="23" s="1"/>
  <c r="AA58" i="23" a="1"/>
  <c r="AA58" i="23" s="1"/>
  <c r="AA57" i="23" a="1"/>
  <c r="AA57" i="23" s="1"/>
  <c r="AA56" i="23" a="1"/>
  <c r="AA56" i="23" s="1"/>
  <c r="AA55" i="23" a="1"/>
  <c r="AA55" i="23" s="1"/>
  <c r="AA54" i="23" a="1"/>
  <c r="AA54" i="23" s="1"/>
  <c r="AA53" i="23" a="1"/>
  <c r="AA53" i="23" s="1"/>
  <c r="AA52" i="23" a="1"/>
  <c r="AA52" i="23" s="1"/>
  <c r="AA51" i="23" a="1"/>
  <c r="AA51" i="23" s="1"/>
  <c r="AA50" i="23" a="1"/>
  <c r="AA50" i="23" s="1"/>
  <c r="AA49" i="23" a="1"/>
  <c r="AA49" i="23" s="1"/>
  <c r="AA48" i="23" a="1"/>
  <c r="AA48" i="23" s="1"/>
  <c r="AA47" i="23" a="1"/>
  <c r="AA47" i="23" s="1"/>
  <c r="AA46" i="23" a="1"/>
  <c r="AA46" i="23" s="1"/>
  <c r="AA44" i="23" a="1"/>
  <c r="AA44" i="23" s="1"/>
  <c r="AA43" i="23" a="1"/>
  <c r="AA43" i="23" s="1"/>
  <c r="AA42" i="23" a="1"/>
  <c r="AA42" i="23" s="1"/>
  <c r="AA41" i="23" a="1"/>
  <c r="AA41" i="23" s="1"/>
  <c r="AA40" i="23" a="1"/>
  <c r="AA40" i="23" s="1"/>
  <c r="AA39" i="23" a="1"/>
  <c r="AA39" i="23" s="1"/>
  <c r="AA38" i="23" a="1"/>
  <c r="AA38" i="23" s="1"/>
  <c r="AA37" i="23" a="1"/>
  <c r="AA37" i="23" s="1"/>
  <c r="AA36" i="23" a="1"/>
  <c r="AA36" i="23" s="1"/>
  <c r="F65" i="23"/>
  <c r="H65" i="23"/>
  <c r="J65" i="23"/>
  <c r="L65" i="23"/>
  <c r="N65" i="23"/>
  <c r="P65" i="23"/>
  <c r="R65" i="23"/>
  <c r="T65" i="23"/>
  <c r="V65" i="23"/>
  <c r="X65" i="23"/>
  <c r="Y64" i="23" a="1"/>
  <c r="Y64" i="23" s="1"/>
  <c r="W64" i="23" a="1"/>
  <c r="W64" i="23" s="1"/>
  <c r="U64" i="23" a="1"/>
  <c r="U64" i="23" s="1"/>
  <c r="S64" i="23" a="1"/>
  <c r="S64" i="23" s="1"/>
  <c r="Q64" i="23" a="1"/>
  <c r="Q64" i="23" s="1"/>
  <c r="O64" i="23" a="1"/>
  <c r="O64" i="23" s="1"/>
  <c r="M64" i="23" a="1"/>
  <c r="M64" i="23" s="1"/>
  <c r="K64" i="23" a="1"/>
  <c r="K64" i="23" s="1"/>
  <c r="I64" i="23" a="1"/>
  <c r="I64" i="23" s="1"/>
  <c r="G64" i="23" a="1"/>
  <c r="G64" i="23" s="1"/>
  <c r="E64" i="23" a="1"/>
  <c r="E64" i="23" s="1"/>
  <c r="Y63" i="23" a="1"/>
  <c r="Y63" i="23" s="1"/>
  <c r="W63" i="23" a="1"/>
  <c r="W63" i="23" s="1"/>
  <c r="U63" i="23" a="1"/>
  <c r="U63" i="23" s="1"/>
  <c r="S63" i="23" a="1"/>
  <c r="S63" i="23" s="1"/>
  <c r="Q63" i="23" a="1"/>
  <c r="Q63" i="23" s="1"/>
  <c r="M63" i="23" a="1"/>
  <c r="M63" i="23" s="1"/>
  <c r="K63" i="23" a="1"/>
  <c r="K63" i="23" s="1"/>
  <c r="I63" i="23" a="1"/>
  <c r="I63" i="23" s="1"/>
  <c r="G63" i="23" a="1"/>
  <c r="G63" i="23" s="1"/>
  <c r="E63" i="23" a="1"/>
  <c r="E63" i="23" s="1"/>
  <c r="Y62" i="23" a="1"/>
  <c r="Y62" i="23" s="1"/>
  <c r="W62" i="23" a="1"/>
  <c r="W62" i="23" s="1"/>
  <c r="U62" i="23" a="1"/>
  <c r="U62" i="23" s="1"/>
  <c r="S62" i="23" a="1"/>
  <c r="S62" i="23" s="1"/>
  <c r="Q62" i="23" a="1"/>
  <c r="Q62" i="23" s="1"/>
  <c r="O62" i="23" a="1"/>
  <c r="O62" i="23" s="1"/>
  <c r="M62" i="23" a="1"/>
  <c r="M62" i="23" s="1"/>
  <c r="K62" i="23" a="1"/>
  <c r="K62" i="23" s="1"/>
  <c r="I62" i="23" a="1"/>
  <c r="I62" i="23" s="1"/>
  <c r="G62" i="23" a="1"/>
  <c r="G62" i="23" s="1"/>
  <c r="Y61" i="23" a="1"/>
  <c r="Y61" i="23" s="1"/>
  <c r="W61" i="23" a="1"/>
  <c r="W61" i="23" s="1"/>
  <c r="U61" i="23" a="1"/>
  <c r="U61" i="23" s="1"/>
  <c r="S61" i="23" a="1"/>
  <c r="S61" i="23" s="1"/>
  <c r="Q61" i="23" a="1"/>
  <c r="Q61" i="23" s="1"/>
  <c r="O61" i="23" a="1"/>
  <c r="O61" i="23" s="1"/>
  <c r="M61" i="23" a="1"/>
  <c r="M61" i="23" s="1"/>
  <c r="K61" i="23" a="1"/>
  <c r="K61" i="23" s="1"/>
  <c r="I61" i="23" a="1"/>
  <c r="I61" i="23" s="1"/>
  <c r="G61" i="23" a="1"/>
  <c r="G61" i="23" s="1"/>
  <c r="Y60" i="23" a="1"/>
  <c r="Y60" i="23" s="1"/>
  <c r="W60" i="23" a="1"/>
  <c r="W60" i="23" s="1"/>
  <c r="U60" i="23" a="1"/>
  <c r="U60" i="23" s="1"/>
  <c r="S60" i="23" a="1"/>
  <c r="S60" i="23" s="1"/>
  <c r="Q60" i="23" a="1"/>
  <c r="Q60" i="23" s="1"/>
  <c r="O60" i="23" a="1"/>
  <c r="O60" i="23" s="1"/>
  <c r="M60" i="23" a="1"/>
  <c r="M60" i="23" s="1"/>
  <c r="K60" i="23" a="1"/>
  <c r="K60" i="23" s="1"/>
  <c r="I60" i="23" a="1"/>
  <c r="I60" i="23" s="1"/>
  <c r="G60" i="23" a="1"/>
  <c r="G60" i="23" s="1"/>
  <c r="Y59" i="23" a="1"/>
  <c r="Y59" i="23" s="1"/>
  <c r="W59" i="23" a="1"/>
  <c r="W59" i="23" s="1"/>
  <c r="U59" i="23" a="1"/>
  <c r="U59" i="23" s="1"/>
  <c r="S59" i="23" a="1"/>
  <c r="S59" i="23" s="1"/>
  <c r="Q59" i="23" a="1"/>
  <c r="Q59" i="23" s="1"/>
  <c r="O59" i="23" a="1"/>
  <c r="O59" i="23" s="1"/>
  <c r="M59" i="23" a="1"/>
  <c r="M59" i="23" s="1"/>
  <c r="K59" i="23" a="1"/>
  <c r="K59" i="23" s="1"/>
  <c r="I59" i="23" a="1"/>
  <c r="I59" i="23" s="1"/>
  <c r="G59" i="23" a="1"/>
  <c r="G59" i="23" s="1"/>
  <c r="Y58" i="23" a="1"/>
  <c r="Y58" i="23" s="1"/>
  <c r="W58" i="23" a="1"/>
  <c r="W58" i="23" s="1"/>
  <c r="U58" i="23" a="1"/>
  <c r="U58" i="23" s="1"/>
  <c r="S58" i="23" a="1"/>
  <c r="S58" i="23" s="1"/>
  <c r="Q58" i="23" a="1"/>
  <c r="Q58" i="23" s="1"/>
  <c r="O58" i="23" a="1"/>
  <c r="O58" i="23" s="1"/>
  <c r="M58" i="23" a="1"/>
  <c r="M58" i="23" s="1"/>
  <c r="K58" i="23" a="1"/>
  <c r="K58" i="23" s="1"/>
  <c r="I58" i="23" a="1"/>
  <c r="I58" i="23" s="1"/>
  <c r="G58" i="23" a="1"/>
  <c r="G58" i="23" s="1"/>
  <c r="Y57" i="23" a="1"/>
  <c r="Y57" i="23" s="1"/>
  <c r="W57" i="23" a="1"/>
  <c r="W57" i="23" s="1"/>
  <c r="U57" i="23" a="1"/>
  <c r="U57" i="23" s="1"/>
  <c r="S57" i="23" a="1"/>
  <c r="S57" i="23" s="1"/>
  <c r="Q57" i="23" a="1"/>
  <c r="Q57" i="23" s="1"/>
  <c r="O57" i="23" a="1"/>
  <c r="O57" i="23" s="1"/>
  <c r="M57" i="23" a="1"/>
  <c r="M57" i="23" s="1"/>
  <c r="K57" i="23" a="1"/>
  <c r="K57" i="23" s="1"/>
  <c r="I57" i="23" a="1"/>
  <c r="I57" i="23" s="1"/>
  <c r="G57" i="23" a="1"/>
  <c r="G57" i="23" s="1"/>
  <c r="Y56" i="23" a="1"/>
  <c r="Y56" i="23" s="1"/>
  <c r="W56" i="23" a="1"/>
  <c r="W56" i="23" s="1"/>
  <c r="U56" i="23" a="1"/>
  <c r="U56" i="23" s="1"/>
  <c r="S56" i="23" a="1"/>
  <c r="S56" i="23" s="1"/>
  <c r="Q56" i="23" a="1"/>
  <c r="Q56" i="23" s="1"/>
  <c r="O56" i="23" a="1"/>
  <c r="O56" i="23" s="1"/>
  <c r="M56" i="23" a="1"/>
  <c r="M56" i="23" s="1"/>
  <c r="K56" i="23" a="1"/>
  <c r="K56" i="23" s="1"/>
  <c r="I56" i="23" a="1"/>
  <c r="I56" i="23" s="1"/>
  <c r="G56" i="23" a="1"/>
  <c r="G56" i="23" s="1"/>
  <c r="Y55" i="23" a="1"/>
  <c r="Y55" i="23" s="1"/>
  <c r="W55" i="23" a="1"/>
  <c r="W55" i="23" s="1"/>
  <c r="U55" i="23" a="1"/>
  <c r="U55" i="23" s="1"/>
  <c r="S55" i="23" a="1"/>
  <c r="S55" i="23" s="1"/>
  <c r="Q55" i="23" a="1"/>
  <c r="Q55" i="23" s="1"/>
  <c r="O55" i="23" a="1"/>
  <c r="O55" i="23" s="1"/>
  <c r="M55" i="23" a="1"/>
  <c r="M55" i="23" s="1"/>
  <c r="K55" i="23" a="1"/>
  <c r="K55" i="23" s="1"/>
  <c r="I55" i="23" a="1"/>
  <c r="I55" i="23" s="1"/>
  <c r="G55" i="23" a="1"/>
  <c r="G55" i="23" s="1"/>
  <c r="E55" i="23" a="1"/>
  <c r="E55" i="23" s="1"/>
  <c r="Y54" i="23" a="1"/>
  <c r="Y54" i="23" s="1"/>
  <c r="W54" i="23" a="1"/>
  <c r="W54" i="23" s="1"/>
  <c r="U54" i="23" a="1"/>
  <c r="U54" i="23" s="1"/>
  <c r="S54" i="23" a="1"/>
  <c r="S54" i="23" s="1"/>
  <c r="Q54" i="23" a="1"/>
  <c r="Q54" i="23" s="1"/>
  <c r="O54" i="23" a="1"/>
  <c r="O54" i="23" s="1"/>
  <c r="M54" i="23" a="1"/>
  <c r="M54" i="23" s="1"/>
  <c r="I54" i="23" a="1"/>
  <c r="I54" i="23" s="1"/>
  <c r="G54" i="23" a="1"/>
  <c r="G54" i="23" s="1"/>
  <c r="E54" i="23" a="1"/>
  <c r="E54" i="23" s="1"/>
  <c r="Y53" i="23" a="1"/>
  <c r="Y53" i="23" s="1"/>
  <c r="W53" i="23" a="1"/>
  <c r="W53" i="23" s="1"/>
  <c r="U53" i="23" a="1"/>
  <c r="U53" i="23" s="1"/>
  <c r="S53" i="23" a="1"/>
  <c r="S53" i="23" s="1"/>
  <c r="Q53" i="23" a="1"/>
  <c r="Q53" i="23" s="1"/>
  <c r="O53" i="23" a="1"/>
  <c r="O53" i="23" s="1"/>
  <c r="M53" i="23" a="1"/>
  <c r="M53" i="23" s="1"/>
  <c r="K53" i="23" a="1"/>
  <c r="K53" i="23" s="1"/>
  <c r="I53" i="23" a="1"/>
  <c r="I53" i="23" s="1"/>
  <c r="G53" i="23" a="1"/>
  <c r="G53" i="23" s="1"/>
  <c r="Y52" i="23" a="1"/>
  <c r="Y52" i="23" s="1"/>
  <c r="W52" i="23" a="1"/>
  <c r="W52" i="23" s="1"/>
  <c r="U52" i="23" a="1"/>
  <c r="U52" i="23" s="1"/>
  <c r="S52" i="23" a="1"/>
  <c r="S52" i="23" s="1"/>
  <c r="Q52" i="23" a="1"/>
  <c r="Q52" i="23" s="1"/>
  <c r="O52" i="23" a="1"/>
  <c r="O52" i="23" s="1"/>
  <c r="M52" i="23" a="1"/>
  <c r="M52" i="23" s="1"/>
  <c r="K52" i="23" a="1"/>
  <c r="K52" i="23" s="1"/>
  <c r="I52" i="23" a="1"/>
  <c r="I52" i="23" s="1"/>
  <c r="G52" i="23" a="1"/>
  <c r="G52" i="23" s="1"/>
  <c r="Y51" i="23" a="1"/>
  <c r="Y51" i="23" s="1"/>
  <c r="W51" i="23" a="1"/>
  <c r="W51" i="23" s="1"/>
  <c r="U51" i="23" a="1"/>
  <c r="U51" i="23" s="1"/>
  <c r="S51" i="23" a="1"/>
  <c r="S51" i="23" s="1"/>
  <c r="Q51" i="23" a="1"/>
  <c r="Q51" i="23" s="1"/>
  <c r="O51" i="23" a="1"/>
  <c r="O51" i="23" s="1"/>
  <c r="M51" i="23" a="1"/>
  <c r="M51" i="23" s="1"/>
  <c r="K51" i="23" a="1"/>
  <c r="K51" i="23" s="1"/>
  <c r="I51" i="23" a="1"/>
  <c r="I51" i="23" s="1"/>
  <c r="G51" i="23" a="1"/>
  <c r="G51" i="23" s="1"/>
  <c r="Y50" i="23" a="1"/>
  <c r="Y50" i="23" s="1"/>
  <c r="W50" i="23" a="1"/>
  <c r="W50" i="23" s="1"/>
  <c r="U50" i="23" a="1"/>
  <c r="U50" i="23" s="1"/>
  <c r="S50" i="23" a="1"/>
  <c r="S50" i="23" s="1"/>
  <c r="Q50" i="23" a="1"/>
  <c r="Q50" i="23" s="1"/>
  <c r="O50" i="23" a="1"/>
  <c r="O50" i="23" s="1"/>
  <c r="M50" i="23" a="1"/>
  <c r="M50" i="23" s="1"/>
  <c r="K50" i="23" a="1"/>
  <c r="K50" i="23" s="1"/>
  <c r="I50" i="23" a="1"/>
  <c r="I50" i="23" s="1"/>
  <c r="G50" i="23" a="1"/>
  <c r="G50" i="23" s="1"/>
  <c r="Y49" i="23" a="1"/>
  <c r="Y49" i="23" s="1"/>
  <c r="W49" i="23" a="1"/>
  <c r="W49" i="23" s="1"/>
  <c r="U49" i="23" a="1"/>
  <c r="U49" i="23" s="1"/>
  <c r="S49" i="23" a="1"/>
  <c r="S49" i="23" s="1"/>
  <c r="Q49" i="23" a="1"/>
  <c r="Q49" i="23" s="1"/>
  <c r="O49" i="23" a="1"/>
  <c r="O49" i="23" s="1"/>
  <c r="M49" i="23" a="1"/>
  <c r="M49" i="23" s="1"/>
  <c r="K49" i="23" a="1"/>
  <c r="K49" i="23" s="1"/>
  <c r="I49" i="23" a="1"/>
  <c r="I49" i="23" s="1"/>
  <c r="G49" i="23" a="1"/>
  <c r="G49" i="23" s="1"/>
  <c r="Y48" i="23" a="1"/>
  <c r="Y48" i="23" s="1"/>
  <c r="W48" i="23" a="1"/>
  <c r="W48" i="23" s="1"/>
  <c r="U48" i="23" a="1"/>
  <c r="U48" i="23" s="1"/>
  <c r="S48" i="23" a="1"/>
  <c r="S48" i="23" s="1"/>
  <c r="Q48" i="23" a="1"/>
  <c r="Q48" i="23" s="1"/>
  <c r="O48" i="23" a="1"/>
  <c r="O48" i="23" s="1"/>
  <c r="M48" i="23" a="1"/>
  <c r="M48" i="23" s="1"/>
  <c r="K48" i="23" a="1"/>
  <c r="K48" i="23" s="1"/>
  <c r="I48" i="23" a="1"/>
  <c r="I48" i="23" s="1"/>
  <c r="G48" i="23" a="1"/>
  <c r="G48" i="23" s="1"/>
  <c r="Y47" i="23" a="1"/>
  <c r="Y47" i="23" s="1"/>
  <c r="W47" i="23" a="1"/>
  <c r="W47" i="23" s="1"/>
  <c r="U47" i="23" a="1"/>
  <c r="U47" i="23" s="1"/>
  <c r="S47" i="23" a="1"/>
  <c r="S47" i="23" s="1"/>
  <c r="Q47" i="23" a="1"/>
  <c r="Q47" i="23" s="1"/>
  <c r="O47" i="23" a="1"/>
  <c r="O47" i="23" s="1"/>
  <c r="M47" i="23" a="1"/>
  <c r="M47" i="23" s="1"/>
  <c r="K47" i="23" a="1"/>
  <c r="K47" i="23" s="1"/>
  <c r="I47" i="23" a="1"/>
  <c r="I47" i="23" s="1"/>
  <c r="G47" i="23" a="1"/>
  <c r="G47" i="23" s="1"/>
  <c r="Y46" i="23" a="1"/>
  <c r="Y46" i="23" s="1"/>
  <c r="W46" i="23" a="1"/>
  <c r="W46" i="23" s="1"/>
  <c r="U46" i="23" a="1"/>
  <c r="U46" i="23" s="1"/>
  <c r="S46" i="23" a="1"/>
  <c r="S46" i="23" s="1"/>
  <c r="Q46" i="23" a="1"/>
  <c r="Q46" i="23" s="1"/>
  <c r="O46" i="23" a="1"/>
  <c r="O46" i="23" s="1"/>
  <c r="M46" i="23" a="1"/>
  <c r="M46" i="23" s="1"/>
  <c r="K46" i="23" a="1"/>
  <c r="K46" i="23" s="1"/>
  <c r="I46" i="23" a="1"/>
  <c r="I46" i="23" s="1"/>
  <c r="G46" i="23" a="1"/>
  <c r="G46" i="23" s="1"/>
  <c r="E45" i="23" a="1"/>
  <c r="E45" i="23" s="1"/>
  <c r="Y44" i="23" a="1"/>
  <c r="Y44" i="23" s="1"/>
  <c r="W44" i="23" a="1"/>
  <c r="W44" i="23" s="1"/>
  <c r="U44" i="23" a="1"/>
  <c r="U44" i="23" s="1"/>
  <c r="S44" i="23" a="1"/>
  <c r="S44" i="23" s="1"/>
  <c r="Q44" i="23" a="1"/>
  <c r="Q44" i="23" s="1"/>
  <c r="O44" i="23" a="1"/>
  <c r="O44" i="23" s="1"/>
  <c r="M44" i="23" a="1"/>
  <c r="M44" i="23" s="1"/>
  <c r="K44" i="23" a="1"/>
  <c r="K44" i="23" s="1"/>
  <c r="I44" i="23" a="1"/>
  <c r="I44" i="23" s="1"/>
  <c r="G44" i="23" a="1"/>
  <c r="G44" i="23" s="1"/>
  <c r="Y43" i="23" a="1"/>
  <c r="Y43" i="23" s="1"/>
  <c r="W43" i="23" a="1"/>
  <c r="W43" i="23" s="1"/>
  <c r="U43" i="23" a="1"/>
  <c r="U43" i="23" s="1"/>
  <c r="S43" i="23" a="1"/>
  <c r="S43" i="23" s="1"/>
  <c r="Q43" i="23" a="1"/>
  <c r="Q43" i="23" s="1"/>
  <c r="O43" i="23" a="1"/>
  <c r="O43" i="23" s="1"/>
  <c r="M43" i="23" a="1"/>
  <c r="M43" i="23" s="1"/>
  <c r="K43" i="23" a="1"/>
  <c r="K43" i="23" s="1"/>
  <c r="I43" i="23" a="1"/>
  <c r="I43" i="23" s="1"/>
  <c r="G43" i="23" a="1"/>
  <c r="G43" i="23" s="1"/>
  <c r="Y42" i="23" a="1"/>
  <c r="Y42" i="23" s="1"/>
  <c r="W42" i="23" a="1"/>
  <c r="W42" i="23" s="1"/>
  <c r="U42" i="23" a="1"/>
  <c r="U42" i="23" s="1"/>
  <c r="S42" i="23" a="1"/>
  <c r="S42" i="23" s="1"/>
  <c r="Q42" i="23" a="1"/>
  <c r="Q42" i="23" s="1"/>
  <c r="O42" i="23" a="1"/>
  <c r="O42" i="23" s="1"/>
  <c r="M42" i="23" a="1"/>
  <c r="M42" i="23" s="1"/>
  <c r="K42" i="23" a="1"/>
  <c r="K42" i="23" s="1"/>
  <c r="I42" i="23" a="1"/>
  <c r="I42" i="23" s="1"/>
  <c r="G42" i="23" a="1"/>
  <c r="G42" i="23" s="1"/>
  <c r="Y41" i="23" a="1"/>
  <c r="Y41" i="23" s="1"/>
  <c r="W41" i="23" a="1"/>
  <c r="W41" i="23" s="1"/>
  <c r="U41" i="23" a="1"/>
  <c r="U41" i="23" s="1"/>
  <c r="S41" i="23" a="1"/>
  <c r="S41" i="23" s="1"/>
  <c r="Q41" i="23" a="1"/>
  <c r="Q41" i="23" s="1"/>
  <c r="O41" i="23" a="1"/>
  <c r="O41" i="23" s="1"/>
  <c r="M41" i="23" a="1"/>
  <c r="M41" i="23" s="1"/>
  <c r="K41" i="23" a="1"/>
  <c r="K41" i="23" s="1"/>
  <c r="I41" i="23" a="1"/>
  <c r="I41" i="23" s="1"/>
  <c r="G41" i="23" a="1"/>
  <c r="G41" i="23" s="1"/>
  <c r="Y40" i="23" a="1"/>
  <c r="Y40" i="23" s="1"/>
  <c r="W40" i="23" a="1"/>
  <c r="W40" i="23" s="1"/>
  <c r="U40" i="23" a="1"/>
  <c r="U40" i="23" s="1"/>
  <c r="S40" i="23" a="1"/>
  <c r="S40" i="23" s="1"/>
  <c r="Q40" i="23" a="1"/>
  <c r="Q40" i="23" s="1"/>
  <c r="O40" i="23" a="1"/>
  <c r="O40" i="23" s="1"/>
  <c r="M40" i="23" a="1"/>
  <c r="M40" i="23" s="1"/>
  <c r="K40" i="23" a="1"/>
  <c r="K40" i="23" s="1"/>
  <c r="I40" i="23" a="1"/>
  <c r="I40" i="23" s="1"/>
  <c r="G40" i="23" a="1"/>
  <c r="G40" i="23" s="1"/>
  <c r="Y39" i="23" a="1"/>
  <c r="Y39" i="23" s="1"/>
  <c r="W39" i="23" a="1"/>
  <c r="W39" i="23" s="1"/>
  <c r="U39" i="23" a="1"/>
  <c r="U39" i="23" s="1"/>
  <c r="S39" i="23" a="1"/>
  <c r="S39" i="23" s="1"/>
  <c r="Q39" i="23" a="1"/>
  <c r="Q39" i="23" s="1"/>
  <c r="O39" i="23" a="1"/>
  <c r="O39" i="23" s="1"/>
  <c r="M39" i="23" a="1"/>
  <c r="M39" i="23" s="1"/>
  <c r="K39" i="23" a="1"/>
  <c r="K39" i="23" s="1"/>
  <c r="I39" i="23" a="1"/>
  <c r="I39" i="23" s="1"/>
  <c r="G39" i="23" a="1"/>
  <c r="G39" i="23" s="1"/>
  <c r="Y38" i="23" a="1"/>
  <c r="Y38" i="23" s="1"/>
  <c r="W38" i="23" a="1"/>
  <c r="W38" i="23" s="1"/>
  <c r="U38" i="23" a="1"/>
  <c r="U38" i="23" s="1"/>
  <c r="S38" i="23" a="1"/>
  <c r="S38" i="23" s="1"/>
  <c r="Q38" i="23" a="1"/>
  <c r="Q38" i="23" s="1"/>
  <c r="O38" i="23" a="1"/>
  <c r="O38" i="23" s="1"/>
  <c r="M38" i="23" a="1"/>
  <c r="M38" i="23" s="1"/>
  <c r="K38" i="23" a="1"/>
  <c r="K38" i="23" s="1"/>
  <c r="I38" i="23" a="1"/>
  <c r="I38" i="23" s="1"/>
  <c r="G38" i="23" a="1"/>
  <c r="G38" i="23" s="1"/>
  <c r="Y37" i="23" a="1"/>
  <c r="Y37" i="23" s="1"/>
  <c r="W37" i="23" a="1"/>
  <c r="W37" i="23" s="1"/>
  <c r="U37" i="23" a="1"/>
  <c r="U37" i="23" s="1"/>
  <c r="S37" i="23" a="1"/>
  <c r="S37" i="23" s="1"/>
  <c r="Q37" i="23" a="1"/>
  <c r="Q37" i="23" s="1"/>
  <c r="O37" i="23" a="1"/>
  <c r="O37" i="23" s="1"/>
  <c r="M37" i="23" a="1"/>
  <c r="M37" i="23" s="1"/>
  <c r="K37" i="23" a="1"/>
  <c r="K37" i="23" s="1"/>
  <c r="I37" i="23" a="1"/>
  <c r="I37" i="23" s="1"/>
  <c r="G37" i="23" a="1"/>
  <c r="G37" i="23" s="1"/>
  <c r="Y36" i="23" a="1"/>
  <c r="Y36" i="23" s="1"/>
  <c r="W36" i="23" a="1"/>
  <c r="W36" i="23" s="1"/>
  <c r="U36" i="23" a="1"/>
  <c r="U36" i="23" s="1"/>
  <c r="S36" i="23" a="1"/>
  <c r="S36" i="23" s="1"/>
  <c r="Q36" i="23" a="1"/>
  <c r="Q36" i="23" s="1"/>
  <c r="O36" i="23" a="1"/>
  <c r="O36" i="23" s="1"/>
  <c r="M36" i="23" a="1"/>
  <c r="M36" i="23" s="1"/>
  <c r="K36" i="23" a="1"/>
  <c r="K36" i="23" s="1"/>
  <c r="I36" i="23" a="1"/>
  <c r="I36" i="23" s="1"/>
  <c r="G36" i="23" a="1"/>
  <c r="G36" i="23" s="1"/>
  <c r="AO35" i="20"/>
  <c r="E37" i="20" a="1"/>
  <c r="E37" i="20" s="1"/>
  <c r="E38" i="20" a="1"/>
  <c r="E38" i="20" s="1"/>
  <c r="E41" i="20" a="1"/>
  <c r="E41" i="20" s="1"/>
  <c r="E50" i="20" a="1"/>
  <c r="E50" i="20" s="1"/>
  <c r="E51" i="20" a="1"/>
  <c r="E51" i="20" s="1"/>
  <c r="E52" i="20" a="1"/>
  <c r="E52" i="20" s="1"/>
  <c r="E53" i="20" a="1"/>
  <c r="E53" i="20" s="1"/>
  <c r="E60" i="20" a="1"/>
  <c r="E60" i="20" s="1"/>
  <c r="E62" i="20" a="1"/>
  <c r="E62" i="20" s="1"/>
  <c r="L46" i="39" l="1"/>
  <c r="K44" i="39"/>
  <c r="L39" i="39"/>
  <c r="L47" i="39"/>
  <c r="K45" i="39"/>
  <c r="I48" i="39"/>
  <c r="L38" i="39"/>
  <c r="K43" i="39"/>
  <c r="K40" i="39"/>
  <c r="K41" i="39"/>
  <c r="L45" i="39"/>
  <c r="K46" i="39"/>
  <c r="J48" i="39"/>
  <c r="L41" i="39"/>
  <c r="K38" i="39"/>
  <c r="L42" i="39"/>
  <c r="K39" i="39"/>
  <c r="I30" i="39"/>
  <c r="L43" i="39"/>
  <c r="I32" i="39"/>
  <c r="K47" i="39"/>
  <c r="Q5" i="39"/>
  <c r="I33" i="39" a="1"/>
  <c r="I33" i="39" s="1"/>
  <c r="L40" i="39"/>
  <c r="L44" i="39"/>
  <c r="AC43" i="21"/>
  <c r="E8" i="39" s="1"/>
  <c r="P8" i="39" s="1"/>
  <c r="K42" i="39"/>
  <c r="I18" i="39"/>
  <c r="J28" i="40" s="1"/>
  <c r="I8" i="39"/>
  <c r="D29" i="40"/>
  <c r="J17" i="39"/>
  <c r="I17" i="39"/>
  <c r="J12" i="39"/>
  <c r="J8" i="39"/>
  <c r="I12" i="39"/>
  <c r="D31" i="40"/>
  <c r="D28" i="40"/>
  <c r="J11" i="39"/>
  <c r="I10" i="39"/>
  <c r="I11" i="39"/>
  <c r="J10" i="39"/>
  <c r="J18" i="39"/>
  <c r="D30" i="40"/>
  <c r="D27" i="40"/>
  <c r="J9" i="39"/>
  <c r="I9" i="39"/>
  <c r="AO55" i="30"/>
  <c r="AO60" i="29"/>
  <c r="AO63" i="28"/>
  <c r="AO59" i="26"/>
  <c r="AO58" i="25"/>
  <c r="AL65" i="23"/>
  <c r="AO36" i="23"/>
  <c r="AO36" i="20"/>
  <c r="AO37" i="20"/>
  <c r="AO38" i="20"/>
  <c r="AO39" i="20"/>
  <c r="AO40" i="20"/>
  <c r="AO41" i="20"/>
  <c r="AO42" i="20"/>
  <c r="AO43" i="20"/>
  <c r="AO44" i="20"/>
  <c r="AO45" i="20"/>
  <c r="AO46" i="20"/>
  <c r="AO47" i="20"/>
  <c r="AO48" i="20"/>
  <c r="AO49" i="20"/>
  <c r="AO50" i="20"/>
  <c r="AO51" i="20"/>
  <c r="AO52" i="20"/>
  <c r="AO53" i="20"/>
  <c r="AO54" i="20"/>
  <c r="AO55" i="20"/>
  <c r="AO56" i="20"/>
  <c r="AO57" i="20"/>
  <c r="AO58" i="20"/>
  <c r="AO59" i="20"/>
  <c r="AO60" i="20"/>
  <c r="AO61" i="20"/>
  <c r="AO62" i="20"/>
  <c r="AM35" i="20" a="1"/>
  <c r="AM35" i="20" s="1"/>
  <c r="AM59" i="20" a="1"/>
  <c r="AM59" i="20" s="1"/>
  <c r="AM58" i="20" a="1"/>
  <c r="AM58" i="20" s="1"/>
  <c r="AM57" i="20" a="1"/>
  <c r="AM57" i="20" s="1"/>
  <c r="AM56" i="20" a="1"/>
  <c r="AM56" i="20" s="1"/>
  <c r="AM55" i="20" a="1"/>
  <c r="AM55" i="20" s="1"/>
  <c r="AM54" i="20" a="1"/>
  <c r="AM54" i="20" s="1"/>
  <c r="AM53" i="20" a="1"/>
  <c r="AM53" i="20" s="1"/>
  <c r="AM50" i="20" a="1"/>
  <c r="AM50" i="20" s="1"/>
  <c r="AM49" i="20" a="1"/>
  <c r="AM49" i="20" s="1"/>
  <c r="AM48" i="20" a="1"/>
  <c r="AM48" i="20" s="1"/>
  <c r="AM45" i="20" a="1"/>
  <c r="AM45" i="20" s="1"/>
  <c r="AM44" i="20" a="1"/>
  <c r="AM44" i="20" s="1"/>
  <c r="AM43" i="20" a="1"/>
  <c r="AM43" i="20" s="1"/>
  <c r="AM42" i="20" a="1"/>
  <c r="AM42" i="20" s="1"/>
  <c r="AM40" i="20" a="1"/>
  <c r="AM40" i="20" s="1"/>
  <c r="AM39" i="20" a="1"/>
  <c r="AM39" i="20" s="1"/>
  <c r="Y62" i="20" a="1"/>
  <c r="Y62" i="20" s="1"/>
  <c r="W62" i="20" a="1"/>
  <c r="W62" i="20" s="1"/>
  <c r="U62" i="20" a="1"/>
  <c r="U62" i="20" s="1"/>
  <c r="S62" i="20" a="1"/>
  <c r="S62" i="20" s="1"/>
  <c r="Q62" i="20" a="1"/>
  <c r="Q62" i="20" s="1"/>
  <c r="O62" i="20" a="1"/>
  <c r="O62" i="20" s="1"/>
  <c r="M62" i="20" a="1"/>
  <c r="M62" i="20" s="1"/>
  <c r="K62" i="20" a="1"/>
  <c r="K62" i="20" s="1"/>
  <c r="I62" i="20" a="1"/>
  <c r="I62" i="20" s="1"/>
  <c r="G62" i="20" a="1"/>
  <c r="G62" i="20" s="1"/>
  <c r="Y61" i="20" a="1"/>
  <c r="Y61" i="20" s="1"/>
  <c r="W61" i="20" a="1"/>
  <c r="W61" i="20" s="1"/>
  <c r="U61" i="20" a="1"/>
  <c r="U61" i="20" s="1"/>
  <c r="S61" i="20" a="1"/>
  <c r="S61" i="20" s="1"/>
  <c r="Q61" i="20" a="1"/>
  <c r="Q61" i="20" s="1"/>
  <c r="O61" i="20" a="1"/>
  <c r="O61" i="20" s="1"/>
  <c r="M61" i="20" a="1"/>
  <c r="M61" i="20" s="1"/>
  <c r="K61" i="20" a="1"/>
  <c r="K61" i="20" s="1"/>
  <c r="I61" i="20" a="1"/>
  <c r="I61" i="20" s="1"/>
  <c r="G61" i="20" a="1"/>
  <c r="G61" i="20" s="1"/>
  <c r="Y60" i="20" a="1"/>
  <c r="Y60" i="20" s="1"/>
  <c r="W60" i="20" a="1"/>
  <c r="W60" i="20" s="1"/>
  <c r="U60" i="20" a="1"/>
  <c r="U60" i="20" s="1"/>
  <c r="S60" i="20" a="1"/>
  <c r="S60" i="20" s="1"/>
  <c r="Q60" i="20" a="1"/>
  <c r="Q60" i="20" s="1"/>
  <c r="O60" i="20" a="1"/>
  <c r="O60" i="20" s="1"/>
  <c r="M60" i="20" a="1"/>
  <c r="M60" i="20" s="1"/>
  <c r="K60" i="20" a="1"/>
  <c r="K60" i="20" s="1"/>
  <c r="I60" i="20" a="1"/>
  <c r="I60" i="20" s="1"/>
  <c r="G60" i="20" a="1"/>
  <c r="G60" i="20" s="1"/>
  <c r="Y59" i="20" a="1"/>
  <c r="Y59" i="20" s="1"/>
  <c r="W59" i="20" a="1"/>
  <c r="W59" i="20" s="1"/>
  <c r="U59" i="20" a="1"/>
  <c r="U59" i="20" s="1"/>
  <c r="S59" i="20" a="1"/>
  <c r="S59" i="20" s="1"/>
  <c r="Q59" i="20" a="1"/>
  <c r="Q59" i="20" s="1"/>
  <c r="O59" i="20" a="1"/>
  <c r="O59" i="20" s="1"/>
  <c r="M59" i="20" a="1"/>
  <c r="M59" i="20" s="1"/>
  <c r="K59" i="20" a="1"/>
  <c r="K59" i="20" s="1"/>
  <c r="I59" i="20" a="1"/>
  <c r="I59" i="20" s="1"/>
  <c r="G59" i="20" a="1"/>
  <c r="G59" i="20" s="1"/>
  <c r="Y58" i="20" a="1"/>
  <c r="Y58" i="20" s="1"/>
  <c r="W58" i="20" a="1"/>
  <c r="W58" i="20" s="1"/>
  <c r="U58" i="20" a="1"/>
  <c r="U58" i="20" s="1"/>
  <c r="S58" i="20" a="1"/>
  <c r="S58" i="20" s="1"/>
  <c r="Q58" i="20" a="1"/>
  <c r="Q58" i="20" s="1"/>
  <c r="O58" i="20" a="1"/>
  <c r="O58" i="20" s="1"/>
  <c r="M58" i="20" a="1"/>
  <c r="M58" i="20" s="1"/>
  <c r="K58" i="20" a="1"/>
  <c r="K58" i="20" s="1"/>
  <c r="I58" i="20" a="1"/>
  <c r="I58" i="20" s="1"/>
  <c r="G58" i="20" a="1"/>
  <c r="G58" i="20" s="1"/>
  <c r="Y57" i="20" a="1"/>
  <c r="Y57" i="20" s="1"/>
  <c r="W57" i="20" a="1"/>
  <c r="W57" i="20" s="1"/>
  <c r="U57" i="20" a="1"/>
  <c r="U57" i="20" s="1"/>
  <c r="S57" i="20" a="1"/>
  <c r="S57" i="20" s="1"/>
  <c r="Q57" i="20" a="1"/>
  <c r="Q57" i="20" s="1"/>
  <c r="O57" i="20" a="1"/>
  <c r="O57" i="20" s="1"/>
  <c r="M57" i="20" a="1"/>
  <c r="M57" i="20" s="1"/>
  <c r="K57" i="20" a="1"/>
  <c r="K57" i="20" s="1"/>
  <c r="I57" i="20" a="1"/>
  <c r="I57" i="20" s="1"/>
  <c r="G57" i="20" a="1"/>
  <c r="G57" i="20" s="1"/>
  <c r="Y56" i="20" a="1"/>
  <c r="Y56" i="20" s="1"/>
  <c r="W56" i="20" a="1"/>
  <c r="W56" i="20" s="1"/>
  <c r="U56" i="20" a="1"/>
  <c r="U56" i="20" s="1"/>
  <c r="S56" i="20" a="1"/>
  <c r="S56" i="20" s="1"/>
  <c r="Q56" i="20" a="1"/>
  <c r="Q56" i="20" s="1"/>
  <c r="O56" i="20" a="1"/>
  <c r="O56" i="20" s="1"/>
  <c r="M56" i="20" a="1"/>
  <c r="M56" i="20" s="1"/>
  <c r="K56" i="20" a="1"/>
  <c r="K56" i="20" s="1"/>
  <c r="I56" i="20" a="1"/>
  <c r="I56" i="20" s="1"/>
  <c r="G56" i="20" a="1"/>
  <c r="G56" i="20" s="1"/>
  <c r="Y55" i="20" a="1"/>
  <c r="Y55" i="20" s="1"/>
  <c r="W55" i="20" a="1"/>
  <c r="W55" i="20" s="1"/>
  <c r="U55" i="20" a="1"/>
  <c r="U55" i="20" s="1"/>
  <c r="S55" i="20" a="1"/>
  <c r="S55" i="20" s="1"/>
  <c r="Q55" i="20" a="1"/>
  <c r="Q55" i="20" s="1"/>
  <c r="O55" i="20" a="1"/>
  <c r="O55" i="20" s="1"/>
  <c r="M55" i="20" a="1"/>
  <c r="M55" i="20" s="1"/>
  <c r="K55" i="20" a="1"/>
  <c r="K55" i="20" s="1"/>
  <c r="I55" i="20" a="1"/>
  <c r="I55" i="20" s="1"/>
  <c r="G55" i="20" a="1"/>
  <c r="G55" i="20" s="1"/>
  <c r="Y54" i="20" a="1"/>
  <c r="Y54" i="20" s="1"/>
  <c r="W54" i="20" a="1"/>
  <c r="W54" i="20" s="1"/>
  <c r="U54" i="20" a="1"/>
  <c r="U54" i="20" s="1"/>
  <c r="S54" i="20" a="1"/>
  <c r="S54" i="20" s="1"/>
  <c r="Q54" i="20" a="1"/>
  <c r="Q54" i="20" s="1"/>
  <c r="O54" i="20" a="1"/>
  <c r="O54" i="20" s="1"/>
  <c r="M54" i="20" a="1"/>
  <c r="M54" i="20" s="1"/>
  <c r="K54" i="20" a="1"/>
  <c r="K54" i="20" s="1"/>
  <c r="I54" i="20" a="1"/>
  <c r="I54" i="20" s="1"/>
  <c r="G54" i="20" a="1"/>
  <c r="G54" i="20" s="1"/>
  <c r="Y53" i="20" a="1"/>
  <c r="Y53" i="20" s="1"/>
  <c r="W53" i="20" a="1"/>
  <c r="W53" i="20" s="1"/>
  <c r="U53" i="20" a="1"/>
  <c r="U53" i="20" s="1"/>
  <c r="S53" i="20" a="1"/>
  <c r="S53" i="20" s="1"/>
  <c r="Q53" i="20" a="1"/>
  <c r="Q53" i="20" s="1"/>
  <c r="M53" i="20" a="1"/>
  <c r="M53" i="20" s="1"/>
  <c r="K53" i="20" a="1"/>
  <c r="K53" i="20" s="1"/>
  <c r="I53" i="20" a="1"/>
  <c r="I53" i="20" s="1"/>
  <c r="G53" i="20" a="1"/>
  <c r="G53" i="20" s="1"/>
  <c r="Y52" i="20" a="1"/>
  <c r="Y52" i="20" s="1"/>
  <c r="W52" i="20" a="1"/>
  <c r="W52" i="20" s="1"/>
  <c r="U52" i="20" a="1"/>
  <c r="U52" i="20" s="1"/>
  <c r="S52" i="20" a="1"/>
  <c r="S52" i="20" s="1"/>
  <c r="Q52" i="20" a="1"/>
  <c r="Q52" i="20" s="1"/>
  <c r="O52" i="20" a="1"/>
  <c r="O52" i="20" s="1"/>
  <c r="M52" i="20" a="1"/>
  <c r="M52" i="20" s="1"/>
  <c r="K52" i="20" a="1"/>
  <c r="K52" i="20" s="1"/>
  <c r="G52" i="20" a="1"/>
  <c r="G52" i="20" s="1"/>
  <c r="Y51" i="20" a="1"/>
  <c r="Y51" i="20" s="1"/>
  <c r="W51" i="20" a="1"/>
  <c r="W51" i="20" s="1"/>
  <c r="U51" i="20" a="1"/>
  <c r="U51" i="20" s="1"/>
  <c r="S51" i="20" a="1"/>
  <c r="S51" i="20" s="1"/>
  <c r="Q51" i="20" a="1"/>
  <c r="Q51" i="20" s="1"/>
  <c r="O51" i="20" a="1"/>
  <c r="O51" i="20" s="1"/>
  <c r="M51" i="20" a="1"/>
  <c r="M51" i="20" s="1"/>
  <c r="K51" i="20" a="1"/>
  <c r="K51" i="20" s="1"/>
  <c r="I51" i="20" a="1"/>
  <c r="I51" i="20" s="1"/>
  <c r="G51" i="20" a="1"/>
  <c r="G51" i="20" s="1"/>
  <c r="Y50" i="20" a="1"/>
  <c r="Y50" i="20" s="1"/>
  <c r="W50" i="20" a="1"/>
  <c r="W50" i="20" s="1"/>
  <c r="U50" i="20" a="1"/>
  <c r="U50" i="20" s="1"/>
  <c r="S50" i="20" a="1"/>
  <c r="S50" i="20" s="1"/>
  <c r="Q50" i="20" a="1"/>
  <c r="Q50" i="20" s="1"/>
  <c r="O50" i="20" a="1"/>
  <c r="O50" i="20" s="1"/>
  <c r="M50" i="20" a="1"/>
  <c r="M50" i="20" s="1"/>
  <c r="K50" i="20" a="1"/>
  <c r="K50" i="20" s="1"/>
  <c r="G50" i="20" a="1"/>
  <c r="G50" i="20" s="1"/>
  <c r="Y49" i="20" a="1"/>
  <c r="Y49" i="20" s="1"/>
  <c r="W49" i="20" a="1"/>
  <c r="W49" i="20" s="1"/>
  <c r="U49" i="20" a="1"/>
  <c r="U49" i="20" s="1"/>
  <c r="S49" i="20" a="1"/>
  <c r="S49" i="20" s="1"/>
  <c r="Q49" i="20" a="1"/>
  <c r="Q49" i="20" s="1"/>
  <c r="O49" i="20" a="1"/>
  <c r="O49" i="20" s="1"/>
  <c r="M49" i="20" a="1"/>
  <c r="M49" i="20" s="1"/>
  <c r="K49" i="20" a="1"/>
  <c r="K49" i="20" s="1"/>
  <c r="I49" i="20" a="1"/>
  <c r="I49" i="20" s="1"/>
  <c r="G49" i="20" a="1"/>
  <c r="G49" i="20" s="1"/>
  <c r="Y48" i="20" a="1"/>
  <c r="Y48" i="20" s="1"/>
  <c r="W48" i="20" a="1"/>
  <c r="W48" i="20" s="1"/>
  <c r="U48" i="20" a="1"/>
  <c r="U48" i="20" s="1"/>
  <c r="S48" i="20" a="1"/>
  <c r="S48" i="20" s="1"/>
  <c r="Q48" i="20" a="1"/>
  <c r="Q48" i="20" s="1"/>
  <c r="O48" i="20" a="1"/>
  <c r="O48" i="20" s="1"/>
  <c r="M48" i="20" a="1"/>
  <c r="M48" i="20" s="1"/>
  <c r="K48" i="20" a="1"/>
  <c r="K48" i="20" s="1"/>
  <c r="I48" i="20" a="1"/>
  <c r="I48" i="20" s="1"/>
  <c r="G48" i="20" a="1"/>
  <c r="G48" i="20" s="1"/>
  <c r="Y47" i="20" a="1"/>
  <c r="Y47" i="20" s="1"/>
  <c r="W47" i="20" a="1"/>
  <c r="W47" i="20" s="1"/>
  <c r="U47" i="20" a="1"/>
  <c r="U47" i="20" s="1"/>
  <c r="S47" i="20" a="1"/>
  <c r="S47" i="20" s="1"/>
  <c r="Q47" i="20" a="1"/>
  <c r="Q47" i="20" s="1"/>
  <c r="O47" i="20" a="1"/>
  <c r="O47" i="20" s="1"/>
  <c r="M47" i="20" a="1"/>
  <c r="M47" i="20" s="1"/>
  <c r="K47" i="20" a="1"/>
  <c r="K47" i="20" s="1"/>
  <c r="I47" i="20" a="1"/>
  <c r="I47" i="20" s="1"/>
  <c r="G47" i="20" a="1"/>
  <c r="G47" i="20" s="1"/>
  <c r="Y45" i="20" a="1"/>
  <c r="Y45" i="20" s="1"/>
  <c r="W45" i="20" a="1"/>
  <c r="W45" i="20" s="1"/>
  <c r="U45" i="20" a="1"/>
  <c r="U45" i="20" s="1"/>
  <c r="S45" i="20" a="1"/>
  <c r="S45" i="20" s="1"/>
  <c r="Q45" i="20" a="1"/>
  <c r="Q45" i="20" s="1"/>
  <c r="O45" i="20" a="1"/>
  <c r="O45" i="20" s="1"/>
  <c r="M45" i="20" a="1"/>
  <c r="M45" i="20" s="1"/>
  <c r="K45" i="20" a="1"/>
  <c r="K45" i="20" s="1"/>
  <c r="I45" i="20" a="1"/>
  <c r="I45" i="20" s="1"/>
  <c r="G45" i="20" a="1"/>
  <c r="G45" i="20" s="1"/>
  <c r="Y44" i="20" a="1"/>
  <c r="Y44" i="20" s="1"/>
  <c r="W44" i="20" a="1"/>
  <c r="W44" i="20" s="1"/>
  <c r="U44" i="20" a="1"/>
  <c r="U44" i="20" s="1"/>
  <c r="S44" i="20" a="1"/>
  <c r="S44" i="20" s="1"/>
  <c r="Q44" i="20" a="1"/>
  <c r="Q44" i="20" s="1"/>
  <c r="O44" i="20" a="1"/>
  <c r="O44" i="20" s="1"/>
  <c r="M44" i="20" a="1"/>
  <c r="M44" i="20" s="1"/>
  <c r="K44" i="20" a="1"/>
  <c r="K44" i="20" s="1"/>
  <c r="I44" i="20" a="1"/>
  <c r="I44" i="20" s="1"/>
  <c r="G44" i="20" a="1"/>
  <c r="G44" i="20" s="1"/>
  <c r="Y43" i="20" a="1"/>
  <c r="Y43" i="20" s="1"/>
  <c r="W43" i="20" a="1"/>
  <c r="W43" i="20" s="1"/>
  <c r="U43" i="20" a="1"/>
  <c r="U43" i="20" s="1"/>
  <c r="S43" i="20" a="1"/>
  <c r="S43" i="20" s="1"/>
  <c r="Q43" i="20" a="1"/>
  <c r="Q43" i="20" s="1"/>
  <c r="O43" i="20" a="1"/>
  <c r="O43" i="20" s="1"/>
  <c r="M43" i="20" a="1"/>
  <c r="M43" i="20" s="1"/>
  <c r="K43" i="20" a="1"/>
  <c r="K43" i="20" s="1"/>
  <c r="I43" i="20" a="1"/>
  <c r="I43" i="20" s="1"/>
  <c r="G43" i="20" a="1"/>
  <c r="G43" i="20" s="1"/>
  <c r="Y42" i="20" a="1"/>
  <c r="Y42" i="20" s="1"/>
  <c r="W42" i="20" a="1"/>
  <c r="W42" i="20" s="1"/>
  <c r="U42" i="20" a="1"/>
  <c r="U42" i="20" s="1"/>
  <c r="S42" i="20" a="1"/>
  <c r="S42" i="20" s="1"/>
  <c r="Q42" i="20" a="1"/>
  <c r="Q42" i="20" s="1"/>
  <c r="O42" i="20" a="1"/>
  <c r="O42" i="20" s="1"/>
  <c r="M42" i="20" a="1"/>
  <c r="M42" i="20" s="1"/>
  <c r="K42" i="20" a="1"/>
  <c r="K42" i="20" s="1"/>
  <c r="I42" i="20" a="1"/>
  <c r="I42" i="20" s="1"/>
  <c r="G42" i="20" a="1"/>
  <c r="G42" i="20" s="1"/>
  <c r="Y41" i="20" a="1"/>
  <c r="Y41" i="20" s="1"/>
  <c r="W41" i="20" a="1"/>
  <c r="W41" i="20" s="1"/>
  <c r="U41" i="20" a="1"/>
  <c r="U41" i="20" s="1"/>
  <c r="S41" i="20" a="1"/>
  <c r="S41" i="20" s="1"/>
  <c r="Q41" i="20" a="1"/>
  <c r="Q41" i="20" s="1"/>
  <c r="M41" i="20" a="1"/>
  <c r="M41" i="20" s="1"/>
  <c r="K41" i="20" a="1"/>
  <c r="K41" i="20" s="1"/>
  <c r="I41" i="20" a="1"/>
  <c r="I41" i="20" s="1"/>
  <c r="G41" i="20" a="1"/>
  <c r="G41" i="20" s="1"/>
  <c r="Y40" i="20" a="1"/>
  <c r="Y40" i="20" s="1"/>
  <c r="W40" i="20" a="1"/>
  <c r="W40" i="20" s="1"/>
  <c r="U40" i="20" a="1"/>
  <c r="U40" i="20" s="1"/>
  <c r="S40" i="20" a="1"/>
  <c r="S40" i="20" s="1"/>
  <c r="Q40" i="20" a="1"/>
  <c r="Q40" i="20" s="1"/>
  <c r="O40" i="20" a="1"/>
  <c r="O40" i="20" s="1"/>
  <c r="M40" i="20" a="1"/>
  <c r="M40" i="20" s="1"/>
  <c r="K40" i="20" a="1"/>
  <c r="K40" i="20" s="1"/>
  <c r="I40" i="20" a="1"/>
  <c r="I40" i="20" s="1"/>
  <c r="G40" i="20" a="1"/>
  <c r="G40" i="20" s="1"/>
  <c r="Y39" i="20" a="1"/>
  <c r="Y39" i="20" s="1"/>
  <c r="W39" i="20" a="1"/>
  <c r="W39" i="20" s="1"/>
  <c r="U39" i="20" a="1"/>
  <c r="U39" i="20" s="1"/>
  <c r="S39" i="20" a="1"/>
  <c r="S39" i="20" s="1"/>
  <c r="Q39" i="20" a="1"/>
  <c r="Q39" i="20" s="1"/>
  <c r="O39" i="20" a="1"/>
  <c r="O39" i="20" s="1"/>
  <c r="M39" i="20" a="1"/>
  <c r="M39" i="20" s="1"/>
  <c r="K39" i="20" a="1"/>
  <c r="K39" i="20" s="1"/>
  <c r="I39" i="20" a="1"/>
  <c r="I39" i="20" s="1"/>
  <c r="G39" i="20" a="1"/>
  <c r="G39" i="20" s="1"/>
  <c r="Y38" i="20" a="1"/>
  <c r="Y38" i="20" s="1"/>
  <c r="W38" i="20" a="1"/>
  <c r="W38" i="20" s="1"/>
  <c r="U38" i="20" a="1"/>
  <c r="U38" i="20" s="1"/>
  <c r="S38" i="20" a="1"/>
  <c r="S38" i="20" s="1"/>
  <c r="Q38" i="20" a="1"/>
  <c r="Q38" i="20" s="1"/>
  <c r="M38" i="20" a="1"/>
  <c r="M38" i="20" s="1"/>
  <c r="K38" i="20" a="1"/>
  <c r="K38" i="20" s="1"/>
  <c r="I38" i="20" a="1"/>
  <c r="I38" i="20" s="1"/>
  <c r="G38" i="20" a="1"/>
  <c r="G38" i="20" s="1"/>
  <c r="G37" i="20" a="1"/>
  <c r="G37" i="20" s="1"/>
  <c r="Y35" i="20" a="1"/>
  <c r="Y35" i="20" s="1"/>
  <c r="W35" i="20" a="1"/>
  <c r="W35" i="20" s="1"/>
  <c r="U35" i="20" a="1"/>
  <c r="U35" i="20" s="1"/>
  <c r="S35" i="20" a="1"/>
  <c r="S35" i="20" s="1"/>
  <c r="Q35" i="20" a="1"/>
  <c r="Q35" i="20" s="1"/>
  <c r="O35" i="20" a="1"/>
  <c r="O35" i="20" s="1"/>
  <c r="M35" i="20" a="1"/>
  <c r="M35" i="20" s="1"/>
  <c r="K35" i="20" a="1"/>
  <c r="K35" i="20" s="1"/>
  <c r="I35" i="20" a="1"/>
  <c r="I35" i="20" s="1"/>
  <c r="G35" i="20" a="1"/>
  <c r="G35" i="20" s="1"/>
  <c r="B92" i="20"/>
  <c r="B90" i="20"/>
  <c r="B91" i="20"/>
  <c r="B88" i="20"/>
  <c r="B89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65" i="20"/>
  <c r="AO48" i="21"/>
  <c r="AO49" i="21"/>
  <c r="AO50" i="21"/>
  <c r="AO51" i="21"/>
  <c r="AO52" i="21"/>
  <c r="AO53" i="21"/>
  <c r="AO54" i="21"/>
  <c r="AO55" i="21"/>
  <c r="AO56" i="21"/>
  <c r="AO87" i="21" s="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M86" i="21" a="1"/>
  <c r="AM86" i="21" s="1"/>
  <c r="AM85" i="21" a="1"/>
  <c r="AM85" i="21" s="1"/>
  <c r="AM84" i="21" a="1"/>
  <c r="AM84" i="21" s="1"/>
  <c r="AM83" i="21" a="1"/>
  <c r="AM83" i="21" s="1"/>
  <c r="AM82" i="21" a="1"/>
  <c r="AM82" i="21" s="1"/>
  <c r="AM81" i="21" a="1"/>
  <c r="AM81" i="21" s="1"/>
  <c r="AM78" i="21" a="1"/>
  <c r="AM78" i="21" s="1"/>
  <c r="AM77" i="21" a="1"/>
  <c r="AM77" i="21" s="1"/>
  <c r="AM76" i="21" a="1"/>
  <c r="AM76" i="21" s="1"/>
  <c r="AM75" i="21" a="1"/>
  <c r="AM75" i="21" s="1"/>
  <c r="AM74" i="21" a="1"/>
  <c r="AM74" i="21" s="1"/>
  <c r="AM73" i="21" a="1"/>
  <c r="AM73" i="21" s="1"/>
  <c r="AM72" i="21" a="1"/>
  <c r="AM72" i="21" s="1"/>
  <c r="AM71" i="21" a="1"/>
  <c r="AM71" i="21" s="1"/>
  <c r="AM69" i="21" a="1"/>
  <c r="AM69" i="21" s="1"/>
  <c r="AM66" i="21" a="1"/>
  <c r="AM66" i="21" s="1"/>
  <c r="AM65" i="21" a="1"/>
  <c r="AM65" i="21" s="1"/>
  <c r="AM64" i="21" a="1"/>
  <c r="AM64" i="21" s="1"/>
  <c r="AM63" i="21" a="1"/>
  <c r="AM63" i="21" s="1"/>
  <c r="AM62" i="21" a="1"/>
  <c r="AM62" i="21" s="1"/>
  <c r="AM61" i="21" a="1"/>
  <c r="AM61" i="21" s="1"/>
  <c r="AM55" i="21" a="1"/>
  <c r="AM55" i="21" s="1"/>
  <c r="AM54" i="21" a="1"/>
  <c r="AM54" i="21" s="1"/>
  <c r="AM53" i="21" a="1"/>
  <c r="AM53" i="21" s="1"/>
  <c r="AM50" i="21" a="1"/>
  <c r="AM50" i="21" s="1"/>
  <c r="AM48" i="21" a="1"/>
  <c r="AM48" i="21" s="1"/>
  <c r="AM47" i="21" a="1"/>
  <c r="AM47" i="21" s="1"/>
  <c r="Y86" i="21" a="1"/>
  <c r="Y86" i="21" s="1"/>
  <c r="W86" i="21" a="1"/>
  <c r="W86" i="21" s="1"/>
  <c r="U86" i="21" a="1"/>
  <c r="U86" i="21" s="1"/>
  <c r="S86" i="21" a="1"/>
  <c r="S86" i="21" s="1"/>
  <c r="Q86" i="21" a="1"/>
  <c r="Q86" i="21" s="1"/>
  <c r="O86" i="21" a="1"/>
  <c r="O86" i="21" s="1"/>
  <c r="M86" i="21" a="1"/>
  <c r="M86" i="21" s="1"/>
  <c r="K86" i="21" a="1"/>
  <c r="K86" i="21" s="1"/>
  <c r="I86" i="21" a="1"/>
  <c r="I86" i="21" s="1"/>
  <c r="G86" i="21" a="1"/>
  <c r="G86" i="21" s="1"/>
  <c r="Y85" i="21" a="1"/>
  <c r="Y85" i="21" s="1"/>
  <c r="W85" i="21" a="1"/>
  <c r="W85" i="21" s="1"/>
  <c r="U85" i="21" a="1"/>
  <c r="U85" i="21" s="1"/>
  <c r="S85" i="21" a="1"/>
  <c r="S85" i="21" s="1"/>
  <c r="Q85" i="21" a="1"/>
  <c r="Q85" i="21" s="1"/>
  <c r="O85" i="21" a="1"/>
  <c r="O85" i="21" s="1"/>
  <c r="M85" i="21" a="1"/>
  <c r="M85" i="21" s="1"/>
  <c r="K85" i="21" a="1"/>
  <c r="K85" i="21" s="1"/>
  <c r="I85" i="21" a="1"/>
  <c r="I85" i="21" s="1"/>
  <c r="G85" i="21" a="1"/>
  <c r="G85" i="21" s="1"/>
  <c r="Y84" i="21" a="1"/>
  <c r="Y84" i="21" s="1"/>
  <c r="W84" i="21" a="1"/>
  <c r="W84" i="21" s="1"/>
  <c r="U84" i="21" a="1"/>
  <c r="U84" i="21" s="1"/>
  <c r="S84" i="21" a="1"/>
  <c r="S84" i="21" s="1"/>
  <c r="Q84" i="21" a="1"/>
  <c r="Q84" i="21" s="1"/>
  <c r="O84" i="21" a="1"/>
  <c r="O84" i="21" s="1"/>
  <c r="M84" i="21" a="1"/>
  <c r="M84" i="21" s="1"/>
  <c r="K84" i="21" a="1"/>
  <c r="K84" i="21" s="1"/>
  <c r="I84" i="21" a="1"/>
  <c r="I84" i="21" s="1"/>
  <c r="G84" i="21" a="1"/>
  <c r="G84" i="21" s="1"/>
  <c r="Y83" i="21" a="1"/>
  <c r="Y83" i="21" s="1"/>
  <c r="W83" i="21" a="1"/>
  <c r="W83" i="21" s="1"/>
  <c r="U83" i="21" a="1"/>
  <c r="U83" i="21" s="1"/>
  <c r="S83" i="21" a="1"/>
  <c r="S83" i="21" s="1"/>
  <c r="Q83" i="21" a="1"/>
  <c r="Q83" i="21" s="1"/>
  <c r="O83" i="21" a="1"/>
  <c r="O83" i="21" s="1"/>
  <c r="M83" i="21" a="1"/>
  <c r="M83" i="21" s="1"/>
  <c r="K83" i="21" a="1"/>
  <c r="K83" i="21" s="1"/>
  <c r="I83" i="21" a="1"/>
  <c r="I83" i="21" s="1"/>
  <c r="G83" i="21" a="1"/>
  <c r="G83" i="21" s="1"/>
  <c r="Y82" i="21" a="1"/>
  <c r="Y82" i="21" s="1"/>
  <c r="W82" i="21" a="1"/>
  <c r="W82" i="21" s="1"/>
  <c r="U82" i="21" a="1"/>
  <c r="U82" i="21" s="1"/>
  <c r="S82" i="21" a="1"/>
  <c r="S82" i="21" s="1"/>
  <c r="Q82" i="21" a="1"/>
  <c r="Q82" i="21" s="1"/>
  <c r="O82" i="21" a="1"/>
  <c r="O82" i="21" s="1"/>
  <c r="M82" i="21" a="1"/>
  <c r="M82" i="21" s="1"/>
  <c r="K82" i="21" a="1"/>
  <c r="K82" i="21" s="1"/>
  <c r="I82" i="21" a="1"/>
  <c r="I82" i="21" s="1"/>
  <c r="G82" i="21" a="1"/>
  <c r="G82" i="21" s="1"/>
  <c r="E82" i="21" a="1"/>
  <c r="E82" i="21" s="1"/>
  <c r="Y81" i="21" a="1"/>
  <c r="Y81" i="21" s="1"/>
  <c r="W81" i="21" a="1"/>
  <c r="W81" i="21" s="1"/>
  <c r="U81" i="21" a="1"/>
  <c r="U81" i="21" s="1"/>
  <c r="S81" i="21" a="1"/>
  <c r="S81" i="21" s="1"/>
  <c r="Q81" i="21" a="1"/>
  <c r="Q81" i="21" s="1"/>
  <c r="O81" i="21" a="1"/>
  <c r="O81" i="21" s="1"/>
  <c r="M81" i="21" a="1"/>
  <c r="M81" i="21" s="1"/>
  <c r="K81" i="21" a="1"/>
  <c r="K81" i="21" s="1"/>
  <c r="G81" i="21" a="1"/>
  <c r="G81" i="21" s="1"/>
  <c r="E81" i="21" a="1"/>
  <c r="E81" i="21" s="1"/>
  <c r="Y80" i="21" a="1"/>
  <c r="Y80" i="21" s="1"/>
  <c r="W80" i="21" a="1"/>
  <c r="W80" i="21" s="1"/>
  <c r="U80" i="21" a="1"/>
  <c r="U80" i="21" s="1"/>
  <c r="S80" i="21" a="1"/>
  <c r="S80" i="21" s="1"/>
  <c r="Q80" i="21" a="1"/>
  <c r="Q80" i="21" s="1"/>
  <c r="O80" i="21" a="1"/>
  <c r="O80" i="21" s="1"/>
  <c r="M80" i="21" a="1"/>
  <c r="M80" i="21" s="1"/>
  <c r="K80" i="21" a="1"/>
  <c r="K80" i="21" s="1"/>
  <c r="I80" i="21" a="1"/>
  <c r="I80" i="21" s="1"/>
  <c r="G80" i="21" a="1"/>
  <c r="G80" i="21" s="1"/>
  <c r="E80" i="21" a="1"/>
  <c r="E80" i="21" s="1"/>
  <c r="Y79" i="21" a="1"/>
  <c r="Y79" i="21" s="1"/>
  <c r="W79" i="21" a="1"/>
  <c r="W79" i="21" s="1"/>
  <c r="U79" i="21" a="1"/>
  <c r="U79" i="21" s="1"/>
  <c r="S79" i="21" a="1"/>
  <c r="S79" i="21" s="1"/>
  <c r="Q79" i="21" a="1"/>
  <c r="Q79" i="21" s="1"/>
  <c r="O79" i="21" a="1"/>
  <c r="O79" i="21" s="1"/>
  <c r="M79" i="21" a="1"/>
  <c r="M79" i="21" s="1"/>
  <c r="K79" i="21" a="1"/>
  <c r="K79" i="21" s="1"/>
  <c r="I79" i="21" a="1"/>
  <c r="I79" i="21" s="1"/>
  <c r="G79" i="21" a="1"/>
  <c r="G79" i="21" s="1"/>
  <c r="E79" i="21" a="1"/>
  <c r="E79" i="21" s="1"/>
  <c r="Y78" i="21" a="1"/>
  <c r="Y78" i="21" s="1"/>
  <c r="W78" i="21" a="1"/>
  <c r="W78" i="21" s="1"/>
  <c r="U78" i="21" a="1"/>
  <c r="U78" i="21" s="1"/>
  <c r="S78" i="21" a="1"/>
  <c r="S78" i="21" s="1"/>
  <c r="O78" i="21" a="1"/>
  <c r="O78" i="21" s="1"/>
  <c r="M78" i="21" a="1"/>
  <c r="M78" i="21" s="1"/>
  <c r="K78" i="21" a="1"/>
  <c r="K78" i="21" s="1"/>
  <c r="I78" i="21" a="1"/>
  <c r="I78" i="21" s="1"/>
  <c r="G78" i="21" a="1"/>
  <c r="G78" i="21" s="1"/>
  <c r="E78" i="21" a="1"/>
  <c r="E78" i="21" s="1"/>
  <c r="Y77" i="21" a="1"/>
  <c r="Y77" i="21" s="1"/>
  <c r="W77" i="21" a="1"/>
  <c r="W77" i="21" s="1"/>
  <c r="U77" i="21" a="1"/>
  <c r="U77" i="21" s="1"/>
  <c r="S77" i="21" a="1"/>
  <c r="S77" i="21" s="1"/>
  <c r="Q77" i="21" a="1"/>
  <c r="Q77" i="21" s="1"/>
  <c r="O77" i="21" a="1"/>
  <c r="O77" i="21" s="1"/>
  <c r="M77" i="21" a="1"/>
  <c r="M77" i="21" s="1"/>
  <c r="K77" i="21" a="1"/>
  <c r="K77" i="21" s="1"/>
  <c r="I77" i="21" a="1"/>
  <c r="I77" i="21" s="1"/>
  <c r="G77" i="21" a="1"/>
  <c r="G77" i="21" s="1"/>
  <c r="Y76" i="21" a="1"/>
  <c r="Y76" i="21" s="1"/>
  <c r="W76" i="21" a="1"/>
  <c r="W76" i="21" s="1"/>
  <c r="U76" i="21" a="1"/>
  <c r="U76" i="21" s="1"/>
  <c r="S76" i="21" a="1"/>
  <c r="S76" i="21" s="1"/>
  <c r="Q76" i="21" a="1"/>
  <c r="Q76" i="21" s="1"/>
  <c r="O76" i="21" a="1"/>
  <c r="O76" i="21" s="1"/>
  <c r="M76" i="21" a="1"/>
  <c r="M76" i="21" s="1"/>
  <c r="K76" i="21" a="1"/>
  <c r="K76" i="21" s="1"/>
  <c r="I76" i="21" a="1"/>
  <c r="I76" i="21" s="1"/>
  <c r="G76" i="21" a="1"/>
  <c r="G76" i="21" s="1"/>
  <c r="Y75" i="21" a="1"/>
  <c r="Y75" i="21" s="1"/>
  <c r="W75" i="21" a="1"/>
  <c r="W75" i="21" s="1"/>
  <c r="U75" i="21" a="1"/>
  <c r="U75" i="21" s="1"/>
  <c r="S75" i="21" a="1"/>
  <c r="S75" i="21" s="1"/>
  <c r="O75" i="21" a="1"/>
  <c r="O75" i="21" s="1"/>
  <c r="M75" i="21" a="1"/>
  <c r="M75" i="21" s="1"/>
  <c r="K75" i="21" a="1"/>
  <c r="K75" i="21" s="1"/>
  <c r="I75" i="21" a="1"/>
  <c r="I75" i="21" s="1"/>
  <c r="G75" i="21" a="1"/>
  <c r="G75" i="21" s="1"/>
  <c r="E75" i="21" a="1"/>
  <c r="E75" i="21" s="1"/>
  <c r="Y74" i="21" a="1"/>
  <c r="Y74" i="21" s="1"/>
  <c r="W74" i="21" a="1"/>
  <c r="W74" i="21" s="1"/>
  <c r="U74" i="21" a="1"/>
  <c r="U74" i="21" s="1"/>
  <c r="S74" i="21" a="1"/>
  <c r="S74" i="21" s="1"/>
  <c r="Q74" i="21" a="1"/>
  <c r="Q74" i="21" s="1"/>
  <c r="M74" i="21" a="1"/>
  <c r="M74" i="21" s="1"/>
  <c r="K74" i="21" a="1"/>
  <c r="K74" i="21" s="1"/>
  <c r="I74" i="21" a="1"/>
  <c r="I74" i="21" s="1"/>
  <c r="G74" i="21" a="1"/>
  <c r="G74" i="21" s="1"/>
  <c r="E74" i="21" a="1"/>
  <c r="E74" i="21" s="1"/>
  <c r="Y73" i="21" a="1"/>
  <c r="Y73" i="21" s="1"/>
  <c r="W73" i="21" a="1"/>
  <c r="W73" i="21" s="1"/>
  <c r="U73" i="21" a="1"/>
  <c r="U73" i="21" s="1"/>
  <c r="S73" i="21" a="1"/>
  <c r="S73" i="21" s="1"/>
  <c r="Q73" i="21" a="1"/>
  <c r="Q73" i="21" s="1"/>
  <c r="O73" i="21" a="1"/>
  <c r="O73" i="21" s="1"/>
  <c r="M73" i="21" a="1"/>
  <c r="M73" i="21" s="1"/>
  <c r="K73" i="21" a="1"/>
  <c r="K73" i="21" s="1"/>
  <c r="I73" i="21" a="1"/>
  <c r="I73" i="21" s="1"/>
  <c r="G73" i="21" a="1"/>
  <c r="G73" i="21" s="1"/>
  <c r="Y72" i="21" a="1"/>
  <c r="Y72" i="21" s="1"/>
  <c r="W72" i="21" a="1"/>
  <c r="W72" i="21" s="1"/>
  <c r="U72" i="21" a="1"/>
  <c r="U72" i="21" s="1"/>
  <c r="S72" i="21" a="1"/>
  <c r="S72" i="21" s="1"/>
  <c r="Q72" i="21" a="1"/>
  <c r="Q72" i="21" s="1"/>
  <c r="O72" i="21" a="1"/>
  <c r="O72" i="21" s="1"/>
  <c r="M72" i="21" a="1"/>
  <c r="M72" i="21" s="1"/>
  <c r="K72" i="21" a="1"/>
  <c r="K72" i="21" s="1"/>
  <c r="I72" i="21" a="1"/>
  <c r="I72" i="21" s="1"/>
  <c r="G72" i="21" a="1"/>
  <c r="G72" i="21" s="1"/>
  <c r="Y71" i="21" a="1"/>
  <c r="Y71" i="21" s="1"/>
  <c r="W71" i="21" a="1"/>
  <c r="W71" i="21" s="1"/>
  <c r="U71" i="21" a="1"/>
  <c r="U71" i="21" s="1"/>
  <c r="S71" i="21" a="1"/>
  <c r="S71" i="21" s="1"/>
  <c r="Q71" i="21" a="1"/>
  <c r="Q71" i="21" s="1"/>
  <c r="O71" i="21" a="1"/>
  <c r="O71" i="21" s="1"/>
  <c r="M71" i="21" a="1"/>
  <c r="M71" i="21" s="1"/>
  <c r="K71" i="21" a="1"/>
  <c r="K71" i="21" s="1"/>
  <c r="I71" i="21" a="1"/>
  <c r="I71" i="21" s="1"/>
  <c r="G71" i="21" a="1"/>
  <c r="G71" i="21" s="1"/>
  <c r="Y70" i="21" a="1"/>
  <c r="Y70" i="21" s="1"/>
  <c r="W70" i="21" a="1"/>
  <c r="W70" i="21" s="1"/>
  <c r="U70" i="21" a="1"/>
  <c r="U70" i="21" s="1"/>
  <c r="S70" i="21" a="1"/>
  <c r="S70" i="21" s="1"/>
  <c r="Q70" i="21" a="1"/>
  <c r="Q70" i="21" s="1"/>
  <c r="O70" i="21" a="1"/>
  <c r="O70" i="21" s="1"/>
  <c r="M70" i="21" a="1"/>
  <c r="M70" i="21" s="1"/>
  <c r="K70" i="21" a="1"/>
  <c r="K70" i="21" s="1"/>
  <c r="I70" i="21" a="1"/>
  <c r="I70" i="21" s="1"/>
  <c r="G70" i="21" a="1"/>
  <c r="G70" i="21" s="1"/>
  <c r="E70" i="21" a="1"/>
  <c r="E70" i="21" s="1"/>
  <c r="Y69" i="21" a="1"/>
  <c r="Y69" i="21" s="1"/>
  <c r="W69" i="21" a="1"/>
  <c r="W69" i="21" s="1"/>
  <c r="U69" i="21" a="1"/>
  <c r="U69" i="21" s="1"/>
  <c r="S69" i="21" a="1"/>
  <c r="S69" i="21" s="1"/>
  <c r="Q69" i="21" a="1"/>
  <c r="Q69" i="21" s="1"/>
  <c r="O69" i="21" a="1"/>
  <c r="O69" i="21" s="1"/>
  <c r="M69" i="21" a="1"/>
  <c r="M69" i="21" s="1"/>
  <c r="K69" i="21" a="1"/>
  <c r="K69" i="21" s="1"/>
  <c r="I69" i="21" a="1"/>
  <c r="I69" i="21" s="1"/>
  <c r="G69" i="21" a="1"/>
  <c r="G69" i="21" s="1"/>
  <c r="Y68" i="21" a="1"/>
  <c r="Y68" i="21" s="1"/>
  <c r="W68" i="21" a="1"/>
  <c r="W68" i="21" s="1"/>
  <c r="U68" i="21" a="1"/>
  <c r="U68" i="21" s="1"/>
  <c r="S68" i="21" a="1"/>
  <c r="S68" i="21" s="1"/>
  <c r="Q68" i="21" a="1"/>
  <c r="Q68" i="21" s="1"/>
  <c r="M68" i="21" a="1"/>
  <c r="M68" i="21" s="1"/>
  <c r="K68" i="21" a="1"/>
  <c r="K68" i="21" s="1"/>
  <c r="I68" i="21" a="1"/>
  <c r="I68" i="21" s="1"/>
  <c r="G68" i="21" a="1"/>
  <c r="G68" i="21" s="1"/>
  <c r="E68" i="21" a="1"/>
  <c r="E68" i="21" s="1"/>
  <c r="Y67" i="21" a="1"/>
  <c r="Y67" i="21" s="1"/>
  <c r="W67" i="21" a="1"/>
  <c r="W67" i="21" s="1"/>
  <c r="U67" i="21" a="1"/>
  <c r="U67" i="21" s="1"/>
  <c r="S67" i="21" a="1"/>
  <c r="S67" i="21" s="1"/>
  <c r="Q67" i="21" a="1"/>
  <c r="Q67" i="21" s="1"/>
  <c r="O67" i="21" a="1"/>
  <c r="O67" i="21" s="1"/>
  <c r="M67" i="21" a="1"/>
  <c r="M67" i="21" s="1"/>
  <c r="K67" i="21" a="1"/>
  <c r="K67" i="21" s="1"/>
  <c r="I67" i="21" a="1"/>
  <c r="I67" i="21" s="1"/>
  <c r="G67" i="21" a="1"/>
  <c r="G67" i="21" s="1"/>
  <c r="E67" i="21" a="1"/>
  <c r="E67" i="21" s="1"/>
  <c r="Y66" i="21" a="1"/>
  <c r="Y66" i="21" s="1"/>
  <c r="W66" i="21" a="1"/>
  <c r="W66" i="21" s="1"/>
  <c r="U66" i="21" a="1"/>
  <c r="U66" i="21" s="1"/>
  <c r="S66" i="21" a="1"/>
  <c r="S66" i="21" s="1"/>
  <c r="Q66" i="21" a="1"/>
  <c r="Q66" i="21" s="1"/>
  <c r="O66" i="21" a="1"/>
  <c r="O66" i="21" s="1"/>
  <c r="M66" i="21" a="1"/>
  <c r="M66" i="21" s="1"/>
  <c r="K66" i="21" a="1"/>
  <c r="K66" i="21" s="1"/>
  <c r="I66" i="21" a="1"/>
  <c r="I66" i="21" s="1"/>
  <c r="G66" i="21" a="1"/>
  <c r="G66" i="21" s="1"/>
  <c r="Y65" i="21" a="1"/>
  <c r="Y65" i="21" s="1"/>
  <c r="W65" i="21" a="1"/>
  <c r="W65" i="21" s="1"/>
  <c r="U65" i="21" a="1"/>
  <c r="U65" i="21" s="1"/>
  <c r="S65" i="21" a="1"/>
  <c r="S65" i="21" s="1"/>
  <c r="Q65" i="21" a="1"/>
  <c r="Q65" i="21" s="1"/>
  <c r="O65" i="21" a="1"/>
  <c r="O65" i="21" s="1"/>
  <c r="M65" i="21" a="1"/>
  <c r="M65" i="21" s="1"/>
  <c r="K65" i="21" a="1"/>
  <c r="K65" i="21" s="1"/>
  <c r="I65" i="21" a="1"/>
  <c r="I65" i="21" s="1"/>
  <c r="G65" i="21" a="1"/>
  <c r="G65" i="21" s="1"/>
  <c r="Y64" i="21" a="1"/>
  <c r="Y64" i="21" s="1"/>
  <c r="W64" i="21" a="1"/>
  <c r="W64" i="21" s="1"/>
  <c r="U64" i="21" a="1"/>
  <c r="U64" i="21" s="1"/>
  <c r="S64" i="21" a="1"/>
  <c r="S64" i="21" s="1"/>
  <c r="Q64" i="21" a="1"/>
  <c r="Q64" i="21" s="1"/>
  <c r="O64" i="21" a="1"/>
  <c r="O64" i="21" s="1"/>
  <c r="M64" i="21" a="1"/>
  <c r="M64" i="21" s="1"/>
  <c r="K64" i="21" a="1"/>
  <c r="K64" i="21" s="1"/>
  <c r="I64" i="21" a="1"/>
  <c r="I64" i="21" s="1"/>
  <c r="G64" i="21" a="1"/>
  <c r="G64" i="21" s="1"/>
  <c r="Y63" i="21" a="1"/>
  <c r="Y63" i="21" s="1"/>
  <c r="W63" i="21" a="1"/>
  <c r="W63" i="21" s="1"/>
  <c r="U63" i="21" a="1"/>
  <c r="U63" i="21" s="1"/>
  <c r="S63" i="21" a="1"/>
  <c r="S63" i="21" s="1"/>
  <c r="Q63" i="21" a="1"/>
  <c r="Q63" i="21" s="1"/>
  <c r="O63" i="21" a="1"/>
  <c r="O63" i="21" s="1"/>
  <c r="M63" i="21" a="1"/>
  <c r="M63" i="21" s="1"/>
  <c r="K63" i="21" a="1"/>
  <c r="K63" i="21" s="1"/>
  <c r="I63" i="21" a="1"/>
  <c r="I63" i="21" s="1"/>
  <c r="G63" i="21" a="1"/>
  <c r="G63" i="21" s="1"/>
  <c r="Y62" i="21" a="1"/>
  <c r="Y62" i="21" s="1"/>
  <c r="W62" i="21" a="1"/>
  <c r="W62" i="21" s="1"/>
  <c r="U62" i="21" a="1"/>
  <c r="U62" i="21" s="1"/>
  <c r="S62" i="21" a="1"/>
  <c r="S62" i="21" s="1"/>
  <c r="Q62" i="21" a="1"/>
  <c r="Q62" i="21" s="1"/>
  <c r="O62" i="21" a="1"/>
  <c r="O62" i="21" s="1"/>
  <c r="M62" i="21" a="1"/>
  <c r="M62" i="21" s="1"/>
  <c r="K62" i="21" a="1"/>
  <c r="K62" i="21" s="1"/>
  <c r="I62" i="21" a="1"/>
  <c r="I62" i="21" s="1"/>
  <c r="G62" i="21" a="1"/>
  <c r="G62" i="21" s="1"/>
  <c r="Y61" i="21" a="1"/>
  <c r="Y61" i="21" s="1"/>
  <c r="W61" i="21" a="1"/>
  <c r="W61" i="21" s="1"/>
  <c r="U61" i="21" a="1"/>
  <c r="U61" i="21" s="1"/>
  <c r="S61" i="21" a="1"/>
  <c r="S61" i="21" s="1"/>
  <c r="Q61" i="21" a="1"/>
  <c r="Q61" i="21" s="1"/>
  <c r="O61" i="21" a="1"/>
  <c r="O61" i="21" s="1"/>
  <c r="M61" i="21" a="1"/>
  <c r="M61" i="21" s="1"/>
  <c r="K61" i="21" a="1"/>
  <c r="K61" i="21" s="1"/>
  <c r="I61" i="21" a="1"/>
  <c r="I61" i="21" s="1"/>
  <c r="G61" i="21" a="1"/>
  <c r="G61" i="21" s="1"/>
  <c r="Y60" i="21" a="1"/>
  <c r="Y60" i="21" s="1"/>
  <c r="W60" i="21" a="1"/>
  <c r="W60" i="21" s="1"/>
  <c r="U60" i="21" a="1"/>
  <c r="U60" i="21" s="1"/>
  <c r="S60" i="21" a="1"/>
  <c r="S60" i="21" s="1"/>
  <c r="Q60" i="21" a="1"/>
  <c r="Q60" i="21" s="1"/>
  <c r="O60" i="21" a="1"/>
  <c r="O60" i="21" s="1"/>
  <c r="M60" i="21" a="1"/>
  <c r="M60" i="21" s="1"/>
  <c r="K60" i="21" a="1"/>
  <c r="K60" i="21" s="1"/>
  <c r="G60" i="21" a="1"/>
  <c r="G60" i="21" s="1"/>
  <c r="E60" i="21" a="1"/>
  <c r="E60" i="21" s="1"/>
  <c r="Y59" i="21" a="1"/>
  <c r="Y59" i="21" s="1"/>
  <c r="W59" i="21" a="1"/>
  <c r="W59" i="21" s="1"/>
  <c r="U59" i="21" a="1"/>
  <c r="U59" i="21" s="1"/>
  <c r="S59" i="21" a="1"/>
  <c r="S59" i="21" s="1"/>
  <c r="Q59" i="21" a="1"/>
  <c r="Q59" i="21" s="1"/>
  <c r="O59" i="21" a="1"/>
  <c r="O59" i="21" s="1"/>
  <c r="M59" i="21" a="1"/>
  <c r="M59" i="21" s="1"/>
  <c r="K59" i="21" a="1"/>
  <c r="K59" i="21" s="1"/>
  <c r="I59" i="21" a="1"/>
  <c r="I59" i="21" s="1"/>
  <c r="G59" i="21" a="1"/>
  <c r="G59" i="21" s="1"/>
  <c r="Y58" i="21" a="1"/>
  <c r="Y58" i="21" s="1"/>
  <c r="W58" i="21" a="1"/>
  <c r="W58" i="21" s="1"/>
  <c r="U58" i="21" a="1"/>
  <c r="U58" i="21" s="1"/>
  <c r="S58" i="21" a="1"/>
  <c r="S58" i="21" s="1"/>
  <c r="Q58" i="21" a="1"/>
  <c r="Q58" i="21" s="1"/>
  <c r="O58" i="21" a="1"/>
  <c r="O58" i="21" s="1"/>
  <c r="M58" i="21" a="1"/>
  <c r="M58" i="21" s="1"/>
  <c r="K58" i="21" a="1"/>
  <c r="K58" i="21" s="1"/>
  <c r="I58" i="21" a="1"/>
  <c r="I58" i="21" s="1"/>
  <c r="G58" i="21" a="1"/>
  <c r="G58" i="21" s="1"/>
  <c r="E58" i="21" a="1"/>
  <c r="E58" i="21" s="1"/>
  <c r="Y57" i="21" a="1"/>
  <c r="Y57" i="21" s="1"/>
  <c r="W57" i="21" a="1"/>
  <c r="W57" i="21" s="1"/>
  <c r="U57" i="21" a="1"/>
  <c r="U57" i="21" s="1"/>
  <c r="S57" i="21" a="1"/>
  <c r="S57" i="21" s="1"/>
  <c r="Q57" i="21" a="1"/>
  <c r="Q57" i="21" s="1"/>
  <c r="O57" i="21" a="1"/>
  <c r="O57" i="21" s="1"/>
  <c r="M57" i="21" a="1"/>
  <c r="M57" i="21" s="1"/>
  <c r="K57" i="21" a="1"/>
  <c r="K57" i="21" s="1"/>
  <c r="I57" i="21" a="1"/>
  <c r="I57" i="21" s="1"/>
  <c r="G57" i="21" a="1"/>
  <c r="G57" i="21" s="1"/>
  <c r="E57" i="21" a="1"/>
  <c r="E57" i="21" s="1"/>
  <c r="G56" i="21" a="1"/>
  <c r="G56" i="21" s="1"/>
  <c r="E56" i="21" a="1"/>
  <c r="E56" i="21" s="1"/>
  <c r="Y55" i="21" a="1"/>
  <c r="Y55" i="21" s="1"/>
  <c r="W55" i="21" a="1"/>
  <c r="W55" i="21" s="1"/>
  <c r="U55" i="21" a="1"/>
  <c r="U55" i="21" s="1"/>
  <c r="S55" i="21" a="1"/>
  <c r="S55" i="21" s="1"/>
  <c r="Q55" i="21" a="1"/>
  <c r="Q55" i="21" s="1"/>
  <c r="O55" i="21" a="1"/>
  <c r="O55" i="21" s="1"/>
  <c r="M55" i="21" a="1"/>
  <c r="M55" i="21" s="1"/>
  <c r="K55" i="21" a="1"/>
  <c r="K55" i="21" s="1"/>
  <c r="G55" i="21" a="1"/>
  <c r="G55" i="21" s="1"/>
  <c r="E55" i="21" a="1"/>
  <c r="E55" i="21" s="1"/>
  <c r="Y54" i="21" a="1"/>
  <c r="Y54" i="21" s="1"/>
  <c r="W54" i="21" a="1"/>
  <c r="W54" i="21" s="1"/>
  <c r="U54" i="21" a="1"/>
  <c r="U54" i="21" s="1"/>
  <c r="S54" i="21" a="1"/>
  <c r="S54" i="21" s="1"/>
  <c r="Q54" i="21" a="1"/>
  <c r="Q54" i="21" s="1"/>
  <c r="O54" i="21" a="1"/>
  <c r="O54" i="21" s="1"/>
  <c r="M54" i="21" a="1"/>
  <c r="M54" i="21" s="1"/>
  <c r="K54" i="21" a="1"/>
  <c r="K54" i="21" s="1"/>
  <c r="I54" i="21" a="1"/>
  <c r="I54" i="21" s="1"/>
  <c r="G54" i="21" a="1"/>
  <c r="G54" i="21" s="1"/>
  <c r="Y53" i="21" a="1"/>
  <c r="Y53" i="21" s="1"/>
  <c r="W53" i="21" a="1"/>
  <c r="W53" i="21" s="1"/>
  <c r="U53" i="21" a="1"/>
  <c r="U53" i="21" s="1"/>
  <c r="S53" i="21" a="1"/>
  <c r="S53" i="21" s="1"/>
  <c r="Q53" i="21" a="1"/>
  <c r="Q53" i="21" s="1"/>
  <c r="O53" i="21" a="1"/>
  <c r="O53" i="21" s="1"/>
  <c r="M53" i="21" a="1"/>
  <c r="M53" i="21" s="1"/>
  <c r="K53" i="21" a="1"/>
  <c r="K53" i="21" s="1"/>
  <c r="I53" i="21" a="1"/>
  <c r="I53" i="21" s="1"/>
  <c r="G53" i="21" a="1"/>
  <c r="G53" i="21" s="1"/>
  <c r="Y51" i="21" a="1"/>
  <c r="Y51" i="21" s="1"/>
  <c r="W51" i="21" a="1"/>
  <c r="W51" i="21" s="1"/>
  <c r="S51" i="21" a="1"/>
  <c r="S51" i="21" s="1"/>
  <c r="Q51" i="21" a="1"/>
  <c r="Q51" i="21" s="1"/>
  <c r="M51" i="21" a="1"/>
  <c r="M51" i="21" s="1"/>
  <c r="K51" i="21" a="1"/>
  <c r="K51" i="21" s="1"/>
  <c r="Y50" i="21" a="1"/>
  <c r="Y50" i="21" s="1"/>
  <c r="W50" i="21" a="1"/>
  <c r="W50" i="21" s="1"/>
  <c r="U50" i="21" a="1"/>
  <c r="U50" i="21" s="1"/>
  <c r="S50" i="21" a="1"/>
  <c r="S50" i="21" s="1"/>
  <c r="Q50" i="21" a="1"/>
  <c r="Q50" i="21" s="1"/>
  <c r="O50" i="21" a="1"/>
  <c r="O50" i="21" s="1"/>
  <c r="M50" i="21" a="1"/>
  <c r="M50" i="21" s="1"/>
  <c r="K50" i="21" a="1"/>
  <c r="K50" i="21" s="1"/>
  <c r="G50" i="21" a="1"/>
  <c r="G50" i="21" s="1"/>
  <c r="E50" i="21" a="1"/>
  <c r="E50" i="21" s="1"/>
  <c r="Y49" i="21" a="1"/>
  <c r="Y49" i="21" s="1"/>
  <c r="W49" i="21" a="1"/>
  <c r="W49" i="21" s="1"/>
  <c r="U49" i="21" a="1"/>
  <c r="U49" i="21" s="1"/>
  <c r="S49" i="21" a="1"/>
  <c r="S49" i="21" s="1"/>
  <c r="Q49" i="21" a="1"/>
  <c r="Q49" i="21" s="1"/>
  <c r="O49" i="21" a="1"/>
  <c r="O49" i="21" s="1"/>
  <c r="M49" i="21" a="1"/>
  <c r="M49" i="21" s="1"/>
  <c r="K49" i="21" a="1"/>
  <c r="K49" i="21" s="1"/>
  <c r="I49" i="21" a="1"/>
  <c r="I49" i="21" s="1"/>
  <c r="G49" i="21" a="1"/>
  <c r="G49" i="21" s="1"/>
  <c r="E49" i="21" a="1"/>
  <c r="E49" i="21" s="1"/>
  <c r="Y48" i="21" a="1"/>
  <c r="Y48" i="21" s="1"/>
  <c r="W48" i="21" a="1"/>
  <c r="W48" i="21" s="1"/>
  <c r="U48" i="21" a="1"/>
  <c r="U48" i="21" s="1"/>
  <c r="S48" i="21" a="1"/>
  <c r="S48" i="21" s="1"/>
  <c r="Q48" i="21" a="1"/>
  <c r="Q48" i="21" s="1"/>
  <c r="O48" i="21" a="1"/>
  <c r="O48" i="21" s="1"/>
  <c r="M48" i="21" a="1"/>
  <c r="M48" i="21" s="1"/>
  <c r="K48" i="21" a="1"/>
  <c r="K48" i="21" s="1"/>
  <c r="I48" i="21" a="1"/>
  <c r="I48" i="21" s="1"/>
  <c r="G48" i="21" a="1"/>
  <c r="G48" i="21" s="1"/>
  <c r="Y47" i="21" a="1"/>
  <c r="Y47" i="21" s="1"/>
  <c r="W47" i="21" a="1"/>
  <c r="W47" i="21" s="1"/>
  <c r="U47" i="21" a="1"/>
  <c r="U47" i="21" s="1"/>
  <c r="S47" i="21" a="1"/>
  <c r="S47" i="21" s="1"/>
  <c r="Q47" i="21" a="1"/>
  <c r="Q47" i="21" s="1"/>
  <c r="O47" i="21" a="1"/>
  <c r="O47" i="21" s="1"/>
  <c r="M47" i="21" a="1"/>
  <c r="M47" i="21" s="1"/>
  <c r="K47" i="21" a="1"/>
  <c r="K47" i="21" s="1"/>
  <c r="I47" i="21" a="1"/>
  <c r="I47" i="21" s="1"/>
  <c r="G47" i="21" a="1"/>
  <c r="G47" i="21" s="1"/>
  <c r="B129" i="21"/>
  <c r="B90" i="21"/>
  <c r="L48" i="39" l="1"/>
  <c r="I29" i="39"/>
  <c r="I31" i="39"/>
  <c r="K48" i="39"/>
  <c r="E19" i="39" a="1"/>
  <c r="E19" i="39" s="1"/>
  <c r="K9" i="39"/>
  <c r="G28" i="40" s="1"/>
  <c r="E28" i="40"/>
  <c r="E31" i="40"/>
  <c r="K12" i="39"/>
  <c r="G31" i="40" s="1"/>
  <c r="D32" i="40"/>
  <c r="J27" i="40"/>
  <c r="I20" i="39"/>
  <c r="J30" i="40" s="1"/>
  <c r="I19" i="39"/>
  <c r="J29" i="40" s="1"/>
  <c r="E29" i="40"/>
  <c r="K10" i="39"/>
  <c r="G29" i="40" s="1"/>
  <c r="L28" i="40"/>
  <c r="K18" i="39"/>
  <c r="N28" i="40" s="1"/>
  <c r="K17" i="39"/>
  <c r="L27" i="40"/>
  <c r="J20" i="39"/>
  <c r="J19" i="39"/>
  <c r="E30" i="40"/>
  <c r="K11" i="39"/>
  <c r="G30" i="40" s="1"/>
  <c r="E32" i="40"/>
  <c r="K8" i="39"/>
  <c r="G27" i="40" s="1"/>
  <c r="L8" i="39" a="1"/>
  <c r="I24" i="39"/>
  <c r="I23" i="39"/>
  <c r="E27" i="40"/>
  <c r="AO63" i="20"/>
  <c r="AO65" i="23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F19" i="39" l="1" a="1"/>
  <c r="F19" i="39" s="1"/>
  <c r="G32" i="40"/>
  <c r="L8" i="39"/>
  <c r="N8" i="39"/>
  <c r="N12" i="39"/>
  <c r="N11" i="39"/>
  <c r="N10" i="39"/>
  <c r="N9" i="39"/>
  <c r="I25" i="39" s="1"/>
  <c r="O23" i="40" s="1"/>
  <c r="L29" i="40"/>
  <c r="K19" i="39"/>
  <c r="N29" i="40" s="1"/>
  <c r="L30" i="40"/>
  <c r="K20" i="39"/>
  <c r="N30" i="40" s="1"/>
  <c r="N27" i="40"/>
  <c r="H32" i="40"/>
  <c r="H23" i="40"/>
  <c r="AC4" i="30"/>
  <c r="AC5" i="30"/>
  <c r="AC6" i="30"/>
  <c r="AC7" i="30"/>
  <c r="AC8" i="30"/>
  <c r="AC9" i="30"/>
  <c r="AC10" i="30"/>
  <c r="AC11" i="30"/>
  <c r="AC12" i="30"/>
  <c r="AC13" i="30"/>
  <c r="AC14" i="30"/>
  <c r="AC15" i="30"/>
  <c r="AC16" i="30"/>
  <c r="AC17" i="30"/>
  <c r="AC18" i="30"/>
  <c r="AC19" i="30"/>
  <c r="AC20" i="30"/>
  <c r="AC21" i="30"/>
  <c r="AC22" i="30"/>
  <c r="AC23" i="30"/>
  <c r="AC24" i="30"/>
  <c r="AC25" i="30"/>
  <c r="AC3" i="30"/>
  <c r="AC26" i="30" l="1"/>
  <c r="AC4" i="29"/>
  <c r="AC5" i="29"/>
  <c r="AC6" i="29"/>
  <c r="AC7" i="29"/>
  <c r="AC8" i="29"/>
  <c r="AC9" i="29"/>
  <c r="AC10" i="29"/>
  <c r="AC11" i="29"/>
  <c r="AC12" i="29"/>
  <c r="AC13" i="29"/>
  <c r="AC14" i="29"/>
  <c r="AC15" i="29"/>
  <c r="AC16" i="29"/>
  <c r="AC17" i="29"/>
  <c r="AC18" i="29"/>
  <c r="AC19" i="29"/>
  <c r="AC20" i="29"/>
  <c r="AC21" i="29"/>
  <c r="AC22" i="29"/>
  <c r="AC23" i="29"/>
  <c r="AC24" i="29"/>
  <c r="AC25" i="29"/>
  <c r="AC26" i="29"/>
  <c r="AC27" i="29"/>
  <c r="AC28" i="29"/>
  <c r="AC3" i="29"/>
  <c r="AC29" i="29" l="1"/>
  <c r="AC4" i="28"/>
  <c r="AC5" i="28"/>
  <c r="AC6" i="28"/>
  <c r="AC7" i="28"/>
  <c r="AC8" i="28"/>
  <c r="AC9" i="28"/>
  <c r="AC10" i="28"/>
  <c r="AC31" i="28" s="1"/>
  <c r="AC11" i="28"/>
  <c r="AC12" i="28"/>
  <c r="AC13" i="28"/>
  <c r="AC14" i="28"/>
  <c r="AC15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30" i="28"/>
  <c r="AC3" i="28"/>
  <c r="AC4" i="26"/>
  <c r="AC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3" i="26"/>
  <c r="AC29" i="26" l="1"/>
  <c r="AC4" i="25" l="1"/>
  <c r="AC5" i="25"/>
  <c r="AC6" i="25"/>
  <c r="AC7" i="25"/>
  <c r="AC8" i="25"/>
  <c r="AC9" i="25"/>
  <c r="AC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3" i="25"/>
  <c r="AC4" i="24"/>
  <c r="AC5" i="24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3" i="24"/>
  <c r="AA11" i="24" a="1"/>
  <c r="AA11" i="24" s="1"/>
  <c r="AC12" i="23"/>
  <c r="AC4" i="23"/>
  <c r="AC5" i="23"/>
  <c r="AC6" i="23"/>
  <c r="AC7" i="23"/>
  <c r="AC8" i="23"/>
  <c r="AC9" i="23"/>
  <c r="AC10" i="23"/>
  <c r="AC11" i="23"/>
  <c r="AC13" i="23"/>
  <c r="AC14" i="23"/>
  <c r="AC15" i="23"/>
  <c r="AC16" i="23"/>
  <c r="AC17" i="23"/>
  <c r="AC18" i="23"/>
  <c r="AC19" i="23"/>
  <c r="AC20" i="23"/>
  <c r="AC21" i="23"/>
  <c r="AC22" i="23"/>
  <c r="AC23" i="23"/>
  <c r="AC24" i="23"/>
  <c r="AC25" i="23"/>
  <c r="AC26" i="23"/>
  <c r="AC27" i="23"/>
  <c r="AC28" i="23"/>
  <c r="AC29" i="23"/>
  <c r="AC30" i="23"/>
  <c r="AC31" i="23"/>
  <c r="AC3" i="23"/>
  <c r="AA30" i="23" a="1"/>
  <c r="AA30" i="23" s="1"/>
  <c r="AA29" i="23" a="1"/>
  <c r="AA29" i="23" s="1"/>
  <c r="AA28" i="23" a="1"/>
  <c r="AA28" i="23" s="1"/>
  <c r="AA27" i="23" a="1"/>
  <c r="AA27" i="23" s="1"/>
  <c r="AA26" i="23" a="1"/>
  <c r="AA26" i="23" s="1"/>
  <c r="AA25" i="23" a="1"/>
  <c r="AA25" i="23" s="1"/>
  <c r="AA24" i="23" a="1"/>
  <c r="AA24" i="23" s="1"/>
  <c r="AA23" i="23" a="1"/>
  <c r="AA23" i="23" s="1"/>
  <c r="AA21" i="23" a="1"/>
  <c r="AA21" i="23" s="1"/>
  <c r="AA20" i="23" a="1"/>
  <c r="AA20" i="23" s="1"/>
  <c r="AA19" i="23" a="1"/>
  <c r="AA19" i="23" s="1"/>
  <c r="AA18" i="23" a="1"/>
  <c r="AA18" i="23" s="1"/>
  <c r="AA17" i="23" a="1"/>
  <c r="AA17" i="23" s="1"/>
  <c r="AA16" i="23" a="1"/>
  <c r="AA16" i="23" s="1"/>
  <c r="AA15" i="23" a="1"/>
  <c r="AA15" i="23" s="1"/>
  <c r="AA14" i="23" a="1"/>
  <c r="AA14" i="23" s="1"/>
  <c r="AA13" i="23" a="1"/>
  <c r="AA13" i="23" s="1"/>
  <c r="Y31" i="23" a="1"/>
  <c r="Y31" i="23" s="1"/>
  <c r="Y30" i="23" a="1"/>
  <c r="Y30" i="23" s="1"/>
  <c r="Y29" i="23" a="1"/>
  <c r="Y29" i="23" s="1"/>
  <c r="Y28" i="23" a="1"/>
  <c r="Y28" i="23" s="1"/>
  <c r="Y27" i="23" a="1"/>
  <c r="Y27" i="23" s="1"/>
  <c r="Y26" i="23" a="1"/>
  <c r="Y26" i="23" s="1"/>
  <c r="Y25" i="23" a="1"/>
  <c r="Y25" i="23" s="1"/>
  <c r="Y24" i="23" a="1"/>
  <c r="Y24" i="23" s="1"/>
  <c r="Y23" i="23" a="1"/>
  <c r="Y23" i="23" s="1"/>
  <c r="Y22" i="23" a="1"/>
  <c r="Y22" i="23" s="1"/>
  <c r="Y21" i="23" a="1"/>
  <c r="Y21" i="23" s="1"/>
  <c r="Y20" i="23" a="1"/>
  <c r="Y20" i="23" s="1"/>
  <c r="Y19" i="23" a="1"/>
  <c r="Y19" i="23" s="1"/>
  <c r="Y18" i="23" a="1"/>
  <c r="Y18" i="23" s="1"/>
  <c r="Y17" i="23" a="1"/>
  <c r="Y17" i="23" s="1"/>
  <c r="Y16" i="23" a="1"/>
  <c r="Y16" i="23" s="1"/>
  <c r="Y15" i="23" a="1"/>
  <c r="Y15" i="23" s="1"/>
  <c r="Y14" i="23" a="1"/>
  <c r="Y14" i="23" s="1"/>
  <c r="Y13" i="23" a="1"/>
  <c r="Y13" i="23" s="1"/>
  <c r="W31" i="23" a="1"/>
  <c r="W31" i="23" s="1"/>
  <c r="W30" i="23" a="1"/>
  <c r="W30" i="23" s="1"/>
  <c r="W29" i="23" a="1"/>
  <c r="W29" i="23" s="1"/>
  <c r="W28" i="23" a="1"/>
  <c r="W28" i="23" s="1"/>
  <c r="W27" i="23" a="1"/>
  <c r="W27" i="23" s="1"/>
  <c r="W26" i="23" a="1"/>
  <c r="W26" i="23" s="1"/>
  <c r="W25" i="23" a="1"/>
  <c r="W25" i="23" s="1"/>
  <c r="W24" i="23" a="1"/>
  <c r="W24" i="23" s="1"/>
  <c r="W23" i="23" a="1"/>
  <c r="W23" i="23" s="1"/>
  <c r="W22" i="23" a="1"/>
  <c r="W22" i="23" s="1"/>
  <c r="W21" i="23" a="1"/>
  <c r="W21" i="23" s="1"/>
  <c r="W20" i="23" a="1"/>
  <c r="W20" i="23" s="1"/>
  <c r="W19" i="23" a="1"/>
  <c r="W19" i="23" s="1"/>
  <c r="W18" i="23" a="1"/>
  <c r="W18" i="23" s="1"/>
  <c r="W17" i="23" a="1"/>
  <c r="W17" i="23" s="1"/>
  <c r="W16" i="23" a="1"/>
  <c r="W16" i="23" s="1"/>
  <c r="W15" i="23" a="1"/>
  <c r="W15" i="23" s="1"/>
  <c r="W14" i="23" a="1"/>
  <c r="W14" i="23" s="1"/>
  <c r="W13" i="23" a="1"/>
  <c r="W13" i="23" s="1"/>
  <c r="AA11" i="23" a="1"/>
  <c r="AA11" i="23" s="1"/>
  <c r="AA10" i="23" a="1"/>
  <c r="AA10" i="23" s="1"/>
  <c r="AA9" i="23" a="1"/>
  <c r="AA9" i="23" s="1"/>
  <c r="AA8" i="23" a="1"/>
  <c r="AA8" i="23" s="1"/>
  <c r="AA7" i="23" a="1"/>
  <c r="AA7" i="23" s="1"/>
  <c r="AA6" i="23" a="1"/>
  <c r="AA6" i="23" s="1"/>
  <c r="AA4" i="23" a="1"/>
  <c r="AA4" i="23" s="1"/>
  <c r="Y11" i="23" a="1"/>
  <c r="Y11" i="23" s="1"/>
  <c r="Y10" i="23" a="1"/>
  <c r="Y10" i="23" s="1"/>
  <c r="Y9" i="23" a="1"/>
  <c r="Y9" i="23" s="1"/>
  <c r="Y8" i="23" a="1"/>
  <c r="Y8" i="23" s="1"/>
  <c r="Y7" i="23" a="1"/>
  <c r="Y7" i="23" s="1"/>
  <c r="Y6" i="23" a="1"/>
  <c r="Y6" i="23" s="1"/>
  <c r="Y5" i="23" a="1"/>
  <c r="Y5" i="23" s="1"/>
  <c r="Y4" i="23" a="1"/>
  <c r="Y4" i="23" s="1"/>
  <c r="Y3" i="23" a="1"/>
  <c r="Y3" i="23" s="1"/>
  <c r="AC4" i="27"/>
  <c r="AC5" i="27"/>
  <c r="AC6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" i="27"/>
  <c r="AO61" i="27" l="1"/>
  <c r="AC28" i="25"/>
  <c r="AO57" i="24"/>
  <c r="AC32" i="23"/>
  <c r="AC28" i="24"/>
  <c r="AC30" i="27"/>
  <c r="Y30" i="20" l="1" a="1"/>
  <c r="Y30" i="20" s="1"/>
  <c r="W30" i="20" a="1"/>
  <c r="W30" i="20" s="1"/>
  <c r="U30" i="20" a="1"/>
  <c r="U30" i="20" s="1"/>
  <c r="S30" i="20" a="1"/>
  <c r="S30" i="20" s="1"/>
  <c r="Q30" i="20" a="1"/>
  <c r="Q30" i="20" s="1"/>
  <c r="O30" i="20" a="1"/>
  <c r="O30" i="20" s="1"/>
  <c r="M30" i="20" a="1"/>
  <c r="M30" i="20" s="1"/>
  <c r="K30" i="20" a="1"/>
  <c r="K30" i="20" s="1"/>
  <c r="I30" i="20" a="1"/>
  <c r="I30" i="20" s="1"/>
  <c r="G30" i="20" a="1"/>
  <c r="G30" i="20" s="1"/>
  <c r="E30" i="20" a="1"/>
  <c r="E30" i="20" s="1"/>
  <c r="Y29" i="20" a="1"/>
  <c r="Y29" i="20" s="1"/>
  <c r="W29" i="20" a="1"/>
  <c r="W29" i="20" s="1"/>
  <c r="U29" i="20" a="1"/>
  <c r="U29" i="20" s="1"/>
  <c r="S29" i="20" a="1"/>
  <c r="S29" i="20" s="1"/>
  <c r="Q29" i="20" a="1"/>
  <c r="Q29" i="20" s="1"/>
  <c r="O29" i="20" a="1"/>
  <c r="O29" i="20" s="1"/>
  <c r="M29" i="20" a="1"/>
  <c r="M29" i="20" s="1"/>
  <c r="K29" i="20" a="1"/>
  <c r="K29" i="20" s="1"/>
  <c r="I29" i="20" a="1"/>
  <c r="I29" i="20" s="1"/>
  <c r="G29" i="20" a="1"/>
  <c r="G29" i="20" s="1"/>
  <c r="Y28" i="20" a="1"/>
  <c r="Y28" i="20" s="1"/>
  <c r="W28" i="20" a="1"/>
  <c r="W28" i="20" s="1"/>
  <c r="U28" i="20" a="1"/>
  <c r="U28" i="20" s="1"/>
  <c r="S28" i="20" a="1"/>
  <c r="S28" i="20" s="1"/>
  <c r="Q28" i="20" a="1"/>
  <c r="Q28" i="20" s="1"/>
  <c r="O28" i="20" a="1"/>
  <c r="O28" i="20" s="1"/>
  <c r="M28" i="20" a="1"/>
  <c r="M28" i="20" s="1"/>
  <c r="K28" i="20" a="1"/>
  <c r="K28" i="20" s="1"/>
  <c r="I28" i="20" a="1"/>
  <c r="I28" i="20" s="1"/>
  <c r="G28" i="20" a="1"/>
  <c r="G28" i="20" s="1"/>
  <c r="E28" i="20" a="1"/>
  <c r="E28" i="20" s="1"/>
  <c r="AA27" i="20" a="1"/>
  <c r="AA27" i="20" s="1"/>
  <c r="Y27" i="20" a="1"/>
  <c r="Y27" i="20" s="1"/>
  <c r="W27" i="20" a="1"/>
  <c r="W27" i="20" s="1"/>
  <c r="U27" i="20" a="1"/>
  <c r="U27" i="20" s="1"/>
  <c r="S27" i="20" a="1"/>
  <c r="S27" i="20" s="1"/>
  <c r="Q27" i="20" a="1"/>
  <c r="Q27" i="20" s="1"/>
  <c r="O27" i="20" a="1"/>
  <c r="O27" i="20" s="1"/>
  <c r="M27" i="20" a="1"/>
  <c r="M27" i="20" s="1"/>
  <c r="K27" i="20" a="1"/>
  <c r="K27" i="20" s="1"/>
  <c r="I27" i="20" a="1"/>
  <c r="I27" i="20" s="1"/>
  <c r="G27" i="20" a="1"/>
  <c r="G27" i="20" s="1"/>
  <c r="AA26" i="20" a="1"/>
  <c r="AA26" i="20" s="1"/>
  <c r="Y26" i="20" a="1"/>
  <c r="Y26" i="20" s="1"/>
  <c r="W26" i="20" a="1"/>
  <c r="W26" i="20" s="1"/>
  <c r="U26" i="20" a="1"/>
  <c r="U26" i="20" s="1"/>
  <c r="S26" i="20" a="1"/>
  <c r="S26" i="20" s="1"/>
  <c r="Q26" i="20" a="1"/>
  <c r="Q26" i="20" s="1"/>
  <c r="O26" i="20" a="1"/>
  <c r="O26" i="20" s="1"/>
  <c r="M26" i="20" a="1"/>
  <c r="M26" i="20" s="1"/>
  <c r="K26" i="20" a="1"/>
  <c r="K26" i="20" s="1"/>
  <c r="I26" i="20" a="1"/>
  <c r="I26" i="20" s="1"/>
  <c r="G26" i="20" a="1"/>
  <c r="G26" i="20" s="1"/>
  <c r="AA25" i="20" a="1"/>
  <c r="AA25" i="20" s="1"/>
  <c r="Y25" i="20" a="1"/>
  <c r="Y25" i="20" s="1"/>
  <c r="W25" i="20" a="1"/>
  <c r="W25" i="20" s="1"/>
  <c r="U25" i="20" a="1"/>
  <c r="U25" i="20" s="1"/>
  <c r="S25" i="20" a="1"/>
  <c r="S25" i="20" s="1"/>
  <c r="Q25" i="20" a="1"/>
  <c r="Q25" i="20" s="1"/>
  <c r="O25" i="20" a="1"/>
  <c r="O25" i="20" s="1"/>
  <c r="M25" i="20" a="1"/>
  <c r="M25" i="20" s="1"/>
  <c r="K25" i="20" a="1"/>
  <c r="K25" i="20" s="1"/>
  <c r="I25" i="20" a="1"/>
  <c r="I25" i="20" s="1"/>
  <c r="G25" i="20" a="1"/>
  <c r="G25" i="20" s="1"/>
  <c r="AA24" i="20" a="1"/>
  <c r="AA24" i="20" s="1"/>
  <c r="Y24" i="20" a="1"/>
  <c r="Y24" i="20" s="1"/>
  <c r="W24" i="20" a="1"/>
  <c r="W24" i="20" s="1"/>
  <c r="U24" i="20" a="1"/>
  <c r="U24" i="20" s="1"/>
  <c r="S24" i="20" a="1"/>
  <c r="S24" i="20" s="1"/>
  <c r="Q24" i="20" a="1"/>
  <c r="Q24" i="20" s="1"/>
  <c r="O24" i="20" a="1"/>
  <c r="O24" i="20" s="1"/>
  <c r="M24" i="20" a="1"/>
  <c r="M24" i="20" s="1"/>
  <c r="K24" i="20" a="1"/>
  <c r="K24" i="20" s="1"/>
  <c r="I24" i="20" a="1"/>
  <c r="I24" i="20" s="1"/>
  <c r="G24" i="20" a="1"/>
  <c r="G24" i="20" s="1"/>
  <c r="AA23" i="20" a="1"/>
  <c r="AA23" i="20" s="1"/>
  <c r="Y23" i="20" a="1"/>
  <c r="Y23" i="20" s="1"/>
  <c r="W23" i="20" a="1"/>
  <c r="W23" i="20" s="1"/>
  <c r="U23" i="20" a="1"/>
  <c r="U23" i="20" s="1"/>
  <c r="S23" i="20" a="1"/>
  <c r="S23" i="20" s="1"/>
  <c r="Q23" i="20" a="1"/>
  <c r="Q23" i="20" s="1"/>
  <c r="O23" i="20" a="1"/>
  <c r="O23" i="20" s="1"/>
  <c r="M23" i="20" a="1"/>
  <c r="M23" i="20" s="1"/>
  <c r="K23" i="20" a="1"/>
  <c r="K23" i="20" s="1"/>
  <c r="I23" i="20" a="1"/>
  <c r="I23" i="20" s="1"/>
  <c r="G23" i="20" a="1"/>
  <c r="G23" i="20" s="1"/>
  <c r="AA22" i="20" a="1"/>
  <c r="AA22" i="20" s="1"/>
  <c r="Y22" i="20" a="1"/>
  <c r="Y22" i="20" s="1"/>
  <c r="W22" i="20" a="1"/>
  <c r="W22" i="20" s="1"/>
  <c r="U22" i="20" a="1"/>
  <c r="U22" i="20" s="1"/>
  <c r="S22" i="20" a="1"/>
  <c r="S22" i="20" s="1"/>
  <c r="Q22" i="20" a="1"/>
  <c r="Q22" i="20" s="1"/>
  <c r="O22" i="20" a="1"/>
  <c r="O22" i="20" s="1"/>
  <c r="M22" i="20" a="1"/>
  <c r="M22" i="20" s="1"/>
  <c r="K22" i="20" a="1"/>
  <c r="K22" i="20" s="1"/>
  <c r="I22" i="20" a="1"/>
  <c r="I22" i="20" s="1"/>
  <c r="G22" i="20" a="1"/>
  <c r="G22" i="20" s="1"/>
  <c r="AA21" i="20" a="1"/>
  <c r="AA21" i="20" s="1"/>
  <c r="Y21" i="20" a="1"/>
  <c r="Y21" i="20" s="1"/>
  <c r="W21" i="20" a="1"/>
  <c r="W21" i="20" s="1"/>
  <c r="U21" i="20" a="1"/>
  <c r="U21" i="20" s="1"/>
  <c r="S21" i="20" a="1"/>
  <c r="S21" i="20" s="1"/>
  <c r="Q21" i="20" a="1"/>
  <c r="Q21" i="20" s="1"/>
  <c r="M21" i="20" a="1"/>
  <c r="M21" i="20" s="1"/>
  <c r="K21" i="20" a="1"/>
  <c r="K21" i="20" s="1"/>
  <c r="I21" i="20" a="1"/>
  <c r="I21" i="20" s="1"/>
  <c r="G21" i="20" a="1"/>
  <c r="G21" i="20" s="1"/>
  <c r="E21" i="20" a="1"/>
  <c r="E21" i="20" s="1"/>
  <c r="Y20" i="20" a="1"/>
  <c r="Y20" i="20" s="1"/>
  <c r="W20" i="20" a="1"/>
  <c r="W20" i="20" s="1"/>
  <c r="U20" i="20" a="1"/>
  <c r="U20" i="20" s="1"/>
  <c r="S20" i="20" a="1"/>
  <c r="S20" i="20" s="1"/>
  <c r="Q20" i="20" a="1"/>
  <c r="Q20" i="20" s="1"/>
  <c r="O20" i="20" a="1"/>
  <c r="O20" i="20" s="1"/>
  <c r="M20" i="20" a="1"/>
  <c r="M20" i="20" s="1"/>
  <c r="K20" i="20" a="1"/>
  <c r="K20" i="20" s="1"/>
  <c r="G20" i="20" a="1"/>
  <c r="G20" i="20" s="1"/>
  <c r="E20" i="20" a="1"/>
  <c r="E20" i="20" s="1"/>
  <c r="Y19" i="20" a="1"/>
  <c r="Y19" i="20" s="1"/>
  <c r="W19" i="20" a="1"/>
  <c r="W19" i="20" s="1"/>
  <c r="U19" i="20" a="1"/>
  <c r="U19" i="20" s="1"/>
  <c r="S19" i="20" a="1"/>
  <c r="S19" i="20" s="1"/>
  <c r="Q19" i="20" a="1"/>
  <c r="Q19" i="20" s="1"/>
  <c r="O19" i="20" a="1"/>
  <c r="O19" i="20" s="1"/>
  <c r="M19" i="20" a="1"/>
  <c r="M19" i="20" s="1"/>
  <c r="K19" i="20" a="1"/>
  <c r="K19" i="20" s="1"/>
  <c r="I19" i="20" a="1"/>
  <c r="I19" i="20" s="1"/>
  <c r="G19" i="20" a="1"/>
  <c r="G19" i="20" s="1"/>
  <c r="E19" i="20" a="1"/>
  <c r="E19" i="20" s="1"/>
  <c r="AA18" i="20" a="1"/>
  <c r="AA18" i="20" s="1"/>
  <c r="Y18" i="20" a="1"/>
  <c r="Y18" i="20" s="1"/>
  <c r="W18" i="20" a="1"/>
  <c r="W18" i="20" s="1"/>
  <c r="U18" i="20" a="1"/>
  <c r="U18" i="20" s="1"/>
  <c r="S18" i="20" a="1"/>
  <c r="S18" i="20" s="1"/>
  <c r="Q18" i="20" a="1"/>
  <c r="Q18" i="20" s="1"/>
  <c r="O18" i="20" a="1"/>
  <c r="O18" i="20" s="1"/>
  <c r="M18" i="20" a="1"/>
  <c r="M18" i="20" s="1"/>
  <c r="K18" i="20" a="1"/>
  <c r="K18" i="20" s="1"/>
  <c r="G18" i="20" a="1"/>
  <c r="G18" i="20" s="1"/>
  <c r="E18" i="20" a="1"/>
  <c r="E18" i="20" s="1"/>
  <c r="AA17" i="20" a="1"/>
  <c r="AA17" i="20" s="1"/>
  <c r="Y17" i="20" a="1"/>
  <c r="Y17" i="20" s="1"/>
  <c r="W17" i="20" a="1"/>
  <c r="W17" i="20" s="1"/>
  <c r="U17" i="20" a="1"/>
  <c r="U17" i="20" s="1"/>
  <c r="S17" i="20" a="1"/>
  <c r="S17" i="20" s="1"/>
  <c r="Q17" i="20" a="1"/>
  <c r="Q17" i="20" s="1"/>
  <c r="O17" i="20" a="1"/>
  <c r="O17" i="20" s="1"/>
  <c r="M17" i="20" a="1"/>
  <c r="M17" i="20" s="1"/>
  <c r="K17" i="20" a="1"/>
  <c r="K17" i="20" s="1"/>
  <c r="I17" i="20" a="1"/>
  <c r="I17" i="20" s="1"/>
  <c r="G17" i="20" a="1"/>
  <c r="G17" i="20" s="1"/>
  <c r="AA16" i="20" a="1"/>
  <c r="AA16" i="20" s="1"/>
  <c r="Y16" i="20" a="1"/>
  <c r="Y16" i="20" s="1"/>
  <c r="W16" i="20" a="1"/>
  <c r="W16" i="20" s="1"/>
  <c r="U16" i="20" a="1"/>
  <c r="U16" i="20" s="1"/>
  <c r="S16" i="20" a="1"/>
  <c r="S16" i="20" s="1"/>
  <c r="Q16" i="20" a="1"/>
  <c r="Q16" i="20" s="1"/>
  <c r="O16" i="20" a="1"/>
  <c r="O16" i="20" s="1"/>
  <c r="M16" i="20" a="1"/>
  <c r="M16" i="20" s="1"/>
  <c r="K16" i="20" a="1"/>
  <c r="K16" i="20" s="1"/>
  <c r="I16" i="20" a="1"/>
  <c r="I16" i="20" s="1"/>
  <c r="G16" i="20" a="1"/>
  <c r="G16" i="20" s="1"/>
  <c r="Y15" i="20" a="1"/>
  <c r="Y15" i="20" s="1"/>
  <c r="W15" i="20" a="1"/>
  <c r="W15" i="20" s="1"/>
  <c r="U15" i="20" a="1"/>
  <c r="U15" i="20" s="1"/>
  <c r="S15" i="20" a="1"/>
  <c r="S15" i="20" s="1"/>
  <c r="Q15" i="20" a="1"/>
  <c r="Q15" i="20" s="1"/>
  <c r="O15" i="20" a="1"/>
  <c r="O15" i="20" s="1"/>
  <c r="M15" i="20" a="1"/>
  <c r="M15" i="20" s="1"/>
  <c r="K15" i="20" a="1"/>
  <c r="K15" i="20" s="1"/>
  <c r="I15" i="20" a="1"/>
  <c r="I15" i="20" s="1"/>
  <c r="G15" i="20" a="1"/>
  <c r="G15" i="20" s="1"/>
  <c r="AA13" i="20" a="1"/>
  <c r="AA13" i="20" s="1"/>
  <c r="Y13" i="20" a="1"/>
  <c r="Y13" i="20" s="1"/>
  <c r="W13" i="20" a="1"/>
  <c r="W13" i="20" s="1"/>
  <c r="U13" i="20" a="1"/>
  <c r="U13" i="20" s="1"/>
  <c r="S13" i="20" a="1"/>
  <c r="S13" i="20" s="1"/>
  <c r="Q13" i="20" a="1"/>
  <c r="Q13" i="20" s="1"/>
  <c r="O13" i="20" a="1"/>
  <c r="O13" i="20" s="1"/>
  <c r="M13" i="20" a="1"/>
  <c r="M13" i="20" s="1"/>
  <c r="K13" i="20" a="1"/>
  <c r="K13" i="20" s="1"/>
  <c r="I13" i="20" a="1"/>
  <c r="I13" i="20" s="1"/>
  <c r="G13" i="20" a="1"/>
  <c r="G13" i="20" s="1"/>
  <c r="AA12" i="20" a="1"/>
  <c r="AA12" i="20" s="1"/>
  <c r="Y12" i="20" a="1"/>
  <c r="Y12" i="20" s="1"/>
  <c r="W12" i="20" a="1"/>
  <c r="W12" i="20" s="1"/>
  <c r="U12" i="20" a="1"/>
  <c r="U12" i="20" s="1"/>
  <c r="S12" i="20" a="1"/>
  <c r="S12" i="20" s="1"/>
  <c r="Q12" i="20" a="1"/>
  <c r="Q12" i="20" s="1"/>
  <c r="O12" i="20" a="1"/>
  <c r="O12" i="20" s="1"/>
  <c r="M12" i="20" a="1"/>
  <c r="M12" i="20" s="1"/>
  <c r="K12" i="20" a="1"/>
  <c r="K12" i="20" s="1"/>
  <c r="I12" i="20" a="1"/>
  <c r="I12" i="20" s="1"/>
  <c r="G12" i="20" a="1"/>
  <c r="G12" i="20" s="1"/>
  <c r="AA11" i="20" a="1"/>
  <c r="AA11" i="20" s="1"/>
  <c r="Y11" i="20" a="1"/>
  <c r="Y11" i="20" s="1"/>
  <c r="W11" i="20" a="1"/>
  <c r="W11" i="20" s="1"/>
  <c r="U11" i="20" a="1"/>
  <c r="U11" i="20" s="1"/>
  <c r="S11" i="20" a="1"/>
  <c r="S11" i="20" s="1"/>
  <c r="Q11" i="20" a="1"/>
  <c r="Q11" i="20" s="1"/>
  <c r="O11" i="20" a="1"/>
  <c r="O11" i="20" s="1"/>
  <c r="M11" i="20" a="1"/>
  <c r="M11" i="20" s="1"/>
  <c r="K11" i="20" a="1"/>
  <c r="K11" i="20" s="1"/>
  <c r="I11" i="20" a="1"/>
  <c r="I11" i="20" s="1"/>
  <c r="G11" i="20" a="1"/>
  <c r="G11" i="20" s="1"/>
  <c r="AA10" i="20" a="1"/>
  <c r="AA10" i="20" s="1"/>
  <c r="Y10" i="20" a="1"/>
  <c r="Y10" i="20" s="1"/>
  <c r="W10" i="20" a="1"/>
  <c r="W10" i="20" s="1"/>
  <c r="U10" i="20" a="1"/>
  <c r="U10" i="20" s="1"/>
  <c r="S10" i="20" a="1"/>
  <c r="S10" i="20" s="1"/>
  <c r="Q10" i="20" a="1"/>
  <c r="Q10" i="20" s="1"/>
  <c r="O10" i="20" a="1"/>
  <c r="O10" i="20" s="1"/>
  <c r="M10" i="20" a="1"/>
  <c r="M10" i="20" s="1"/>
  <c r="K10" i="20" a="1"/>
  <c r="K10" i="20" s="1"/>
  <c r="I10" i="20" a="1"/>
  <c r="I10" i="20" s="1"/>
  <c r="G10" i="20" a="1"/>
  <c r="G10" i="20" s="1"/>
  <c r="Y9" i="20" a="1"/>
  <c r="Y9" i="20" s="1"/>
  <c r="W9" i="20" a="1"/>
  <c r="W9" i="20" s="1"/>
  <c r="U9" i="20" a="1"/>
  <c r="U9" i="20" s="1"/>
  <c r="S9" i="20" a="1"/>
  <c r="S9" i="20" s="1"/>
  <c r="Q9" i="20" a="1"/>
  <c r="Q9" i="20" s="1"/>
  <c r="M9" i="20" a="1"/>
  <c r="M9" i="20" s="1"/>
  <c r="K9" i="20" a="1"/>
  <c r="K9" i="20" s="1"/>
  <c r="I9" i="20" a="1"/>
  <c r="I9" i="20" s="1"/>
  <c r="G9" i="20" a="1"/>
  <c r="G9" i="20" s="1"/>
  <c r="E9" i="20" a="1"/>
  <c r="E9" i="20" s="1"/>
  <c r="AA8" i="20" a="1"/>
  <c r="AA8" i="20" s="1"/>
  <c r="Y8" i="20" a="1"/>
  <c r="Y8" i="20" s="1"/>
  <c r="W8" i="20" a="1"/>
  <c r="W8" i="20" s="1"/>
  <c r="U8" i="20" a="1"/>
  <c r="U8" i="20" s="1"/>
  <c r="S8" i="20" a="1"/>
  <c r="S8" i="20" s="1"/>
  <c r="Q8" i="20" a="1"/>
  <c r="Q8" i="20" s="1"/>
  <c r="O8" i="20" a="1"/>
  <c r="O8" i="20" s="1"/>
  <c r="M8" i="20" a="1"/>
  <c r="M8" i="20" s="1"/>
  <c r="K8" i="20" a="1"/>
  <c r="K8" i="20" s="1"/>
  <c r="I8" i="20" a="1"/>
  <c r="I8" i="20" s="1"/>
  <c r="G8" i="20" a="1"/>
  <c r="G8" i="20" s="1"/>
  <c r="AA7" i="20" a="1"/>
  <c r="AA7" i="20" s="1"/>
  <c r="Y7" i="20" a="1"/>
  <c r="Y7" i="20" s="1"/>
  <c r="W7" i="20" a="1"/>
  <c r="W7" i="20" s="1"/>
  <c r="U7" i="20" a="1"/>
  <c r="U7" i="20" s="1"/>
  <c r="S7" i="20" a="1"/>
  <c r="S7" i="20" s="1"/>
  <c r="Q7" i="20" a="1"/>
  <c r="Q7" i="20" s="1"/>
  <c r="O7" i="20" a="1"/>
  <c r="O7" i="20" s="1"/>
  <c r="M7" i="20" a="1"/>
  <c r="M7" i="20" s="1"/>
  <c r="K7" i="20" a="1"/>
  <c r="K7" i="20" s="1"/>
  <c r="I7" i="20" a="1"/>
  <c r="I7" i="20" s="1"/>
  <c r="G7" i="20" a="1"/>
  <c r="G7" i="20" s="1"/>
  <c r="Y6" i="20" a="1"/>
  <c r="Y6" i="20" s="1"/>
  <c r="W6" i="20" a="1"/>
  <c r="W6" i="20" s="1"/>
  <c r="U6" i="20" a="1"/>
  <c r="U6" i="20" s="1"/>
  <c r="S6" i="20" a="1"/>
  <c r="S6" i="20" s="1"/>
  <c r="Q6" i="20" a="1"/>
  <c r="Q6" i="20" s="1"/>
  <c r="M6" i="20" a="1"/>
  <c r="M6" i="20" s="1"/>
  <c r="K6" i="20" a="1"/>
  <c r="K6" i="20" s="1"/>
  <c r="I6" i="20" a="1"/>
  <c r="I6" i="20" s="1"/>
  <c r="G6" i="20" a="1"/>
  <c r="G6" i="20" s="1"/>
  <c r="E6" i="20" a="1"/>
  <c r="E6" i="20" s="1"/>
  <c r="G5" i="20" a="1"/>
  <c r="G5" i="20" s="1"/>
  <c r="E5" i="20" a="1"/>
  <c r="E5" i="20" s="1"/>
  <c r="AA3" i="20" a="1"/>
  <c r="AA3" i="20" s="1"/>
  <c r="Y3" i="20" a="1"/>
  <c r="Y3" i="20" s="1"/>
  <c r="W3" i="20" a="1"/>
  <c r="W3" i="20" s="1"/>
  <c r="U3" i="20" a="1"/>
  <c r="U3" i="20" s="1"/>
  <c r="S3" i="20" a="1"/>
  <c r="S3" i="20" s="1"/>
  <c r="Q3" i="20" a="1"/>
  <c r="Q3" i="20" s="1"/>
  <c r="O3" i="20" a="1"/>
  <c r="O3" i="20" s="1"/>
  <c r="M3" i="20" a="1"/>
  <c r="M3" i="20" s="1"/>
  <c r="K3" i="20" a="1"/>
  <c r="K3" i="20" s="1"/>
  <c r="I3" i="20" a="1"/>
  <c r="I3" i="20" s="1"/>
  <c r="G3" i="20" a="1"/>
  <c r="G3" i="20" s="1"/>
  <c r="AC16" i="20"/>
  <c r="AC27" i="20"/>
  <c r="AC28" i="20"/>
  <c r="AC29" i="20"/>
  <c r="AC30" i="20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7" i="20"/>
  <c r="AC18" i="20"/>
  <c r="AC19" i="20"/>
  <c r="AC20" i="20"/>
  <c r="AC21" i="20"/>
  <c r="AC22" i="20"/>
  <c r="AC23" i="20"/>
  <c r="AC24" i="20"/>
  <c r="AC25" i="20"/>
  <c r="AC26" i="20"/>
  <c r="AC3" i="20"/>
  <c r="AC31" i="20" l="1"/>
  <c r="Y25" i="30" a="1"/>
  <c r="Y25" i="30" s="1"/>
  <c r="W25" i="30" a="1"/>
  <c r="W25" i="30" s="1"/>
  <c r="U25" i="30" a="1"/>
  <c r="U25" i="30" s="1"/>
  <c r="S25" i="30" a="1"/>
  <c r="S25" i="30" s="1"/>
  <c r="Q25" i="30" a="1"/>
  <c r="Q25" i="30" s="1"/>
  <c r="O25" i="30" a="1"/>
  <c r="O25" i="30" s="1"/>
  <c r="M25" i="30" a="1"/>
  <c r="M25" i="30" s="1"/>
  <c r="K25" i="30" a="1"/>
  <c r="K25" i="30" s="1"/>
  <c r="I25" i="30" a="1"/>
  <c r="I25" i="30" s="1"/>
  <c r="G25" i="30" a="1"/>
  <c r="G25" i="30" s="1"/>
  <c r="E25" i="30" a="1"/>
  <c r="E25" i="30" s="1"/>
  <c r="AA23" i="30" a="1"/>
  <c r="AA23" i="30" s="1"/>
  <c r="Y23" i="30" a="1"/>
  <c r="Y23" i="30" s="1"/>
  <c r="W23" i="30" a="1"/>
  <c r="W23" i="30" s="1"/>
  <c r="U23" i="30" a="1"/>
  <c r="U23" i="30" s="1"/>
  <c r="S23" i="30" a="1"/>
  <c r="S23" i="30" s="1"/>
  <c r="Q23" i="30" a="1"/>
  <c r="Q23" i="30" s="1"/>
  <c r="O23" i="30" a="1"/>
  <c r="O23" i="30" s="1"/>
  <c r="M23" i="30" a="1"/>
  <c r="M23" i="30" s="1"/>
  <c r="K23" i="30" a="1"/>
  <c r="K23" i="30" s="1"/>
  <c r="I23" i="30" a="1"/>
  <c r="I23" i="30" s="1"/>
  <c r="G23" i="30" a="1"/>
  <c r="G23" i="30" s="1"/>
  <c r="AA21" i="30" a="1"/>
  <c r="AA21" i="30" s="1"/>
  <c r="Y21" i="30" a="1"/>
  <c r="Y21" i="30" s="1"/>
  <c r="W21" i="30" a="1"/>
  <c r="W21" i="30" s="1"/>
  <c r="U21" i="30" a="1"/>
  <c r="U21" i="30" s="1"/>
  <c r="S21" i="30" a="1"/>
  <c r="S21" i="30" s="1"/>
  <c r="Q21" i="30" a="1"/>
  <c r="Q21" i="30" s="1"/>
  <c r="O21" i="30" a="1"/>
  <c r="O21" i="30" s="1"/>
  <c r="M21" i="30" a="1"/>
  <c r="M21" i="30" s="1"/>
  <c r="K21" i="30" a="1"/>
  <c r="K21" i="30" s="1"/>
  <c r="I21" i="30" a="1"/>
  <c r="I21" i="30" s="1"/>
  <c r="G21" i="30" a="1"/>
  <c r="G21" i="30" s="1"/>
  <c r="Y20" i="30" a="1"/>
  <c r="Y20" i="30" s="1"/>
  <c r="W20" i="30" a="1"/>
  <c r="W20" i="30" s="1"/>
  <c r="U20" i="30" a="1"/>
  <c r="U20" i="30" s="1"/>
  <c r="S20" i="30" a="1"/>
  <c r="S20" i="30" s="1"/>
  <c r="Q20" i="30" a="1"/>
  <c r="Q20" i="30" s="1"/>
  <c r="O20" i="30" a="1"/>
  <c r="O20" i="30" s="1"/>
  <c r="M20" i="30" a="1"/>
  <c r="M20" i="30" s="1"/>
  <c r="K20" i="30" a="1"/>
  <c r="K20" i="30" s="1"/>
  <c r="I20" i="30" a="1"/>
  <c r="I20" i="30" s="1"/>
  <c r="G20" i="30" a="1"/>
  <c r="G20" i="30" s="1"/>
  <c r="Y19" i="30" a="1"/>
  <c r="Y19" i="30" s="1"/>
  <c r="W19" i="30" a="1"/>
  <c r="W19" i="30" s="1"/>
  <c r="U19" i="30" a="1"/>
  <c r="U19" i="30" s="1"/>
  <c r="S19" i="30" a="1"/>
  <c r="S19" i="30" s="1"/>
  <c r="Q19" i="30" a="1"/>
  <c r="Q19" i="30" s="1"/>
  <c r="O19" i="30" a="1"/>
  <c r="O19" i="30" s="1"/>
  <c r="M19" i="30" a="1"/>
  <c r="M19" i="30" s="1"/>
  <c r="K19" i="30" a="1"/>
  <c r="K19" i="30" s="1"/>
  <c r="I19" i="30" a="1"/>
  <c r="I19" i="30" s="1"/>
  <c r="G19" i="30" a="1"/>
  <c r="G19" i="30" s="1"/>
  <c r="AA17" i="30" a="1"/>
  <c r="AA17" i="30" s="1"/>
  <c r="Y17" i="30" a="1"/>
  <c r="Y17" i="30" s="1"/>
  <c r="W17" i="30" a="1"/>
  <c r="W17" i="30" s="1"/>
  <c r="U17" i="30" a="1"/>
  <c r="U17" i="30" s="1"/>
  <c r="S17" i="30" a="1"/>
  <c r="S17" i="30" s="1"/>
  <c r="Q17" i="30" a="1"/>
  <c r="Q17" i="30" s="1"/>
  <c r="O17" i="30" a="1"/>
  <c r="O17" i="30" s="1"/>
  <c r="M17" i="30" a="1"/>
  <c r="M17" i="30" s="1"/>
  <c r="K17" i="30" a="1"/>
  <c r="K17" i="30" s="1"/>
  <c r="I17" i="30" a="1"/>
  <c r="I17" i="30" s="1"/>
  <c r="G17" i="30" a="1"/>
  <c r="G17" i="30" s="1"/>
  <c r="AA16" i="30" a="1"/>
  <c r="AA16" i="30" s="1"/>
  <c r="Y16" i="30" a="1"/>
  <c r="Y16" i="30" s="1"/>
  <c r="W16" i="30" a="1"/>
  <c r="W16" i="30" s="1"/>
  <c r="U16" i="30" a="1"/>
  <c r="U16" i="30" s="1"/>
  <c r="S16" i="30" a="1"/>
  <c r="S16" i="30" s="1"/>
  <c r="Q16" i="30" a="1"/>
  <c r="Q16" i="30" s="1"/>
  <c r="O16" i="30" a="1"/>
  <c r="O16" i="30" s="1"/>
  <c r="M16" i="30" a="1"/>
  <c r="M16" i="30" s="1"/>
  <c r="K16" i="30" a="1"/>
  <c r="K16" i="30" s="1"/>
  <c r="I16" i="30" a="1"/>
  <c r="I16" i="30" s="1"/>
  <c r="G16" i="30" a="1"/>
  <c r="G16" i="30" s="1"/>
  <c r="Y12" i="30" a="1"/>
  <c r="Y12" i="30" s="1"/>
  <c r="W12" i="30" a="1"/>
  <c r="W12" i="30" s="1"/>
  <c r="U12" i="30" a="1"/>
  <c r="U12" i="30" s="1"/>
  <c r="S12" i="30" a="1"/>
  <c r="S12" i="30" s="1"/>
  <c r="Q12" i="30" a="1"/>
  <c r="Q12" i="30" s="1"/>
  <c r="O12" i="30" a="1"/>
  <c r="O12" i="30" s="1"/>
  <c r="M12" i="30" a="1"/>
  <c r="M12" i="30" s="1"/>
  <c r="K12" i="30" a="1"/>
  <c r="K12" i="30" s="1"/>
  <c r="I12" i="30" a="1"/>
  <c r="I12" i="30" s="1"/>
  <c r="G12" i="30" a="1"/>
  <c r="G12" i="30" s="1"/>
  <c r="E12" i="30" a="1"/>
  <c r="E12" i="30" s="1"/>
  <c r="AA11" i="30" a="1"/>
  <c r="AA11" i="30" s="1"/>
  <c r="Y11" i="30" a="1"/>
  <c r="Y11" i="30" s="1"/>
  <c r="W11" i="30" a="1"/>
  <c r="W11" i="30" s="1"/>
  <c r="U11" i="30" a="1"/>
  <c r="U11" i="30" s="1"/>
  <c r="S11" i="30" a="1"/>
  <c r="S11" i="30" s="1"/>
  <c r="Q11" i="30" a="1"/>
  <c r="Q11" i="30" s="1"/>
  <c r="O11" i="30" a="1"/>
  <c r="O11" i="30" s="1"/>
  <c r="M11" i="30" a="1"/>
  <c r="M11" i="30" s="1"/>
  <c r="K11" i="30" a="1"/>
  <c r="K11" i="30" s="1"/>
  <c r="I11" i="30" a="1"/>
  <c r="I11" i="30" s="1"/>
  <c r="G11" i="30" a="1"/>
  <c r="G11" i="30" s="1"/>
  <c r="Y10" i="30" a="1"/>
  <c r="Y10" i="30" s="1"/>
  <c r="W10" i="30" a="1"/>
  <c r="W10" i="30" s="1"/>
  <c r="U10" i="30" a="1"/>
  <c r="U10" i="30" s="1"/>
  <c r="S10" i="30" a="1"/>
  <c r="S10" i="30" s="1"/>
  <c r="Q10" i="30" a="1"/>
  <c r="Q10" i="30" s="1"/>
  <c r="M10" i="30" a="1"/>
  <c r="M10" i="30" s="1"/>
  <c r="K10" i="30" a="1"/>
  <c r="K10" i="30" s="1"/>
  <c r="I10" i="30" a="1"/>
  <c r="I10" i="30" s="1"/>
  <c r="G10" i="30" a="1"/>
  <c r="G10" i="30" s="1"/>
  <c r="E10" i="30" a="1"/>
  <c r="E10" i="30" s="1"/>
  <c r="AA9" i="30" a="1"/>
  <c r="AA9" i="30" s="1"/>
  <c r="Y9" i="30" a="1"/>
  <c r="Y9" i="30" s="1"/>
  <c r="W9" i="30" a="1"/>
  <c r="W9" i="30" s="1"/>
  <c r="U9" i="30" a="1"/>
  <c r="U9" i="30" s="1"/>
  <c r="S9" i="30" a="1"/>
  <c r="S9" i="30" s="1"/>
  <c r="Q9" i="30" a="1"/>
  <c r="Q9" i="30" s="1"/>
  <c r="O9" i="30" a="1"/>
  <c r="O9" i="30" s="1"/>
  <c r="M9" i="30" a="1"/>
  <c r="M9" i="30" s="1"/>
  <c r="K9" i="30" a="1"/>
  <c r="K9" i="30" s="1"/>
  <c r="I9" i="30" a="1"/>
  <c r="I9" i="30" s="1"/>
  <c r="G9" i="30" a="1"/>
  <c r="G9" i="30" s="1"/>
  <c r="Y8" i="30" a="1"/>
  <c r="Y8" i="30" s="1"/>
  <c r="W8" i="30" a="1"/>
  <c r="W8" i="30" s="1"/>
  <c r="U8" i="30" a="1"/>
  <c r="U8" i="30" s="1"/>
  <c r="S8" i="30" a="1"/>
  <c r="S8" i="30" s="1"/>
  <c r="Q8" i="30" a="1"/>
  <c r="Q8" i="30" s="1"/>
  <c r="M8" i="30" a="1"/>
  <c r="M8" i="30" s="1"/>
  <c r="K8" i="30" a="1"/>
  <c r="K8" i="30" s="1"/>
  <c r="I8" i="30" a="1"/>
  <c r="I8" i="30" s="1"/>
  <c r="G8" i="30" a="1"/>
  <c r="G8" i="30" s="1"/>
  <c r="E8" i="30" a="1"/>
  <c r="E8" i="30" s="1"/>
  <c r="AA7" i="30" a="1"/>
  <c r="AA7" i="30" s="1"/>
  <c r="Y7" i="30" a="1"/>
  <c r="Y7" i="30" s="1"/>
  <c r="W7" i="30" a="1"/>
  <c r="W7" i="30" s="1"/>
  <c r="U7" i="30" a="1"/>
  <c r="U7" i="30" s="1"/>
  <c r="S7" i="30" a="1"/>
  <c r="S7" i="30" s="1"/>
  <c r="Q7" i="30" a="1"/>
  <c r="Q7" i="30" s="1"/>
  <c r="O7" i="30" a="1"/>
  <c r="O7" i="30" s="1"/>
  <c r="M7" i="30" a="1"/>
  <c r="M7" i="30" s="1"/>
  <c r="K7" i="30" a="1"/>
  <c r="K7" i="30" s="1"/>
  <c r="I7" i="30" a="1"/>
  <c r="I7" i="30" s="1"/>
  <c r="G7" i="30" a="1"/>
  <c r="G7" i="30" s="1"/>
  <c r="Y6" i="30" a="1"/>
  <c r="Y6" i="30" s="1"/>
  <c r="W6" i="30" a="1"/>
  <c r="W6" i="30" s="1"/>
  <c r="U6" i="30" a="1"/>
  <c r="U6" i="30" s="1"/>
  <c r="S6" i="30" a="1"/>
  <c r="S6" i="30" s="1"/>
  <c r="Q6" i="30" a="1"/>
  <c r="Q6" i="30" s="1"/>
  <c r="O6" i="30" a="1"/>
  <c r="O6" i="30" s="1"/>
  <c r="M6" i="30" a="1"/>
  <c r="M6" i="30" s="1"/>
  <c r="K6" i="30" a="1"/>
  <c r="K6" i="30" s="1"/>
  <c r="I6" i="30" a="1"/>
  <c r="I6" i="30" s="1"/>
  <c r="G6" i="30" a="1"/>
  <c r="G6" i="30" s="1"/>
  <c r="E6" i="30" a="1"/>
  <c r="E6" i="30" s="1"/>
  <c r="AA5" i="30" a="1"/>
  <c r="AA5" i="30" s="1"/>
  <c r="Y5" i="30" a="1"/>
  <c r="Y5" i="30" s="1"/>
  <c r="W5" i="30" a="1"/>
  <c r="W5" i="30" s="1"/>
  <c r="U5" i="30" a="1"/>
  <c r="U5" i="30" s="1"/>
  <c r="S5" i="30" a="1"/>
  <c r="S5" i="30" s="1"/>
  <c r="Q5" i="30" a="1"/>
  <c r="Q5" i="30" s="1"/>
  <c r="O5" i="30" a="1"/>
  <c r="O5" i="30" s="1"/>
  <c r="M5" i="30" a="1"/>
  <c r="M5" i="30" s="1"/>
  <c r="K5" i="30" a="1"/>
  <c r="K5" i="30" s="1"/>
  <c r="I5" i="30" a="1"/>
  <c r="I5" i="30" s="1"/>
  <c r="G5" i="30" a="1"/>
  <c r="G5" i="30" s="1"/>
  <c r="AA4" i="30" a="1"/>
  <c r="AA4" i="30" s="1"/>
  <c r="Y4" i="30" a="1"/>
  <c r="Y4" i="30" s="1"/>
  <c r="W4" i="30" a="1"/>
  <c r="W4" i="30" s="1"/>
  <c r="U4" i="30" a="1"/>
  <c r="U4" i="30" s="1"/>
  <c r="S4" i="30" a="1"/>
  <c r="S4" i="30" s="1"/>
  <c r="Q4" i="30" a="1"/>
  <c r="Q4" i="30" s="1"/>
  <c r="O4" i="30" a="1"/>
  <c r="O4" i="30" s="1"/>
  <c r="M4" i="30" a="1"/>
  <c r="M4" i="30" s="1"/>
  <c r="K4" i="30" a="1"/>
  <c r="K4" i="30" s="1"/>
  <c r="I4" i="30" a="1"/>
  <c r="I4" i="30" s="1"/>
  <c r="G4" i="30" a="1"/>
  <c r="G4" i="30" s="1"/>
  <c r="AA3" i="30" a="1"/>
  <c r="AA3" i="30" s="1"/>
  <c r="Y3" i="30" a="1"/>
  <c r="Y3" i="30" s="1"/>
  <c r="W3" i="30" a="1"/>
  <c r="W3" i="30" s="1"/>
  <c r="U3" i="30" a="1"/>
  <c r="U3" i="30" s="1"/>
  <c r="S3" i="30" a="1"/>
  <c r="S3" i="30" s="1"/>
  <c r="Q3" i="30" a="1"/>
  <c r="Q3" i="30" s="1"/>
  <c r="O3" i="30" a="1"/>
  <c r="O3" i="30" s="1"/>
  <c r="M3" i="30" a="1"/>
  <c r="M3" i="30" s="1"/>
  <c r="K3" i="30" a="1"/>
  <c r="K3" i="30" s="1"/>
  <c r="I3" i="30" a="1"/>
  <c r="I3" i="30" s="1"/>
  <c r="G3" i="30" a="1"/>
  <c r="G3" i="30" s="1"/>
  <c r="Y28" i="29" a="1"/>
  <c r="Y28" i="29" s="1"/>
  <c r="W28" i="29" a="1"/>
  <c r="W28" i="29" s="1"/>
  <c r="U28" i="29" a="1"/>
  <c r="U28" i="29" s="1"/>
  <c r="S28" i="29" a="1"/>
  <c r="S28" i="29" s="1"/>
  <c r="Q28" i="29" a="1"/>
  <c r="Q28" i="29" s="1"/>
  <c r="M28" i="29" a="1"/>
  <c r="M28" i="29" s="1"/>
  <c r="K28" i="29" a="1"/>
  <c r="K28" i="29" s="1"/>
  <c r="I28" i="29" a="1"/>
  <c r="I28" i="29" s="1"/>
  <c r="G28" i="29" a="1"/>
  <c r="G28" i="29" s="1"/>
  <c r="E28" i="29" a="1"/>
  <c r="E28" i="29" s="1"/>
  <c r="AA23" i="29" a="1"/>
  <c r="AA23" i="29" s="1"/>
  <c r="Y23" i="29" a="1"/>
  <c r="Y23" i="29" s="1"/>
  <c r="W23" i="29" a="1"/>
  <c r="W23" i="29" s="1"/>
  <c r="U23" i="29" a="1"/>
  <c r="U23" i="29" s="1"/>
  <c r="S23" i="29" a="1"/>
  <c r="S23" i="29" s="1"/>
  <c r="Q23" i="29" a="1"/>
  <c r="Q23" i="29" s="1"/>
  <c r="O23" i="29" a="1"/>
  <c r="O23" i="29" s="1"/>
  <c r="M23" i="29" a="1"/>
  <c r="M23" i="29" s="1"/>
  <c r="K23" i="29" a="1"/>
  <c r="K23" i="29" s="1"/>
  <c r="I23" i="29" a="1"/>
  <c r="I23" i="29" s="1"/>
  <c r="G23" i="29" a="1"/>
  <c r="G23" i="29" s="1"/>
  <c r="Y22" i="29" a="1"/>
  <c r="Y22" i="29" s="1"/>
  <c r="W22" i="29" a="1"/>
  <c r="W22" i="29" s="1"/>
  <c r="U22" i="29" a="1"/>
  <c r="U22" i="29" s="1"/>
  <c r="S22" i="29" a="1"/>
  <c r="S22" i="29" s="1"/>
  <c r="Q22" i="29" a="1"/>
  <c r="Q22" i="29" s="1"/>
  <c r="O22" i="29" a="1"/>
  <c r="O22" i="29" s="1"/>
  <c r="M22" i="29" a="1"/>
  <c r="M22" i="29" s="1"/>
  <c r="K22" i="29" a="1"/>
  <c r="K22" i="29" s="1"/>
  <c r="I22" i="29" a="1"/>
  <c r="I22" i="29" s="1"/>
  <c r="G22" i="29" a="1"/>
  <c r="G22" i="29" s="1"/>
  <c r="E22" i="29" a="1"/>
  <c r="E22" i="29" s="1"/>
  <c r="AA21" i="29" a="1"/>
  <c r="AA21" i="29" s="1"/>
  <c r="Y21" i="29" a="1"/>
  <c r="Y21" i="29" s="1"/>
  <c r="U21" i="29" a="1"/>
  <c r="U21" i="29" s="1"/>
  <c r="S21" i="29" a="1"/>
  <c r="S21" i="29" s="1"/>
  <c r="O21" i="29" a="1"/>
  <c r="O21" i="29" s="1"/>
  <c r="M21" i="29" a="1"/>
  <c r="M21" i="29" s="1"/>
  <c r="I21" i="29" a="1"/>
  <c r="I21" i="29" s="1"/>
  <c r="G21" i="29" a="1"/>
  <c r="G21" i="29" s="1"/>
  <c r="AA20" i="29" a="1"/>
  <c r="AA20" i="29" s="1"/>
  <c r="Y20" i="29" a="1"/>
  <c r="Y20" i="29" s="1"/>
  <c r="W20" i="29" a="1"/>
  <c r="W20" i="29" s="1"/>
  <c r="U20" i="29" a="1"/>
  <c r="U20" i="29" s="1"/>
  <c r="S20" i="29" a="1"/>
  <c r="S20" i="29" s="1"/>
  <c r="Q20" i="29" a="1"/>
  <c r="Q20" i="29" s="1"/>
  <c r="O20" i="29" a="1"/>
  <c r="O20" i="29" s="1"/>
  <c r="M20" i="29" a="1"/>
  <c r="M20" i="29" s="1"/>
  <c r="K20" i="29" a="1"/>
  <c r="K20" i="29" s="1"/>
  <c r="I20" i="29" a="1"/>
  <c r="I20" i="29" s="1"/>
  <c r="G20" i="29" a="1"/>
  <c r="G20" i="29" s="1"/>
  <c r="Y19" i="29" a="1"/>
  <c r="Y19" i="29" s="1"/>
  <c r="W19" i="29" a="1"/>
  <c r="W19" i="29" s="1"/>
  <c r="U19" i="29" a="1"/>
  <c r="U19" i="29" s="1"/>
  <c r="S19" i="29" a="1"/>
  <c r="S19" i="29" s="1"/>
  <c r="Q19" i="29" a="1"/>
  <c r="Q19" i="29" s="1"/>
  <c r="M19" i="29" a="1"/>
  <c r="M19" i="29" s="1"/>
  <c r="K19" i="29" a="1"/>
  <c r="K19" i="29" s="1"/>
  <c r="I19" i="29" a="1"/>
  <c r="I19" i="29" s="1"/>
  <c r="G19" i="29" a="1"/>
  <c r="G19" i="29" s="1"/>
  <c r="E19" i="29" a="1"/>
  <c r="E19" i="29" s="1"/>
  <c r="AA18" i="29" a="1"/>
  <c r="AA18" i="29" s="1"/>
  <c r="Y18" i="29" a="1"/>
  <c r="Y18" i="29" s="1"/>
  <c r="W18" i="29" a="1"/>
  <c r="W18" i="29" s="1"/>
  <c r="U18" i="29" a="1"/>
  <c r="U18" i="29" s="1"/>
  <c r="S18" i="29" a="1"/>
  <c r="S18" i="29" s="1"/>
  <c r="Q18" i="29" a="1"/>
  <c r="Q18" i="29" s="1"/>
  <c r="O18" i="29" a="1"/>
  <c r="O18" i="29" s="1"/>
  <c r="M18" i="29" a="1"/>
  <c r="M18" i="29" s="1"/>
  <c r="K18" i="29" a="1"/>
  <c r="K18" i="29" s="1"/>
  <c r="I18" i="29" a="1"/>
  <c r="I18" i="29" s="1"/>
  <c r="G18" i="29" a="1"/>
  <c r="G18" i="29" s="1"/>
  <c r="AA16" i="29" a="1"/>
  <c r="AA16" i="29" s="1"/>
  <c r="Y16" i="29" a="1"/>
  <c r="Y16" i="29" s="1"/>
  <c r="W16" i="29" a="1"/>
  <c r="W16" i="29" s="1"/>
  <c r="U16" i="29" a="1"/>
  <c r="U16" i="29" s="1"/>
  <c r="S16" i="29" a="1"/>
  <c r="S16" i="29" s="1"/>
  <c r="Q16" i="29" a="1"/>
  <c r="Q16" i="29" s="1"/>
  <c r="O16" i="29" a="1"/>
  <c r="O16" i="29" s="1"/>
  <c r="M16" i="29" a="1"/>
  <c r="M16" i="29" s="1"/>
  <c r="K16" i="29" a="1"/>
  <c r="K16" i="29" s="1"/>
  <c r="I16" i="29" a="1"/>
  <c r="I16" i="29" s="1"/>
  <c r="G16" i="29" a="1"/>
  <c r="G16" i="29" s="1"/>
  <c r="AA14" i="29" a="1"/>
  <c r="AA14" i="29" s="1"/>
  <c r="Y14" i="29" a="1"/>
  <c r="Y14" i="29" s="1"/>
  <c r="W14" i="29" a="1"/>
  <c r="W14" i="29" s="1"/>
  <c r="U14" i="29" a="1"/>
  <c r="U14" i="29" s="1"/>
  <c r="S14" i="29" a="1"/>
  <c r="S14" i="29" s="1"/>
  <c r="Q14" i="29" a="1"/>
  <c r="Q14" i="29" s="1"/>
  <c r="O14" i="29" a="1"/>
  <c r="O14" i="29" s="1"/>
  <c r="M14" i="29" a="1"/>
  <c r="M14" i="29" s="1"/>
  <c r="K14" i="29" a="1"/>
  <c r="K14" i="29" s="1"/>
  <c r="I14" i="29" a="1"/>
  <c r="I14" i="29" s="1"/>
  <c r="G14" i="29" a="1"/>
  <c r="G14" i="29" s="1"/>
  <c r="Y13" i="29" a="1"/>
  <c r="Y13" i="29" s="1"/>
  <c r="W13" i="29" a="1"/>
  <c r="W13" i="29" s="1"/>
  <c r="U13" i="29" a="1"/>
  <c r="U13" i="29" s="1"/>
  <c r="S13" i="29" a="1"/>
  <c r="S13" i="29" s="1"/>
  <c r="Q13" i="29" a="1"/>
  <c r="Q13" i="29" s="1"/>
  <c r="O13" i="29" a="1"/>
  <c r="O13" i="29" s="1"/>
  <c r="M13" i="29" a="1"/>
  <c r="M13" i="29" s="1"/>
  <c r="K13" i="29" a="1"/>
  <c r="K13" i="29" s="1"/>
  <c r="I13" i="29" a="1"/>
  <c r="I13" i="29" s="1"/>
  <c r="G13" i="29" a="1"/>
  <c r="G13" i="29" s="1"/>
  <c r="E13" i="29" a="1"/>
  <c r="E13" i="29" s="1"/>
  <c r="Y12" i="29" a="1"/>
  <c r="Y12" i="29" s="1"/>
  <c r="W12" i="29" a="1"/>
  <c r="W12" i="29" s="1"/>
  <c r="U12" i="29" a="1"/>
  <c r="U12" i="29" s="1"/>
  <c r="S12" i="29" a="1"/>
  <c r="S12" i="29" s="1"/>
  <c r="Q12" i="29" a="1"/>
  <c r="Q12" i="29" s="1"/>
  <c r="M12" i="29" a="1"/>
  <c r="M12" i="29" s="1"/>
  <c r="K12" i="29" a="1"/>
  <c r="K12" i="29" s="1"/>
  <c r="I12" i="29" a="1"/>
  <c r="I12" i="29" s="1"/>
  <c r="G12" i="29" a="1"/>
  <c r="G12" i="29" s="1"/>
  <c r="E12" i="29" a="1"/>
  <c r="E12" i="29" s="1"/>
  <c r="AA11" i="29" a="1"/>
  <c r="AA11" i="29" s="1"/>
  <c r="Y11" i="29" a="1"/>
  <c r="Y11" i="29" s="1"/>
  <c r="W11" i="29" a="1"/>
  <c r="W11" i="29" s="1"/>
  <c r="U11" i="29" a="1"/>
  <c r="U11" i="29" s="1"/>
  <c r="S11" i="29" a="1"/>
  <c r="S11" i="29" s="1"/>
  <c r="Q11" i="29" a="1"/>
  <c r="Q11" i="29" s="1"/>
  <c r="O11" i="29" a="1"/>
  <c r="O11" i="29" s="1"/>
  <c r="M11" i="29" a="1"/>
  <c r="M11" i="29" s="1"/>
  <c r="K11" i="29" a="1"/>
  <c r="K11" i="29" s="1"/>
  <c r="I11" i="29" a="1"/>
  <c r="I11" i="29" s="1"/>
  <c r="G11" i="29" a="1"/>
  <c r="G11" i="29" s="1"/>
  <c r="AA9" i="29" a="1"/>
  <c r="AA9" i="29" s="1"/>
  <c r="Y9" i="29" a="1"/>
  <c r="Y9" i="29" s="1"/>
  <c r="W9" i="29" a="1"/>
  <c r="W9" i="29" s="1"/>
  <c r="U9" i="29" a="1"/>
  <c r="U9" i="29" s="1"/>
  <c r="S9" i="29" a="1"/>
  <c r="S9" i="29" s="1"/>
  <c r="Q9" i="29" a="1"/>
  <c r="Q9" i="29" s="1"/>
  <c r="O9" i="29" a="1"/>
  <c r="O9" i="29" s="1"/>
  <c r="M9" i="29" a="1"/>
  <c r="M9" i="29" s="1"/>
  <c r="K9" i="29" a="1"/>
  <c r="K9" i="29" s="1"/>
  <c r="I9" i="29" a="1"/>
  <c r="I9" i="29" s="1"/>
  <c r="G9" i="29" a="1"/>
  <c r="G9" i="29" s="1"/>
  <c r="Y8" i="29" a="1"/>
  <c r="Y8" i="29" s="1"/>
  <c r="W8" i="29" a="1"/>
  <c r="W8" i="29" s="1"/>
  <c r="U8" i="29" a="1"/>
  <c r="U8" i="29" s="1"/>
  <c r="S8" i="29" a="1"/>
  <c r="S8" i="29" s="1"/>
  <c r="Q8" i="29" a="1"/>
  <c r="Q8" i="29" s="1"/>
  <c r="M8" i="29" a="1"/>
  <c r="M8" i="29" s="1"/>
  <c r="K8" i="29" a="1"/>
  <c r="K8" i="29" s="1"/>
  <c r="I8" i="29" a="1"/>
  <c r="I8" i="29" s="1"/>
  <c r="G8" i="29" a="1"/>
  <c r="G8" i="29" s="1"/>
  <c r="Y7" i="29" a="1"/>
  <c r="Y7" i="29" s="1"/>
  <c r="W7" i="29" a="1"/>
  <c r="W7" i="29" s="1"/>
  <c r="U7" i="29" a="1"/>
  <c r="U7" i="29" s="1"/>
  <c r="S7" i="29" a="1"/>
  <c r="S7" i="29" s="1"/>
  <c r="Q7" i="29" a="1"/>
  <c r="Q7" i="29" s="1"/>
  <c r="M7" i="29" a="1"/>
  <c r="M7" i="29" s="1"/>
  <c r="K7" i="29" a="1"/>
  <c r="K7" i="29" s="1"/>
  <c r="I7" i="29" a="1"/>
  <c r="I7" i="29" s="1"/>
  <c r="G7" i="29" a="1"/>
  <c r="G7" i="29" s="1"/>
  <c r="Y6" i="29" a="1"/>
  <c r="Y6" i="29" s="1"/>
  <c r="W6" i="29" a="1"/>
  <c r="W6" i="29" s="1"/>
  <c r="U6" i="29" a="1"/>
  <c r="U6" i="29" s="1"/>
  <c r="S6" i="29" a="1"/>
  <c r="S6" i="29" s="1"/>
  <c r="Q6" i="29" a="1"/>
  <c r="Q6" i="29" s="1"/>
  <c r="M6" i="29" a="1"/>
  <c r="M6" i="29" s="1"/>
  <c r="K6" i="29" a="1"/>
  <c r="K6" i="29" s="1"/>
  <c r="I6" i="29" a="1"/>
  <c r="I6" i="29" s="1"/>
  <c r="G6" i="29" a="1"/>
  <c r="G6" i="29" s="1"/>
  <c r="Y5" i="29" a="1"/>
  <c r="Y5" i="29" s="1"/>
  <c r="W5" i="29" a="1"/>
  <c r="W5" i="29" s="1"/>
  <c r="U5" i="29" a="1"/>
  <c r="U5" i="29" s="1"/>
  <c r="S5" i="29" a="1"/>
  <c r="S5" i="29" s="1"/>
  <c r="Q5" i="29" a="1"/>
  <c r="Q5" i="29" s="1"/>
  <c r="O5" i="29" a="1"/>
  <c r="O5" i="29" s="1"/>
  <c r="M5" i="29" a="1"/>
  <c r="M5" i="29" s="1"/>
  <c r="K5" i="29" a="1"/>
  <c r="K5" i="29" s="1"/>
  <c r="I5" i="29" a="1"/>
  <c r="I5" i="29" s="1"/>
  <c r="G5" i="29" a="1"/>
  <c r="G5" i="29" s="1"/>
  <c r="E5" i="29" a="1"/>
  <c r="E5" i="29" s="1"/>
  <c r="AA4" i="29" a="1"/>
  <c r="AA4" i="29" s="1"/>
  <c r="Y4" i="29" a="1"/>
  <c r="Y4" i="29" s="1"/>
  <c r="W4" i="29" a="1"/>
  <c r="W4" i="29" s="1"/>
  <c r="U4" i="29" a="1"/>
  <c r="U4" i="29" s="1"/>
  <c r="S4" i="29" a="1"/>
  <c r="S4" i="29" s="1"/>
  <c r="Q4" i="29" a="1"/>
  <c r="Q4" i="29" s="1"/>
  <c r="O4" i="29" a="1"/>
  <c r="O4" i="29" s="1"/>
  <c r="M4" i="29" a="1"/>
  <c r="M4" i="29" s="1"/>
  <c r="K4" i="29" a="1"/>
  <c r="K4" i="29" s="1"/>
  <c r="I4" i="29" a="1"/>
  <c r="I4" i="29" s="1"/>
  <c r="G4" i="29" a="1"/>
  <c r="G4" i="29" s="1"/>
  <c r="AA3" i="29" a="1"/>
  <c r="AA3" i="29" s="1"/>
  <c r="Y3" i="29" a="1"/>
  <c r="Y3" i="29" s="1"/>
  <c r="W3" i="29" a="1"/>
  <c r="W3" i="29" s="1"/>
  <c r="U3" i="29" a="1"/>
  <c r="U3" i="29" s="1"/>
  <c r="S3" i="29" a="1"/>
  <c r="S3" i="29" s="1"/>
  <c r="Q3" i="29" a="1"/>
  <c r="Q3" i="29" s="1"/>
  <c r="O3" i="29" a="1"/>
  <c r="O3" i="29" s="1"/>
  <c r="M3" i="29" a="1"/>
  <c r="M3" i="29" s="1"/>
  <c r="K3" i="29" a="1"/>
  <c r="K3" i="29" s="1"/>
  <c r="I3" i="29" a="1"/>
  <c r="I3" i="29" s="1"/>
  <c r="G3" i="29" a="1"/>
  <c r="G3" i="29" s="1"/>
  <c r="Y30" i="28" a="1"/>
  <c r="Y30" i="28" s="1"/>
  <c r="W30" i="28" a="1"/>
  <c r="W30" i="28" s="1"/>
  <c r="U30" i="28" a="1"/>
  <c r="U30" i="28" s="1"/>
  <c r="S30" i="28" a="1"/>
  <c r="S30" i="28" s="1"/>
  <c r="Q30" i="28" a="1"/>
  <c r="Q30" i="28" s="1"/>
  <c r="O30" i="28" a="1"/>
  <c r="O30" i="28" s="1"/>
  <c r="M30" i="28" a="1"/>
  <c r="M30" i="28" s="1"/>
  <c r="K30" i="28" a="1"/>
  <c r="K30" i="28" s="1"/>
  <c r="I30" i="28" a="1"/>
  <c r="I30" i="28" s="1"/>
  <c r="G30" i="28" a="1"/>
  <c r="G30" i="28" s="1"/>
  <c r="E30" i="28" a="1"/>
  <c r="E30" i="28" s="1"/>
  <c r="AA29" i="28" a="1"/>
  <c r="AA29" i="28" s="1"/>
  <c r="Y29" i="28" a="1"/>
  <c r="Y29" i="28" s="1"/>
  <c r="W29" i="28" a="1"/>
  <c r="W29" i="28" s="1"/>
  <c r="U29" i="28" a="1"/>
  <c r="U29" i="28" s="1"/>
  <c r="S29" i="28" a="1"/>
  <c r="S29" i="28" s="1"/>
  <c r="Q29" i="28" a="1"/>
  <c r="Q29" i="28" s="1"/>
  <c r="O29" i="28" a="1"/>
  <c r="O29" i="28" s="1"/>
  <c r="M29" i="28" a="1"/>
  <c r="M29" i="28" s="1"/>
  <c r="K29" i="28" a="1"/>
  <c r="K29" i="28" s="1"/>
  <c r="I29" i="28" a="1"/>
  <c r="I29" i="28" s="1"/>
  <c r="G29" i="28" a="1"/>
  <c r="G29" i="28" s="1"/>
  <c r="AA28" i="28" a="1"/>
  <c r="AA28" i="28" s="1"/>
  <c r="Y28" i="28" a="1"/>
  <c r="Y28" i="28" s="1"/>
  <c r="W28" i="28" a="1"/>
  <c r="W28" i="28" s="1"/>
  <c r="U28" i="28" a="1"/>
  <c r="U28" i="28" s="1"/>
  <c r="S28" i="28" a="1"/>
  <c r="S28" i="28" s="1"/>
  <c r="Q28" i="28" a="1"/>
  <c r="Q28" i="28" s="1"/>
  <c r="O28" i="28" a="1"/>
  <c r="O28" i="28" s="1"/>
  <c r="M28" i="28" a="1"/>
  <c r="M28" i="28" s="1"/>
  <c r="K28" i="28" a="1"/>
  <c r="K28" i="28" s="1"/>
  <c r="I28" i="28" a="1"/>
  <c r="I28" i="28" s="1"/>
  <c r="G28" i="28" a="1"/>
  <c r="G28" i="28" s="1"/>
  <c r="AA27" i="28" a="1"/>
  <c r="AA27" i="28" s="1"/>
  <c r="Y27" i="28" a="1"/>
  <c r="Y27" i="28" s="1"/>
  <c r="W27" i="28" a="1"/>
  <c r="W27" i="28" s="1"/>
  <c r="U27" i="28" a="1"/>
  <c r="U27" i="28" s="1"/>
  <c r="S27" i="28" a="1"/>
  <c r="S27" i="28" s="1"/>
  <c r="Q27" i="28" a="1"/>
  <c r="Q27" i="28" s="1"/>
  <c r="O27" i="28" a="1"/>
  <c r="O27" i="28" s="1"/>
  <c r="M27" i="28" a="1"/>
  <c r="M27" i="28" s="1"/>
  <c r="K27" i="28" a="1"/>
  <c r="K27" i="28" s="1"/>
  <c r="I27" i="28" a="1"/>
  <c r="I27" i="28" s="1"/>
  <c r="G27" i="28" a="1"/>
  <c r="G27" i="28" s="1"/>
  <c r="Y25" i="28" a="1"/>
  <c r="Y25" i="28" s="1"/>
  <c r="W25" i="28" a="1"/>
  <c r="W25" i="28" s="1"/>
  <c r="U25" i="28" a="1"/>
  <c r="U25" i="28" s="1"/>
  <c r="S25" i="28" a="1"/>
  <c r="S25" i="28" s="1"/>
  <c r="Q25" i="28" a="1"/>
  <c r="Q25" i="28" s="1"/>
  <c r="O25" i="28" a="1"/>
  <c r="O25" i="28" s="1"/>
  <c r="M25" i="28" a="1"/>
  <c r="M25" i="28" s="1"/>
  <c r="K25" i="28" a="1"/>
  <c r="K25" i="28" s="1"/>
  <c r="I25" i="28" a="1"/>
  <c r="I25" i="28" s="1"/>
  <c r="G25" i="28" a="1"/>
  <c r="G25" i="28" s="1"/>
  <c r="E25" i="28" a="1"/>
  <c r="E25" i="28" s="1"/>
  <c r="AA23" i="28" a="1"/>
  <c r="AA23" i="28" s="1"/>
  <c r="Y23" i="28" a="1"/>
  <c r="Y23" i="28" s="1"/>
  <c r="W23" i="28" a="1"/>
  <c r="W23" i="28" s="1"/>
  <c r="U23" i="28" a="1"/>
  <c r="U23" i="28" s="1"/>
  <c r="S23" i="28" a="1"/>
  <c r="S23" i="28" s="1"/>
  <c r="Q23" i="28" a="1"/>
  <c r="Q23" i="28" s="1"/>
  <c r="O23" i="28" a="1"/>
  <c r="O23" i="28" s="1"/>
  <c r="M23" i="28" a="1"/>
  <c r="M23" i="28" s="1"/>
  <c r="K23" i="28" a="1"/>
  <c r="K23" i="28" s="1"/>
  <c r="I23" i="28" a="1"/>
  <c r="I23" i="28" s="1"/>
  <c r="G23" i="28" a="1"/>
  <c r="G23" i="28" s="1"/>
  <c r="Y22" i="28" a="1"/>
  <c r="Y22" i="28" s="1"/>
  <c r="W22" i="28" a="1"/>
  <c r="W22" i="28" s="1"/>
  <c r="U22" i="28" a="1"/>
  <c r="U22" i="28" s="1"/>
  <c r="S22" i="28" a="1"/>
  <c r="S22" i="28" s="1"/>
  <c r="Q22" i="28" a="1"/>
  <c r="Q22" i="28" s="1"/>
  <c r="O22" i="28" a="1"/>
  <c r="O22" i="28" s="1"/>
  <c r="M22" i="28" a="1"/>
  <c r="M22" i="28" s="1"/>
  <c r="K22" i="28" a="1"/>
  <c r="K22" i="28" s="1"/>
  <c r="I22" i="28" a="1"/>
  <c r="I22" i="28" s="1"/>
  <c r="G22" i="28" a="1"/>
  <c r="G22" i="28" s="1"/>
  <c r="E22" i="28" a="1"/>
  <c r="E22" i="28" s="1"/>
  <c r="AA21" i="28" a="1"/>
  <c r="AA21" i="28" s="1"/>
  <c r="Y21" i="28" a="1"/>
  <c r="Y21" i="28" s="1"/>
  <c r="U21" i="28" a="1"/>
  <c r="U21" i="28" s="1"/>
  <c r="S21" i="28" a="1"/>
  <c r="S21" i="28" s="1"/>
  <c r="O21" i="28" a="1"/>
  <c r="O21" i="28" s="1"/>
  <c r="M21" i="28" a="1"/>
  <c r="M21" i="28" s="1"/>
  <c r="I21" i="28" a="1"/>
  <c r="I21" i="28" s="1"/>
  <c r="G21" i="28" a="1"/>
  <c r="G21" i="28" s="1"/>
  <c r="E21" i="28" a="1"/>
  <c r="E21" i="28" s="1"/>
  <c r="AA20" i="28" a="1"/>
  <c r="AA20" i="28" s="1"/>
  <c r="Y20" i="28" a="1"/>
  <c r="Y20" i="28" s="1"/>
  <c r="W20" i="28" a="1"/>
  <c r="W20" i="28" s="1"/>
  <c r="U20" i="28" a="1"/>
  <c r="U20" i="28" s="1"/>
  <c r="S20" i="28" a="1"/>
  <c r="S20" i="28" s="1"/>
  <c r="Q20" i="28" a="1"/>
  <c r="Q20" i="28" s="1"/>
  <c r="O20" i="28" a="1"/>
  <c r="O20" i="28" s="1"/>
  <c r="M20" i="28" a="1"/>
  <c r="M20" i="28" s="1"/>
  <c r="K20" i="28" a="1"/>
  <c r="K20" i="28" s="1"/>
  <c r="I20" i="28" a="1"/>
  <c r="I20" i="28" s="1"/>
  <c r="G20" i="28" a="1"/>
  <c r="G20" i="28" s="1"/>
  <c r="Y19" i="28" a="1"/>
  <c r="Y19" i="28" s="1"/>
  <c r="W19" i="28" a="1"/>
  <c r="W19" i="28" s="1"/>
  <c r="U19" i="28" a="1"/>
  <c r="U19" i="28" s="1"/>
  <c r="S19" i="28" a="1"/>
  <c r="S19" i="28" s="1"/>
  <c r="Q19" i="28" a="1"/>
  <c r="Q19" i="28" s="1"/>
  <c r="O19" i="28" a="1"/>
  <c r="O19" i="28" s="1"/>
  <c r="M19" i="28" a="1"/>
  <c r="M19" i="28" s="1"/>
  <c r="K19" i="28" a="1"/>
  <c r="K19" i="28" s="1"/>
  <c r="I19" i="28" a="1"/>
  <c r="I19" i="28" s="1"/>
  <c r="G19" i="28" a="1"/>
  <c r="G19" i="28" s="1"/>
  <c r="E19" i="28" a="1"/>
  <c r="E19" i="28" s="1"/>
  <c r="Y18" i="28" a="1"/>
  <c r="Y18" i="28" s="1"/>
  <c r="W18" i="28" a="1"/>
  <c r="W18" i="28" s="1"/>
  <c r="U18" i="28" a="1"/>
  <c r="U18" i="28" s="1"/>
  <c r="S18" i="28" a="1"/>
  <c r="S18" i="28" s="1"/>
  <c r="Q18" i="28" a="1"/>
  <c r="Q18" i="28" s="1"/>
  <c r="O18" i="28" a="1"/>
  <c r="O18" i="28" s="1"/>
  <c r="M18" i="28" a="1"/>
  <c r="M18" i="28" s="1"/>
  <c r="K18" i="28" a="1"/>
  <c r="K18" i="28" s="1"/>
  <c r="I18" i="28" a="1"/>
  <c r="I18" i="28" s="1"/>
  <c r="G18" i="28" a="1"/>
  <c r="G18" i="28" s="1"/>
  <c r="Y17" i="28" a="1"/>
  <c r="Y17" i="28" s="1"/>
  <c r="W17" i="28" a="1"/>
  <c r="W17" i="28" s="1"/>
  <c r="U17" i="28" a="1"/>
  <c r="U17" i="28" s="1"/>
  <c r="S17" i="28" a="1"/>
  <c r="S17" i="28" s="1"/>
  <c r="Q17" i="28" a="1"/>
  <c r="Q17" i="28" s="1"/>
  <c r="O17" i="28" a="1"/>
  <c r="O17" i="28" s="1"/>
  <c r="M17" i="28" a="1"/>
  <c r="M17" i="28" s="1"/>
  <c r="K17" i="28" a="1"/>
  <c r="K17" i="28" s="1"/>
  <c r="I17" i="28" a="1"/>
  <c r="I17" i="28" s="1"/>
  <c r="G17" i="28" a="1"/>
  <c r="G17" i="28" s="1"/>
  <c r="Y15" i="28" a="1"/>
  <c r="Y15" i="28" s="1"/>
  <c r="W15" i="28" a="1"/>
  <c r="W15" i="28" s="1"/>
  <c r="S15" i="28" a="1"/>
  <c r="S15" i="28" s="1"/>
  <c r="Q15" i="28" a="1"/>
  <c r="Q15" i="28" s="1"/>
  <c r="M15" i="28" a="1"/>
  <c r="M15" i="28" s="1"/>
  <c r="K15" i="28" a="1"/>
  <c r="K15" i="28" s="1"/>
  <c r="G15" i="28" a="1"/>
  <c r="G15" i="28" s="1"/>
  <c r="E15" i="28" a="1"/>
  <c r="E15" i="28" s="1"/>
  <c r="AA14" i="28" a="1"/>
  <c r="AA14" i="28" s="1"/>
  <c r="Y14" i="28" a="1"/>
  <c r="Y14" i="28" s="1"/>
  <c r="W14" i="28" a="1"/>
  <c r="W14" i="28" s="1"/>
  <c r="U14" i="28" a="1"/>
  <c r="U14" i="28" s="1"/>
  <c r="S14" i="28" a="1"/>
  <c r="S14" i="28" s="1"/>
  <c r="Q14" i="28" a="1"/>
  <c r="Q14" i="28" s="1"/>
  <c r="O14" i="28" a="1"/>
  <c r="O14" i="28" s="1"/>
  <c r="M14" i="28" a="1"/>
  <c r="M14" i="28" s="1"/>
  <c r="K14" i="28" a="1"/>
  <c r="K14" i="28" s="1"/>
  <c r="I14" i="28" a="1"/>
  <c r="I14" i="28" s="1"/>
  <c r="G14" i="28" a="1"/>
  <c r="G14" i="28" s="1"/>
  <c r="AA12" i="28" a="1"/>
  <c r="AA12" i="28" s="1"/>
  <c r="Y12" i="28" a="1"/>
  <c r="Y12" i="28" s="1"/>
  <c r="W12" i="28" a="1"/>
  <c r="W12" i="28" s="1"/>
  <c r="U12" i="28" a="1"/>
  <c r="U12" i="28" s="1"/>
  <c r="S12" i="28" a="1"/>
  <c r="S12" i="28" s="1"/>
  <c r="Q12" i="28" a="1"/>
  <c r="Q12" i="28" s="1"/>
  <c r="O12" i="28" a="1"/>
  <c r="O12" i="28" s="1"/>
  <c r="M12" i="28" a="1"/>
  <c r="M12" i="28" s="1"/>
  <c r="K12" i="28" a="1"/>
  <c r="K12" i="28" s="1"/>
  <c r="I12" i="28" a="1"/>
  <c r="I12" i="28" s="1"/>
  <c r="G12" i="28" a="1"/>
  <c r="G12" i="28" s="1"/>
  <c r="AA9" i="28" a="1"/>
  <c r="AA9" i="28" s="1"/>
  <c r="Y9" i="28" a="1"/>
  <c r="Y9" i="28" s="1"/>
  <c r="W9" i="28" a="1"/>
  <c r="W9" i="28" s="1"/>
  <c r="U9" i="28" a="1"/>
  <c r="U9" i="28" s="1"/>
  <c r="S9" i="28" a="1"/>
  <c r="S9" i="28" s="1"/>
  <c r="Q9" i="28" a="1"/>
  <c r="Q9" i="28" s="1"/>
  <c r="O9" i="28" a="1"/>
  <c r="O9" i="28" s="1"/>
  <c r="M9" i="28" a="1"/>
  <c r="M9" i="28" s="1"/>
  <c r="K9" i="28" a="1"/>
  <c r="K9" i="28" s="1"/>
  <c r="I9" i="28" a="1"/>
  <c r="I9" i="28" s="1"/>
  <c r="G9" i="28" a="1"/>
  <c r="G9" i="28" s="1"/>
  <c r="AA8" i="28" a="1"/>
  <c r="AA8" i="28" s="1"/>
  <c r="Y8" i="28" a="1"/>
  <c r="Y8" i="28" s="1"/>
  <c r="W8" i="28" a="1"/>
  <c r="W8" i="28" s="1"/>
  <c r="U8" i="28" a="1"/>
  <c r="U8" i="28" s="1"/>
  <c r="S8" i="28" a="1"/>
  <c r="S8" i="28" s="1"/>
  <c r="Q8" i="28" a="1"/>
  <c r="Q8" i="28" s="1"/>
  <c r="O8" i="28" a="1"/>
  <c r="O8" i="28" s="1"/>
  <c r="M8" i="28" a="1"/>
  <c r="M8" i="28" s="1"/>
  <c r="K8" i="28" a="1"/>
  <c r="K8" i="28" s="1"/>
  <c r="I8" i="28" a="1"/>
  <c r="I8" i="28" s="1"/>
  <c r="G8" i="28" a="1"/>
  <c r="G8" i="28" s="1"/>
  <c r="Y7" i="28" a="1"/>
  <c r="Y7" i="28" s="1"/>
  <c r="W7" i="28" a="1"/>
  <c r="W7" i="28" s="1"/>
  <c r="U7" i="28" a="1"/>
  <c r="U7" i="28" s="1"/>
  <c r="S7" i="28" a="1"/>
  <c r="S7" i="28" s="1"/>
  <c r="Q7" i="28" a="1"/>
  <c r="Q7" i="28" s="1"/>
  <c r="M7" i="28" a="1"/>
  <c r="M7" i="28" s="1"/>
  <c r="K7" i="28" a="1"/>
  <c r="K7" i="28" s="1"/>
  <c r="I7" i="28" a="1"/>
  <c r="I7" i="28" s="1"/>
  <c r="G7" i="28" a="1"/>
  <c r="G7" i="28" s="1"/>
  <c r="E7" i="28" a="1"/>
  <c r="E7" i="28" s="1"/>
  <c r="AA6" i="28" a="1"/>
  <c r="AA6" i="28" s="1"/>
  <c r="Y6" i="28" a="1"/>
  <c r="Y6" i="28" s="1"/>
  <c r="W6" i="28" a="1"/>
  <c r="W6" i="28" s="1"/>
  <c r="U6" i="28" a="1"/>
  <c r="U6" i="28" s="1"/>
  <c r="S6" i="28" a="1"/>
  <c r="S6" i="28" s="1"/>
  <c r="Q6" i="28" a="1"/>
  <c r="Q6" i="28" s="1"/>
  <c r="O6" i="28" a="1"/>
  <c r="O6" i="28" s="1"/>
  <c r="M6" i="28" a="1"/>
  <c r="M6" i="28" s="1"/>
  <c r="K6" i="28" a="1"/>
  <c r="K6" i="28" s="1"/>
  <c r="I6" i="28" a="1"/>
  <c r="I6" i="28" s="1"/>
  <c r="G6" i="28" a="1"/>
  <c r="G6" i="28" s="1"/>
  <c r="Y5" i="28" a="1"/>
  <c r="Y5" i="28" s="1"/>
  <c r="W5" i="28" a="1"/>
  <c r="W5" i="28" s="1"/>
  <c r="U5" i="28" a="1"/>
  <c r="U5" i="28" s="1"/>
  <c r="S5" i="28" a="1"/>
  <c r="S5" i="28" s="1"/>
  <c r="Q5" i="28" a="1"/>
  <c r="Q5" i="28" s="1"/>
  <c r="O5" i="28" a="1"/>
  <c r="O5" i="28" s="1"/>
  <c r="M5" i="28" a="1"/>
  <c r="M5" i="28" s="1"/>
  <c r="K5" i="28" a="1"/>
  <c r="K5" i="28" s="1"/>
  <c r="I5" i="28" a="1"/>
  <c r="I5" i="28" s="1"/>
  <c r="G5" i="28" a="1"/>
  <c r="G5" i="28" s="1"/>
  <c r="E5" i="28" a="1"/>
  <c r="E5" i="28" s="1"/>
  <c r="AA4" i="28" a="1"/>
  <c r="AA4" i="28" s="1"/>
  <c r="Y4" i="28" a="1"/>
  <c r="Y4" i="28" s="1"/>
  <c r="W4" i="28" a="1"/>
  <c r="W4" i="28" s="1"/>
  <c r="U4" i="28" a="1"/>
  <c r="U4" i="28" s="1"/>
  <c r="S4" i="28" a="1"/>
  <c r="S4" i="28" s="1"/>
  <c r="Q4" i="28" a="1"/>
  <c r="Q4" i="28" s="1"/>
  <c r="O4" i="28" a="1"/>
  <c r="O4" i="28" s="1"/>
  <c r="M4" i="28" a="1"/>
  <c r="M4" i="28" s="1"/>
  <c r="K4" i="28" a="1"/>
  <c r="K4" i="28" s="1"/>
  <c r="I4" i="28" a="1"/>
  <c r="I4" i="28" s="1"/>
  <c r="G4" i="28" a="1"/>
  <c r="G4" i="28" s="1"/>
  <c r="AA3" i="28" a="1"/>
  <c r="AA3" i="28" s="1"/>
  <c r="Y3" i="28" a="1"/>
  <c r="Y3" i="28" s="1"/>
  <c r="W3" i="28" a="1"/>
  <c r="W3" i="28" s="1"/>
  <c r="U3" i="28" a="1"/>
  <c r="U3" i="28" s="1"/>
  <c r="S3" i="28" a="1"/>
  <c r="S3" i="28" s="1"/>
  <c r="Q3" i="28" a="1"/>
  <c r="Q3" i="28" s="1"/>
  <c r="O3" i="28" a="1"/>
  <c r="O3" i="28" s="1"/>
  <c r="M3" i="28" a="1"/>
  <c r="M3" i="28" s="1"/>
  <c r="K3" i="28" a="1"/>
  <c r="K3" i="28" s="1"/>
  <c r="I3" i="28" a="1"/>
  <c r="I3" i="28" s="1"/>
  <c r="G3" i="28" a="1"/>
  <c r="G3" i="28" s="1"/>
  <c r="Y29" i="27" a="1"/>
  <c r="Y29" i="27" s="1"/>
  <c r="W29" i="27" a="1"/>
  <c r="W29" i="27" s="1"/>
  <c r="U29" i="27" a="1"/>
  <c r="U29" i="27" s="1"/>
  <c r="S29" i="27" a="1"/>
  <c r="S29" i="27" s="1"/>
  <c r="Q29" i="27" a="1"/>
  <c r="Q29" i="27" s="1"/>
  <c r="O29" i="27" a="1"/>
  <c r="O29" i="27" s="1"/>
  <c r="M29" i="27" a="1"/>
  <c r="M29" i="27" s="1"/>
  <c r="K29" i="27" a="1"/>
  <c r="K29" i="27" s="1"/>
  <c r="I29" i="27" a="1"/>
  <c r="I29" i="27" s="1"/>
  <c r="G29" i="27" a="1"/>
  <c r="G29" i="27" s="1"/>
  <c r="E29" i="27" a="1"/>
  <c r="E29" i="27" s="1"/>
  <c r="AA28" i="27" a="1"/>
  <c r="AA28" i="27" s="1"/>
  <c r="Y28" i="27" a="1"/>
  <c r="Y28" i="27" s="1"/>
  <c r="U28" i="27" a="1"/>
  <c r="U28" i="27" s="1"/>
  <c r="S28" i="27" a="1"/>
  <c r="S28" i="27" s="1"/>
  <c r="O28" i="27" a="1"/>
  <c r="O28" i="27" s="1"/>
  <c r="M28" i="27" a="1"/>
  <c r="M28" i="27" s="1"/>
  <c r="I28" i="27" a="1"/>
  <c r="I28" i="27" s="1"/>
  <c r="G28" i="27" a="1"/>
  <c r="G28" i="27" s="1"/>
  <c r="E28" i="27" a="1"/>
  <c r="E28" i="27" s="1"/>
  <c r="AA27" i="27" a="1"/>
  <c r="AA27" i="27" s="1"/>
  <c r="Y27" i="27" a="1"/>
  <c r="Y27" i="27" s="1"/>
  <c r="W27" i="27" a="1"/>
  <c r="W27" i="27" s="1"/>
  <c r="U27" i="27" a="1"/>
  <c r="U27" i="27" s="1"/>
  <c r="S27" i="27" a="1"/>
  <c r="S27" i="27" s="1"/>
  <c r="Q27" i="27" a="1"/>
  <c r="Q27" i="27" s="1"/>
  <c r="O27" i="27" a="1"/>
  <c r="O27" i="27" s="1"/>
  <c r="M27" i="27" a="1"/>
  <c r="M27" i="27" s="1"/>
  <c r="K27" i="27" a="1"/>
  <c r="K27" i="27" s="1"/>
  <c r="I27" i="27" a="1"/>
  <c r="I27" i="27" s="1"/>
  <c r="G27" i="27" a="1"/>
  <c r="G27" i="27" s="1"/>
  <c r="AA25" i="27" a="1"/>
  <c r="AA25" i="27" s="1"/>
  <c r="Y25" i="27" a="1"/>
  <c r="Y25" i="27" s="1"/>
  <c r="W25" i="27" a="1"/>
  <c r="W25" i="27" s="1"/>
  <c r="U25" i="27" a="1"/>
  <c r="U25" i="27" s="1"/>
  <c r="S25" i="27" a="1"/>
  <c r="S25" i="27" s="1"/>
  <c r="Q25" i="27" a="1"/>
  <c r="Q25" i="27" s="1"/>
  <c r="O25" i="27" a="1"/>
  <c r="O25" i="27" s="1"/>
  <c r="M25" i="27" a="1"/>
  <c r="M25" i="27" s="1"/>
  <c r="K25" i="27" a="1"/>
  <c r="K25" i="27" s="1"/>
  <c r="I25" i="27" a="1"/>
  <c r="I25" i="27" s="1"/>
  <c r="G25" i="27" a="1"/>
  <c r="G25" i="27" s="1"/>
  <c r="AA24" i="27" a="1"/>
  <c r="AA24" i="27" s="1"/>
  <c r="Y24" i="27" a="1"/>
  <c r="Y24" i="27" s="1"/>
  <c r="W24" i="27" a="1"/>
  <c r="W24" i="27" s="1"/>
  <c r="U24" i="27" a="1"/>
  <c r="U24" i="27" s="1"/>
  <c r="S24" i="27" a="1"/>
  <c r="S24" i="27" s="1"/>
  <c r="Q24" i="27" a="1"/>
  <c r="Q24" i="27" s="1"/>
  <c r="O24" i="27" a="1"/>
  <c r="O24" i="27" s="1"/>
  <c r="M24" i="27" a="1"/>
  <c r="M24" i="27" s="1"/>
  <c r="K24" i="27" a="1"/>
  <c r="K24" i="27" s="1"/>
  <c r="I24" i="27" a="1"/>
  <c r="I24" i="27" s="1"/>
  <c r="G24" i="27" a="1"/>
  <c r="G24" i="27" s="1"/>
  <c r="Y23" i="27" a="1"/>
  <c r="Y23" i="27" s="1"/>
  <c r="W23" i="27" a="1"/>
  <c r="W23" i="27" s="1"/>
  <c r="S23" i="27" a="1"/>
  <c r="S23" i="27" s="1"/>
  <c r="Q23" i="27" a="1"/>
  <c r="Q23" i="27" s="1"/>
  <c r="M23" i="27" a="1"/>
  <c r="M23" i="27" s="1"/>
  <c r="K23" i="27" a="1"/>
  <c r="K23" i="27" s="1"/>
  <c r="G23" i="27" a="1"/>
  <c r="G23" i="27" s="1"/>
  <c r="E23" i="27" a="1"/>
  <c r="E23" i="27" s="1"/>
  <c r="AA21" i="27" a="1"/>
  <c r="AA21" i="27" s="1"/>
  <c r="Y21" i="27" a="1"/>
  <c r="Y21" i="27" s="1"/>
  <c r="W21" i="27" a="1"/>
  <c r="W21" i="27" s="1"/>
  <c r="U21" i="27" a="1"/>
  <c r="U21" i="27" s="1"/>
  <c r="S21" i="27" a="1"/>
  <c r="S21" i="27" s="1"/>
  <c r="Q21" i="27" a="1"/>
  <c r="Q21" i="27" s="1"/>
  <c r="O21" i="27" a="1"/>
  <c r="O21" i="27" s="1"/>
  <c r="M21" i="27" a="1"/>
  <c r="M21" i="27" s="1"/>
  <c r="K21" i="27" a="1"/>
  <c r="K21" i="27" s="1"/>
  <c r="I21" i="27" a="1"/>
  <c r="I21" i="27" s="1"/>
  <c r="G21" i="27" a="1"/>
  <c r="G21" i="27" s="1"/>
  <c r="Y20" i="27" a="1"/>
  <c r="Y20" i="27" s="1"/>
  <c r="W20" i="27" a="1"/>
  <c r="W20" i="27" s="1"/>
  <c r="U20" i="27" a="1"/>
  <c r="U20" i="27" s="1"/>
  <c r="S20" i="27" a="1"/>
  <c r="S20" i="27" s="1"/>
  <c r="Q20" i="27" a="1"/>
  <c r="Q20" i="27" s="1"/>
  <c r="O20" i="27" a="1"/>
  <c r="O20" i="27" s="1"/>
  <c r="M20" i="27" a="1"/>
  <c r="M20" i="27" s="1"/>
  <c r="K20" i="27" a="1"/>
  <c r="K20" i="27" s="1"/>
  <c r="I20" i="27" a="1"/>
  <c r="I20" i="27" s="1"/>
  <c r="G20" i="27" a="1"/>
  <c r="G20" i="27" s="1"/>
  <c r="E20" i="27" a="1"/>
  <c r="E20" i="27" s="1"/>
  <c r="AA17" i="27" a="1"/>
  <c r="AA17" i="27" s="1"/>
  <c r="Y17" i="27" a="1"/>
  <c r="Y17" i="27" s="1"/>
  <c r="W17" i="27" a="1"/>
  <c r="W17" i="27" s="1"/>
  <c r="U17" i="27" a="1"/>
  <c r="U17" i="27" s="1"/>
  <c r="S17" i="27" a="1"/>
  <c r="S17" i="27" s="1"/>
  <c r="Q17" i="27" a="1"/>
  <c r="Q17" i="27" s="1"/>
  <c r="O17" i="27" a="1"/>
  <c r="O17" i="27" s="1"/>
  <c r="M17" i="27" a="1"/>
  <c r="M17" i="27" s="1"/>
  <c r="K17" i="27" a="1"/>
  <c r="K17" i="27" s="1"/>
  <c r="I17" i="27" a="1"/>
  <c r="I17" i="27" s="1"/>
  <c r="G17" i="27" a="1"/>
  <c r="G17" i="27" s="1"/>
  <c r="Y16" i="27" a="1"/>
  <c r="Y16" i="27" s="1"/>
  <c r="W16" i="27" a="1"/>
  <c r="W16" i="27" s="1"/>
  <c r="U16" i="27" a="1"/>
  <c r="U16" i="27" s="1"/>
  <c r="S16" i="27" a="1"/>
  <c r="S16" i="27" s="1"/>
  <c r="Q16" i="27" a="1"/>
  <c r="Q16" i="27" s="1"/>
  <c r="O16" i="27" a="1"/>
  <c r="O16" i="27" s="1"/>
  <c r="M16" i="27" a="1"/>
  <c r="M16" i="27" s="1"/>
  <c r="K16" i="27" a="1"/>
  <c r="K16" i="27" s="1"/>
  <c r="I16" i="27" a="1"/>
  <c r="I16" i="27" s="1"/>
  <c r="G16" i="27" a="1"/>
  <c r="G16" i="27" s="1"/>
  <c r="E16" i="27" a="1"/>
  <c r="E16" i="27" s="1"/>
  <c r="AA14" i="27" a="1"/>
  <c r="AA14" i="27" s="1"/>
  <c r="Y14" i="27" a="1"/>
  <c r="Y14" i="27" s="1"/>
  <c r="W14" i="27" a="1"/>
  <c r="W14" i="27" s="1"/>
  <c r="U14" i="27" a="1"/>
  <c r="U14" i="27" s="1"/>
  <c r="S14" i="27" a="1"/>
  <c r="S14" i="27" s="1"/>
  <c r="Q14" i="27" a="1"/>
  <c r="Q14" i="27" s="1"/>
  <c r="O14" i="27" a="1"/>
  <c r="O14" i="27" s="1"/>
  <c r="M14" i="27" a="1"/>
  <c r="M14" i="27" s="1"/>
  <c r="K14" i="27" a="1"/>
  <c r="K14" i="27" s="1"/>
  <c r="I14" i="27" a="1"/>
  <c r="I14" i="27" s="1"/>
  <c r="G14" i="27" a="1"/>
  <c r="G14" i="27" s="1"/>
  <c r="Y13" i="27" a="1"/>
  <c r="Y13" i="27" s="1"/>
  <c r="W13" i="27" a="1"/>
  <c r="W13" i="27" s="1"/>
  <c r="U13" i="27" a="1"/>
  <c r="U13" i="27" s="1"/>
  <c r="S13" i="27" a="1"/>
  <c r="S13" i="27" s="1"/>
  <c r="Q13" i="27" a="1"/>
  <c r="Q13" i="27" s="1"/>
  <c r="M13" i="27" a="1"/>
  <c r="M13" i="27" s="1"/>
  <c r="K13" i="27" a="1"/>
  <c r="K13" i="27" s="1"/>
  <c r="I13" i="27" a="1"/>
  <c r="I13" i="27" s="1"/>
  <c r="G13" i="27" a="1"/>
  <c r="G13" i="27" s="1"/>
  <c r="E13" i="27" a="1"/>
  <c r="E13" i="27" s="1"/>
  <c r="Y12" i="27" a="1"/>
  <c r="Y12" i="27" s="1"/>
  <c r="W12" i="27" a="1"/>
  <c r="W12" i="27" s="1"/>
  <c r="U12" i="27" a="1"/>
  <c r="U12" i="27" s="1"/>
  <c r="Q12" i="27" a="1"/>
  <c r="Q12" i="27" s="1"/>
  <c r="O12" i="27" a="1"/>
  <c r="O12" i="27" s="1"/>
  <c r="M12" i="27" a="1"/>
  <c r="M12" i="27" s="1"/>
  <c r="I12" i="27" a="1"/>
  <c r="I12" i="27" s="1"/>
  <c r="G12" i="27" a="1"/>
  <c r="G12" i="27" s="1"/>
  <c r="E12" i="27" a="1"/>
  <c r="E12" i="27" s="1"/>
  <c r="AA10" i="27" a="1"/>
  <c r="AA10" i="27" s="1"/>
  <c r="Y10" i="27" a="1"/>
  <c r="Y10" i="27" s="1"/>
  <c r="W10" i="27" a="1"/>
  <c r="W10" i="27" s="1"/>
  <c r="U10" i="27" a="1"/>
  <c r="U10" i="27" s="1"/>
  <c r="S10" i="27" a="1"/>
  <c r="S10" i="27" s="1"/>
  <c r="Q10" i="27" a="1"/>
  <c r="Q10" i="27" s="1"/>
  <c r="O10" i="27" a="1"/>
  <c r="O10" i="27" s="1"/>
  <c r="M10" i="27" a="1"/>
  <c r="M10" i="27" s="1"/>
  <c r="K10" i="27" a="1"/>
  <c r="K10" i="27" s="1"/>
  <c r="I10" i="27" a="1"/>
  <c r="I10" i="27" s="1"/>
  <c r="G10" i="27" a="1"/>
  <c r="G10" i="27" s="1"/>
  <c r="AA9" i="27" a="1"/>
  <c r="AA9" i="27" s="1"/>
  <c r="Y9" i="27" a="1"/>
  <c r="Y9" i="27" s="1"/>
  <c r="W9" i="27" a="1"/>
  <c r="W9" i="27" s="1"/>
  <c r="U9" i="27" a="1"/>
  <c r="U9" i="27" s="1"/>
  <c r="S9" i="27" a="1"/>
  <c r="S9" i="27" s="1"/>
  <c r="Q9" i="27" a="1"/>
  <c r="Q9" i="27" s="1"/>
  <c r="O9" i="27" a="1"/>
  <c r="O9" i="27" s="1"/>
  <c r="M9" i="27" a="1"/>
  <c r="M9" i="27" s="1"/>
  <c r="K9" i="27" a="1"/>
  <c r="K9" i="27" s="1"/>
  <c r="I9" i="27" a="1"/>
  <c r="I9" i="27" s="1"/>
  <c r="G9" i="27" a="1"/>
  <c r="G9" i="27" s="1"/>
  <c r="AA8" i="27" a="1"/>
  <c r="AA8" i="27" s="1"/>
  <c r="Y8" i="27" a="1"/>
  <c r="Y8" i="27" s="1"/>
  <c r="W8" i="27" a="1"/>
  <c r="W8" i="27" s="1"/>
  <c r="U8" i="27" a="1"/>
  <c r="U8" i="27" s="1"/>
  <c r="S8" i="27" a="1"/>
  <c r="S8" i="27" s="1"/>
  <c r="Q8" i="27" a="1"/>
  <c r="Q8" i="27" s="1"/>
  <c r="O8" i="27" a="1"/>
  <c r="O8" i="27" s="1"/>
  <c r="M8" i="27" a="1"/>
  <c r="M8" i="27" s="1"/>
  <c r="K8" i="27" a="1"/>
  <c r="K8" i="27" s="1"/>
  <c r="I8" i="27" a="1"/>
  <c r="I8" i="27" s="1"/>
  <c r="G8" i="27" a="1"/>
  <c r="G8" i="27" s="1"/>
  <c r="Y7" i="27" a="1"/>
  <c r="Y7" i="27" s="1"/>
  <c r="W7" i="27" a="1"/>
  <c r="W7" i="27" s="1"/>
  <c r="U7" i="27" a="1"/>
  <c r="U7" i="27" s="1"/>
  <c r="S7" i="27" a="1"/>
  <c r="S7" i="27" s="1"/>
  <c r="Q7" i="27" a="1"/>
  <c r="Q7" i="27" s="1"/>
  <c r="M7" i="27" a="1"/>
  <c r="M7" i="27" s="1"/>
  <c r="K7" i="27" a="1"/>
  <c r="K7" i="27" s="1"/>
  <c r="I7" i="27" a="1"/>
  <c r="I7" i="27" s="1"/>
  <c r="G7" i="27" a="1"/>
  <c r="G7" i="27" s="1"/>
  <c r="Y6" i="27" a="1"/>
  <c r="Y6" i="27" s="1"/>
  <c r="W6" i="27" a="1"/>
  <c r="W6" i="27" s="1"/>
  <c r="U6" i="27" a="1"/>
  <c r="U6" i="27" s="1"/>
  <c r="S6" i="27" a="1"/>
  <c r="S6" i="27" s="1"/>
  <c r="Q6" i="27" a="1"/>
  <c r="Q6" i="27" s="1"/>
  <c r="M6" i="27" a="1"/>
  <c r="M6" i="27" s="1"/>
  <c r="K6" i="27" a="1"/>
  <c r="K6" i="27" s="1"/>
  <c r="I6" i="27" a="1"/>
  <c r="I6" i="27" s="1"/>
  <c r="G6" i="27" a="1"/>
  <c r="G6" i="27" s="1"/>
  <c r="Y5" i="27" a="1"/>
  <c r="Y5" i="27" s="1"/>
  <c r="W5" i="27" a="1"/>
  <c r="W5" i="27" s="1"/>
  <c r="U5" i="27" a="1"/>
  <c r="U5" i="27" s="1"/>
  <c r="S5" i="27" a="1"/>
  <c r="S5" i="27" s="1"/>
  <c r="Q5" i="27" a="1"/>
  <c r="Q5" i="27" s="1"/>
  <c r="O5" i="27" a="1"/>
  <c r="O5" i="27" s="1"/>
  <c r="M5" i="27" a="1"/>
  <c r="M5" i="27" s="1"/>
  <c r="K5" i="27" a="1"/>
  <c r="K5" i="27" s="1"/>
  <c r="I5" i="27" a="1"/>
  <c r="I5" i="27" s="1"/>
  <c r="G5" i="27" a="1"/>
  <c r="G5" i="27" s="1"/>
  <c r="E5" i="27" a="1"/>
  <c r="E5" i="27" s="1"/>
  <c r="AA4" i="27" a="1"/>
  <c r="AA4" i="27" s="1"/>
  <c r="Y4" i="27" a="1"/>
  <c r="Y4" i="27" s="1"/>
  <c r="W4" i="27" a="1"/>
  <c r="W4" i="27" s="1"/>
  <c r="U4" i="27" a="1"/>
  <c r="U4" i="27" s="1"/>
  <c r="S4" i="27" a="1"/>
  <c r="S4" i="27" s="1"/>
  <c r="Q4" i="27" a="1"/>
  <c r="Q4" i="27" s="1"/>
  <c r="O4" i="27" a="1"/>
  <c r="O4" i="27" s="1"/>
  <c r="M4" i="27" a="1"/>
  <c r="M4" i="27" s="1"/>
  <c r="K4" i="27" a="1"/>
  <c r="K4" i="27" s="1"/>
  <c r="I4" i="27" a="1"/>
  <c r="I4" i="27" s="1"/>
  <c r="G4" i="27" a="1"/>
  <c r="G4" i="27" s="1"/>
  <c r="AA3" i="27" a="1"/>
  <c r="AA3" i="27" s="1"/>
  <c r="Y3" i="27" a="1"/>
  <c r="Y3" i="27" s="1"/>
  <c r="W3" i="27" a="1"/>
  <c r="W3" i="27" s="1"/>
  <c r="U3" i="27" a="1"/>
  <c r="U3" i="27" s="1"/>
  <c r="S3" i="27" a="1"/>
  <c r="S3" i="27" s="1"/>
  <c r="Q3" i="27" a="1"/>
  <c r="Q3" i="27" s="1"/>
  <c r="O3" i="27" a="1"/>
  <c r="O3" i="27" s="1"/>
  <c r="M3" i="27" a="1"/>
  <c r="M3" i="27" s="1"/>
  <c r="K3" i="27" a="1"/>
  <c r="K3" i="27" s="1"/>
  <c r="I3" i="27" a="1"/>
  <c r="I3" i="27" s="1"/>
  <c r="G3" i="27" a="1"/>
  <c r="G3" i="27" s="1"/>
  <c r="Y28" i="26" a="1"/>
  <c r="Y28" i="26" s="1"/>
  <c r="W28" i="26" a="1"/>
  <c r="W28" i="26" s="1"/>
  <c r="U28" i="26" a="1"/>
  <c r="U28" i="26" s="1"/>
  <c r="S28" i="26" a="1"/>
  <c r="S28" i="26" s="1"/>
  <c r="Q28" i="26" a="1"/>
  <c r="Q28" i="26" s="1"/>
  <c r="O28" i="26" a="1"/>
  <c r="O28" i="26" s="1"/>
  <c r="M28" i="26" a="1"/>
  <c r="M28" i="26" s="1"/>
  <c r="K28" i="26" a="1"/>
  <c r="K28" i="26" s="1"/>
  <c r="I28" i="26" a="1"/>
  <c r="I28" i="26" s="1"/>
  <c r="G28" i="26" a="1"/>
  <c r="G28" i="26" s="1"/>
  <c r="E28" i="26" a="1"/>
  <c r="E28" i="26" s="1"/>
  <c r="AA26" i="26" a="1"/>
  <c r="AA26" i="26" s="1"/>
  <c r="Y26" i="26" a="1"/>
  <c r="Y26" i="26" s="1"/>
  <c r="W26" i="26" a="1"/>
  <c r="W26" i="26" s="1"/>
  <c r="U26" i="26" a="1"/>
  <c r="U26" i="26" s="1"/>
  <c r="S26" i="26" a="1"/>
  <c r="S26" i="26" s="1"/>
  <c r="Q26" i="26" a="1"/>
  <c r="Q26" i="26" s="1"/>
  <c r="O26" i="26" a="1"/>
  <c r="O26" i="26" s="1"/>
  <c r="M26" i="26" a="1"/>
  <c r="M26" i="26" s="1"/>
  <c r="K26" i="26" a="1"/>
  <c r="K26" i="26" s="1"/>
  <c r="I26" i="26" a="1"/>
  <c r="I26" i="26" s="1"/>
  <c r="G26" i="26" a="1"/>
  <c r="G26" i="26" s="1"/>
  <c r="Y24" i="26" a="1"/>
  <c r="Y24" i="26" s="1"/>
  <c r="W24" i="26" a="1"/>
  <c r="W24" i="26" s="1"/>
  <c r="U24" i="26" a="1"/>
  <c r="U24" i="26" s="1"/>
  <c r="S24" i="26" a="1"/>
  <c r="S24" i="26" s="1"/>
  <c r="Q24" i="26" a="1"/>
  <c r="Q24" i="26" s="1"/>
  <c r="O24" i="26" a="1"/>
  <c r="O24" i="26" s="1"/>
  <c r="M24" i="26" a="1"/>
  <c r="M24" i="26" s="1"/>
  <c r="K24" i="26" a="1"/>
  <c r="K24" i="26" s="1"/>
  <c r="I24" i="26" a="1"/>
  <c r="I24" i="26" s="1"/>
  <c r="G24" i="26" a="1"/>
  <c r="G24" i="26" s="1"/>
  <c r="E24" i="26" a="1"/>
  <c r="E24" i="26" s="1"/>
  <c r="AA22" i="26" a="1"/>
  <c r="AA22" i="26" s="1"/>
  <c r="Y22" i="26" a="1"/>
  <c r="Y22" i="26" s="1"/>
  <c r="W22" i="26" a="1"/>
  <c r="W22" i="26" s="1"/>
  <c r="U22" i="26" a="1"/>
  <c r="U22" i="26" s="1"/>
  <c r="S22" i="26" a="1"/>
  <c r="S22" i="26" s="1"/>
  <c r="Q22" i="26" a="1"/>
  <c r="Q22" i="26" s="1"/>
  <c r="O22" i="26" a="1"/>
  <c r="O22" i="26" s="1"/>
  <c r="M22" i="26" a="1"/>
  <c r="M22" i="26" s="1"/>
  <c r="K22" i="26" a="1"/>
  <c r="K22" i="26" s="1"/>
  <c r="I22" i="26" a="1"/>
  <c r="I22" i="26" s="1"/>
  <c r="G22" i="26" a="1"/>
  <c r="G22" i="26" s="1"/>
  <c r="Y21" i="26" a="1"/>
  <c r="Y21" i="26" s="1"/>
  <c r="W21" i="26" a="1"/>
  <c r="W21" i="26" s="1"/>
  <c r="U21" i="26" a="1"/>
  <c r="U21" i="26" s="1"/>
  <c r="S21" i="26" a="1"/>
  <c r="S21" i="26" s="1"/>
  <c r="Q21" i="26" a="1"/>
  <c r="Q21" i="26" s="1"/>
  <c r="O21" i="26" a="1"/>
  <c r="O21" i="26" s="1"/>
  <c r="M21" i="26" a="1"/>
  <c r="M21" i="26" s="1"/>
  <c r="K21" i="26" a="1"/>
  <c r="K21" i="26" s="1"/>
  <c r="I21" i="26" a="1"/>
  <c r="I21" i="26" s="1"/>
  <c r="G21" i="26" a="1"/>
  <c r="G21" i="26" s="1"/>
  <c r="E21" i="26" a="1"/>
  <c r="E21" i="26" s="1"/>
  <c r="AA20" i="26" a="1"/>
  <c r="AA20" i="26" s="1"/>
  <c r="Y20" i="26" a="1"/>
  <c r="Y20" i="26" s="1"/>
  <c r="U20" i="26" a="1"/>
  <c r="U20" i="26" s="1"/>
  <c r="S20" i="26" a="1"/>
  <c r="S20" i="26" s="1"/>
  <c r="O20" i="26" a="1"/>
  <c r="O20" i="26" s="1"/>
  <c r="M20" i="26" a="1"/>
  <c r="M20" i="26" s="1"/>
  <c r="I20" i="26" a="1"/>
  <c r="I20" i="26" s="1"/>
  <c r="G20" i="26" a="1"/>
  <c r="G20" i="26" s="1"/>
  <c r="E20" i="26" a="1"/>
  <c r="E20" i="26" s="1"/>
  <c r="AA19" i="26" a="1"/>
  <c r="AA19" i="26" s="1"/>
  <c r="Y19" i="26" a="1"/>
  <c r="Y19" i="26" s="1"/>
  <c r="W19" i="26" a="1"/>
  <c r="W19" i="26" s="1"/>
  <c r="U19" i="26" a="1"/>
  <c r="U19" i="26" s="1"/>
  <c r="S19" i="26" a="1"/>
  <c r="S19" i="26" s="1"/>
  <c r="Q19" i="26" a="1"/>
  <c r="Q19" i="26" s="1"/>
  <c r="O19" i="26" a="1"/>
  <c r="O19" i="26" s="1"/>
  <c r="M19" i="26" a="1"/>
  <c r="M19" i="26" s="1"/>
  <c r="K19" i="26" a="1"/>
  <c r="K19" i="26" s="1"/>
  <c r="I19" i="26" a="1"/>
  <c r="I19" i="26" s="1"/>
  <c r="G19" i="26" a="1"/>
  <c r="G19" i="26" s="1"/>
  <c r="Y18" i="26" a="1"/>
  <c r="Y18" i="26" s="1"/>
  <c r="W18" i="26" a="1"/>
  <c r="W18" i="26" s="1"/>
  <c r="U18" i="26" a="1"/>
  <c r="U18" i="26" s="1"/>
  <c r="S18" i="26" a="1"/>
  <c r="S18" i="26" s="1"/>
  <c r="Q18" i="26" a="1"/>
  <c r="Q18" i="26" s="1"/>
  <c r="O18" i="26" a="1"/>
  <c r="O18" i="26" s="1"/>
  <c r="M18" i="26" a="1"/>
  <c r="M18" i="26" s="1"/>
  <c r="K18" i="26" a="1"/>
  <c r="K18" i="26" s="1"/>
  <c r="I18" i="26" a="1"/>
  <c r="I18" i="26" s="1"/>
  <c r="G18" i="26" a="1"/>
  <c r="G18" i="26" s="1"/>
  <c r="Y17" i="26" a="1"/>
  <c r="Y17" i="26" s="1"/>
  <c r="W17" i="26" a="1"/>
  <c r="W17" i="26" s="1"/>
  <c r="U17" i="26" a="1"/>
  <c r="U17" i="26" s="1"/>
  <c r="S17" i="26" a="1"/>
  <c r="S17" i="26" s="1"/>
  <c r="Q17" i="26" a="1"/>
  <c r="Q17" i="26" s="1"/>
  <c r="O17" i="26" a="1"/>
  <c r="O17" i="26" s="1"/>
  <c r="M17" i="26" a="1"/>
  <c r="M17" i="26" s="1"/>
  <c r="K17" i="26" a="1"/>
  <c r="K17" i="26" s="1"/>
  <c r="I17" i="26" a="1"/>
  <c r="I17" i="26" s="1"/>
  <c r="G17" i="26" a="1"/>
  <c r="G17" i="26" s="1"/>
  <c r="Y15" i="26" a="1"/>
  <c r="Y15" i="26" s="1"/>
  <c r="W15" i="26" a="1"/>
  <c r="W15" i="26" s="1"/>
  <c r="S15" i="26" a="1"/>
  <c r="S15" i="26" s="1"/>
  <c r="Q15" i="26" a="1"/>
  <c r="Q15" i="26" s="1"/>
  <c r="M15" i="26" a="1"/>
  <c r="M15" i="26" s="1"/>
  <c r="K15" i="26" a="1"/>
  <c r="K15" i="26" s="1"/>
  <c r="G15" i="26" a="1"/>
  <c r="G15" i="26" s="1"/>
  <c r="E15" i="26" a="1"/>
  <c r="E15" i="26" s="1"/>
  <c r="AA14" i="26" a="1"/>
  <c r="AA14" i="26" s="1"/>
  <c r="Y14" i="26" a="1"/>
  <c r="Y14" i="26" s="1"/>
  <c r="W14" i="26" a="1"/>
  <c r="W14" i="26" s="1"/>
  <c r="U14" i="26" a="1"/>
  <c r="U14" i="26" s="1"/>
  <c r="S14" i="26" a="1"/>
  <c r="S14" i="26" s="1"/>
  <c r="Q14" i="26" a="1"/>
  <c r="Q14" i="26" s="1"/>
  <c r="O14" i="26" a="1"/>
  <c r="O14" i="26" s="1"/>
  <c r="M14" i="26" a="1"/>
  <c r="M14" i="26" s="1"/>
  <c r="K14" i="26" a="1"/>
  <c r="K14" i="26" s="1"/>
  <c r="I14" i="26" a="1"/>
  <c r="I14" i="26" s="1"/>
  <c r="G14" i="26" a="1"/>
  <c r="G14" i="26" s="1"/>
  <c r="AA12" i="26" a="1"/>
  <c r="AA12" i="26" s="1"/>
  <c r="Y12" i="26" a="1"/>
  <c r="Y12" i="26" s="1"/>
  <c r="W12" i="26" a="1"/>
  <c r="W12" i="26" s="1"/>
  <c r="U12" i="26" a="1"/>
  <c r="U12" i="26" s="1"/>
  <c r="S12" i="26" a="1"/>
  <c r="S12" i="26" s="1"/>
  <c r="Q12" i="26" a="1"/>
  <c r="Q12" i="26" s="1"/>
  <c r="O12" i="26" a="1"/>
  <c r="O12" i="26" s="1"/>
  <c r="M12" i="26" a="1"/>
  <c r="M12" i="26" s="1"/>
  <c r="K12" i="26" a="1"/>
  <c r="K12" i="26" s="1"/>
  <c r="I12" i="26" a="1"/>
  <c r="I12" i="26" s="1"/>
  <c r="G12" i="26" a="1"/>
  <c r="G12" i="26" s="1"/>
  <c r="AA9" i="26" a="1"/>
  <c r="AA9" i="26" s="1"/>
  <c r="Y9" i="26" a="1"/>
  <c r="Y9" i="26" s="1"/>
  <c r="W9" i="26" a="1"/>
  <c r="W9" i="26" s="1"/>
  <c r="U9" i="26" a="1"/>
  <c r="U9" i="26" s="1"/>
  <c r="S9" i="26" a="1"/>
  <c r="S9" i="26" s="1"/>
  <c r="Q9" i="26" a="1"/>
  <c r="Q9" i="26" s="1"/>
  <c r="O9" i="26" a="1"/>
  <c r="O9" i="26" s="1"/>
  <c r="M9" i="26" a="1"/>
  <c r="M9" i="26" s="1"/>
  <c r="K9" i="26" a="1"/>
  <c r="K9" i="26" s="1"/>
  <c r="I9" i="26" a="1"/>
  <c r="I9" i="26" s="1"/>
  <c r="G9" i="26" a="1"/>
  <c r="G9" i="26" s="1"/>
  <c r="AA8" i="26" a="1"/>
  <c r="AA8" i="26" s="1"/>
  <c r="Y8" i="26" a="1"/>
  <c r="Y8" i="26" s="1"/>
  <c r="W8" i="26" a="1"/>
  <c r="W8" i="26" s="1"/>
  <c r="U8" i="26" a="1"/>
  <c r="U8" i="26" s="1"/>
  <c r="S8" i="26" a="1"/>
  <c r="S8" i="26" s="1"/>
  <c r="Q8" i="26" a="1"/>
  <c r="Q8" i="26" s="1"/>
  <c r="O8" i="26" a="1"/>
  <c r="O8" i="26" s="1"/>
  <c r="M8" i="26" a="1"/>
  <c r="M8" i="26" s="1"/>
  <c r="K8" i="26" a="1"/>
  <c r="K8" i="26" s="1"/>
  <c r="I8" i="26" a="1"/>
  <c r="I8" i="26" s="1"/>
  <c r="G8" i="26" a="1"/>
  <c r="G8" i="26" s="1"/>
  <c r="Y7" i="26" a="1"/>
  <c r="Y7" i="26" s="1"/>
  <c r="W7" i="26" a="1"/>
  <c r="W7" i="26" s="1"/>
  <c r="U7" i="26" a="1"/>
  <c r="U7" i="26" s="1"/>
  <c r="S7" i="26" a="1"/>
  <c r="S7" i="26" s="1"/>
  <c r="Q7" i="26" a="1"/>
  <c r="Q7" i="26" s="1"/>
  <c r="M7" i="26" a="1"/>
  <c r="M7" i="26" s="1"/>
  <c r="K7" i="26" a="1"/>
  <c r="K7" i="26" s="1"/>
  <c r="I7" i="26" a="1"/>
  <c r="I7" i="26" s="1"/>
  <c r="G7" i="26" a="1"/>
  <c r="G7" i="26" s="1"/>
  <c r="E7" i="26" a="1"/>
  <c r="E7" i="26" s="1"/>
  <c r="AA6" i="26" a="1"/>
  <c r="AA6" i="26" s="1"/>
  <c r="Y6" i="26" a="1"/>
  <c r="Y6" i="26" s="1"/>
  <c r="W6" i="26" a="1"/>
  <c r="W6" i="26" s="1"/>
  <c r="U6" i="26" a="1"/>
  <c r="U6" i="26" s="1"/>
  <c r="S6" i="26" a="1"/>
  <c r="S6" i="26" s="1"/>
  <c r="Q6" i="26" a="1"/>
  <c r="Q6" i="26" s="1"/>
  <c r="O6" i="26" a="1"/>
  <c r="O6" i="26" s="1"/>
  <c r="M6" i="26" a="1"/>
  <c r="M6" i="26" s="1"/>
  <c r="K6" i="26" a="1"/>
  <c r="K6" i="26" s="1"/>
  <c r="I6" i="26" a="1"/>
  <c r="I6" i="26" s="1"/>
  <c r="G6" i="26" a="1"/>
  <c r="G6" i="26" s="1"/>
  <c r="Y5" i="26" a="1"/>
  <c r="Y5" i="26" s="1"/>
  <c r="W5" i="26" a="1"/>
  <c r="W5" i="26" s="1"/>
  <c r="U5" i="26" a="1"/>
  <c r="U5" i="26" s="1"/>
  <c r="S5" i="26" a="1"/>
  <c r="S5" i="26" s="1"/>
  <c r="Q5" i="26" a="1"/>
  <c r="Q5" i="26" s="1"/>
  <c r="O5" i="26" a="1"/>
  <c r="O5" i="26" s="1"/>
  <c r="M5" i="26" a="1"/>
  <c r="M5" i="26" s="1"/>
  <c r="K5" i="26" a="1"/>
  <c r="K5" i="26" s="1"/>
  <c r="I5" i="26" a="1"/>
  <c r="I5" i="26" s="1"/>
  <c r="G5" i="26" a="1"/>
  <c r="G5" i="26" s="1"/>
  <c r="E5" i="26" a="1"/>
  <c r="E5" i="26" s="1"/>
  <c r="AA4" i="26" a="1"/>
  <c r="AA4" i="26" s="1"/>
  <c r="Y4" i="26" a="1"/>
  <c r="Y4" i="26" s="1"/>
  <c r="W4" i="26" a="1"/>
  <c r="W4" i="26" s="1"/>
  <c r="U4" i="26" a="1"/>
  <c r="U4" i="26" s="1"/>
  <c r="S4" i="26" a="1"/>
  <c r="S4" i="26" s="1"/>
  <c r="Q4" i="26" a="1"/>
  <c r="Q4" i="26" s="1"/>
  <c r="O4" i="26" a="1"/>
  <c r="O4" i="26" s="1"/>
  <c r="M4" i="26" a="1"/>
  <c r="M4" i="26" s="1"/>
  <c r="K4" i="26" a="1"/>
  <c r="K4" i="26" s="1"/>
  <c r="I4" i="26" a="1"/>
  <c r="I4" i="26" s="1"/>
  <c r="G4" i="26" a="1"/>
  <c r="G4" i="26" s="1"/>
  <c r="AA3" i="26" a="1"/>
  <c r="AA3" i="26" s="1"/>
  <c r="Y3" i="26" a="1"/>
  <c r="Y3" i="26" s="1"/>
  <c r="W3" i="26" a="1"/>
  <c r="W3" i="26" s="1"/>
  <c r="U3" i="26" a="1"/>
  <c r="U3" i="26" s="1"/>
  <c r="S3" i="26" a="1"/>
  <c r="S3" i="26" s="1"/>
  <c r="Q3" i="26" a="1"/>
  <c r="Q3" i="26" s="1"/>
  <c r="O3" i="26" a="1"/>
  <c r="O3" i="26" s="1"/>
  <c r="M3" i="26" a="1"/>
  <c r="M3" i="26" s="1"/>
  <c r="K3" i="26" a="1"/>
  <c r="K3" i="26" s="1"/>
  <c r="I3" i="26" a="1"/>
  <c r="I3" i="26" s="1"/>
  <c r="G3" i="26" a="1"/>
  <c r="G3" i="26" s="1"/>
  <c r="Y27" i="25" a="1"/>
  <c r="Y27" i="25" s="1"/>
  <c r="W27" i="25" a="1"/>
  <c r="W27" i="25" s="1"/>
  <c r="U27" i="25" a="1"/>
  <c r="U27" i="25" s="1"/>
  <c r="S27" i="25" a="1"/>
  <c r="S27" i="25" s="1"/>
  <c r="Q27" i="25" a="1"/>
  <c r="Q27" i="25" s="1"/>
  <c r="M27" i="25" a="1"/>
  <c r="M27" i="25" s="1"/>
  <c r="K27" i="25" a="1"/>
  <c r="K27" i="25" s="1"/>
  <c r="I27" i="25" a="1"/>
  <c r="I27" i="25" s="1"/>
  <c r="G27" i="25" a="1"/>
  <c r="G27" i="25" s="1"/>
  <c r="E27" i="25" a="1"/>
  <c r="E27" i="25" s="1"/>
  <c r="AA22" i="25" a="1"/>
  <c r="AA22" i="25" s="1"/>
  <c r="Y22" i="25" a="1"/>
  <c r="Y22" i="25" s="1"/>
  <c r="W22" i="25" a="1"/>
  <c r="W22" i="25" s="1"/>
  <c r="U22" i="25" a="1"/>
  <c r="U22" i="25" s="1"/>
  <c r="S22" i="25" a="1"/>
  <c r="S22" i="25" s="1"/>
  <c r="Q22" i="25" a="1"/>
  <c r="Q22" i="25" s="1"/>
  <c r="O22" i="25" a="1"/>
  <c r="O22" i="25" s="1"/>
  <c r="M22" i="25" a="1"/>
  <c r="M22" i="25" s="1"/>
  <c r="K22" i="25" a="1"/>
  <c r="K22" i="25" s="1"/>
  <c r="I22" i="25" a="1"/>
  <c r="I22" i="25" s="1"/>
  <c r="G22" i="25" a="1"/>
  <c r="G22" i="25" s="1"/>
  <c r="Y21" i="25" a="1"/>
  <c r="Y21" i="25" s="1"/>
  <c r="W21" i="25" a="1"/>
  <c r="W21" i="25" s="1"/>
  <c r="U21" i="25" a="1"/>
  <c r="U21" i="25" s="1"/>
  <c r="S21" i="25" a="1"/>
  <c r="S21" i="25" s="1"/>
  <c r="Q21" i="25" a="1"/>
  <c r="Q21" i="25" s="1"/>
  <c r="O21" i="25" a="1"/>
  <c r="O21" i="25" s="1"/>
  <c r="M21" i="25" a="1"/>
  <c r="M21" i="25" s="1"/>
  <c r="K21" i="25" a="1"/>
  <c r="K21" i="25" s="1"/>
  <c r="I21" i="25" a="1"/>
  <c r="I21" i="25" s="1"/>
  <c r="G21" i="25" a="1"/>
  <c r="G21" i="25" s="1"/>
  <c r="E21" i="25" a="1"/>
  <c r="E21" i="25" s="1"/>
  <c r="AA20" i="25" a="1"/>
  <c r="AA20" i="25" s="1"/>
  <c r="Y20" i="25" a="1"/>
  <c r="Y20" i="25" s="1"/>
  <c r="U20" i="25" a="1"/>
  <c r="U20" i="25" s="1"/>
  <c r="S20" i="25" a="1"/>
  <c r="S20" i="25" s="1"/>
  <c r="O20" i="25" a="1"/>
  <c r="O20" i="25" s="1"/>
  <c r="M20" i="25" a="1"/>
  <c r="M20" i="25" s="1"/>
  <c r="I20" i="25" a="1"/>
  <c r="I20" i="25" s="1"/>
  <c r="G20" i="25" a="1"/>
  <c r="G20" i="25" s="1"/>
  <c r="E20" i="25" a="1"/>
  <c r="E20" i="25" s="1"/>
  <c r="AA19" i="25" a="1"/>
  <c r="AA19" i="25" s="1"/>
  <c r="Y19" i="25" a="1"/>
  <c r="Y19" i="25" s="1"/>
  <c r="W19" i="25" a="1"/>
  <c r="W19" i="25" s="1"/>
  <c r="U19" i="25" a="1"/>
  <c r="U19" i="25" s="1"/>
  <c r="S19" i="25" a="1"/>
  <c r="S19" i="25" s="1"/>
  <c r="Q19" i="25" a="1"/>
  <c r="Q19" i="25" s="1"/>
  <c r="O19" i="25" a="1"/>
  <c r="O19" i="25" s="1"/>
  <c r="M19" i="25" a="1"/>
  <c r="M19" i="25" s="1"/>
  <c r="K19" i="25" a="1"/>
  <c r="K19" i="25" s="1"/>
  <c r="I19" i="25" a="1"/>
  <c r="I19" i="25" s="1"/>
  <c r="G19" i="25" a="1"/>
  <c r="G19" i="25" s="1"/>
  <c r="Y18" i="25" a="1"/>
  <c r="Y18" i="25" s="1"/>
  <c r="W18" i="25" a="1"/>
  <c r="W18" i="25" s="1"/>
  <c r="U18" i="25" a="1"/>
  <c r="U18" i="25" s="1"/>
  <c r="S18" i="25" a="1"/>
  <c r="S18" i="25" s="1"/>
  <c r="Q18" i="25" a="1"/>
  <c r="Q18" i="25" s="1"/>
  <c r="M18" i="25" a="1"/>
  <c r="M18" i="25" s="1"/>
  <c r="K18" i="25" a="1"/>
  <c r="K18" i="25" s="1"/>
  <c r="I18" i="25" a="1"/>
  <c r="I18" i="25" s="1"/>
  <c r="G18" i="25" a="1"/>
  <c r="G18" i="25" s="1"/>
  <c r="E18" i="25" a="1"/>
  <c r="E18" i="25" s="1"/>
  <c r="AA17" i="25" a="1"/>
  <c r="AA17" i="25" s="1"/>
  <c r="Y17" i="25" a="1"/>
  <c r="Y17" i="25" s="1"/>
  <c r="W17" i="25" a="1"/>
  <c r="W17" i="25" s="1"/>
  <c r="U17" i="25" a="1"/>
  <c r="U17" i="25" s="1"/>
  <c r="S17" i="25" a="1"/>
  <c r="S17" i="25" s="1"/>
  <c r="Q17" i="25" a="1"/>
  <c r="Q17" i="25" s="1"/>
  <c r="O17" i="25" a="1"/>
  <c r="O17" i="25" s="1"/>
  <c r="M17" i="25" a="1"/>
  <c r="M17" i="25" s="1"/>
  <c r="K17" i="25" a="1"/>
  <c r="K17" i="25" s="1"/>
  <c r="I17" i="25" a="1"/>
  <c r="I17" i="25" s="1"/>
  <c r="G17" i="25" a="1"/>
  <c r="G17" i="25" s="1"/>
  <c r="AA15" i="25" a="1"/>
  <c r="AA15" i="25" s="1"/>
  <c r="Y15" i="25" a="1"/>
  <c r="Y15" i="25" s="1"/>
  <c r="W15" i="25" a="1"/>
  <c r="W15" i="25" s="1"/>
  <c r="U15" i="25" a="1"/>
  <c r="U15" i="25" s="1"/>
  <c r="S15" i="25" a="1"/>
  <c r="S15" i="25" s="1"/>
  <c r="Q15" i="25" a="1"/>
  <c r="Q15" i="25" s="1"/>
  <c r="O15" i="25" a="1"/>
  <c r="O15" i="25" s="1"/>
  <c r="M15" i="25" a="1"/>
  <c r="M15" i="25" s="1"/>
  <c r="K15" i="25" a="1"/>
  <c r="K15" i="25" s="1"/>
  <c r="I15" i="25" a="1"/>
  <c r="I15" i="25" s="1"/>
  <c r="G15" i="25" a="1"/>
  <c r="G15" i="25" s="1"/>
  <c r="AA13" i="25" a="1"/>
  <c r="AA13" i="25" s="1"/>
  <c r="Y13" i="25" a="1"/>
  <c r="Y13" i="25" s="1"/>
  <c r="W13" i="25" a="1"/>
  <c r="W13" i="25" s="1"/>
  <c r="U13" i="25" a="1"/>
  <c r="U13" i="25" s="1"/>
  <c r="S13" i="25" a="1"/>
  <c r="S13" i="25" s="1"/>
  <c r="Q13" i="25" a="1"/>
  <c r="Q13" i="25" s="1"/>
  <c r="O13" i="25" a="1"/>
  <c r="O13" i="25" s="1"/>
  <c r="M13" i="25" a="1"/>
  <c r="M13" i="25" s="1"/>
  <c r="K13" i="25" a="1"/>
  <c r="K13" i="25" s="1"/>
  <c r="I13" i="25" a="1"/>
  <c r="I13" i="25" s="1"/>
  <c r="G13" i="25" a="1"/>
  <c r="G13" i="25" s="1"/>
  <c r="Y12" i="25" a="1"/>
  <c r="Y12" i="25" s="1"/>
  <c r="W12" i="25" a="1"/>
  <c r="W12" i="25" s="1"/>
  <c r="U12" i="25" a="1"/>
  <c r="U12" i="25" s="1"/>
  <c r="S12" i="25" a="1"/>
  <c r="S12" i="25" s="1"/>
  <c r="Q12" i="25" a="1"/>
  <c r="Q12" i="25" s="1"/>
  <c r="O12" i="25" a="1"/>
  <c r="O12" i="25" s="1"/>
  <c r="M12" i="25" a="1"/>
  <c r="M12" i="25" s="1"/>
  <c r="K12" i="25" a="1"/>
  <c r="K12" i="25" s="1"/>
  <c r="I12" i="25" a="1"/>
  <c r="I12" i="25" s="1"/>
  <c r="G12" i="25" a="1"/>
  <c r="G12" i="25" s="1"/>
  <c r="E12" i="25" a="1"/>
  <c r="E12" i="25" s="1"/>
  <c r="Y11" i="25" a="1"/>
  <c r="Y11" i="25" s="1"/>
  <c r="W11" i="25" a="1"/>
  <c r="W11" i="25" s="1"/>
  <c r="U11" i="25" a="1"/>
  <c r="U11" i="25" s="1"/>
  <c r="S11" i="25" a="1"/>
  <c r="S11" i="25" s="1"/>
  <c r="Q11" i="25" a="1"/>
  <c r="Q11" i="25" s="1"/>
  <c r="M11" i="25" a="1"/>
  <c r="M11" i="25" s="1"/>
  <c r="K11" i="25" a="1"/>
  <c r="K11" i="25" s="1"/>
  <c r="I11" i="25" a="1"/>
  <c r="I11" i="25" s="1"/>
  <c r="G11" i="25" a="1"/>
  <c r="G11" i="25" s="1"/>
  <c r="E11" i="25" a="1"/>
  <c r="E11" i="25" s="1"/>
  <c r="AA10" i="25" a="1"/>
  <c r="AA10" i="25" s="1"/>
  <c r="Y10" i="25" a="1"/>
  <c r="Y10" i="25" s="1"/>
  <c r="W10" i="25" a="1"/>
  <c r="W10" i="25" s="1"/>
  <c r="U10" i="25" a="1"/>
  <c r="U10" i="25" s="1"/>
  <c r="S10" i="25" a="1"/>
  <c r="S10" i="25" s="1"/>
  <c r="Q10" i="25" a="1"/>
  <c r="Q10" i="25" s="1"/>
  <c r="O10" i="25" a="1"/>
  <c r="O10" i="25" s="1"/>
  <c r="M10" i="25" a="1"/>
  <c r="M10" i="25" s="1"/>
  <c r="K10" i="25" a="1"/>
  <c r="K10" i="25" s="1"/>
  <c r="I10" i="25" a="1"/>
  <c r="I10" i="25" s="1"/>
  <c r="G10" i="25" a="1"/>
  <c r="G10" i="25" s="1"/>
  <c r="AA8" i="25" a="1"/>
  <c r="AA8" i="25" s="1"/>
  <c r="Y8" i="25" a="1"/>
  <c r="Y8" i="25" s="1"/>
  <c r="W8" i="25" a="1"/>
  <c r="W8" i="25" s="1"/>
  <c r="U8" i="25" a="1"/>
  <c r="U8" i="25" s="1"/>
  <c r="S8" i="25" a="1"/>
  <c r="S8" i="25" s="1"/>
  <c r="Q8" i="25" a="1"/>
  <c r="Q8" i="25" s="1"/>
  <c r="O8" i="25" a="1"/>
  <c r="O8" i="25" s="1"/>
  <c r="M8" i="25" a="1"/>
  <c r="M8" i="25" s="1"/>
  <c r="K8" i="25" a="1"/>
  <c r="K8" i="25" s="1"/>
  <c r="I8" i="25" a="1"/>
  <c r="I8" i="25" s="1"/>
  <c r="G8" i="25" a="1"/>
  <c r="G8" i="25" s="1"/>
  <c r="Y7" i="25" a="1"/>
  <c r="Y7" i="25" s="1"/>
  <c r="W7" i="25" a="1"/>
  <c r="W7" i="25" s="1"/>
  <c r="U7" i="25" a="1"/>
  <c r="U7" i="25" s="1"/>
  <c r="S7" i="25" a="1"/>
  <c r="S7" i="25" s="1"/>
  <c r="Q7" i="25" a="1"/>
  <c r="Q7" i="25" s="1"/>
  <c r="M7" i="25" a="1"/>
  <c r="M7" i="25" s="1"/>
  <c r="K7" i="25" a="1"/>
  <c r="K7" i="25" s="1"/>
  <c r="I7" i="25" a="1"/>
  <c r="I7" i="25" s="1"/>
  <c r="G7" i="25" a="1"/>
  <c r="G7" i="25" s="1"/>
  <c r="Y6" i="25" a="1"/>
  <c r="Y6" i="25" s="1"/>
  <c r="W6" i="25" a="1"/>
  <c r="W6" i="25" s="1"/>
  <c r="U6" i="25" a="1"/>
  <c r="U6" i="25" s="1"/>
  <c r="S6" i="25" a="1"/>
  <c r="S6" i="25" s="1"/>
  <c r="Q6" i="25" a="1"/>
  <c r="Q6" i="25" s="1"/>
  <c r="M6" i="25" a="1"/>
  <c r="M6" i="25" s="1"/>
  <c r="K6" i="25" a="1"/>
  <c r="K6" i="25" s="1"/>
  <c r="I6" i="25" a="1"/>
  <c r="I6" i="25" s="1"/>
  <c r="G6" i="25" a="1"/>
  <c r="G6" i="25" s="1"/>
  <c r="Y5" i="25" a="1"/>
  <c r="Y5" i="25" s="1"/>
  <c r="W5" i="25" a="1"/>
  <c r="W5" i="25" s="1"/>
  <c r="U5" i="25" a="1"/>
  <c r="U5" i="25" s="1"/>
  <c r="S5" i="25" a="1"/>
  <c r="S5" i="25" s="1"/>
  <c r="Q5" i="25" a="1"/>
  <c r="Q5" i="25" s="1"/>
  <c r="O5" i="25" a="1"/>
  <c r="O5" i="25" s="1"/>
  <c r="M5" i="25" a="1"/>
  <c r="M5" i="25" s="1"/>
  <c r="K5" i="25" a="1"/>
  <c r="K5" i="25" s="1"/>
  <c r="I5" i="25" a="1"/>
  <c r="I5" i="25" s="1"/>
  <c r="G5" i="25" a="1"/>
  <c r="G5" i="25" s="1"/>
  <c r="E5" i="25" a="1"/>
  <c r="E5" i="25" s="1"/>
  <c r="AA4" i="25" a="1"/>
  <c r="AA4" i="25" s="1"/>
  <c r="Y4" i="25" a="1"/>
  <c r="Y4" i="25" s="1"/>
  <c r="W4" i="25" a="1"/>
  <c r="W4" i="25" s="1"/>
  <c r="U4" i="25" a="1"/>
  <c r="U4" i="25" s="1"/>
  <c r="S4" i="25" a="1"/>
  <c r="S4" i="25" s="1"/>
  <c r="Q4" i="25" a="1"/>
  <c r="Q4" i="25" s="1"/>
  <c r="O4" i="25" a="1"/>
  <c r="O4" i="25" s="1"/>
  <c r="M4" i="25" a="1"/>
  <c r="M4" i="25" s="1"/>
  <c r="K4" i="25" a="1"/>
  <c r="K4" i="25" s="1"/>
  <c r="I4" i="25" a="1"/>
  <c r="I4" i="25" s="1"/>
  <c r="G4" i="25" a="1"/>
  <c r="G4" i="25" s="1"/>
  <c r="AA3" i="25" a="1"/>
  <c r="AA3" i="25" s="1"/>
  <c r="Y3" i="25" a="1"/>
  <c r="Y3" i="25" s="1"/>
  <c r="W3" i="25" a="1"/>
  <c r="W3" i="25" s="1"/>
  <c r="U3" i="25" a="1"/>
  <c r="U3" i="25" s="1"/>
  <c r="S3" i="25" a="1"/>
  <c r="S3" i="25" s="1"/>
  <c r="Q3" i="25" a="1"/>
  <c r="Q3" i="25" s="1"/>
  <c r="O3" i="25" a="1"/>
  <c r="O3" i="25" s="1"/>
  <c r="M3" i="25" a="1"/>
  <c r="M3" i="25" s="1"/>
  <c r="K3" i="25" a="1"/>
  <c r="K3" i="25" s="1"/>
  <c r="I3" i="25" a="1"/>
  <c r="I3" i="25" s="1"/>
  <c r="G3" i="25" a="1"/>
  <c r="G3" i="25" s="1"/>
  <c r="Y26" i="24" a="1"/>
  <c r="Y26" i="24" s="1"/>
  <c r="W26" i="24" a="1"/>
  <c r="W26" i="24" s="1"/>
  <c r="U26" i="24" a="1"/>
  <c r="U26" i="24" s="1"/>
  <c r="S26" i="24" a="1"/>
  <c r="S26" i="24" s="1"/>
  <c r="Q26" i="24" a="1"/>
  <c r="Q26" i="24" s="1"/>
  <c r="O26" i="24" a="1"/>
  <c r="O26" i="24" s="1"/>
  <c r="M26" i="24" a="1"/>
  <c r="M26" i="24" s="1"/>
  <c r="K26" i="24" a="1"/>
  <c r="K26" i="24" s="1"/>
  <c r="I26" i="24" a="1"/>
  <c r="I26" i="24" s="1"/>
  <c r="G26" i="24" a="1"/>
  <c r="G26" i="24" s="1"/>
  <c r="E26" i="24" a="1"/>
  <c r="E26" i="24" s="1"/>
  <c r="Y23" i="24" a="1"/>
  <c r="Y23" i="24" s="1"/>
  <c r="W23" i="24" a="1"/>
  <c r="W23" i="24" s="1"/>
  <c r="U23" i="24" a="1"/>
  <c r="U23" i="24" s="1"/>
  <c r="S23" i="24" a="1"/>
  <c r="S23" i="24" s="1"/>
  <c r="Q23" i="24" a="1"/>
  <c r="Q23" i="24" s="1"/>
  <c r="O23" i="24" a="1"/>
  <c r="O23" i="24" s="1"/>
  <c r="M23" i="24" a="1"/>
  <c r="M23" i="24" s="1"/>
  <c r="K23" i="24" a="1"/>
  <c r="K23" i="24" s="1"/>
  <c r="I23" i="24" a="1"/>
  <c r="I23" i="24" s="1"/>
  <c r="G23" i="24" a="1"/>
  <c r="G23" i="24" s="1"/>
  <c r="E23" i="24" a="1"/>
  <c r="E23" i="24" s="1"/>
  <c r="AA22" i="24" a="1"/>
  <c r="AA22" i="24" s="1"/>
  <c r="Y22" i="24" a="1"/>
  <c r="Y22" i="24" s="1"/>
  <c r="U22" i="24" a="1"/>
  <c r="U22" i="24" s="1"/>
  <c r="S22" i="24" a="1"/>
  <c r="S22" i="24" s="1"/>
  <c r="O22" i="24" a="1"/>
  <c r="O22" i="24" s="1"/>
  <c r="M22" i="24" a="1"/>
  <c r="M22" i="24" s="1"/>
  <c r="I22" i="24" a="1"/>
  <c r="I22" i="24" s="1"/>
  <c r="G22" i="24" a="1"/>
  <c r="G22" i="24" s="1"/>
  <c r="AA21" i="24" a="1"/>
  <c r="AA21" i="24" s="1"/>
  <c r="Y21" i="24" a="1"/>
  <c r="Y21" i="24" s="1"/>
  <c r="W21" i="24" a="1"/>
  <c r="W21" i="24" s="1"/>
  <c r="U21" i="24" a="1"/>
  <c r="U21" i="24" s="1"/>
  <c r="S21" i="24" a="1"/>
  <c r="S21" i="24" s="1"/>
  <c r="Q21" i="24" a="1"/>
  <c r="Q21" i="24" s="1"/>
  <c r="O21" i="24" a="1"/>
  <c r="O21" i="24" s="1"/>
  <c r="M21" i="24" a="1"/>
  <c r="M21" i="24" s="1"/>
  <c r="K21" i="24" a="1"/>
  <c r="K21" i="24" s="1"/>
  <c r="I21" i="24" a="1"/>
  <c r="I21" i="24" s="1"/>
  <c r="G21" i="24" a="1"/>
  <c r="G21" i="24" s="1"/>
  <c r="Y20" i="24" a="1"/>
  <c r="Y20" i="24" s="1"/>
  <c r="W20" i="24" a="1"/>
  <c r="W20" i="24" s="1"/>
  <c r="U20" i="24" a="1"/>
  <c r="U20" i="24" s="1"/>
  <c r="S20" i="24" a="1"/>
  <c r="S20" i="24" s="1"/>
  <c r="Q20" i="24" a="1"/>
  <c r="Q20" i="24" s="1"/>
  <c r="M20" i="24" a="1"/>
  <c r="M20" i="24" s="1"/>
  <c r="K20" i="24" a="1"/>
  <c r="K20" i="24" s="1"/>
  <c r="I20" i="24" a="1"/>
  <c r="I20" i="24" s="1"/>
  <c r="G20" i="24" a="1"/>
  <c r="G20" i="24" s="1"/>
  <c r="E20" i="24" a="1"/>
  <c r="E20" i="24" s="1"/>
  <c r="AA19" i="24" a="1"/>
  <c r="AA19" i="24" s="1"/>
  <c r="Y19" i="24" a="1"/>
  <c r="Y19" i="24" s="1"/>
  <c r="W19" i="24" a="1"/>
  <c r="W19" i="24" s="1"/>
  <c r="U19" i="24" a="1"/>
  <c r="U19" i="24" s="1"/>
  <c r="S19" i="24" a="1"/>
  <c r="S19" i="24" s="1"/>
  <c r="Q19" i="24" a="1"/>
  <c r="Q19" i="24" s="1"/>
  <c r="O19" i="24" a="1"/>
  <c r="O19" i="24" s="1"/>
  <c r="M19" i="24" a="1"/>
  <c r="M19" i="24" s="1"/>
  <c r="K19" i="24" a="1"/>
  <c r="K19" i="24" s="1"/>
  <c r="I19" i="24" a="1"/>
  <c r="I19" i="24" s="1"/>
  <c r="G19" i="24" a="1"/>
  <c r="G19" i="24" s="1"/>
  <c r="AA17" i="24" a="1"/>
  <c r="AA17" i="24" s="1"/>
  <c r="Y17" i="24" a="1"/>
  <c r="Y17" i="24" s="1"/>
  <c r="W17" i="24" a="1"/>
  <c r="W17" i="24" s="1"/>
  <c r="U17" i="24" a="1"/>
  <c r="U17" i="24" s="1"/>
  <c r="S17" i="24" a="1"/>
  <c r="S17" i="24" s="1"/>
  <c r="Q17" i="24" a="1"/>
  <c r="Q17" i="24" s="1"/>
  <c r="O17" i="24" a="1"/>
  <c r="O17" i="24" s="1"/>
  <c r="M17" i="24" a="1"/>
  <c r="M17" i="24" s="1"/>
  <c r="K17" i="24" a="1"/>
  <c r="K17" i="24" s="1"/>
  <c r="I17" i="24" a="1"/>
  <c r="I17" i="24" s="1"/>
  <c r="G17" i="24" a="1"/>
  <c r="G17" i="24" s="1"/>
  <c r="Y16" i="24" a="1"/>
  <c r="Y16" i="24" s="1"/>
  <c r="W16" i="24" a="1"/>
  <c r="W16" i="24" s="1"/>
  <c r="U16" i="24" a="1"/>
  <c r="U16" i="24" s="1"/>
  <c r="S16" i="24" a="1"/>
  <c r="S16" i="24" s="1"/>
  <c r="Q16" i="24" a="1"/>
  <c r="Q16" i="24" s="1"/>
  <c r="M16" i="24" a="1"/>
  <c r="M16" i="24" s="1"/>
  <c r="K16" i="24" a="1"/>
  <c r="K16" i="24" s="1"/>
  <c r="I16" i="24" a="1"/>
  <c r="I16" i="24" s="1"/>
  <c r="G16" i="24" a="1"/>
  <c r="G16" i="24" s="1"/>
  <c r="E16" i="24" a="1"/>
  <c r="E16" i="24" s="1"/>
  <c r="AA15" i="24" a="1"/>
  <c r="AA15" i="24" s="1"/>
  <c r="Y15" i="24" a="1"/>
  <c r="Y15" i="24" s="1"/>
  <c r="W15" i="24" a="1"/>
  <c r="W15" i="24" s="1"/>
  <c r="U15" i="24" a="1"/>
  <c r="U15" i="24" s="1"/>
  <c r="S15" i="24" a="1"/>
  <c r="S15" i="24" s="1"/>
  <c r="Q15" i="24" a="1"/>
  <c r="Q15" i="24" s="1"/>
  <c r="O15" i="24" a="1"/>
  <c r="O15" i="24" s="1"/>
  <c r="M15" i="24" a="1"/>
  <c r="M15" i="24" s="1"/>
  <c r="K15" i="24" a="1"/>
  <c r="K15" i="24" s="1"/>
  <c r="I15" i="24" a="1"/>
  <c r="I15" i="24" s="1"/>
  <c r="G15" i="24" a="1"/>
  <c r="G15" i="24" s="1"/>
  <c r="AA13" i="24" a="1"/>
  <c r="AA13" i="24" s="1"/>
  <c r="Y13" i="24" a="1"/>
  <c r="Y13" i="24" s="1"/>
  <c r="W13" i="24" a="1"/>
  <c r="W13" i="24" s="1"/>
  <c r="U13" i="24" a="1"/>
  <c r="U13" i="24" s="1"/>
  <c r="S13" i="24" a="1"/>
  <c r="S13" i="24" s="1"/>
  <c r="Q13" i="24" a="1"/>
  <c r="Q13" i="24" s="1"/>
  <c r="O13" i="24" a="1"/>
  <c r="O13" i="24" s="1"/>
  <c r="M13" i="24" a="1"/>
  <c r="M13" i="24" s="1"/>
  <c r="K13" i="24" a="1"/>
  <c r="K13" i="24" s="1"/>
  <c r="I13" i="24" a="1"/>
  <c r="I13" i="24" s="1"/>
  <c r="G13" i="24" a="1"/>
  <c r="G13" i="24" s="1"/>
  <c r="Y11" i="24" a="1"/>
  <c r="Y11" i="24" s="1"/>
  <c r="W11" i="24" a="1"/>
  <c r="W11" i="24" s="1"/>
  <c r="U11" i="24" a="1"/>
  <c r="U11" i="24" s="1"/>
  <c r="S11" i="24" a="1"/>
  <c r="S11" i="24" s="1"/>
  <c r="Q11" i="24" a="1"/>
  <c r="Q11" i="24" s="1"/>
  <c r="O11" i="24" a="1"/>
  <c r="O11" i="24" s="1"/>
  <c r="M11" i="24" a="1"/>
  <c r="M11" i="24" s="1"/>
  <c r="K11" i="24" a="1"/>
  <c r="K11" i="24" s="1"/>
  <c r="I11" i="24" a="1"/>
  <c r="I11" i="24" s="1"/>
  <c r="G11" i="24" a="1"/>
  <c r="G11" i="24" s="1"/>
  <c r="Y10" i="24" a="1"/>
  <c r="Y10" i="24" s="1"/>
  <c r="W10" i="24" a="1"/>
  <c r="W10" i="24" s="1"/>
  <c r="U10" i="24" a="1"/>
  <c r="U10" i="24" s="1"/>
  <c r="S10" i="24" a="1"/>
  <c r="S10" i="24" s="1"/>
  <c r="Q10" i="24" a="1"/>
  <c r="Q10" i="24" s="1"/>
  <c r="M10" i="24" a="1"/>
  <c r="M10" i="24" s="1"/>
  <c r="K10" i="24" a="1"/>
  <c r="K10" i="24" s="1"/>
  <c r="I10" i="24" a="1"/>
  <c r="I10" i="24" s="1"/>
  <c r="G10" i="24" a="1"/>
  <c r="G10" i="24" s="1"/>
  <c r="E10" i="24" a="1"/>
  <c r="E10" i="24" s="1"/>
  <c r="AA9" i="24" a="1"/>
  <c r="AA9" i="24" s="1"/>
  <c r="Y9" i="24" a="1"/>
  <c r="Y9" i="24" s="1"/>
  <c r="W9" i="24" a="1"/>
  <c r="W9" i="24" s="1"/>
  <c r="U9" i="24" a="1"/>
  <c r="U9" i="24" s="1"/>
  <c r="S9" i="24" a="1"/>
  <c r="S9" i="24" s="1"/>
  <c r="Q9" i="24" a="1"/>
  <c r="Q9" i="24" s="1"/>
  <c r="O9" i="24" a="1"/>
  <c r="O9" i="24" s="1"/>
  <c r="M9" i="24" a="1"/>
  <c r="M9" i="24" s="1"/>
  <c r="K9" i="24" a="1"/>
  <c r="K9" i="24" s="1"/>
  <c r="I9" i="24" a="1"/>
  <c r="I9" i="24" s="1"/>
  <c r="G9" i="24" a="1"/>
  <c r="G9" i="24" s="1"/>
  <c r="AA7" i="24" a="1"/>
  <c r="AA7" i="24" s="1"/>
  <c r="Y7" i="24" a="1"/>
  <c r="Y7" i="24" s="1"/>
  <c r="W7" i="24" a="1"/>
  <c r="W7" i="24" s="1"/>
  <c r="U7" i="24" a="1"/>
  <c r="U7" i="24" s="1"/>
  <c r="S7" i="24" a="1"/>
  <c r="S7" i="24" s="1"/>
  <c r="Q7" i="24" a="1"/>
  <c r="Q7" i="24" s="1"/>
  <c r="O7" i="24" a="1"/>
  <c r="O7" i="24" s="1"/>
  <c r="M7" i="24" a="1"/>
  <c r="M7" i="24" s="1"/>
  <c r="K7" i="24" a="1"/>
  <c r="K7" i="24" s="1"/>
  <c r="I7" i="24" a="1"/>
  <c r="I7" i="24" s="1"/>
  <c r="G7" i="24" a="1"/>
  <c r="G7" i="24" s="1"/>
  <c r="Y6" i="24" a="1"/>
  <c r="Y6" i="24" s="1"/>
  <c r="W6" i="24" a="1"/>
  <c r="W6" i="24" s="1"/>
  <c r="U6" i="24" a="1"/>
  <c r="U6" i="24" s="1"/>
  <c r="S6" i="24" a="1"/>
  <c r="S6" i="24" s="1"/>
  <c r="Q6" i="24" a="1"/>
  <c r="Q6" i="24" s="1"/>
  <c r="M6" i="24" a="1"/>
  <c r="M6" i="24" s="1"/>
  <c r="K6" i="24" a="1"/>
  <c r="K6" i="24" s="1"/>
  <c r="I6" i="24" a="1"/>
  <c r="I6" i="24" s="1"/>
  <c r="G6" i="24" a="1"/>
  <c r="G6" i="24" s="1"/>
  <c r="Y5" i="24" a="1"/>
  <c r="Y5" i="24" s="1"/>
  <c r="W5" i="24" a="1"/>
  <c r="W5" i="24" s="1"/>
  <c r="U5" i="24" a="1"/>
  <c r="U5" i="24" s="1"/>
  <c r="S5" i="24" a="1"/>
  <c r="S5" i="24" s="1"/>
  <c r="Q5" i="24" a="1"/>
  <c r="Q5" i="24" s="1"/>
  <c r="O5" i="24" a="1"/>
  <c r="O5" i="24" s="1"/>
  <c r="M5" i="24" a="1"/>
  <c r="M5" i="24" s="1"/>
  <c r="K5" i="24" a="1"/>
  <c r="K5" i="24" s="1"/>
  <c r="I5" i="24" a="1"/>
  <c r="I5" i="24" s="1"/>
  <c r="G5" i="24" a="1"/>
  <c r="G5" i="24" s="1"/>
  <c r="E5" i="24" a="1"/>
  <c r="E5" i="24" s="1"/>
  <c r="AA4" i="24" a="1"/>
  <c r="AA4" i="24" s="1"/>
  <c r="Y4" i="24" a="1"/>
  <c r="Y4" i="24" s="1"/>
  <c r="W4" i="24" a="1"/>
  <c r="W4" i="24" s="1"/>
  <c r="U4" i="24" a="1"/>
  <c r="U4" i="24" s="1"/>
  <c r="S4" i="24" a="1"/>
  <c r="S4" i="24" s="1"/>
  <c r="Q4" i="24" a="1"/>
  <c r="Q4" i="24" s="1"/>
  <c r="O4" i="24" a="1"/>
  <c r="O4" i="24" s="1"/>
  <c r="M4" i="24" a="1"/>
  <c r="M4" i="24" s="1"/>
  <c r="K4" i="24" a="1"/>
  <c r="K4" i="24" s="1"/>
  <c r="I4" i="24" a="1"/>
  <c r="I4" i="24" s="1"/>
  <c r="G4" i="24" a="1"/>
  <c r="G4" i="24" s="1"/>
  <c r="AA3" i="24" a="1"/>
  <c r="AA3" i="24" s="1"/>
  <c r="Y3" i="24" a="1"/>
  <c r="Y3" i="24" s="1"/>
  <c r="W3" i="24" a="1"/>
  <c r="W3" i="24" s="1"/>
  <c r="U3" i="24" a="1"/>
  <c r="U3" i="24" s="1"/>
  <c r="S3" i="24" a="1"/>
  <c r="S3" i="24" s="1"/>
  <c r="Q3" i="24" a="1"/>
  <c r="Q3" i="24" s="1"/>
  <c r="O3" i="24" a="1"/>
  <c r="O3" i="24" s="1"/>
  <c r="M3" i="24" a="1"/>
  <c r="M3" i="24" s="1"/>
  <c r="K3" i="24" a="1"/>
  <c r="K3" i="24" s="1"/>
  <c r="I3" i="24" a="1"/>
  <c r="I3" i="24" s="1"/>
  <c r="G3" i="24" a="1"/>
  <c r="G3" i="24" s="1"/>
  <c r="U31" i="23" a="1"/>
  <c r="U31" i="23" s="1"/>
  <c r="S31" i="23" a="1"/>
  <c r="S31" i="23" s="1"/>
  <c r="Q31" i="23" a="1"/>
  <c r="Q31" i="23" s="1"/>
  <c r="O31" i="23" a="1"/>
  <c r="O31" i="23" s="1"/>
  <c r="M31" i="23" a="1"/>
  <c r="M31" i="23" s="1"/>
  <c r="K31" i="23" a="1"/>
  <c r="K31" i="23" s="1"/>
  <c r="I31" i="23" a="1"/>
  <c r="I31" i="23" s="1"/>
  <c r="G31" i="23" a="1"/>
  <c r="G31" i="23" s="1"/>
  <c r="E31" i="23" a="1"/>
  <c r="E31" i="23" s="1"/>
  <c r="U30" i="23" a="1"/>
  <c r="U30" i="23" s="1"/>
  <c r="S30" i="23" a="1"/>
  <c r="S30" i="23" s="1"/>
  <c r="Q30" i="23" a="1"/>
  <c r="Q30" i="23" s="1"/>
  <c r="M30" i="23" a="1"/>
  <c r="M30" i="23" s="1"/>
  <c r="K30" i="23" a="1"/>
  <c r="K30" i="23" s="1"/>
  <c r="I30" i="23" a="1"/>
  <c r="I30" i="23" s="1"/>
  <c r="G30" i="23" a="1"/>
  <c r="G30" i="23" s="1"/>
  <c r="E30" i="23" a="1"/>
  <c r="E30" i="23" s="1"/>
  <c r="U28" i="23" a="1"/>
  <c r="U28" i="23" s="1"/>
  <c r="S28" i="23" a="1"/>
  <c r="S28" i="23" s="1"/>
  <c r="Q28" i="23" a="1"/>
  <c r="Q28" i="23" s="1"/>
  <c r="O28" i="23" a="1"/>
  <c r="O28" i="23" s="1"/>
  <c r="M28" i="23" a="1"/>
  <c r="M28" i="23" s="1"/>
  <c r="K28" i="23" a="1"/>
  <c r="K28" i="23" s="1"/>
  <c r="I28" i="23" a="1"/>
  <c r="I28" i="23" s="1"/>
  <c r="G28" i="23" a="1"/>
  <c r="G28" i="23" s="1"/>
  <c r="U27" i="23" a="1"/>
  <c r="U27" i="23" s="1"/>
  <c r="S27" i="23" a="1"/>
  <c r="S27" i="23" s="1"/>
  <c r="Q27" i="23" a="1"/>
  <c r="Q27" i="23" s="1"/>
  <c r="M27" i="23" a="1"/>
  <c r="M27" i="23" s="1"/>
  <c r="K27" i="23" a="1"/>
  <c r="K27" i="23" s="1"/>
  <c r="I27" i="23" a="1"/>
  <c r="I27" i="23" s="1"/>
  <c r="G27" i="23" a="1"/>
  <c r="G27" i="23" s="1"/>
  <c r="U25" i="23" a="1"/>
  <c r="U25" i="23" s="1"/>
  <c r="S25" i="23" a="1"/>
  <c r="S25" i="23" s="1"/>
  <c r="Q25" i="23" a="1"/>
  <c r="Q25" i="23" s="1"/>
  <c r="O25" i="23" a="1"/>
  <c r="O25" i="23" s="1"/>
  <c r="M25" i="23" a="1"/>
  <c r="M25" i="23" s="1"/>
  <c r="K25" i="23" a="1"/>
  <c r="K25" i="23" s="1"/>
  <c r="I25" i="23" a="1"/>
  <c r="I25" i="23" s="1"/>
  <c r="G25" i="23" a="1"/>
  <c r="G25" i="23" s="1"/>
  <c r="U22" i="23" a="1"/>
  <c r="U22" i="23" s="1"/>
  <c r="S22" i="23" a="1"/>
  <c r="S22" i="23" s="1"/>
  <c r="Q22" i="23" a="1"/>
  <c r="Q22" i="23" s="1"/>
  <c r="O22" i="23" a="1"/>
  <c r="O22" i="23" s="1"/>
  <c r="M22" i="23" a="1"/>
  <c r="M22" i="23" s="1"/>
  <c r="K22" i="23" a="1"/>
  <c r="K22" i="23" s="1"/>
  <c r="I22" i="23" a="1"/>
  <c r="I22" i="23" s="1"/>
  <c r="G22" i="23" a="1"/>
  <c r="G22" i="23" s="1"/>
  <c r="E22" i="23" a="1"/>
  <c r="E22" i="23" s="1"/>
  <c r="U21" i="23" a="1"/>
  <c r="U21" i="23" s="1"/>
  <c r="S21" i="23" a="1"/>
  <c r="S21" i="23" s="1"/>
  <c r="O21" i="23" a="1"/>
  <c r="O21" i="23" s="1"/>
  <c r="M21" i="23" a="1"/>
  <c r="M21" i="23" s="1"/>
  <c r="I21" i="23" a="1"/>
  <c r="I21" i="23" s="1"/>
  <c r="G21" i="23" a="1"/>
  <c r="G21" i="23" s="1"/>
  <c r="E21" i="23" a="1"/>
  <c r="E21" i="23" s="1"/>
  <c r="U20" i="23" a="1"/>
  <c r="U20" i="23" s="1"/>
  <c r="S20" i="23" a="1"/>
  <c r="S20" i="23" s="1"/>
  <c r="Q20" i="23" a="1"/>
  <c r="Q20" i="23" s="1"/>
  <c r="O20" i="23" a="1"/>
  <c r="O20" i="23" s="1"/>
  <c r="M20" i="23" a="1"/>
  <c r="M20" i="23" s="1"/>
  <c r="K20" i="23" a="1"/>
  <c r="K20" i="23" s="1"/>
  <c r="I20" i="23" a="1"/>
  <c r="I20" i="23" s="1"/>
  <c r="G20" i="23" a="1"/>
  <c r="G20" i="23" s="1"/>
  <c r="U18" i="23" a="1"/>
  <c r="U18" i="23" s="1"/>
  <c r="S18" i="23" a="1"/>
  <c r="S18" i="23" s="1"/>
  <c r="Q18" i="23" a="1"/>
  <c r="Q18" i="23" s="1"/>
  <c r="O18" i="23" a="1"/>
  <c r="O18" i="23" s="1"/>
  <c r="M18" i="23" a="1"/>
  <c r="M18" i="23" s="1"/>
  <c r="K18" i="23" a="1"/>
  <c r="K18" i="23" s="1"/>
  <c r="I18" i="23" a="1"/>
  <c r="I18" i="23" s="1"/>
  <c r="G18" i="23" a="1"/>
  <c r="G18" i="23" s="1"/>
  <c r="U15" i="23" a="1"/>
  <c r="U15" i="23" s="1"/>
  <c r="S15" i="23" a="1"/>
  <c r="S15" i="23" s="1"/>
  <c r="Q15" i="23" a="1"/>
  <c r="Q15" i="23" s="1"/>
  <c r="O15" i="23" a="1"/>
  <c r="O15" i="23" s="1"/>
  <c r="M15" i="23" a="1"/>
  <c r="M15" i="23" s="1"/>
  <c r="K15" i="23" a="1"/>
  <c r="K15" i="23" s="1"/>
  <c r="I15" i="23" a="1"/>
  <c r="I15" i="23" s="1"/>
  <c r="G15" i="23" a="1"/>
  <c r="G15" i="23" s="1"/>
  <c r="U14" i="23" a="1"/>
  <c r="U14" i="23" s="1"/>
  <c r="S14" i="23" a="1"/>
  <c r="S14" i="23" s="1"/>
  <c r="Q14" i="23" a="1"/>
  <c r="Q14" i="23" s="1"/>
  <c r="O14" i="23" a="1"/>
  <c r="O14" i="23" s="1"/>
  <c r="M14" i="23" a="1"/>
  <c r="M14" i="23" s="1"/>
  <c r="K14" i="23" a="1"/>
  <c r="K14" i="23" s="1"/>
  <c r="I14" i="23" a="1"/>
  <c r="I14" i="23" s="1"/>
  <c r="G14" i="23" a="1"/>
  <c r="G14" i="23" s="1"/>
  <c r="U13" i="23" a="1"/>
  <c r="U13" i="23" s="1"/>
  <c r="S13" i="23" a="1"/>
  <c r="S13" i="23" s="1"/>
  <c r="Q13" i="23" a="1"/>
  <c r="Q13" i="23" s="1"/>
  <c r="O13" i="23" a="1"/>
  <c r="O13" i="23" s="1"/>
  <c r="M13" i="23" a="1"/>
  <c r="M13" i="23" s="1"/>
  <c r="K13" i="23" a="1"/>
  <c r="K13" i="23" s="1"/>
  <c r="I13" i="23" a="1"/>
  <c r="I13" i="23" s="1"/>
  <c r="G13" i="23" a="1"/>
  <c r="G13" i="23" s="1"/>
  <c r="W11" i="23" a="1"/>
  <c r="W11" i="23" s="1"/>
  <c r="U11" i="23" a="1"/>
  <c r="U11" i="23" s="1"/>
  <c r="S11" i="23" a="1"/>
  <c r="S11" i="23" s="1"/>
  <c r="Q11" i="23" a="1"/>
  <c r="Q11" i="23" s="1"/>
  <c r="O11" i="23" a="1"/>
  <c r="O11" i="23" s="1"/>
  <c r="M11" i="23" a="1"/>
  <c r="M11" i="23" s="1"/>
  <c r="K11" i="23" a="1"/>
  <c r="K11" i="23" s="1"/>
  <c r="I11" i="23" a="1"/>
  <c r="I11" i="23" s="1"/>
  <c r="G11" i="23" a="1"/>
  <c r="G11" i="23" s="1"/>
  <c r="U10" i="23" a="1"/>
  <c r="U10" i="23" s="1"/>
  <c r="S10" i="23" a="1"/>
  <c r="S10" i="23" s="1"/>
  <c r="Q10" i="23" a="1"/>
  <c r="Q10" i="23" s="1"/>
  <c r="O10" i="23" a="1"/>
  <c r="O10" i="23" s="1"/>
  <c r="M10" i="23" a="1"/>
  <c r="M10" i="23" s="1"/>
  <c r="K10" i="23" a="1"/>
  <c r="K10" i="23" s="1"/>
  <c r="I10" i="23" a="1"/>
  <c r="I10" i="23" s="1"/>
  <c r="G10" i="23" a="1"/>
  <c r="G10" i="23" s="1"/>
  <c r="W9" i="23" a="1"/>
  <c r="W9" i="23" s="1"/>
  <c r="U9" i="23" a="1"/>
  <c r="U9" i="23" s="1"/>
  <c r="S9" i="23" a="1"/>
  <c r="S9" i="23" s="1"/>
  <c r="Q9" i="23" a="1"/>
  <c r="Q9" i="23" s="1"/>
  <c r="O9" i="23" a="1"/>
  <c r="O9" i="23" s="1"/>
  <c r="M9" i="23" a="1"/>
  <c r="M9" i="23" s="1"/>
  <c r="K9" i="23" a="1"/>
  <c r="K9" i="23" s="1"/>
  <c r="I9" i="23" a="1"/>
  <c r="I9" i="23" s="1"/>
  <c r="G9" i="23" a="1"/>
  <c r="G9" i="23" s="1"/>
  <c r="U8" i="23" a="1"/>
  <c r="U8" i="23" s="1"/>
  <c r="S8" i="23" a="1"/>
  <c r="S8" i="23" s="1"/>
  <c r="Q8" i="23" a="1"/>
  <c r="Q8" i="23" s="1"/>
  <c r="O8" i="23" a="1"/>
  <c r="O8" i="23" s="1"/>
  <c r="M8" i="23" a="1"/>
  <c r="M8" i="23" s="1"/>
  <c r="K8" i="23" a="1"/>
  <c r="K8" i="23" s="1"/>
  <c r="I8" i="23" a="1"/>
  <c r="I8" i="23" s="1"/>
  <c r="G8" i="23" a="1"/>
  <c r="G8" i="23" s="1"/>
  <c r="U7" i="23" a="1"/>
  <c r="U7" i="23" s="1"/>
  <c r="S7" i="23" a="1"/>
  <c r="S7" i="23" s="1"/>
  <c r="Q7" i="23" a="1"/>
  <c r="Q7" i="23" s="1"/>
  <c r="O7" i="23" a="1"/>
  <c r="O7" i="23" s="1"/>
  <c r="M7" i="23" a="1"/>
  <c r="M7" i="23" s="1"/>
  <c r="K7" i="23" a="1"/>
  <c r="K7" i="23" s="1"/>
  <c r="I7" i="23" a="1"/>
  <c r="I7" i="23" s="1"/>
  <c r="G7" i="23" a="1"/>
  <c r="G7" i="23" s="1"/>
  <c r="U6" i="23" a="1"/>
  <c r="U6" i="23" s="1"/>
  <c r="S6" i="23" a="1"/>
  <c r="S6" i="23" s="1"/>
  <c r="Q6" i="23" a="1"/>
  <c r="Q6" i="23" s="1"/>
  <c r="O6" i="23" a="1"/>
  <c r="O6" i="23" s="1"/>
  <c r="M6" i="23" a="1"/>
  <c r="M6" i="23" s="1"/>
  <c r="K6" i="23" a="1"/>
  <c r="K6" i="23" s="1"/>
  <c r="I6" i="23" a="1"/>
  <c r="I6" i="23" s="1"/>
  <c r="G6" i="23" a="1"/>
  <c r="G6" i="23" s="1"/>
  <c r="U5" i="23" a="1"/>
  <c r="U5" i="23" s="1"/>
  <c r="S5" i="23" a="1"/>
  <c r="S5" i="23" s="1"/>
  <c r="Q5" i="23" a="1"/>
  <c r="Q5" i="23" s="1"/>
  <c r="O5" i="23" a="1"/>
  <c r="O5" i="23" s="1"/>
  <c r="M5" i="23" a="1"/>
  <c r="M5" i="23" s="1"/>
  <c r="K5" i="23" a="1"/>
  <c r="K5" i="23" s="1"/>
  <c r="I5" i="23" a="1"/>
  <c r="I5" i="23" s="1"/>
  <c r="G5" i="23" a="1"/>
  <c r="G5" i="23" s="1"/>
  <c r="W4" i="23" a="1"/>
  <c r="W4" i="23" s="1"/>
  <c r="U4" i="23" a="1"/>
  <c r="U4" i="23" s="1"/>
  <c r="S4" i="23" a="1"/>
  <c r="S4" i="23" s="1"/>
  <c r="Q4" i="23" a="1"/>
  <c r="Q4" i="23" s="1"/>
  <c r="O4" i="23" a="1"/>
  <c r="O4" i="23" s="1"/>
  <c r="M4" i="23" a="1"/>
  <c r="M4" i="23" s="1"/>
  <c r="K4" i="23" a="1"/>
  <c r="K4" i="23" s="1"/>
  <c r="I4" i="23" a="1"/>
  <c r="I4" i="23" s="1"/>
  <c r="G4" i="23" a="1"/>
  <c r="G4" i="23" s="1"/>
  <c r="W3" i="23" a="1"/>
  <c r="W3" i="23" s="1"/>
  <c r="U3" i="23" a="1"/>
  <c r="U3" i="23" s="1"/>
  <c r="S3" i="23" a="1"/>
  <c r="S3" i="23" s="1"/>
  <c r="Q3" i="23" a="1"/>
  <c r="Q3" i="23" s="1"/>
  <c r="O3" i="23" a="1"/>
  <c r="O3" i="23" s="1"/>
  <c r="M3" i="23" a="1"/>
  <c r="M3" i="23" s="1"/>
  <c r="K3" i="23" a="1"/>
  <c r="K3" i="23" s="1"/>
  <c r="I3" i="23" a="1"/>
  <c r="I3" i="23" s="1"/>
  <c r="G3" i="23" a="1"/>
  <c r="G3" i="23" s="1"/>
  <c r="J63" i="15"/>
  <c r="M63" i="15" s="1"/>
  <c r="E39" i="21" s="1" a="1"/>
  <c r="E39" i="21" s="1"/>
  <c r="AB39" i="21" s="1"/>
  <c r="AF39" i="21" s="1"/>
  <c r="J57" i="15"/>
  <c r="M57" i="15" s="1"/>
  <c r="J56" i="15"/>
  <c r="M56" i="15" s="1"/>
  <c r="AA35" i="21" s="1" a="1"/>
  <c r="AA35" i="21" s="1"/>
  <c r="AB35" i="21" s="1"/>
  <c r="AF35" i="21" s="1"/>
  <c r="J55" i="15"/>
  <c r="M55" i="15" s="1"/>
  <c r="Q34" i="21" s="1" a="1"/>
  <c r="Q34" i="21" s="1"/>
  <c r="AB34" i="21" s="1"/>
  <c r="AF34" i="21" s="1"/>
  <c r="J54" i="15"/>
  <c r="M54" i="15" s="1"/>
  <c r="E33" i="21" s="1" a="1"/>
  <c r="E33" i="21" s="1"/>
  <c r="AB33" i="21" s="1"/>
  <c r="AF33" i="21" s="1"/>
  <c r="J52" i="15"/>
  <c r="M52" i="15" s="1"/>
  <c r="I6" i="21" s="1" a="1"/>
  <c r="I6" i="21" s="1"/>
  <c r="AB6" i="21" s="1"/>
  <c r="AF6" i="21" s="1"/>
  <c r="J53" i="15"/>
  <c r="M53" i="15" s="1"/>
  <c r="AA5" i="21" s="1" a="1"/>
  <c r="AA5" i="21" s="1"/>
  <c r="AB5" i="21" s="1"/>
  <c r="AF5" i="21" s="1"/>
  <c r="J51" i="15"/>
  <c r="M51" i="15" s="1"/>
  <c r="E4" i="21" s="1" a="1"/>
  <c r="E4" i="21" s="1"/>
  <c r="AB4" i="21" s="1"/>
  <c r="AF4" i="21" s="1"/>
  <c r="J50" i="15"/>
  <c r="M50" i="15" s="1"/>
  <c r="J6" i="15"/>
  <c r="AA26" i="21" a="1"/>
  <c r="AA26" i="21" s="1"/>
  <c r="AB26" i="21" s="1"/>
  <c r="AF26" i="21" s="1"/>
  <c r="J9" i="15"/>
  <c r="M9" i="15" s="1"/>
  <c r="J8" i="15"/>
  <c r="M8" i="15" s="1"/>
  <c r="J7" i="15"/>
  <c r="M7" i="15" s="1"/>
  <c r="J3" i="15"/>
  <c r="M3" i="15" s="1"/>
  <c r="J13" i="15"/>
  <c r="M13" i="15" s="1"/>
  <c r="AA14" i="21" s="1" a="1"/>
  <c r="AA14" i="21" s="1"/>
  <c r="AB14" i="21" s="1"/>
  <c r="AF14" i="21" s="1"/>
  <c r="J5" i="15"/>
  <c r="M5" i="15" s="1"/>
  <c r="E10" i="21" s="1" a="1"/>
  <c r="E10" i="21" s="1"/>
  <c r="AB10" i="21" s="1"/>
  <c r="AF10" i="21" s="1"/>
  <c r="J12" i="15"/>
  <c r="M12" i="15" s="1"/>
  <c r="AA13" i="21" s="1" a="1"/>
  <c r="AA13" i="21" s="1"/>
  <c r="AB13" i="21" s="1"/>
  <c r="AF13" i="21" s="1"/>
  <c r="J4" i="15"/>
  <c r="M4" i="15" s="1"/>
  <c r="E9" i="21" s="1" a="1"/>
  <c r="E9" i="21" s="1"/>
  <c r="AB9" i="21" s="1"/>
  <c r="AF9" i="21" s="1"/>
  <c r="J49" i="15"/>
  <c r="J48" i="15"/>
  <c r="E42" i="21" s="1" a="1"/>
  <c r="E42" i="21" s="1"/>
  <c r="AB42" i="21" s="1"/>
  <c r="AF42" i="21" s="1"/>
  <c r="J47" i="15"/>
  <c r="J46" i="15"/>
  <c r="M46" i="15" s="1"/>
  <c r="J45" i="15"/>
  <c r="M45" i="15" s="1"/>
  <c r="E41" i="21" s="1" a="1"/>
  <c r="E41" i="21" s="1"/>
  <c r="AB41" i="21" s="1"/>
  <c r="AF41" i="21" s="1"/>
  <c r="J62" i="15"/>
  <c r="M62" i="15" s="1"/>
  <c r="J61" i="15"/>
  <c r="M61" i="15" s="1"/>
  <c r="J37" i="15"/>
  <c r="M37" i="15" s="1"/>
  <c r="E27" i="21" s="1" a="1"/>
  <c r="E27" i="21" s="1"/>
  <c r="AB27" i="21" s="1"/>
  <c r="AF27" i="21" s="1"/>
  <c r="J36" i="15"/>
  <c r="M36" i="15" s="1"/>
  <c r="E28" i="21" s="1" a="1"/>
  <c r="E28" i="21" s="1"/>
  <c r="AB28" i="21" s="1"/>
  <c r="AF28" i="21" s="1"/>
  <c r="J44" i="15"/>
  <c r="M44" i="15" s="1"/>
  <c r="AA36" i="21" s="1" a="1"/>
  <c r="AA36" i="21" s="1"/>
  <c r="AB36" i="21" s="1"/>
  <c r="AF36" i="21" s="1"/>
  <c r="J60" i="15"/>
  <c r="M60" i="15" s="1"/>
  <c r="O30" i="21" s="1" a="1"/>
  <c r="O30" i="21" s="1"/>
  <c r="AB30" i="21" s="1"/>
  <c r="AF30" i="21" s="1"/>
  <c r="J59" i="15"/>
  <c r="M59" i="15" s="1"/>
  <c r="J43" i="15"/>
  <c r="J30" i="15"/>
  <c r="M30" i="15" s="1"/>
  <c r="E19" i="21" s="1" a="1"/>
  <c r="E19" i="21" s="1"/>
  <c r="AB19" i="21" s="1"/>
  <c r="AF19" i="21" s="1"/>
  <c r="J29" i="15"/>
  <c r="M29" i="15" s="1"/>
  <c r="E29" i="21" s="1" a="1"/>
  <c r="E29" i="21" s="1"/>
  <c r="AB29" i="21" s="1"/>
  <c r="AF29" i="21" s="1"/>
  <c r="J28" i="15"/>
  <c r="M28" i="15" s="1"/>
  <c r="J27" i="15"/>
  <c r="M27" i="15" s="1"/>
  <c r="E18" i="21" s="1" a="1"/>
  <c r="E18" i="21" s="1"/>
  <c r="AB18" i="21" s="1"/>
  <c r="AF18" i="21" s="1"/>
  <c r="J26" i="15"/>
  <c r="M26" i="15" s="1"/>
  <c r="E17" i="21" s="1" a="1"/>
  <c r="E17" i="21" s="1"/>
  <c r="AB17" i="21" s="1"/>
  <c r="AF17" i="21" s="1"/>
  <c r="J25" i="15"/>
  <c r="M25" i="15" s="1"/>
  <c r="E21" i="21" s="1" a="1"/>
  <c r="E21" i="21" s="1"/>
  <c r="AB21" i="21" s="1"/>
  <c r="AF21" i="21" s="1"/>
  <c r="J24" i="15"/>
  <c r="M24" i="15" s="1"/>
  <c r="E40" i="21" s="1" a="1"/>
  <c r="E40" i="21" s="1"/>
  <c r="AB40" i="21" s="1"/>
  <c r="AF40" i="21" s="1"/>
  <c r="J23" i="15"/>
  <c r="M23" i="15" s="1"/>
  <c r="E20" i="21" s="1" a="1"/>
  <c r="E20" i="21" s="1"/>
  <c r="AB20" i="21" s="1"/>
  <c r="AF20" i="21" s="1"/>
  <c r="J41" i="15"/>
  <c r="M41" i="15" s="1"/>
  <c r="J40" i="15"/>
  <c r="M40" i="15" s="1"/>
  <c r="J20" i="15"/>
  <c r="M20" i="15" s="1"/>
  <c r="J19" i="15"/>
  <c r="M19" i="15" s="1"/>
  <c r="J18" i="15"/>
  <c r="M18" i="15" s="1"/>
  <c r="AA23" i="21" s="1" a="1"/>
  <c r="AA23" i="21" s="1"/>
  <c r="AB23" i="21" s="1"/>
  <c r="AF23" i="21" s="1"/>
  <c r="J17" i="15"/>
  <c r="M17" i="15" s="1"/>
  <c r="E22" i="21" s="1" a="1"/>
  <c r="E22" i="21" s="1"/>
  <c r="AB22" i="21" s="1"/>
  <c r="AF22" i="21" s="1"/>
  <c r="J16" i="15"/>
  <c r="M16" i="15" s="1"/>
  <c r="J15" i="15"/>
  <c r="M15" i="15" s="1"/>
  <c r="E25" i="21" s="1" a="1"/>
  <c r="E25" i="21" s="1"/>
  <c r="AB25" i="21" s="1"/>
  <c r="AF25" i="21" s="1"/>
  <c r="J39" i="15"/>
  <c r="M39" i="15" s="1"/>
  <c r="J38" i="15"/>
  <c r="M38" i="15" s="1"/>
  <c r="J35" i="15"/>
  <c r="M35" i="15" s="1"/>
  <c r="J34" i="15"/>
  <c r="M34" i="15" s="1"/>
  <c r="J58" i="15"/>
  <c r="M58" i="15" s="1"/>
  <c r="Q31" i="21" s="1" a="1"/>
  <c r="Q31" i="21" s="1"/>
  <c r="AB31" i="21" s="1"/>
  <c r="AF31" i="21" s="1"/>
  <c r="M33" i="15"/>
  <c r="M32" i="15"/>
  <c r="M31" i="15"/>
  <c r="I37" i="21" a="1"/>
  <c r="I37" i="21" s="1"/>
  <c r="AB37" i="21" s="1"/>
  <c r="AF37" i="21" s="1"/>
  <c r="J10" i="15"/>
  <c r="M10" i="15" s="1"/>
  <c r="M6" i="15" l="1"/>
  <c r="I11" i="21" s="1" a="1"/>
  <c r="I11" i="21" s="1"/>
  <c r="AB11" i="21" s="1"/>
  <c r="AF11" i="21" s="1"/>
  <c r="E32" i="21" a="1"/>
  <c r="E32" i="21" s="1"/>
  <c r="AB32" i="21" s="1"/>
  <c r="AF32" i="21" s="1"/>
  <c r="M14" i="15"/>
  <c r="E3" i="21" s="1" a="1"/>
  <c r="E3" i="21" s="1"/>
  <c r="AB3" i="21" s="1"/>
  <c r="AF3" i="21" s="1"/>
  <c r="E15" i="21" a="1"/>
  <c r="E15" i="21" s="1"/>
  <c r="AA15" i="21" a="1"/>
  <c r="AA15" i="21" s="1"/>
  <c r="AA16" i="21" a="1"/>
  <c r="AA16" i="21" s="1"/>
  <c r="I16" i="21" a="1"/>
  <c r="I16" i="21" s="1"/>
  <c r="M8" i="21" a="1"/>
  <c r="M8" i="21" s="1"/>
  <c r="O8" i="21" a="1"/>
  <c r="O8" i="21" s="1"/>
  <c r="Q8" i="21" a="1"/>
  <c r="Q8" i="21" s="1"/>
  <c r="S8" i="21" a="1"/>
  <c r="S8" i="21" s="1"/>
  <c r="U8" i="21" a="1"/>
  <c r="U8" i="21" s="1"/>
  <c r="E8" i="21" a="1"/>
  <c r="E8" i="21" s="1"/>
  <c r="W8" i="21" a="1"/>
  <c r="W8" i="21" s="1"/>
  <c r="K8" i="21" a="1"/>
  <c r="K8" i="21" s="1"/>
  <c r="Y8" i="21" a="1"/>
  <c r="Y8" i="21" s="1"/>
  <c r="G8" i="21" a="1"/>
  <c r="G8" i="21" s="1"/>
  <c r="I8" i="21" a="1"/>
  <c r="I8" i="21" s="1"/>
  <c r="AA8" i="21" a="1"/>
  <c r="AA8" i="21" s="1"/>
  <c r="U7" i="21" a="1"/>
  <c r="U7" i="21" s="1"/>
  <c r="G7" i="21" a="1"/>
  <c r="G7" i="21" s="1"/>
  <c r="I7" i="21" a="1"/>
  <c r="I7" i="21" s="1"/>
  <c r="AA7" i="21" a="1"/>
  <c r="AA7" i="21" s="1"/>
  <c r="O7" i="21" a="1"/>
  <c r="O7" i="21" s="1"/>
  <c r="E7" i="21" a="1"/>
  <c r="E7" i="21" s="1"/>
  <c r="AA24" i="21" a="1"/>
  <c r="AA24" i="21" s="1"/>
  <c r="O24" i="21" a="1"/>
  <c r="O24" i="21" s="1"/>
  <c r="E55" i="25" a="1"/>
  <c r="E55" i="25" s="1"/>
  <c r="E52" i="25" a="1"/>
  <c r="E52" i="25" s="1"/>
  <c r="E49" i="25" a="1"/>
  <c r="E49" i="25" s="1"/>
  <c r="E46" i="25" a="1"/>
  <c r="E46" i="25" s="1"/>
  <c r="E43" i="25" a="1"/>
  <c r="E43" i="25" s="1"/>
  <c r="AN43" i="25" s="1"/>
  <c r="AR43" i="25" s="1"/>
  <c r="E40" i="25" a="1"/>
  <c r="E40" i="25" s="1"/>
  <c r="AN40" i="25" s="1"/>
  <c r="AR40" i="25" s="1"/>
  <c r="E37" i="25" a="1"/>
  <c r="E37" i="25" s="1"/>
  <c r="E34" i="25" a="1"/>
  <c r="E34" i="25" s="1"/>
  <c r="AN34" i="25" s="1"/>
  <c r="AR34" i="25" s="1"/>
  <c r="AM55" i="24" a="1"/>
  <c r="AM55" i="24" s="1"/>
  <c r="AM55" i="23" a="1"/>
  <c r="AM55" i="23" s="1"/>
  <c r="AN55" i="23" s="1"/>
  <c r="AR55" i="23" s="1"/>
  <c r="AE43" i="30" a="1"/>
  <c r="AE43" i="30" s="1"/>
  <c r="AC42" i="30" a="1"/>
  <c r="AC42" i="30" s="1"/>
  <c r="O43" i="30" a="1"/>
  <c r="O43" i="30" s="1"/>
  <c r="M42" i="30" a="1"/>
  <c r="M42" i="30" s="1"/>
  <c r="E36" i="30" a="1"/>
  <c r="E36" i="30" s="1"/>
  <c r="E33" i="30" a="1"/>
  <c r="E33" i="30" s="1"/>
  <c r="AM36" i="29" a="1"/>
  <c r="AM36" i="29" s="1"/>
  <c r="AN36" i="29" s="1"/>
  <c r="AR36" i="29" s="1"/>
  <c r="AC46" i="29" a="1"/>
  <c r="AC46" i="29" s="1"/>
  <c r="E58" i="29" a="1"/>
  <c r="E58" i="29" s="1"/>
  <c r="E46" i="29" a="1"/>
  <c r="E46" i="29" s="1"/>
  <c r="S41" i="29" a="1"/>
  <c r="S41" i="29" s="1"/>
  <c r="O39" i="29" a="1"/>
  <c r="O39" i="29" s="1"/>
  <c r="AM62" i="28" a="1"/>
  <c r="AM62" i="28" s="1"/>
  <c r="AN62" i="28" s="1"/>
  <c r="AR62" i="28" s="1"/>
  <c r="AM50" i="28" a="1"/>
  <c r="AM50" i="28" s="1"/>
  <c r="AK42" i="28" a="1"/>
  <c r="AK42" i="28" s="1"/>
  <c r="AE43" i="28" a="1"/>
  <c r="AE43" i="28" s="1"/>
  <c r="E58" i="28" a="1"/>
  <c r="E58" i="28" s="1"/>
  <c r="I48" i="28" a="1"/>
  <c r="I48" i="28" s="1"/>
  <c r="E46" i="28" a="1"/>
  <c r="E46" i="28" s="1"/>
  <c r="AN46" i="28" s="1"/>
  <c r="AR46" i="28" s="1"/>
  <c r="W43" i="28" a="1"/>
  <c r="W43" i="28" s="1"/>
  <c r="U42" i="28" a="1"/>
  <c r="U42" i="28" s="1"/>
  <c r="O39" i="28" a="1"/>
  <c r="O39" i="28" s="1"/>
  <c r="E49" i="27" a="1"/>
  <c r="E49" i="27" s="1"/>
  <c r="Q42" i="27" a="1"/>
  <c r="Q42" i="27" s="1"/>
  <c r="E38" i="27" a="1"/>
  <c r="E38" i="27" s="1"/>
  <c r="AI41" i="26" a="1"/>
  <c r="AI41" i="26" s="1"/>
  <c r="E55" i="26" a="1"/>
  <c r="E55" i="26" s="1"/>
  <c r="K46" i="26" a="1"/>
  <c r="K46" i="26" s="1"/>
  <c r="I45" i="26" a="1"/>
  <c r="I45" i="26" s="1"/>
  <c r="E43" i="26" a="1"/>
  <c r="E43" i="26" s="1"/>
  <c r="Y41" i="26" a="1"/>
  <c r="Y41" i="26" s="1"/>
  <c r="W40" i="26" a="1"/>
  <c r="W40" i="26" s="1"/>
  <c r="W37" i="24" a="1"/>
  <c r="W37" i="24" s="1"/>
  <c r="W57" i="24" s="1"/>
  <c r="O35" i="24" a="1"/>
  <c r="O35" i="24" s="1"/>
  <c r="G45" i="23" a="1"/>
  <c r="G45" i="23" s="1"/>
  <c r="G65" i="23" s="1"/>
  <c r="K45" i="23" a="1"/>
  <c r="K45" i="23" s="1"/>
  <c r="E43" i="23" a="1"/>
  <c r="E43" i="23" s="1"/>
  <c r="AN43" i="23" s="1"/>
  <c r="AR43" i="23" s="1"/>
  <c r="E57" i="23" a="1"/>
  <c r="E57" i="23" s="1"/>
  <c r="E58" i="23" a="1"/>
  <c r="E58" i="23" s="1"/>
  <c r="E46" i="23" a="1"/>
  <c r="E46" i="23" s="1"/>
  <c r="E47" i="23" a="1"/>
  <c r="E47" i="23" s="1"/>
  <c r="S39" i="25" a="1"/>
  <c r="S39" i="25" s="1"/>
  <c r="AM42" i="25" a="1"/>
  <c r="AM42" i="25" s="1"/>
  <c r="AG43" i="30" a="1"/>
  <c r="AG43" i="30" s="1"/>
  <c r="AE42" i="30" a="1"/>
  <c r="AE42" i="30" s="1"/>
  <c r="M43" i="30" a="1"/>
  <c r="M43" i="30" s="1"/>
  <c r="K42" i="30" a="1"/>
  <c r="K42" i="30" s="1"/>
  <c r="AM59" i="29" a="1"/>
  <c r="AM59" i="29" s="1"/>
  <c r="AG41" i="29" a="1"/>
  <c r="AG41" i="29" s="1"/>
  <c r="E47" i="29" a="1"/>
  <c r="E47" i="29" s="1"/>
  <c r="Q41" i="29" a="1"/>
  <c r="Q41" i="29" s="1"/>
  <c r="E35" i="29" a="1"/>
  <c r="E35" i="29" s="1"/>
  <c r="AM49" i="28" a="1"/>
  <c r="AM49" i="28" s="1"/>
  <c r="AM37" i="28" a="1"/>
  <c r="AM37" i="28" s="1"/>
  <c r="AE42" i="28" a="1"/>
  <c r="AE42" i="28" s="1"/>
  <c r="G48" i="28" a="1"/>
  <c r="G48" i="28" s="1"/>
  <c r="U43" i="28" a="1"/>
  <c r="U43" i="28" s="1"/>
  <c r="S42" i="28" a="1"/>
  <c r="S42" i="28" s="1"/>
  <c r="AG42" i="27" a="1"/>
  <c r="AG42" i="27" s="1"/>
  <c r="AG61" i="27" s="1"/>
  <c r="Q59" i="27" a="1"/>
  <c r="Q59" i="27" s="1"/>
  <c r="E50" i="27" a="1"/>
  <c r="E50" i="27" s="1"/>
  <c r="AN50" i="27" s="1"/>
  <c r="AR50" i="27" s="1"/>
  <c r="O42" i="27" a="1"/>
  <c r="O42" i="27" s="1"/>
  <c r="E39" i="27" a="1"/>
  <c r="E39" i="27" s="1"/>
  <c r="AN39" i="27" s="1"/>
  <c r="AR39" i="27" s="1"/>
  <c r="AI40" i="26" a="1"/>
  <c r="AI40" i="26" s="1"/>
  <c r="AC46" i="26" a="1"/>
  <c r="AC46" i="26" s="1"/>
  <c r="I46" i="26" a="1"/>
  <c r="I46" i="26" s="1"/>
  <c r="E44" i="26" a="1"/>
  <c r="E44" i="26" s="1"/>
  <c r="AN44" i="26" s="1"/>
  <c r="AR44" i="26" s="1"/>
  <c r="W41" i="26" a="1"/>
  <c r="W41" i="26" s="1"/>
  <c r="U40" i="26" a="1"/>
  <c r="U40" i="26" s="1"/>
  <c r="O37" i="26" a="1"/>
  <c r="O37" i="26" s="1"/>
  <c r="E51" i="24" a="1"/>
  <c r="E51" i="24" s="1"/>
  <c r="AN51" i="24" s="1"/>
  <c r="AR51" i="24" s="1"/>
  <c r="U37" i="24" a="1"/>
  <c r="U37" i="24" s="1"/>
  <c r="U57" i="24" s="1"/>
  <c r="E33" i="24" a="1"/>
  <c r="E33" i="24" s="1"/>
  <c r="AN33" i="24" s="1"/>
  <c r="AK45" i="23" a="1"/>
  <c r="AK45" i="23" s="1"/>
  <c r="AK65" i="23" s="1"/>
  <c r="G12" i="23" a="1"/>
  <c r="G12" i="23" s="1"/>
  <c r="I45" i="23" a="1"/>
  <c r="I45" i="23" s="1"/>
  <c r="I65" i="23" s="1"/>
  <c r="E44" i="23" a="1"/>
  <c r="E44" i="23" s="1"/>
  <c r="O37" i="24" a="1"/>
  <c r="O37" i="24" s="1"/>
  <c r="Q39" i="25" a="1"/>
  <c r="Q39" i="25" s="1"/>
  <c r="AM41" i="25" a="1"/>
  <c r="AM41" i="25" s="1"/>
  <c r="AM43" i="30" a="1"/>
  <c r="AM43" i="30" s="1"/>
  <c r="AK43" i="30" a="1"/>
  <c r="AK43" i="30" s="1"/>
  <c r="AI43" i="30" a="1"/>
  <c r="AI43" i="30" s="1"/>
  <c r="AG42" i="30" a="1"/>
  <c r="AG42" i="30" s="1"/>
  <c r="K43" i="30" a="1"/>
  <c r="K43" i="30" s="1"/>
  <c r="E38" i="30" a="1"/>
  <c r="E38" i="30" s="1"/>
  <c r="AM46" i="29" a="1"/>
  <c r="AM46" i="29" s="1"/>
  <c r="AA46" i="29" a="1"/>
  <c r="AA46" i="29" s="1"/>
  <c r="E48" i="29" a="1"/>
  <c r="E48" i="29" s="1"/>
  <c r="Y46" i="29" a="1"/>
  <c r="Y46" i="29" s="1"/>
  <c r="O41" i="29" a="1"/>
  <c r="O41" i="29" s="1"/>
  <c r="AM48" i="28" a="1"/>
  <c r="AM48" i="28" s="1"/>
  <c r="E59" i="28" a="1"/>
  <c r="E59" i="28" s="1"/>
  <c r="AN59" i="28" s="1"/>
  <c r="AR59" i="28" s="1"/>
  <c r="E48" i="28" a="1"/>
  <c r="E48" i="28" s="1"/>
  <c r="S43" i="28" a="1"/>
  <c r="S43" i="28" s="1"/>
  <c r="Q42" i="28" a="1"/>
  <c r="Q42" i="28" s="1"/>
  <c r="E36" i="28" a="1"/>
  <c r="E36" i="28" s="1"/>
  <c r="AN36" i="28" s="1"/>
  <c r="AR36" i="28" s="1"/>
  <c r="AM44" i="27" a="1"/>
  <c r="AM44" i="27" s="1"/>
  <c r="I54" i="27" a="1"/>
  <c r="I54" i="27" s="1"/>
  <c r="E52" i="27" a="1"/>
  <c r="E52" i="27" s="1"/>
  <c r="O44" i="27" a="1"/>
  <c r="O44" i="27" s="1"/>
  <c r="M42" i="27" a="1"/>
  <c r="M42" i="27" s="1"/>
  <c r="M61" i="27" s="1"/>
  <c r="E40" i="27" a="1"/>
  <c r="E40" i="27" s="1"/>
  <c r="AN40" i="27" s="1"/>
  <c r="AR40" i="27" s="1"/>
  <c r="AM54" i="26" a="1"/>
  <c r="AM54" i="26" s="1"/>
  <c r="AM41" i="26" a="1"/>
  <c r="AM41" i="26" s="1"/>
  <c r="AG41" i="26" a="1"/>
  <c r="AG41" i="26" s="1"/>
  <c r="G46" i="26" a="1"/>
  <c r="G46" i="26" s="1"/>
  <c r="U41" i="26" a="1"/>
  <c r="U41" i="26" s="1"/>
  <c r="S40" i="26" a="1"/>
  <c r="S40" i="26" s="1"/>
  <c r="E33" i="26" a="1"/>
  <c r="E33" i="26" s="1"/>
  <c r="AK39" i="25" a="1"/>
  <c r="AK39" i="25" s="1"/>
  <c r="AK37" i="24" a="1"/>
  <c r="AK37" i="24" s="1"/>
  <c r="AK57" i="24" s="1"/>
  <c r="S37" i="24" a="1"/>
  <c r="S37" i="24" s="1"/>
  <c r="S57" i="24" s="1"/>
  <c r="AA45" i="23" a="1"/>
  <c r="AA45" i="23" s="1"/>
  <c r="AA65" i="23" s="1"/>
  <c r="E56" i="23" a="1"/>
  <c r="E56" i="23" s="1"/>
  <c r="E46" i="24" a="1"/>
  <c r="E46" i="24" s="1"/>
  <c r="AN46" i="24" s="1"/>
  <c r="AR46" i="24" s="1"/>
  <c r="AE45" i="23" a="1"/>
  <c r="AE45" i="23" s="1"/>
  <c r="AE65" i="23" s="1"/>
  <c r="O57" i="25" a="1"/>
  <c r="O57" i="25" s="1"/>
  <c r="O48" i="25" a="1"/>
  <c r="O48" i="25" s="1"/>
  <c r="O39" i="25" a="1"/>
  <c r="O39" i="25" s="1"/>
  <c r="O36" i="25" a="1"/>
  <c r="O36" i="25" s="1"/>
  <c r="AM52" i="24" a="1"/>
  <c r="AM52" i="24" s="1"/>
  <c r="AM64" i="23" a="1"/>
  <c r="AM64" i="23" s="1"/>
  <c r="AM54" i="30" a="1"/>
  <c r="AM54" i="30" s="1"/>
  <c r="AM42" i="30" a="1"/>
  <c r="AM42" i="30" s="1"/>
  <c r="AK42" i="30" a="1"/>
  <c r="AK42" i="30" s="1"/>
  <c r="AI42" i="30" a="1"/>
  <c r="AI42" i="30" s="1"/>
  <c r="I43" i="30" a="1"/>
  <c r="I43" i="30" s="1"/>
  <c r="I42" i="30" a="1"/>
  <c r="I42" i="30" s="1"/>
  <c r="AE41" i="29" a="1"/>
  <c r="AE41" i="29" s="1"/>
  <c r="E49" i="29" a="1"/>
  <c r="E49" i="29" s="1"/>
  <c r="AN49" i="29" s="1"/>
  <c r="AR49" i="29" s="1"/>
  <c r="W46" i="29" a="1"/>
  <c r="W46" i="29" s="1"/>
  <c r="M41" i="29" a="1"/>
  <c r="M41" i="29" s="1"/>
  <c r="E37" i="29" a="1"/>
  <c r="E37" i="29" s="1"/>
  <c r="AM47" i="28" a="1"/>
  <c r="AM47" i="28" s="1"/>
  <c r="AI43" i="28" a="1"/>
  <c r="AI43" i="28" s="1"/>
  <c r="AG48" i="28" a="1"/>
  <c r="AG48" i="28" s="1"/>
  <c r="E60" i="28" a="1"/>
  <c r="E60" i="28" s="1"/>
  <c r="AN60" i="28" s="1"/>
  <c r="AR60" i="28" s="1"/>
  <c r="E49" i="28" a="1"/>
  <c r="E49" i="28" s="1"/>
  <c r="Q43" i="28" a="1"/>
  <c r="Q43" i="28" s="1"/>
  <c r="O42" i="28" a="1"/>
  <c r="O42" i="28" s="1"/>
  <c r="AM43" i="27" a="1"/>
  <c r="AM43" i="27" s="1"/>
  <c r="E53" i="27" a="1"/>
  <c r="E53" i="27" s="1"/>
  <c r="K43" i="27" a="1"/>
  <c r="K43" i="27" s="1"/>
  <c r="K42" i="27" a="1"/>
  <c r="K42" i="27" s="1"/>
  <c r="E41" i="27" a="1"/>
  <c r="E41" i="27" s="1"/>
  <c r="AN41" i="27" s="1"/>
  <c r="AR41" i="27" s="1"/>
  <c r="AM40" i="26" a="1"/>
  <c r="AM40" i="26" s="1"/>
  <c r="AG40" i="26" a="1"/>
  <c r="AG40" i="26" s="1"/>
  <c r="AA46" i="26" a="1"/>
  <c r="AA46" i="26" s="1"/>
  <c r="E46" i="26" a="1"/>
  <c r="E46" i="26" s="1"/>
  <c r="S41" i="26" a="1"/>
  <c r="S41" i="26" s="1"/>
  <c r="Q40" i="26" a="1"/>
  <c r="Q40" i="26" s="1"/>
  <c r="E34" i="26" a="1"/>
  <c r="E34" i="26" s="1"/>
  <c r="AN34" i="26" s="1"/>
  <c r="AR34" i="26" s="1"/>
  <c r="AI39" i="25" a="1"/>
  <c r="AI39" i="25" s="1"/>
  <c r="AI37" i="24" a="1"/>
  <c r="AI37" i="24" s="1"/>
  <c r="AI57" i="24" s="1"/>
  <c r="E40" i="24" a="1"/>
  <c r="E40" i="24" s="1"/>
  <c r="AN40" i="24" s="1"/>
  <c r="AR40" i="24" s="1"/>
  <c r="Q37" i="24" a="1"/>
  <c r="Q37" i="24" s="1"/>
  <c r="Q57" i="24" s="1"/>
  <c r="O63" i="23" a="1"/>
  <c r="O63" i="23" s="1"/>
  <c r="AN63" i="23" s="1"/>
  <c r="AR63" i="23" s="1"/>
  <c r="E59" i="23" a="1"/>
  <c r="E59" i="23" s="1"/>
  <c r="E37" i="23" a="1"/>
  <c r="E37" i="23" s="1"/>
  <c r="E56" i="25" a="1"/>
  <c r="E56" i="25" s="1"/>
  <c r="E53" i="25" a="1"/>
  <c r="E53" i="25" s="1"/>
  <c r="E47" i="25" a="1"/>
  <c r="E47" i="25" s="1"/>
  <c r="AN47" i="25" s="1"/>
  <c r="AR47" i="25" s="1"/>
  <c r="E44" i="25" a="1"/>
  <c r="E44" i="25" s="1"/>
  <c r="M39" i="25" a="1"/>
  <c r="M39" i="25" s="1"/>
  <c r="E38" i="25" a="1"/>
  <c r="E38" i="25" s="1"/>
  <c r="AN38" i="25" s="1"/>
  <c r="AR38" i="25" s="1"/>
  <c r="AM51" i="25" a="1"/>
  <c r="AM51" i="25" s="1"/>
  <c r="AN51" i="25" s="1"/>
  <c r="AR51" i="25" s="1"/>
  <c r="AM39" i="25" a="1"/>
  <c r="AM39" i="25" s="1"/>
  <c r="AM41" i="30" a="1"/>
  <c r="AM41" i="30" s="1"/>
  <c r="G43" i="30" a="1"/>
  <c r="G43" i="30" s="1"/>
  <c r="G42" i="30" a="1"/>
  <c r="G42" i="30" s="1"/>
  <c r="AM44" i="29" a="1"/>
  <c r="AM44" i="29" s="1"/>
  <c r="AK46" i="29" a="1"/>
  <c r="AK46" i="29" s="1"/>
  <c r="U46" i="29" a="1"/>
  <c r="U46" i="29" s="1"/>
  <c r="O43" i="29" a="1"/>
  <c r="O43" i="29" s="1"/>
  <c r="K41" i="29" a="1"/>
  <c r="K41" i="29" s="1"/>
  <c r="E38" i="29" a="1"/>
  <c r="E38" i="29" s="1"/>
  <c r="AI42" i="28" a="1"/>
  <c r="AI42" i="28" s="1"/>
  <c r="AA48" i="28" a="1"/>
  <c r="AA48" i="28" s="1"/>
  <c r="E61" i="28" a="1"/>
  <c r="E61" i="28" s="1"/>
  <c r="E50" i="28" a="1"/>
  <c r="E50" i="28" s="1"/>
  <c r="Y48" i="28" a="1"/>
  <c r="Y48" i="28" s="1"/>
  <c r="O43" i="28" a="1"/>
  <c r="O43" i="28" s="1"/>
  <c r="M42" i="28" a="1"/>
  <c r="M42" i="28" s="1"/>
  <c r="E38" i="28" a="1"/>
  <c r="E38" i="28" s="1"/>
  <c r="AN38" i="28" s="1"/>
  <c r="AR38" i="28" s="1"/>
  <c r="AM54" i="27" a="1"/>
  <c r="AM54" i="27" s="1"/>
  <c r="AM42" i="27" a="1"/>
  <c r="AM42" i="27" s="1"/>
  <c r="AE42" i="27" a="1"/>
  <c r="AE42" i="27" s="1"/>
  <c r="AE61" i="27" s="1"/>
  <c r="K59" i="27" a="1"/>
  <c r="K59" i="27" s="1"/>
  <c r="AE41" i="26" a="1"/>
  <c r="AE41" i="26" s="1"/>
  <c r="E47" i="26" a="1"/>
  <c r="E47" i="26" s="1"/>
  <c r="Q41" i="26" a="1"/>
  <c r="Q41" i="26" s="1"/>
  <c r="O40" i="26" a="1"/>
  <c r="O40" i="26" s="1"/>
  <c r="AG39" i="25" a="1"/>
  <c r="AG39" i="25" s="1"/>
  <c r="Y39" i="25" a="1"/>
  <c r="Y39" i="25" s="1"/>
  <c r="AG37" i="24" a="1"/>
  <c r="AG37" i="24" s="1"/>
  <c r="AG57" i="24" s="1"/>
  <c r="O49" i="24" a="1"/>
  <c r="O49" i="24" s="1"/>
  <c r="Y45" i="23" a="1"/>
  <c r="Y45" i="23" s="1"/>
  <c r="Y65" i="23" s="1"/>
  <c r="K39" i="25" a="1"/>
  <c r="K39" i="25" s="1"/>
  <c r="AM39" i="24" a="1"/>
  <c r="AM39" i="24" s="1"/>
  <c r="E43" i="30" a="1"/>
  <c r="E43" i="30" s="1"/>
  <c r="AM43" i="29" a="1"/>
  <c r="AM43" i="29" s="1"/>
  <c r="AC41" i="29" a="1"/>
  <c r="AC41" i="29" s="1"/>
  <c r="E51" i="29" a="1"/>
  <c r="E51" i="29" s="1"/>
  <c r="S46" i="29" a="1"/>
  <c r="S46" i="29" s="1"/>
  <c r="I41" i="29" a="1"/>
  <c r="I41" i="29" s="1"/>
  <c r="E39" i="29" a="1"/>
  <c r="E39" i="29" s="1"/>
  <c r="AM57" i="28" a="1"/>
  <c r="AM57" i="28" s="1"/>
  <c r="AN57" i="28" s="1"/>
  <c r="AR57" i="28" s="1"/>
  <c r="AC43" i="28" a="1"/>
  <c r="AC43" i="28" s="1"/>
  <c r="W48" i="28" a="1"/>
  <c r="W48" i="28" s="1"/>
  <c r="U47" i="28" a="1"/>
  <c r="U47" i="28" s="1"/>
  <c r="M43" i="28" a="1"/>
  <c r="M43" i="28" s="1"/>
  <c r="K42" i="28" a="1"/>
  <c r="K42" i="28" s="1"/>
  <c r="E55" i="27" a="1"/>
  <c r="E55" i="27" s="1"/>
  <c r="AN55" i="27" s="1"/>
  <c r="AR55" i="27" s="1"/>
  <c r="AM51" i="26" a="1"/>
  <c r="AM51" i="26" s="1"/>
  <c r="AN51" i="26" s="1"/>
  <c r="AR51" i="26" s="1"/>
  <c r="AK46" i="26" a="1"/>
  <c r="AK46" i="26" s="1"/>
  <c r="AE40" i="26" a="1"/>
  <c r="AE40" i="26" s="1"/>
  <c r="E48" i="26" a="1"/>
  <c r="E48" i="26" s="1"/>
  <c r="Y46" i="26" a="1"/>
  <c r="Y46" i="26" s="1"/>
  <c r="O41" i="26" a="1"/>
  <c r="O41" i="26" s="1"/>
  <c r="M40" i="26" a="1"/>
  <c r="M40" i="26" s="1"/>
  <c r="E36" i="26" a="1"/>
  <c r="E36" i="26" s="1"/>
  <c r="AN36" i="26" s="1"/>
  <c r="AR36" i="26" s="1"/>
  <c r="AE39" i="25" a="1"/>
  <c r="AE39" i="25" s="1"/>
  <c r="W39" i="25" a="1"/>
  <c r="W39" i="25" s="1"/>
  <c r="AE37" i="24" a="1"/>
  <c r="AE37" i="24" s="1"/>
  <c r="AE57" i="24" s="1"/>
  <c r="E53" i="24" a="1"/>
  <c r="E53" i="24" s="1"/>
  <c r="E47" i="24" a="1"/>
  <c r="E47" i="24" s="1"/>
  <c r="E41" i="24" a="1"/>
  <c r="E41" i="24" s="1"/>
  <c r="M37" i="24" a="1"/>
  <c r="M37" i="24" s="1"/>
  <c r="M57" i="24" s="1"/>
  <c r="E35" i="24" a="1"/>
  <c r="E35" i="24" s="1"/>
  <c r="W45" i="23" a="1"/>
  <c r="W45" i="23" s="1"/>
  <c r="W65" i="23" s="1"/>
  <c r="I39" i="25" a="1"/>
  <c r="I39" i="25" s="1"/>
  <c r="AM37" i="25" a="1"/>
  <c r="AM37" i="25" s="1"/>
  <c r="AM49" i="24" a="1"/>
  <c r="AM49" i="24" s="1"/>
  <c r="AM39" i="30" a="1"/>
  <c r="AM39" i="30" s="1"/>
  <c r="E44" i="30" a="1"/>
  <c r="E44" i="30" s="1"/>
  <c r="Y42" i="30" a="1"/>
  <c r="Y42" i="30" s="1"/>
  <c r="AI46" i="29" a="1"/>
  <c r="AI46" i="29" s="1"/>
  <c r="E52" i="29" a="1"/>
  <c r="E52" i="29" s="1"/>
  <c r="AN52" i="29" s="1"/>
  <c r="AR52" i="29" s="1"/>
  <c r="Q46" i="29" a="1"/>
  <c r="Q46" i="29" s="1"/>
  <c r="G41" i="29" a="1"/>
  <c r="G41" i="29" s="1"/>
  <c r="E40" i="29" a="1"/>
  <c r="E40" i="29" s="1"/>
  <c r="AN40" i="29" s="1"/>
  <c r="AR40" i="29" s="1"/>
  <c r="AK48" i="28" a="1"/>
  <c r="AK48" i="28" s="1"/>
  <c r="AC42" i="28" a="1"/>
  <c r="AC42" i="28" s="1"/>
  <c r="E52" i="28" a="1"/>
  <c r="E52" i="28" s="1"/>
  <c r="AN52" i="28" s="1"/>
  <c r="AR52" i="28" s="1"/>
  <c r="U48" i="28" a="1"/>
  <c r="U48" i="28" s="1"/>
  <c r="K43" i="28" a="1"/>
  <c r="K43" i="28" s="1"/>
  <c r="I42" i="28" a="1"/>
  <c r="I42" i="28" s="1"/>
  <c r="E56" i="27" a="1"/>
  <c r="E56" i="27" s="1"/>
  <c r="AN56" i="27" s="1"/>
  <c r="AR56" i="27" s="1"/>
  <c r="O37" i="27" a="1"/>
  <c r="O37" i="27" s="1"/>
  <c r="AM37" i="26" a="1"/>
  <c r="AM37" i="26" s="1"/>
  <c r="AC41" i="26" a="1"/>
  <c r="AC41" i="26" s="1"/>
  <c r="E49" i="26" a="1"/>
  <c r="E49" i="26" s="1"/>
  <c r="AN49" i="26" s="1"/>
  <c r="AR49" i="26" s="1"/>
  <c r="W46" i="26" a="1"/>
  <c r="W46" i="26" s="1"/>
  <c r="M41" i="26" a="1"/>
  <c r="M41" i="26" s="1"/>
  <c r="K40" i="26" a="1"/>
  <c r="K40" i="26" s="1"/>
  <c r="AC39" i="25" a="1"/>
  <c r="AC39" i="25" s="1"/>
  <c r="U39" i="25" a="1"/>
  <c r="U39" i="25" s="1"/>
  <c r="AC37" i="24" a="1"/>
  <c r="AC37" i="24" s="1"/>
  <c r="AC57" i="24" s="1"/>
  <c r="K37" i="24" a="1"/>
  <c r="K37" i="24" s="1"/>
  <c r="K57" i="24" s="1"/>
  <c r="AI45" i="23" a="1"/>
  <c r="AI45" i="23" s="1"/>
  <c r="AI65" i="23" s="1"/>
  <c r="E60" i="23" a="1"/>
  <c r="E60" i="23" s="1"/>
  <c r="E48" i="23" a="1"/>
  <c r="E48" i="23" s="1"/>
  <c r="AN48" i="23" s="1"/>
  <c r="AR48" i="23" s="1"/>
  <c r="G39" i="25" a="1"/>
  <c r="G39" i="25" s="1"/>
  <c r="O37" i="25" a="1"/>
  <c r="O37" i="25" s="1"/>
  <c r="AM48" i="25" a="1"/>
  <c r="AM48" i="25" s="1"/>
  <c r="AM36" i="25" a="1"/>
  <c r="AM36" i="25" s="1"/>
  <c r="G51" i="30" a="1"/>
  <c r="G51" i="30" s="1"/>
  <c r="E47" i="30" a="1"/>
  <c r="E47" i="30" s="1"/>
  <c r="E45" i="30" a="1"/>
  <c r="E45" i="30" s="1"/>
  <c r="AN45" i="30" s="1"/>
  <c r="AR45" i="30" s="1"/>
  <c r="Y43" i="30" a="1"/>
  <c r="Y43" i="30" s="1"/>
  <c r="W42" i="30" a="1"/>
  <c r="W42" i="30" s="1"/>
  <c r="AM53" i="29" a="1"/>
  <c r="AM53" i="29" s="1"/>
  <c r="AN53" i="29" s="1"/>
  <c r="AR53" i="29" s="1"/>
  <c r="AM41" i="29" a="1"/>
  <c r="AM41" i="29" s="1"/>
  <c r="AA41" i="29" a="1"/>
  <c r="AA41" i="29" s="1"/>
  <c r="O46" i="29" a="1"/>
  <c r="O46" i="29" s="1"/>
  <c r="E41" i="29" a="1"/>
  <c r="E41" i="29" s="1"/>
  <c r="AM43" i="28" a="1"/>
  <c r="AM43" i="28" s="1"/>
  <c r="AE48" i="28" a="1"/>
  <c r="AE48" i="28" s="1"/>
  <c r="S48" i="28" a="1"/>
  <c r="S48" i="28" s="1"/>
  <c r="I43" i="28" a="1"/>
  <c r="I43" i="28" s="1"/>
  <c r="G42" i="28" a="1"/>
  <c r="G42" i="28" s="1"/>
  <c r="E41" i="28" a="1"/>
  <c r="E41" i="28" s="1"/>
  <c r="AN41" i="28" s="1"/>
  <c r="AR41" i="28" s="1"/>
  <c r="AM51" i="27" a="1"/>
  <c r="AM51" i="27" s="1"/>
  <c r="AK42" i="27" a="1"/>
  <c r="AK42" i="27" s="1"/>
  <c r="AK61" i="27" s="1"/>
  <c r="AC42" i="27" a="1"/>
  <c r="AC42" i="27" s="1"/>
  <c r="AC61" i="27" s="1"/>
  <c r="I42" i="27" a="1"/>
  <c r="I42" i="27" s="1"/>
  <c r="E58" i="27" a="1"/>
  <c r="E58" i="27" s="1"/>
  <c r="AN58" i="27" s="1"/>
  <c r="AR58" i="27" s="1"/>
  <c r="E57" i="27" a="1"/>
  <c r="E57" i="27" s="1"/>
  <c r="O38" i="27" a="1"/>
  <c r="O38" i="27" s="1"/>
  <c r="AI46" i="26" a="1"/>
  <c r="AI46" i="26" s="1"/>
  <c r="AC40" i="26" a="1"/>
  <c r="AC40" i="26" s="1"/>
  <c r="U46" i="26" a="1"/>
  <c r="U46" i="26" s="1"/>
  <c r="K41" i="26" a="1"/>
  <c r="K41" i="26" s="1"/>
  <c r="I40" i="26" a="1"/>
  <c r="I40" i="26" s="1"/>
  <c r="AA37" i="24" a="1"/>
  <c r="AA37" i="24" s="1"/>
  <c r="AA57" i="24" s="1"/>
  <c r="E54" i="24" a="1"/>
  <c r="E54" i="24" s="1"/>
  <c r="E48" i="24" a="1"/>
  <c r="E48" i="24" s="1"/>
  <c r="AN48" i="24" s="1"/>
  <c r="AR48" i="24" s="1"/>
  <c r="E42" i="24" a="1"/>
  <c r="E42" i="24" s="1"/>
  <c r="AN42" i="24" s="1"/>
  <c r="AR42" i="24" s="1"/>
  <c r="I37" i="24" a="1"/>
  <c r="I37" i="24" s="1"/>
  <c r="I57" i="24" s="1"/>
  <c r="E36" i="24" a="1"/>
  <c r="E36" i="24" s="1"/>
  <c r="E61" i="23" a="1"/>
  <c r="E61" i="23" s="1"/>
  <c r="AN61" i="23" s="1"/>
  <c r="AR61" i="23" s="1"/>
  <c r="E49" i="23" a="1"/>
  <c r="E49" i="23" s="1"/>
  <c r="U45" i="23" a="1"/>
  <c r="U45" i="23" s="1"/>
  <c r="U65" i="23" s="1"/>
  <c r="E38" i="23" a="1"/>
  <c r="E38" i="23" s="1"/>
  <c r="K54" i="23" a="1"/>
  <c r="K54" i="23" s="1"/>
  <c r="E40" i="23" a="1"/>
  <c r="E40" i="23" s="1"/>
  <c r="E53" i="23" a="1"/>
  <c r="E53" i="23" s="1"/>
  <c r="AN53" i="23" s="1"/>
  <c r="AR53" i="23" s="1"/>
  <c r="E54" i="25" a="1"/>
  <c r="E54" i="25" s="1"/>
  <c r="E45" i="25" a="1"/>
  <c r="E45" i="25" s="1"/>
  <c r="AN45" i="25" s="1"/>
  <c r="AR45" i="25" s="1"/>
  <c r="E39" i="25" a="1"/>
  <c r="E39" i="25" s="1"/>
  <c r="E36" i="25" a="1"/>
  <c r="E36" i="25" s="1"/>
  <c r="E33" i="25" a="1"/>
  <c r="E33" i="25" s="1"/>
  <c r="AN33" i="25" s="1"/>
  <c r="AR33" i="25" s="1"/>
  <c r="AM35" i="25" a="1"/>
  <c r="AM35" i="25" s="1"/>
  <c r="AN35" i="25" s="1"/>
  <c r="AR35" i="25" s="1"/>
  <c r="AM37" i="24" a="1"/>
  <c r="AM37" i="24" s="1"/>
  <c r="AM37" i="30" a="1"/>
  <c r="AM37" i="30" s="1"/>
  <c r="E50" i="30" a="1"/>
  <c r="E50" i="30" s="1"/>
  <c r="AN50" i="30" s="1"/>
  <c r="AR50" i="30" s="1"/>
  <c r="E49" i="30" a="1"/>
  <c r="E49" i="30" s="1"/>
  <c r="AN49" i="30" s="1"/>
  <c r="AR49" i="30" s="1"/>
  <c r="E48" i="30" a="1"/>
  <c r="E48" i="30" s="1"/>
  <c r="E46" i="30" a="1"/>
  <c r="E46" i="30" s="1"/>
  <c r="AN46" i="30" s="1"/>
  <c r="AR46" i="30" s="1"/>
  <c r="W43" i="30" a="1"/>
  <c r="W43" i="30" s="1"/>
  <c r="U42" i="30" a="1"/>
  <c r="U42" i="30" s="1"/>
  <c r="O37" i="30" a="1"/>
  <c r="O37" i="30" s="1"/>
  <c r="AG46" i="29" a="1"/>
  <c r="AG46" i="29" s="1"/>
  <c r="E54" i="29" a="1"/>
  <c r="E54" i="29" s="1"/>
  <c r="M46" i="29" a="1"/>
  <c r="M46" i="29" s="1"/>
  <c r="E42" i="29" a="1"/>
  <c r="E42" i="29" s="1"/>
  <c r="AN42" i="29" s="1"/>
  <c r="AR42" i="29" s="1"/>
  <c r="AM54" i="28" a="1"/>
  <c r="AM54" i="28" s="1"/>
  <c r="AN54" i="28" s="1"/>
  <c r="AR54" i="28" s="1"/>
  <c r="AM42" i="28" a="1"/>
  <c r="AM42" i="28" s="1"/>
  <c r="AG43" i="28" a="1"/>
  <c r="AG43" i="28" s="1"/>
  <c r="Q48" i="28" a="1"/>
  <c r="Q48" i="28" s="1"/>
  <c r="O47" i="28" a="1"/>
  <c r="O47" i="28" s="1"/>
  <c r="G43" i="28" a="1"/>
  <c r="G43" i="28" s="1"/>
  <c r="E42" i="28" a="1"/>
  <c r="E42" i="28" s="1"/>
  <c r="G42" i="27" a="1"/>
  <c r="G42" i="27" s="1"/>
  <c r="G61" i="27" s="1"/>
  <c r="AM38" i="27" a="1"/>
  <c r="AM38" i="27" s="1"/>
  <c r="U54" i="27" a="1"/>
  <c r="U54" i="27" s="1"/>
  <c r="E45" i="27" a="1"/>
  <c r="E45" i="27" s="1"/>
  <c r="Y42" i="27" a="1"/>
  <c r="Y42" i="27" s="1"/>
  <c r="Y61" i="27" s="1"/>
  <c r="E34" i="27" a="1"/>
  <c r="E34" i="27" s="1"/>
  <c r="AN34" i="27" s="1"/>
  <c r="AM48" i="26" a="1"/>
  <c r="AM48" i="26" s="1"/>
  <c r="AM35" i="26" a="1"/>
  <c r="AM35" i="26" s="1"/>
  <c r="AN35" i="26" s="1"/>
  <c r="AR35" i="26" s="1"/>
  <c r="AA41" i="26" a="1"/>
  <c r="AA41" i="26" s="1"/>
  <c r="S46" i="26" a="1"/>
  <c r="S46" i="26" s="1"/>
  <c r="I41" i="26" a="1"/>
  <c r="I41" i="26" s="1"/>
  <c r="G40" i="26" a="1"/>
  <c r="G40" i="26" s="1"/>
  <c r="E39" i="26" a="1"/>
  <c r="E39" i="26" s="1"/>
  <c r="AN39" i="26" s="1"/>
  <c r="AR39" i="26" s="1"/>
  <c r="Y37" i="24" a="1"/>
  <c r="Y37" i="24" s="1"/>
  <c r="Y57" i="24" s="1"/>
  <c r="O45" i="24" a="1"/>
  <c r="O45" i="24" s="1"/>
  <c r="O39" i="24" a="1"/>
  <c r="O39" i="24" s="1"/>
  <c r="G37" i="24" a="1"/>
  <c r="G37" i="24" s="1"/>
  <c r="G57" i="24" s="1"/>
  <c r="E62" i="23" a="1"/>
  <c r="E62" i="23" s="1"/>
  <c r="E50" i="23" a="1"/>
  <c r="E50" i="23" s="1"/>
  <c r="S45" i="23" a="1"/>
  <c r="S45" i="23" s="1"/>
  <c r="S65" i="23" s="1"/>
  <c r="E39" i="23" a="1"/>
  <c r="E39" i="23" s="1"/>
  <c r="AC45" i="23" a="1"/>
  <c r="AC45" i="23" s="1"/>
  <c r="AC65" i="23" s="1"/>
  <c r="E51" i="23" a="1"/>
  <c r="E51" i="23" s="1"/>
  <c r="AN51" i="23" s="1"/>
  <c r="AR51" i="23" s="1"/>
  <c r="O45" i="23" a="1"/>
  <c r="O45" i="23" s="1"/>
  <c r="E53" i="30" a="1"/>
  <c r="E53" i="30" s="1"/>
  <c r="E52" i="30" a="1"/>
  <c r="E52" i="30" s="1"/>
  <c r="AN52" i="30" s="1"/>
  <c r="AR52" i="30" s="1"/>
  <c r="U43" i="30" a="1"/>
  <c r="U43" i="30" s="1"/>
  <c r="S42" i="30" a="1"/>
  <c r="S42" i="30" s="1"/>
  <c r="AM39" i="29" a="1"/>
  <c r="AM39" i="29" s="1"/>
  <c r="AK41" i="29" a="1"/>
  <c r="AK41" i="29" s="1"/>
  <c r="E55" i="29" a="1"/>
  <c r="E55" i="29" s="1"/>
  <c r="K46" i="29" a="1"/>
  <c r="K46" i="29" s="1"/>
  <c r="Y41" i="29" a="1"/>
  <c r="Y41" i="29" s="1"/>
  <c r="AG42" i="28" a="1"/>
  <c r="AG42" i="28" s="1"/>
  <c r="E55" i="28" a="1"/>
  <c r="E55" i="28" s="1"/>
  <c r="AN55" i="28" s="1"/>
  <c r="AR55" i="28" s="1"/>
  <c r="O48" i="28" a="1"/>
  <c r="O48" i="28" s="1"/>
  <c r="E43" i="28" a="1"/>
  <c r="E43" i="28" s="1"/>
  <c r="G11" i="27" a="1"/>
  <c r="G11" i="27" s="1"/>
  <c r="AM37" i="27" a="1"/>
  <c r="AM37" i="27" s="1"/>
  <c r="W59" i="27" a="1"/>
  <c r="W59" i="27" s="1"/>
  <c r="E46" i="27" a="1"/>
  <c r="E46" i="27" s="1"/>
  <c r="W42" i="27" a="1"/>
  <c r="W42" i="27" s="1"/>
  <c r="E35" i="27" a="1"/>
  <c r="E35" i="27" s="1"/>
  <c r="AN35" i="27" s="1"/>
  <c r="AR35" i="27" s="1"/>
  <c r="AM47" i="26" a="1"/>
  <c r="AM47" i="26" s="1"/>
  <c r="AM46" i="26" a="1"/>
  <c r="AM46" i="26" s="1"/>
  <c r="AG46" i="26" a="1"/>
  <c r="AG46" i="26" s="1"/>
  <c r="AA40" i="26" a="1"/>
  <c r="AA40" i="26" s="1"/>
  <c r="E52" i="26" a="1"/>
  <c r="E52" i="26" s="1"/>
  <c r="AN52" i="26" s="1"/>
  <c r="AR52" i="26" s="1"/>
  <c r="Q46" i="26" a="1"/>
  <c r="Q46" i="26" s="1"/>
  <c r="G41" i="26" a="1"/>
  <c r="G41" i="26" s="1"/>
  <c r="E40" i="26" a="1"/>
  <c r="E40" i="26" s="1"/>
  <c r="AA39" i="25" a="1"/>
  <c r="AA39" i="25" s="1"/>
  <c r="E43" i="24" a="1"/>
  <c r="E43" i="24" s="1"/>
  <c r="E37" i="24" a="1"/>
  <c r="E37" i="24" s="1"/>
  <c r="Q45" i="23" a="1"/>
  <c r="Q45" i="23" s="1"/>
  <c r="Q65" i="23" s="1"/>
  <c r="E52" i="23" a="1"/>
  <c r="E52" i="23" s="1"/>
  <c r="E41" i="23" a="1"/>
  <c r="E41" i="23" s="1"/>
  <c r="M45" i="23" a="1"/>
  <c r="M45" i="23" s="1"/>
  <c r="M65" i="23" s="1"/>
  <c r="E42" i="30" a="1"/>
  <c r="E42" i="30" s="1"/>
  <c r="AM57" i="25" a="1"/>
  <c r="AM57" i="25" s="1"/>
  <c r="AM35" i="24" a="1"/>
  <c r="AM35" i="24" s="1"/>
  <c r="AM45" i="23" a="1"/>
  <c r="AM45" i="23" s="1"/>
  <c r="AM35" i="30" a="1"/>
  <c r="AM35" i="30" s="1"/>
  <c r="AA43" i="30" a="1"/>
  <c r="AA43" i="30" s="1"/>
  <c r="S43" i="30" a="1"/>
  <c r="S43" i="30" s="1"/>
  <c r="Q42" i="30" a="1"/>
  <c r="Q42" i="30" s="1"/>
  <c r="O39" i="30" a="1"/>
  <c r="O39" i="30" s="1"/>
  <c r="AM50" i="29" a="1"/>
  <c r="AM50" i="29" s="1"/>
  <c r="AM38" i="29" a="1"/>
  <c r="AM38" i="29" s="1"/>
  <c r="AE46" i="29" a="1"/>
  <c r="AE46" i="29" s="1"/>
  <c r="E56" i="29" a="1"/>
  <c r="E56" i="29" s="1"/>
  <c r="I46" i="29" a="1"/>
  <c r="I46" i="29" s="1"/>
  <c r="W41" i="29" a="1"/>
  <c r="W41" i="29" s="1"/>
  <c r="O37" i="29" a="1"/>
  <c r="O37" i="29" s="1"/>
  <c r="AI48" i="28" a="1"/>
  <c r="AI48" i="28" s="1"/>
  <c r="AA43" i="28" a="1"/>
  <c r="AA43" i="28" s="1"/>
  <c r="E56" i="28" a="1"/>
  <c r="E56" i="28" s="1"/>
  <c r="M48" i="28" a="1"/>
  <c r="M48" i="28" s="1"/>
  <c r="E44" i="28" a="1"/>
  <c r="E44" i="28" s="1"/>
  <c r="AN44" i="28" s="1"/>
  <c r="AR44" i="28" s="1"/>
  <c r="Y42" i="28" a="1"/>
  <c r="Y42" i="28" s="1"/>
  <c r="AM60" i="27" a="1"/>
  <c r="AM60" i="27" s="1"/>
  <c r="AN60" i="27" s="1"/>
  <c r="AR60" i="27" s="1"/>
  <c r="AM36" i="27" a="1"/>
  <c r="AM36" i="27" s="1"/>
  <c r="AI42" i="27" a="1"/>
  <c r="AI42" i="27" s="1"/>
  <c r="AI61" i="27" s="1"/>
  <c r="AA42" i="27" a="1"/>
  <c r="AA42" i="27" s="1"/>
  <c r="AA61" i="27" s="1"/>
  <c r="U42" i="27" a="1"/>
  <c r="U42" i="27" s="1"/>
  <c r="AM58" i="26" a="1"/>
  <c r="AM58" i="26" s="1"/>
  <c r="AN58" i="26" s="1"/>
  <c r="AR58" i="26" s="1"/>
  <c r="AK41" i="26" a="1"/>
  <c r="AK41" i="26" s="1"/>
  <c r="E53" i="26" a="1"/>
  <c r="E53" i="26" s="1"/>
  <c r="O46" i="26" a="1"/>
  <c r="O46" i="26" s="1"/>
  <c r="E41" i="26" a="1"/>
  <c r="E41" i="26" s="1"/>
  <c r="AG45" i="23" a="1"/>
  <c r="AG45" i="23" s="1"/>
  <c r="AG65" i="23" s="1"/>
  <c r="E42" i="23" a="1"/>
  <c r="E42" i="23" s="1"/>
  <c r="AN42" i="23" s="1"/>
  <c r="AR42" i="23" s="1"/>
  <c r="O41" i="25" a="1"/>
  <c r="O41" i="25" s="1"/>
  <c r="AM45" i="24" a="1"/>
  <c r="AM45" i="24" s="1"/>
  <c r="AM34" i="24" a="1"/>
  <c r="AM34" i="24" s="1"/>
  <c r="AN34" i="24" s="1"/>
  <c r="AR34" i="24" s="1"/>
  <c r="AC43" i="30" a="1"/>
  <c r="AC43" i="30" s="1"/>
  <c r="AA42" i="30" a="1"/>
  <c r="AA42" i="30" s="1"/>
  <c r="Q43" i="30" a="1"/>
  <c r="Q43" i="30" s="1"/>
  <c r="O42" i="30" a="1"/>
  <c r="O42" i="30" s="1"/>
  <c r="E34" i="30" a="1"/>
  <c r="E34" i="30" s="1"/>
  <c r="E32" i="30" a="1"/>
  <c r="E32" i="30" s="1"/>
  <c r="AN32" i="30" s="1"/>
  <c r="AR32" i="30" s="1"/>
  <c r="AM37" i="29" a="1"/>
  <c r="AM37" i="29" s="1"/>
  <c r="AI41" i="29" a="1"/>
  <c r="AI41" i="29" s="1"/>
  <c r="E57" i="29" a="1"/>
  <c r="E57" i="29" s="1"/>
  <c r="O50" i="29" a="1"/>
  <c r="O50" i="29" s="1"/>
  <c r="G46" i="29" a="1"/>
  <c r="G46" i="29" s="1"/>
  <c r="E45" i="29" a="1"/>
  <c r="E45" i="29" s="1"/>
  <c r="AN45" i="29" s="1"/>
  <c r="AR45" i="29" s="1"/>
  <c r="U41" i="29" a="1"/>
  <c r="U41" i="29" s="1"/>
  <c r="O38" i="29" a="1"/>
  <c r="O38" i="29" s="1"/>
  <c r="AM51" i="28" a="1"/>
  <c r="AM51" i="28" s="1"/>
  <c r="AM39" i="28" a="1"/>
  <c r="AM39" i="28" s="1"/>
  <c r="AK43" i="28" a="1"/>
  <c r="AK43" i="28" s="1"/>
  <c r="AC48" i="28" a="1"/>
  <c r="AC48" i="28" s="1"/>
  <c r="AA42" i="28" a="1"/>
  <c r="AA42" i="28" s="1"/>
  <c r="K48" i="28" a="1"/>
  <c r="K48" i="28" s="1"/>
  <c r="I47" i="28" a="1"/>
  <c r="I47" i="28" s="1"/>
  <c r="E45" i="28" a="1"/>
  <c r="E45" i="28" s="1"/>
  <c r="Y43" i="28" a="1"/>
  <c r="Y43" i="28" s="1"/>
  <c r="W42" i="28" a="1"/>
  <c r="W42" i="28" s="1"/>
  <c r="AM47" i="27" a="1"/>
  <c r="AM47" i="27" s="1"/>
  <c r="O54" i="27" a="1"/>
  <c r="O54" i="27" s="1"/>
  <c r="E48" i="27" a="1"/>
  <c r="E48" i="27" s="1"/>
  <c r="AN48" i="27" s="1"/>
  <c r="AR48" i="27" s="1"/>
  <c r="S43" i="27" a="1"/>
  <c r="S43" i="27" s="1"/>
  <c r="S42" i="27" a="1"/>
  <c r="S42" i="27" s="1"/>
  <c r="E37" i="27" a="1"/>
  <c r="E37" i="27" s="1"/>
  <c r="AK40" i="26" a="1"/>
  <c r="AK40" i="26" s="1"/>
  <c r="AE46" i="26" a="1"/>
  <c r="AE46" i="26" s="1"/>
  <c r="M46" i="26" a="1"/>
  <c r="M46" i="26" s="1"/>
  <c r="E42" i="26" a="1"/>
  <c r="E42" i="26" s="1"/>
  <c r="AN42" i="26" s="1"/>
  <c r="AR42" i="26" s="1"/>
  <c r="Y40" i="26" a="1"/>
  <c r="Y40" i="26" s="1"/>
  <c r="E56" i="24" a="1"/>
  <c r="E56" i="24" s="1"/>
  <c r="E50" i="24" a="1"/>
  <c r="E50" i="24" s="1"/>
  <c r="AN50" i="24" s="1"/>
  <c r="AR50" i="24" s="1"/>
  <c r="E44" i="24" a="1"/>
  <c r="E44" i="24" s="1"/>
  <c r="AN44" i="24" s="1"/>
  <c r="AR44" i="24" s="1"/>
  <c r="E38" i="24" a="1"/>
  <c r="E38" i="24" s="1"/>
  <c r="AN38" i="24" s="1"/>
  <c r="AR38" i="24" s="1"/>
  <c r="E32" i="24" a="1"/>
  <c r="E32" i="24" s="1"/>
  <c r="E43" i="20" a="1"/>
  <c r="E43" i="20" s="1"/>
  <c r="AN43" i="20" s="1"/>
  <c r="AR43" i="20" s="1"/>
  <c r="E36" i="20" a="1"/>
  <c r="E36" i="20" s="1"/>
  <c r="E46" i="20" a="1"/>
  <c r="E46" i="20" s="1"/>
  <c r="E55" i="20" a="1"/>
  <c r="E55" i="20" s="1"/>
  <c r="E44" i="20" a="1"/>
  <c r="E44" i="20" s="1"/>
  <c r="E54" i="20" a="1"/>
  <c r="E54" i="20" s="1"/>
  <c r="AN54" i="20" s="1"/>
  <c r="AR54" i="20" s="1"/>
  <c r="E47" i="20" a="1"/>
  <c r="E47" i="20" s="1"/>
  <c r="E56" i="20" a="1"/>
  <c r="E56" i="20" s="1"/>
  <c r="AN56" i="20" s="1"/>
  <c r="AR56" i="20" s="1"/>
  <c r="E49" i="20" a="1"/>
  <c r="E49" i="20" s="1"/>
  <c r="AN49" i="20" s="1"/>
  <c r="AR49" i="20" s="1"/>
  <c r="E35" i="20" a="1"/>
  <c r="E35" i="20" s="1"/>
  <c r="E39" i="20" a="1"/>
  <c r="E39" i="20" s="1"/>
  <c r="AN39" i="20" s="1"/>
  <c r="AR39" i="20" s="1"/>
  <c r="E40" i="20" a="1"/>
  <c r="E40" i="20" s="1"/>
  <c r="AN40" i="20" s="1"/>
  <c r="AR40" i="20" s="1"/>
  <c r="E59" i="20" a="1"/>
  <c r="E59" i="20" s="1"/>
  <c r="AN59" i="20" s="1"/>
  <c r="AR59" i="20" s="1"/>
  <c r="E42" i="20" a="1"/>
  <c r="E42" i="20" s="1"/>
  <c r="AN42" i="20" s="1"/>
  <c r="AR42" i="20" s="1"/>
  <c r="E48" i="20" a="1"/>
  <c r="E48" i="20" s="1"/>
  <c r="AN48" i="20" s="1"/>
  <c r="AR48" i="20" s="1"/>
  <c r="E57" i="20" a="1"/>
  <c r="E57" i="20" s="1"/>
  <c r="AN57" i="20" s="1"/>
  <c r="AR57" i="20" s="1"/>
  <c r="E58" i="20" a="1"/>
  <c r="E58" i="20" s="1"/>
  <c r="E61" i="20" a="1"/>
  <c r="E61" i="20" s="1"/>
  <c r="E45" i="20" a="1"/>
  <c r="E45" i="20" s="1"/>
  <c r="AN45" i="20" s="1"/>
  <c r="AR45" i="20" s="1"/>
  <c r="S56" i="21" a="1"/>
  <c r="S56" i="21" s="1"/>
  <c r="E14" i="23" a="1"/>
  <c r="E14" i="23" s="1"/>
  <c r="AB14" i="23" s="1"/>
  <c r="AF14" i="23" s="1"/>
  <c r="E13" i="23" a="1"/>
  <c r="E13" i="23" s="1"/>
  <c r="AB13" i="23" s="1"/>
  <c r="AF13" i="23" s="1"/>
  <c r="E5" i="23" a="1"/>
  <c r="E5" i="23" s="1"/>
  <c r="AM62" i="20" a="1"/>
  <c r="AM62" i="20" s="1"/>
  <c r="AN62" i="20" s="1"/>
  <c r="AR62" i="20" s="1"/>
  <c r="AI46" i="20" a="1"/>
  <c r="AI46" i="20" s="1"/>
  <c r="AG37" i="20" a="1"/>
  <c r="AG37" i="20" s="1"/>
  <c r="Q46" i="20" a="1"/>
  <c r="Q46" i="20" s="1"/>
  <c r="O38" i="20" a="1"/>
  <c r="O38" i="20" s="1"/>
  <c r="Q37" i="20" a="1"/>
  <c r="Q37" i="20" s="1"/>
  <c r="S36" i="20" a="1"/>
  <c r="S36" i="20" s="1"/>
  <c r="AM61" i="20" a="1"/>
  <c r="AM61" i="20" s="1"/>
  <c r="AM60" i="20" a="1"/>
  <c r="AM60" i="20" s="1"/>
  <c r="AN60" i="20" s="1"/>
  <c r="AR60" i="20" s="1"/>
  <c r="AG36" i="20" a="1"/>
  <c r="AG36" i="20" s="1"/>
  <c r="M46" i="20" a="1"/>
  <c r="M46" i="20" s="1"/>
  <c r="M37" i="20" a="1"/>
  <c r="M37" i="20" s="1"/>
  <c r="O36" i="20" a="1"/>
  <c r="O36" i="20" s="1"/>
  <c r="Q56" i="21" a="1"/>
  <c r="Q56" i="21" s="1"/>
  <c r="Q52" i="21" a="1"/>
  <c r="Q52" i="21" s="1"/>
  <c r="O51" i="21" a="1"/>
  <c r="O51" i="21" s="1"/>
  <c r="AE46" i="20" a="1"/>
  <c r="AE46" i="20" s="1"/>
  <c r="AE37" i="20" a="1"/>
  <c r="AE37" i="20" s="1"/>
  <c r="O53" i="20" a="1"/>
  <c r="O53" i="20" s="1"/>
  <c r="AN53" i="20" s="1"/>
  <c r="AR53" i="20" s="1"/>
  <c r="K46" i="20" a="1"/>
  <c r="K46" i="20" s="1"/>
  <c r="M36" i="20" a="1"/>
  <c r="M36" i="20" s="1"/>
  <c r="AM49" i="21" a="1"/>
  <c r="AM49" i="21" s="1"/>
  <c r="I81" i="21" a="1"/>
  <c r="I81" i="21" s="1"/>
  <c r="AN81" i="21" s="1"/>
  <c r="AR81" i="21" s="1"/>
  <c r="Q75" i="21" a="1"/>
  <c r="Q75" i="21" s="1"/>
  <c r="E69" i="21" a="1"/>
  <c r="E69" i="21" s="1"/>
  <c r="AN69" i="21" s="1"/>
  <c r="AR69" i="21" s="1"/>
  <c r="O56" i="21" a="1"/>
  <c r="O56" i="21" s="1"/>
  <c r="O52" i="21" a="1"/>
  <c r="O52" i="21" s="1"/>
  <c r="AM51" i="20" a="1"/>
  <c r="AM51" i="20" s="1"/>
  <c r="AM41" i="20" a="1"/>
  <c r="AM41" i="20" s="1"/>
  <c r="AC46" i="20" a="1"/>
  <c r="AC46" i="20" s="1"/>
  <c r="AE36" i="20" a="1"/>
  <c r="AE36" i="20" s="1"/>
  <c r="I46" i="20" a="1"/>
  <c r="I46" i="20" s="1"/>
  <c r="K37" i="20" a="1"/>
  <c r="K37" i="20" s="1"/>
  <c r="K36" i="20" a="1"/>
  <c r="K36" i="20" s="1"/>
  <c r="AM60" i="21" a="1"/>
  <c r="AM60" i="21" s="1"/>
  <c r="E86" i="21" a="1"/>
  <c r="E86" i="21" s="1"/>
  <c r="M56" i="21" a="1"/>
  <c r="M56" i="21" s="1"/>
  <c r="M52" i="21" a="1"/>
  <c r="M52" i="21" s="1"/>
  <c r="U51" i="21" a="1"/>
  <c r="U51" i="21" s="1"/>
  <c r="AA46" i="20" a="1"/>
  <c r="AA46" i="20" s="1"/>
  <c r="G46" i="20" a="1"/>
  <c r="G46" i="20" s="1"/>
  <c r="I37" i="20" a="1"/>
  <c r="I37" i="20" s="1"/>
  <c r="AM59" i="21" a="1"/>
  <c r="AM59" i="21" s="1"/>
  <c r="E85" i="21" a="1"/>
  <c r="E85" i="21" s="1"/>
  <c r="AN85" i="21" s="1"/>
  <c r="AR85" i="21" s="1"/>
  <c r="E84" i="21" a="1"/>
  <c r="E84" i="21" s="1"/>
  <c r="AN84" i="21" s="1"/>
  <c r="AR84" i="21" s="1"/>
  <c r="E83" i="21" a="1"/>
  <c r="E83" i="21" s="1"/>
  <c r="AN83" i="21" s="1"/>
  <c r="AR83" i="21" s="1"/>
  <c r="K56" i="21" a="1"/>
  <c r="K56" i="21" s="1"/>
  <c r="K52" i="21" a="1"/>
  <c r="K52" i="21" s="1"/>
  <c r="AM70" i="21" a="1"/>
  <c r="AM70" i="21" s="1"/>
  <c r="AN70" i="21" s="1"/>
  <c r="AR70" i="21" s="1"/>
  <c r="AM58" i="21" a="1"/>
  <c r="AM58" i="21" s="1"/>
  <c r="AN58" i="21" s="1"/>
  <c r="AR58" i="21" s="1"/>
  <c r="O74" i="21" a="1"/>
  <c r="O74" i="21" s="1"/>
  <c r="AN74" i="21" s="1"/>
  <c r="AR74" i="21" s="1"/>
  <c r="E66" i="21" a="1"/>
  <c r="E66" i="21" s="1"/>
  <c r="AN66" i="21" s="1"/>
  <c r="AR66" i="21" s="1"/>
  <c r="E65" i="21" a="1"/>
  <c r="E65" i="21" s="1"/>
  <c r="AN65" i="21" s="1"/>
  <c r="AR65" i="21" s="1"/>
  <c r="I60" i="21" a="1"/>
  <c r="I60" i="21" s="1"/>
  <c r="I56" i="21" a="1"/>
  <c r="I56" i="21" s="1"/>
  <c r="I51" i="21" a="1"/>
  <c r="I51" i="21" s="1"/>
  <c r="I50" i="21" a="1"/>
  <c r="I50" i="21" s="1"/>
  <c r="O68" i="21" a="1"/>
  <c r="O68" i="21" s="1"/>
  <c r="AA68" i="21" a="1"/>
  <c r="AA68" i="21" s="1"/>
  <c r="AM52" i="20" a="1"/>
  <c r="AM52" i="20" s="1"/>
  <c r="E72" i="21" a="1"/>
  <c r="E72" i="21" s="1"/>
  <c r="AN72" i="21" s="1"/>
  <c r="AR72" i="21" s="1"/>
  <c r="AK37" i="20" a="1"/>
  <c r="AK37" i="20" s="1"/>
  <c r="AC37" i="20" a="1"/>
  <c r="AC37" i="20" s="1"/>
  <c r="I36" i="20" a="1"/>
  <c r="I36" i="20" s="1"/>
  <c r="I52" i="21" a="1"/>
  <c r="I52" i="21" s="1"/>
  <c r="U52" i="21" a="1"/>
  <c r="U52" i="21" s="1"/>
  <c r="AM51" i="21" a="1"/>
  <c r="AM51" i="21" s="1"/>
  <c r="I52" i="20" a="1"/>
  <c r="I52" i="20" s="1"/>
  <c r="Y46" i="20" a="1"/>
  <c r="Y46" i="20" s="1"/>
  <c r="Y37" i="20" a="1"/>
  <c r="Y37" i="20" s="1"/>
  <c r="G36" i="20" a="1"/>
  <c r="G36" i="20" s="1"/>
  <c r="AC56" i="21" a="1"/>
  <c r="AC56" i="21" s="1"/>
  <c r="AM57" i="21" a="1"/>
  <c r="AM57" i="21" s="1"/>
  <c r="AN57" i="21" s="1"/>
  <c r="AR57" i="21" s="1"/>
  <c r="G52" i="21" a="1"/>
  <c r="G52" i="21" s="1"/>
  <c r="G51" i="21" a="1"/>
  <c r="G51" i="21" s="1"/>
  <c r="E47" i="21" a="1"/>
  <c r="E47" i="21" s="1"/>
  <c r="E48" i="21" a="1"/>
  <c r="E48" i="21" s="1"/>
  <c r="AN48" i="21" s="1"/>
  <c r="AR48" i="21" s="1"/>
  <c r="AM79" i="21" a="1"/>
  <c r="AM79" i="21" s="1"/>
  <c r="AN79" i="21" s="1"/>
  <c r="AR79" i="21" s="1"/>
  <c r="E77" i="21" a="1"/>
  <c r="E77" i="21" s="1"/>
  <c r="AN77" i="21" s="1"/>
  <c r="AR77" i="21" s="1"/>
  <c r="E62" i="21" a="1"/>
  <c r="E62" i="21" s="1"/>
  <c r="AN62" i="21" s="1"/>
  <c r="AR62" i="21" s="1"/>
  <c r="E59" i="21" a="1"/>
  <c r="E59" i="21" s="1"/>
  <c r="Y56" i="21" a="1"/>
  <c r="Y56" i="21" s="1"/>
  <c r="W52" i="21" a="1"/>
  <c r="W52" i="21" s="1"/>
  <c r="W56" i="21" a="1"/>
  <c r="W56" i="21" s="1"/>
  <c r="E73" i="21" a="1"/>
  <c r="E73" i="21" s="1"/>
  <c r="AN73" i="21" s="1"/>
  <c r="AR73" i="21" s="1"/>
  <c r="U56" i="21" a="1"/>
  <c r="U56" i="21" s="1"/>
  <c r="AG46" i="20" a="1"/>
  <c r="AG46" i="20" s="1"/>
  <c r="O46" i="20" a="1"/>
  <c r="O46" i="20" s="1"/>
  <c r="O37" i="20" a="1"/>
  <c r="O37" i="20" s="1"/>
  <c r="AA51" i="21" a="1"/>
  <c r="AA51" i="21" s="1"/>
  <c r="Q78" i="21" a="1"/>
  <c r="Q78" i="21" s="1"/>
  <c r="AN78" i="21" s="1"/>
  <c r="AR78" i="21" s="1"/>
  <c r="S52" i="21" a="1"/>
  <c r="S52" i="21" s="1"/>
  <c r="AM47" i="20" a="1"/>
  <c r="AM47" i="20" s="1"/>
  <c r="AM38" i="20" a="1"/>
  <c r="AM38" i="20" s="1"/>
  <c r="AK36" i="20" a="1"/>
  <c r="AK36" i="20" s="1"/>
  <c r="AC36" i="20" a="1"/>
  <c r="AC36" i="20" s="1"/>
  <c r="W46" i="20" a="1"/>
  <c r="W46" i="20" s="1"/>
  <c r="O41" i="20" a="1"/>
  <c r="O41" i="20" s="1"/>
  <c r="Y36" i="20" a="1"/>
  <c r="Y36" i="20" s="1"/>
  <c r="AC52" i="21" a="1"/>
  <c r="AC52" i="21" s="1"/>
  <c r="AM80" i="21" a="1"/>
  <c r="AM80" i="21" s="1"/>
  <c r="AN80" i="21" s="1"/>
  <c r="AR80" i="21" s="1"/>
  <c r="AM68" i="21" a="1"/>
  <c r="AM68" i="21" s="1"/>
  <c r="AM56" i="21" a="1"/>
  <c r="AM56" i="21" s="1"/>
  <c r="E64" i="21" a="1"/>
  <c r="E64" i="21" s="1"/>
  <c r="E63" i="21" a="1"/>
  <c r="E63" i="21" s="1"/>
  <c r="AN63" i="21" s="1"/>
  <c r="AR63" i="21" s="1"/>
  <c r="E54" i="21" a="1"/>
  <c r="E54" i="21" s="1"/>
  <c r="AN54" i="21" s="1"/>
  <c r="AR54" i="21" s="1"/>
  <c r="E53" i="21" a="1"/>
  <c r="E53" i="21" s="1"/>
  <c r="AN53" i="21" s="1"/>
  <c r="AR53" i="21" s="1"/>
  <c r="E52" i="21" a="1"/>
  <c r="E52" i="21" s="1"/>
  <c r="E51" i="21" a="1"/>
  <c r="E51" i="21" s="1"/>
  <c r="AM67" i="21" a="1"/>
  <c r="AM67" i="21" s="1"/>
  <c r="AN67" i="21" s="1"/>
  <c r="AR67" i="21" s="1"/>
  <c r="E76" i="21" a="1"/>
  <c r="E76" i="21" s="1"/>
  <c r="AN76" i="21" s="1"/>
  <c r="AR76" i="21" s="1"/>
  <c r="E61" i="21" a="1"/>
  <c r="E61" i="21" s="1"/>
  <c r="AN61" i="21" s="1"/>
  <c r="AR61" i="21" s="1"/>
  <c r="Y52" i="21" a="1"/>
  <c r="Y52" i="21" s="1"/>
  <c r="AM52" i="21" a="1"/>
  <c r="AM52" i="21" s="1"/>
  <c r="Q36" i="20" a="1"/>
  <c r="Q36" i="20" s="1"/>
  <c r="E71" i="21" a="1"/>
  <c r="E71" i="21" s="1"/>
  <c r="AM46" i="20" a="1"/>
  <c r="AM46" i="20" s="1"/>
  <c r="AM37" i="20" a="1"/>
  <c r="AM37" i="20" s="1"/>
  <c r="AI37" i="20" a="1"/>
  <c r="AI37" i="20" s="1"/>
  <c r="AA37" i="20" a="1"/>
  <c r="AA37" i="20" s="1"/>
  <c r="U46" i="20" a="1"/>
  <c r="U46" i="20" s="1"/>
  <c r="W37" i="20" a="1"/>
  <c r="W37" i="20" s="1"/>
  <c r="W36" i="20" a="1"/>
  <c r="W36" i="20" s="1"/>
  <c r="AM36" i="20" a="1"/>
  <c r="AM36" i="20" s="1"/>
  <c r="AI36" i="20" a="1"/>
  <c r="AI36" i="20" s="1"/>
  <c r="S46" i="20" a="1"/>
  <c r="S46" i="20" s="1"/>
  <c r="U37" i="20" a="1"/>
  <c r="U37" i="20" s="1"/>
  <c r="AK46" i="20" a="1"/>
  <c r="AK46" i="20" s="1"/>
  <c r="AA36" i="20" a="1"/>
  <c r="AA36" i="20" s="1"/>
  <c r="I50" i="20" a="1"/>
  <c r="I50" i="20" s="1"/>
  <c r="AN50" i="20" s="1"/>
  <c r="AR50" i="20" s="1"/>
  <c r="S37" i="20" a="1"/>
  <c r="S37" i="20" s="1"/>
  <c r="U36" i="20" a="1"/>
  <c r="U36" i="20" s="1"/>
  <c r="AA17" i="28" a="1"/>
  <c r="AA17" i="28" s="1"/>
  <c r="Y12" i="23" a="1"/>
  <c r="Y12" i="23" s="1"/>
  <c r="AA22" i="23" a="1"/>
  <c r="AA22" i="23" s="1"/>
  <c r="AB22" i="23" s="1"/>
  <c r="AF22" i="23" s="1"/>
  <c r="AA31" i="23" a="1"/>
  <c r="AA31" i="23" s="1"/>
  <c r="AB31" i="23" s="1"/>
  <c r="AF31" i="23" s="1"/>
  <c r="W12" i="23" a="1"/>
  <c r="W12" i="23" s="1"/>
  <c r="AA12" i="23" a="1"/>
  <c r="AA12" i="23" s="1"/>
  <c r="AA30" i="20" a="1"/>
  <c r="AA30" i="20" s="1"/>
  <c r="AB30" i="20" s="1"/>
  <c r="AF30" i="20" s="1"/>
  <c r="E24" i="20" a="1"/>
  <c r="E24" i="20" s="1"/>
  <c r="AB24" i="20" s="1"/>
  <c r="AF24" i="20" s="1"/>
  <c r="O14" i="20" a="1"/>
  <c r="O14" i="20" s="1"/>
  <c r="E10" i="20" a="1"/>
  <c r="E10" i="20" s="1"/>
  <c r="U5" i="20" a="1"/>
  <c r="U5" i="20" s="1"/>
  <c r="Y4" i="20" a="1"/>
  <c r="Y4" i="20" s="1"/>
  <c r="E4" i="20" a="1"/>
  <c r="E4" i="20" s="1"/>
  <c r="G14" i="20" a="1"/>
  <c r="G14" i="20" s="1"/>
  <c r="Y14" i="20" a="1"/>
  <c r="Y14" i="20" s="1"/>
  <c r="W14" i="20" a="1"/>
  <c r="W14" i="20" s="1"/>
  <c r="E25" i="20" a="1"/>
  <c r="E25" i="20" s="1"/>
  <c r="AB25" i="20" s="1"/>
  <c r="AF25" i="20" s="1"/>
  <c r="Q14" i="20" a="1"/>
  <c r="Q14" i="20" s="1"/>
  <c r="E23" i="20" a="1"/>
  <c r="E23" i="20" s="1"/>
  <c r="E17" i="20" a="1"/>
  <c r="E17" i="20" s="1"/>
  <c r="AB17" i="20" s="1"/>
  <c r="AF17" i="20" s="1"/>
  <c r="M14" i="20" a="1"/>
  <c r="M14" i="20" s="1"/>
  <c r="AA9" i="20" a="1"/>
  <c r="AA9" i="20" s="1"/>
  <c r="S5" i="20" a="1"/>
  <c r="S5" i="20" s="1"/>
  <c r="W4" i="20" a="1"/>
  <c r="W4" i="20" s="1"/>
  <c r="I20" i="20" a="1"/>
  <c r="I20" i="20" s="1"/>
  <c r="O9" i="20" a="1"/>
  <c r="O9" i="20" s="1"/>
  <c r="W5" i="20" a="1"/>
  <c r="W5" i="20" s="1"/>
  <c r="E16" i="20" a="1"/>
  <c r="E16" i="20" s="1"/>
  <c r="AB16" i="20" s="1"/>
  <c r="K14" i="20" a="1"/>
  <c r="K14" i="20" s="1"/>
  <c r="O6" i="20" a="1"/>
  <c r="O6" i="20" s="1"/>
  <c r="U4" i="20" a="1"/>
  <c r="U4" i="20" s="1"/>
  <c r="E3" i="20" a="1"/>
  <c r="E3" i="20" s="1"/>
  <c r="AB3" i="20" s="1"/>
  <c r="S4" i="20" a="1"/>
  <c r="S4" i="20" s="1"/>
  <c r="AA29" i="20" a="1"/>
  <c r="AA29" i="20" s="1"/>
  <c r="E15" i="20" a="1"/>
  <c r="E15" i="20" s="1"/>
  <c r="O5" i="20" a="1"/>
  <c r="O5" i="20" s="1"/>
  <c r="E14" i="20" a="1"/>
  <c r="E14" i="20" s="1"/>
  <c r="E7" i="20" a="1"/>
  <c r="E7" i="20" s="1"/>
  <c r="AB7" i="20" s="1"/>
  <c r="AF7" i="20" s="1"/>
  <c r="AA6" i="20" a="1"/>
  <c r="AA6" i="20" s="1"/>
  <c r="M4" i="20" a="1"/>
  <c r="M4" i="20" s="1"/>
  <c r="AA19" i="20" a="1"/>
  <c r="AA19" i="20" s="1"/>
  <c r="AB19" i="20" s="1"/>
  <c r="AF19" i="20" s="1"/>
  <c r="AA4" i="20" a="1"/>
  <c r="AA4" i="20" s="1"/>
  <c r="E27" i="20" a="1"/>
  <c r="E27" i="20" s="1"/>
  <c r="AB27" i="20" s="1"/>
  <c r="AF27" i="20" s="1"/>
  <c r="E22" i="20" a="1"/>
  <c r="E22" i="20" s="1"/>
  <c r="AB22" i="20" s="1"/>
  <c r="AF22" i="20" s="1"/>
  <c r="AA15" i="20" a="1"/>
  <c r="AA15" i="20" s="1"/>
  <c r="I14" i="20" a="1"/>
  <c r="I14" i="20" s="1"/>
  <c r="Q5" i="20" a="1"/>
  <c r="Q5" i="20" s="1"/>
  <c r="E26" i="20" a="1"/>
  <c r="E26" i="20" s="1"/>
  <c r="E8" i="20" a="1"/>
  <c r="E8" i="20" s="1"/>
  <c r="AB8" i="20" s="1"/>
  <c r="AF8" i="20" s="1"/>
  <c r="O4" i="20" a="1"/>
  <c r="O4" i="20" s="1"/>
  <c r="E29" i="20" a="1"/>
  <c r="E29" i="20" s="1"/>
  <c r="I18" i="20" a="1"/>
  <c r="I18" i="20" s="1"/>
  <c r="AB18" i="20" s="1"/>
  <c r="AF18" i="20" s="1"/>
  <c r="K4" i="20" a="1"/>
  <c r="K4" i="20" s="1"/>
  <c r="O21" i="20" a="1"/>
  <c r="O21" i="20" s="1"/>
  <c r="AA14" i="20" a="1"/>
  <c r="AA14" i="20" s="1"/>
  <c r="M5" i="20" a="1"/>
  <c r="M5" i="20" s="1"/>
  <c r="Q4" i="20" a="1"/>
  <c r="Q4" i="20" s="1"/>
  <c r="AA20" i="20" a="1"/>
  <c r="AA20" i="20" s="1"/>
  <c r="K5" i="20" a="1"/>
  <c r="K5" i="20" s="1"/>
  <c r="E13" i="20" a="1"/>
  <c r="E13" i="20" s="1"/>
  <c r="I5" i="20" a="1"/>
  <c r="I5" i="20" s="1"/>
  <c r="AA28" i="20" a="1"/>
  <c r="AA28" i="20" s="1"/>
  <c r="AB28" i="20" s="1"/>
  <c r="AF28" i="20" s="1"/>
  <c r="U14" i="20" a="1"/>
  <c r="U14" i="20" s="1"/>
  <c r="G4" i="20" a="1"/>
  <c r="G4" i="20" s="1"/>
  <c r="E11" i="20" a="1"/>
  <c r="E11" i="20" s="1"/>
  <c r="AB11" i="20" s="1"/>
  <c r="AF11" i="20" s="1"/>
  <c r="S14" i="20" a="1"/>
  <c r="S14" i="20" s="1"/>
  <c r="E12" i="20" a="1"/>
  <c r="E12" i="20" s="1"/>
  <c r="AB12" i="20" s="1"/>
  <c r="AF12" i="20" s="1"/>
  <c r="AA5" i="20" a="1"/>
  <c r="AA5" i="20" s="1"/>
  <c r="I4" i="20" a="1"/>
  <c r="I4" i="20" s="1"/>
  <c r="Y5" i="20" a="1"/>
  <c r="Y5" i="20" s="1"/>
  <c r="E22" i="24" a="1"/>
  <c r="E22" i="24" s="1"/>
  <c r="E8" i="23" a="1"/>
  <c r="E8" i="23" s="1"/>
  <c r="E21" i="30" a="1"/>
  <c r="E21" i="30" s="1"/>
  <c r="AB21" i="30" s="1"/>
  <c r="AF21" i="30" s="1"/>
  <c r="E21" i="29" a="1"/>
  <c r="E21" i="29" s="1"/>
  <c r="O7" i="29" a="1"/>
  <c r="O7" i="29" s="1"/>
  <c r="AA7" i="29" a="1"/>
  <c r="AA7" i="29" s="1"/>
  <c r="E7" i="29" a="1"/>
  <c r="E7" i="29" s="1"/>
  <c r="E17" i="28" a="1"/>
  <c r="E17" i="28" s="1"/>
  <c r="E17" i="26" a="1"/>
  <c r="E17" i="26" s="1"/>
  <c r="E6" i="27" a="1"/>
  <c r="E6" i="27" s="1"/>
  <c r="AA6" i="27" a="1"/>
  <c r="AA6" i="27" s="1"/>
  <c r="O6" i="27" a="1"/>
  <c r="O6" i="27" s="1"/>
  <c r="AA17" i="26" a="1"/>
  <c r="AA17" i="26" s="1"/>
  <c r="E7" i="25" a="1"/>
  <c r="E7" i="25" s="1"/>
  <c r="O7" i="25" a="1"/>
  <c r="O7" i="25" s="1"/>
  <c r="AA7" i="25" a="1"/>
  <c r="AA7" i="25" s="1"/>
  <c r="W7" i="23" a="1"/>
  <c r="W7" i="23" s="1"/>
  <c r="E7" i="23" a="1"/>
  <c r="E7" i="23" s="1"/>
  <c r="U22" i="30" a="1"/>
  <c r="U22" i="30" s="1"/>
  <c r="E22" i="30" a="1"/>
  <c r="E22" i="30" s="1"/>
  <c r="S22" i="30" a="1"/>
  <c r="S22" i="30" s="1"/>
  <c r="Q22" i="30" a="1"/>
  <c r="Q22" i="30" s="1"/>
  <c r="O22" i="30" a="1"/>
  <c r="O22" i="30" s="1"/>
  <c r="M22" i="30" a="1"/>
  <c r="M22" i="30" s="1"/>
  <c r="AA22" i="30" a="1"/>
  <c r="AA22" i="30" s="1"/>
  <c r="K22" i="30" a="1"/>
  <c r="K22" i="30" s="1"/>
  <c r="Q27" i="29" a="1"/>
  <c r="Q27" i="29" s="1"/>
  <c r="Y22" i="30" a="1"/>
  <c r="Y22" i="30" s="1"/>
  <c r="I22" i="30" a="1"/>
  <c r="I22" i="30" s="1"/>
  <c r="Y27" i="29" a="1"/>
  <c r="Y27" i="29" s="1"/>
  <c r="G27" i="29" a="1"/>
  <c r="G27" i="29" s="1"/>
  <c r="W27" i="29" a="1"/>
  <c r="W27" i="29" s="1"/>
  <c r="E27" i="29" a="1"/>
  <c r="E27" i="29" s="1"/>
  <c r="W22" i="30" a="1"/>
  <c r="W22" i="30" s="1"/>
  <c r="U27" i="29" a="1"/>
  <c r="U27" i="29" s="1"/>
  <c r="G22" i="30" a="1"/>
  <c r="G22" i="30" s="1"/>
  <c r="S27" i="29" a="1"/>
  <c r="S27" i="29" s="1"/>
  <c r="O27" i="29" a="1"/>
  <c r="O27" i="29" s="1"/>
  <c r="M27" i="29" a="1"/>
  <c r="M27" i="29" s="1"/>
  <c r="K27" i="29" a="1"/>
  <c r="K27" i="29" s="1"/>
  <c r="AA27" i="29" a="1"/>
  <c r="AA27" i="29" s="1"/>
  <c r="O26" i="25" a="1"/>
  <c r="O26" i="25" s="1"/>
  <c r="M26" i="25" a="1"/>
  <c r="M26" i="25" s="1"/>
  <c r="K26" i="25" a="1"/>
  <c r="K26" i="25" s="1"/>
  <c r="I26" i="25" a="1"/>
  <c r="I26" i="25" s="1"/>
  <c r="G26" i="25" a="1"/>
  <c r="G26" i="25" s="1"/>
  <c r="AA26" i="25" a="1"/>
  <c r="AA26" i="25" s="1"/>
  <c r="Y26" i="25" a="1"/>
  <c r="Y26" i="25" s="1"/>
  <c r="E26" i="25" a="1"/>
  <c r="E26" i="25" s="1"/>
  <c r="W26" i="25" a="1"/>
  <c r="W26" i="25" s="1"/>
  <c r="U26" i="25" a="1"/>
  <c r="U26" i="25" s="1"/>
  <c r="S26" i="25" a="1"/>
  <c r="S26" i="25" s="1"/>
  <c r="I27" i="29" a="1"/>
  <c r="I27" i="29" s="1"/>
  <c r="Q26" i="25" a="1"/>
  <c r="Q26" i="25" s="1"/>
  <c r="M24" i="23" a="1"/>
  <c r="M24" i="23" s="1"/>
  <c r="K24" i="23" a="1"/>
  <c r="K24" i="23" s="1"/>
  <c r="I24" i="23" a="1"/>
  <c r="I24" i="23" s="1"/>
  <c r="E24" i="23" a="1"/>
  <c r="E24" i="23" s="1"/>
  <c r="S24" i="23" a="1"/>
  <c r="S24" i="23" s="1"/>
  <c r="U24" i="23" a="1"/>
  <c r="U24" i="23" s="1"/>
  <c r="Q24" i="23" a="1"/>
  <c r="Q24" i="23" s="1"/>
  <c r="O24" i="23" a="1"/>
  <c r="O24" i="23" s="1"/>
  <c r="G24" i="23" a="1"/>
  <c r="G24" i="23" s="1"/>
  <c r="E16" i="30" a="1"/>
  <c r="E16" i="30" s="1"/>
  <c r="AB16" i="30" s="1"/>
  <c r="AF16" i="30" s="1"/>
  <c r="E23" i="29" a="1"/>
  <c r="E23" i="29" s="1"/>
  <c r="AB23" i="29" s="1"/>
  <c r="AF23" i="29" s="1"/>
  <c r="E14" i="28" a="1"/>
  <c r="E14" i="28" s="1"/>
  <c r="AB14" i="28" s="1"/>
  <c r="AF14" i="28" s="1"/>
  <c r="E17" i="27" a="1"/>
  <c r="E17" i="27" s="1"/>
  <c r="AB17" i="27" s="1"/>
  <c r="AF17" i="27" s="1"/>
  <c r="E14" i="26" a="1"/>
  <c r="E14" i="26" s="1"/>
  <c r="AB14" i="26" s="1"/>
  <c r="AF14" i="26" s="1"/>
  <c r="E22" i="25" a="1"/>
  <c r="E22" i="25" s="1"/>
  <c r="AB22" i="25" s="1"/>
  <c r="AF22" i="25" s="1"/>
  <c r="AN52" i="25"/>
  <c r="AR52" i="25" s="1"/>
  <c r="E13" i="24" a="1"/>
  <c r="E13" i="24" s="1"/>
  <c r="AB13" i="24" s="1"/>
  <c r="AF13" i="24" s="1"/>
  <c r="E18" i="23" a="1"/>
  <c r="E18" i="23" s="1"/>
  <c r="AB18" i="23" s="1"/>
  <c r="AF18" i="23" s="1"/>
  <c r="AA12" i="30" a="1"/>
  <c r="AA12" i="30" s="1"/>
  <c r="AB12" i="30" s="1"/>
  <c r="AF12" i="30" s="1"/>
  <c r="AE52" i="21" a="1"/>
  <c r="AE52" i="21" s="1"/>
  <c r="O11" i="28" a="1"/>
  <c r="O11" i="28" s="1"/>
  <c r="M11" i="28" a="1"/>
  <c r="M11" i="28" s="1"/>
  <c r="Y11" i="28" a="1"/>
  <c r="Y11" i="28" s="1"/>
  <c r="K11" i="28" a="1"/>
  <c r="K11" i="28" s="1"/>
  <c r="W11" i="28" a="1"/>
  <c r="W11" i="28" s="1"/>
  <c r="I11" i="28" a="1"/>
  <c r="I11" i="28" s="1"/>
  <c r="G11" i="28" a="1"/>
  <c r="G11" i="28" s="1"/>
  <c r="U11" i="28" a="1"/>
  <c r="U11" i="28" s="1"/>
  <c r="S11" i="28" a="1"/>
  <c r="S11" i="28" s="1"/>
  <c r="E11" i="28" a="1"/>
  <c r="E11" i="28" s="1"/>
  <c r="S11" i="26" a="1"/>
  <c r="S11" i="26" s="1"/>
  <c r="E11" i="26" a="1"/>
  <c r="E11" i="26" s="1"/>
  <c r="AA11" i="28" a="1"/>
  <c r="AA11" i="28" s="1"/>
  <c r="Q11" i="28" a="1"/>
  <c r="Q11" i="28" s="1"/>
  <c r="Y11" i="26" a="1"/>
  <c r="Y11" i="26" s="1"/>
  <c r="W11" i="26" a="1"/>
  <c r="W11" i="26" s="1"/>
  <c r="G11" i="26" a="1"/>
  <c r="G11" i="26" s="1"/>
  <c r="AA11" i="26" a="1"/>
  <c r="AA11" i="26" s="1"/>
  <c r="U11" i="26" a="1"/>
  <c r="U11" i="26" s="1"/>
  <c r="Q11" i="26" a="1"/>
  <c r="Q11" i="26" s="1"/>
  <c r="O11" i="26" a="1"/>
  <c r="O11" i="26" s="1"/>
  <c r="M11" i="26" a="1"/>
  <c r="M11" i="26" s="1"/>
  <c r="K11" i="26" a="1"/>
  <c r="K11" i="26" s="1"/>
  <c r="I11" i="26" a="1"/>
  <c r="I11" i="26" s="1"/>
  <c r="K24" i="28" a="1"/>
  <c r="K24" i="28" s="1"/>
  <c r="AA17" i="29" a="1"/>
  <c r="AA17" i="29" s="1"/>
  <c r="I17" i="29" a="1"/>
  <c r="I17" i="29" s="1"/>
  <c r="Y17" i="29" a="1"/>
  <c r="Y17" i="29" s="1"/>
  <c r="W17" i="29" a="1"/>
  <c r="W17" i="29" s="1"/>
  <c r="G17" i="29" a="1"/>
  <c r="G17" i="29" s="1"/>
  <c r="E17" i="29" a="1"/>
  <c r="E17" i="29" s="1"/>
  <c r="U17" i="29" a="1"/>
  <c r="U17" i="29" s="1"/>
  <c r="W24" i="28" a="1"/>
  <c r="W24" i="28" s="1"/>
  <c r="S17" i="29" a="1"/>
  <c r="S17" i="29" s="1"/>
  <c r="Q17" i="29" a="1"/>
  <c r="Q17" i="29" s="1"/>
  <c r="O17" i="29" a="1"/>
  <c r="O17" i="29" s="1"/>
  <c r="M17" i="29" a="1"/>
  <c r="M17" i="29" s="1"/>
  <c r="O24" i="28" a="1"/>
  <c r="O24" i="28" s="1"/>
  <c r="K17" i="29" a="1"/>
  <c r="K17" i="29" s="1"/>
  <c r="Q24" i="28" a="1"/>
  <c r="Q24" i="28" s="1"/>
  <c r="K26" i="27" a="1"/>
  <c r="K26" i="27" s="1"/>
  <c r="M24" i="28" a="1"/>
  <c r="M24" i="28" s="1"/>
  <c r="I26" i="27" a="1"/>
  <c r="I26" i="27" s="1"/>
  <c r="I24" i="28" a="1"/>
  <c r="I24" i="28" s="1"/>
  <c r="AA26" i="27" a="1"/>
  <c r="AA26" i="27" s="1"/>
  <c r="E24" i="28" a="1"/>
  <c r="E24" i="28" s="1"/>
  <c r="S26" i="27" a="1"/>
  <c r="S26" i="27" s="1"/>
  <c r="AA24" i="28" a="1"/>
  <c r="AA24" i="28" s="1"/>
  <c r="Y24" i="28" a="1"/>
  <c r="Y24" i="28" s="1"/>
  <c r="Q26" i="27" a="1"/>
  <c r="Q26" i="27" s="1"/>
  <c r="U24" i="28" a="1"/>
  <c r="U24" i="28" s="1"/>
  <c r="M26" i="27" a="1"/>
  <c r="M26" i="27" s="1"/>
  <c r="S24" i="28" a="1"/>
  <c r="S24" i="28" s="1"/>
  <c r="G26" i="27" a="1"/>
  <c r="G26" i="27" s="1"/>
  <c r="G24" i="28" a="1"/>
  <c r="G24" i="28" s="1"/>
  <c r="E26" i="27" a="1"/>
  <c r="E26" i="27" s="1"/>
  <c r="Y26" i="27" a="1"/>
  <c r="Y26" i="27" s="1"/>
  <c r="W26" i="27" a="1"/>
  <c r="W26" i="27" s="1"/>
  <c r="U26" i="27" a="1"/>
  <c r="U26" i="27" s="1"/>
  <c r="O16" i="25" a="1"/>
  <c r="O16" i="25" s="1"/>
  <c r="O26" i="27" a="1"/>
  <c r="O26" i="27" s="1"/>
  <c r="I16" i="25" a="1"/>
  <c r="I16" i="25" s="1"/>
  <c r="G16" i="25" a="1"/>
  <c r="G16" i="25" s="1"/>
  <c r="AA16" i="25" a="1"/>
  <c r="AA16" i="25" s="1"/>
  <c r="E16" i="25" a="1"/>
  <c r="E16" i="25" s="1"/>
  <c r="Y16" i="25" a="1"/>
  <c r="Y16" i="25" s="1"/>
  <c r="W16" i="25" a="1"/>
  <c r="W16" i="25" s="1"/>
  <c r="U16" i="25" a="1"/>
  <c r="U16" i="25" s="1"/>
  <c r="S16" i="25" a="1"/>
  <c r="S16" i="25" s="1"/>
  <c r="Q16" i="25" a="1"/>
  <c r="Q16" i="25" s="1"/>
  <c r="M16" i="25" a="1"/>
  <c r="M16" i="25" s="1"/>
  <c r="U18" i="24" a="1"/>
  <c r="U18" i="24" s="1"/>
  <c r="G18" i="24" a="1"/>
  <c r="G18" i="24" s="1"/>
  <c r="K16" i="25" a="1"/>
  <c r="K16" i="25" s="1"/>
  <c r="S18" i="24" a="1"/>
  <c r="S18" i="24" s="1"/>
  <c r="E18" i="24" a="1"/>
  <c r="E18" i="24" s="1"/>
  <c r="Q18" i="24" a="1"/>
  <c r="Q18" i="24" s="1"/>
  <c r="O18" i="24" a="1"/>
  <c r="O18" i="24" s="1"/>
  <c r="M18" i="24" a="1"/>
  <c r="M18" i="24" s="1"/>
  <c r="AA18" i="24" a="1"/>
  <c r="AA18" i="24" s="1"/>
  <c r="Y18" i="24" a="1"/>
  <c r="Y18" i="24" s="1"/>
  <c r="K18" i="24" a="1"/>
  <c r="K18" i="24" s="1"/>
  <c r="M29" i="23" a="1"/>
  <c r="M29" i="23" s="1"/>
  <c r="K29" i="23" a="1"/>
  <c r="K29" i="23" s="1"/>
  <c r="U29" i="23" a="1"/>
  <c r="U29" i="23" s="1"/>
  <c r="W18" i="24" a="1"/>
  <c r="W18" i="24" s="1"/>
  <c r="Q29" i="23" a="1"/>
  <c r="Q29" i="23" s="1"/>
  <c r="I18" i="24" a="1"/>
  <c r="I18" i="24" s="1"/>
  <c r="S29" i="23" a="1"/>
  <c r="S29" i="23" s="1"/>
  <c r="O29" i="23" a="1"/>
  <c r="O29" i="23" s="1"/>
  <c r="I29" i="23" a="1"/>
  <c r="I29" i="23" s="1"/>
  <c r="G29" i="23" a="1"/>
  <c r="G29" i="23" s="1"/>
  <c r="E29" i="23" a="1"/>
  <c r="E29" i="23" s="1"/>
  <c r="AA22" i="29" a="1"/>
  <c r="AA22" i="29" s="1"/>
  <c r="AB22" i="29" s="1"/>
  <c r="AF22" i="29" s="1"/>
  <c r="AA29" i="27" a="1"/>
  <c r="AA29" i="27" s="1"/>
  <c r="AB29" i="27" s="1"/>
  <c r="AF29" i="27" s="1"/>
  <c r="AA21" i="26" a="1"/>
  <c r="AA21" i="26" s="1"/>
  <c r="AB21" i="26" s="1"/>
  <c r="AF21" i="26" s="1"/>
  <c r="AA22" i="28" a="1"/>
  <c r="AA22" i="28" s="1"/>
  <c r="AB22" i="28" s="1"/>
  <c r="AF22" i="28" s="1"/>
  <c r="AA21" i="25" a="1"/>
  <c r="AA21" i="25" s="1"/>
  <c r="AB21" i="25" s="1"/>
  <c r="AF21" i="25" s="1"/>
  <c r="AA23" i="24" a="1"/>
  <c r="AA23" i="24" s="1"/>
  <c r="AB23" i="24" s="1"/>
  <c r="AF23" i="24" s="1"/>
  <c r="AI52" i="21" a="1"/>
  <c r="AI52" i="21" s="1"/>
  <c r="E24" i="27" a="1"/>
  <c r="E24" i="27" s="1"/>
  <c r="AB24" i="27" s="1"/>
  <c r="AF24" i="27" s="1"/>
  <c r="E11" i="24" a="1"/>
  <c r="E11" i="24" s="1"/>
  <c r="AB11" i="24" s="1"/>
  <c r="AF11" i="24" s="1"/>
  <c r="E17" i="30" a="1"/>
  <c r="E17" i="30" s="1"/>
  <c r="AB17" i="30" s="1"/>
  <c r="AF17" i="30" s="1"/>
  <c r="E14" i="29" a="1"/>
  <c r="E14" i="29" s="1"/>
  <c r="AB14" i="29" s="1"/>
  <c r="AF14" i="29" s="1"/>
  <c r="E12" i="28" a="1"/>
  <c r="E12" i="28" s="1"/>
  <c r="AB12" i="28" s="1"/>
  <c r="AF12" i="28" s="1"/>
  <c r="E14" i="27" a="1"/>
  <c r="E14" i="27" s="1"/>
  <c r="AB14" i="27" s="1"/>
  <c r="AF14" i="27" s="1"/>
  <c r="E12" i="26" a="1"/>
  <c r="E12" i="26" s="1"/>
  <c r="AB12" i="26" s="1"/>
  <c r="AF12" i="26" s="1"/>
  <c r="E13" i="25" a="1"/>
  <c r="E13" i="25" s="1"/>
  <c r="AB13" i="25" s="1"/>
  <c r="AF13" i="25" s="1"/>
  <c r="E9" i="24" a="1"/>
  <c r="E9" i="24" s="1"/>
  <c r="AB9" i="24" s="1"/>
  <c r="AF9" i="24" s="1"/>
  <c r="E15" i="23" a="1"/>
  <c r="E15" i="23" s="1"/>
  <c r="AB15" i="23" s="1"/>
  <c r="AF15" i="23" s="1"/>
  <c r="E5" i="30" a="1"/>
  <c r="E5" i="30" s="1"/>
  <c r="AB5" i="30" s="1"/>
  <c r="AF5" i="30" s="1"/>
  <c r="E4" i="29" a="1"/>
  <c r="E4" i="29" s="1"/>
  <c r="AB4" i="29" s="1"/>
  <c r="AF4" i="29" s="1"/>
  <c r="E4" i="28" a="1"/>
  <c r="E4" i="28" s="1"/>
  <c r="AB4" i="28" s="1"/>
  <c r="AF4" i="28" s="1"/>
  <c r="E4" i="27" a="1"/>
  <c r="E4" i="27" s="1"/>
  <c r="AB4" i="27" s="1"/>
  <c r="AF4" i="27" s="1"/>
  <c r="E4" i="26" a="1"/>
  <c r="E4" i="26" s="1"/>
  <c r="AB4" i="26" s="1"/>
  <c r="AF4" i="26" s="1"/>
  <c r="E4" i="25" a="1"/>
  <c r="E4" i="25" s="1"/>
  <c r="AB4" i="25" s="1"/>
  <c r="AF4" i="25" s="1"/>
  <c r="E4" i="24" a="1"/>
  <c r="E4" i="24" s="1"/>
  <c r="AB4" i="24" s="1"/>
  <c r="AF4" i="24" s="1"/>
  <c r="E4" i="23" a="1"/>
  <c r="E4" i="23" s="1"/>
  <c r="AN33" i="26"/>
  <c r="AR33" i="26" s="1"/>
  <c r="E3" i="26" a="1"/>
  <c r="E3" i="26" s="1"/>
  <c r="AB3" i="26" s="1"/>
  <c r="AK52" i="21" a="1"/>
  <c r="AK52" i="21" s="1"/>
  <c r="K23" i="26" a="1"/>
  <c r="K23" i="26" s="1"/>
  <c r="W23" i="26" a="1"/>
  <c r="W23" i="26" s="1"/>
  <c r="I23" i="26" a="1"/>
  <c r="I23" i="26" s="1"/>
  <c r="G23" i="26" a="1"/>
  <c r="G23" i="26" s="1"/>
  <c r="E23" i="26" a="1"/>
  <c r="E23" i="26" s="1"/>
  <c r="Q23" i="26" a="1"/>
  <c r="Q23" i="26" s="1"/>
  <c r="O23" i="26" a="1"/>
  <c r="O23" i="26" s="1"/>
  <c r="AA23" i="26" a="1"/>
  <c r="AA23" i="26" s="1"/>
  <c r="M23" i="26" a="1"/>
  <c r="M23" i="26" s="1"/>
  <c r="Y23" i="26" a="1"/>
  <c r="Y23" i="26" s="1"/>
  <c r="U23" i="26" a="1"/>
  <c r="U23" i="26" s="1"/>
  <c r="S23" i="26" a="1"/>
  <c r="S23" i="26" s="1"/>
  <c r="I15" i="28" a="1"/>
  <c r="I15" i="28" s="1"/>
  <c r="U19" i="27" a="1"/>
  <c r="U19" i="27" s="1"/>
  <c r="O15" i="28" a="1"/>
  <c r="O15" i="28" s="1"/>
  <c r="K19" i="27" a="1"/>
  <c r="K19" i="27" s="1"/>
  <c r="AA15" i="28" a="1"/>
  <c r="AA15" i="28" s="1"/>
  <c r="O19" i="27" a="1"/>
  <c r="O19" i="27" s="1"/>
  <c r="M19" i="27" a="1"/>
  <c r="M19" i="27" s="1"/>
  <c r="U15" i="28" a="1"/>
  <c r="U15" i="28" s="1"/>
  <c r="I19" i="27" a="1"/>
  <c r="I19" i="27" s="1"/>
  <c r="AA19" i="27" a="1"/>
  <c r="AA19" i="27" s="1"/>
  <c r="G19" i="27" a="1"/>
  <c r="G19" i="27" s="1"/>
  <c r="Y19" i="27" a="1"/>
  <c r="Y19" i="27" s="1"/>
  <c r="AA15" i="26" a="1"/>
  <c r="AA15" i="26" s="1"/>
  <c r="E19" i="27" a="1"/>
  <c r="E19" i="27" s="1"/>
  <c r="W19" i="27" a="1"/>
  <c r="W19" i="27" s="1"/>
  <c r="I15" i="26" a="1"/>
  <c r="I15" i="26" s="1"/>
  <c r="S19" i="27" a="1"/>
  <c r="S19" i="27" s="1"/>
  <c r="U15" i="26" a="1"/>
  <c r="U15" i="26" s="1"/>
  <c r="O15" i="26" a="1"/>
  <c r="O15" i="26" s="1"/>
  <c r="Q19" i="27" a="1"/>
  <c r="Q19" i="27" s="1"/>
  <c r="E28" i="28" a="1"/>
  <c r="E28" i="28" s="1"/>
  <c r="AB28" i="28" s="1"/>
  <c r="AF28" i="28" s="1"/>
  <c r="AA56" i="21" a="1"/>
  <c r="AA56" i="21" s="1"/>
  <c r="AA8" i="29" a="1"/>
  <c r="AA8" i="29" s="1"/>
  <c r="E8" i="29" a="1"/>
  <c r="E8" i="29" s="1"/>
  <c r="O8" i="29" a="1"/>
  <c r="O8" i="29" s="1"/>
  <c r="E27" i="28" a="1"/>
  <c r="E27" i="28" s="1"/>
  <c r="AB27" i="28" s="1"/>
  <c r="AF27" i="28" s="1"/>
  <c r="E20" i="30" a="1"/>
  <c r="E20" i="30" s="1"/>
  <c r="AA20" i="30" a="1"/>
  <c r="AA20" i="30" s="1"/>
  <c r="E3" i="30" a="1"/>
  <c r="E3" i="30" s="1"/>
  <c r="AB3" i="30" s="1"/>
  <c r="E3" i="29" a="1"/>
  <c r="E3" i="29" s="1"/>
  <c r="E3" i="28" a="1"/>
  <c r="E3" i="28" s="1"/>
  <c r="AB3" i="28" s="1"/>
  <c r="E3" i="27" a="1"/>
  <c r="E3" i="27" s="1"/>
  <c r="AB3" i="27" s="1"/>
  <c r="E3" i="25" a="1"/>
  <c r="E3" i="25" s="1"/>
  <c r="E3" i="24" a="1"/>
  <c r="E3" i="24" s="1"/>
  <c r="E3" i="23" a="1"/>
  <c r="E3" i="23" s="1"/>
  <c r="AA15" i="30" a="1"/>
  <c r="AA15" i="30" s="1"/>
  <c r="M15" i="30" a="1"/>
  <c r="M15" i="30" s="1"/>
  <c r="K15" i="30" a="1"/>
  <c r="K15" i="30" s="1"/>
  <c r="Y15" i="30" a="1"/>
  <c r="Y15" i="30" s="1"/>
  <c r="I15" i="30" a="1"/>
  <c r="I15" i="30" s="1"/>
  <c r="G15" i="30" a="1"/>
  <c r="G15" i="30" s="1"/>
  <c r="E15" i="30" a="1"/>
  <c r="E15" i="30" s="1"/>
  <c r="U15" i="30" a="1"/>
  <c r="U15" i="30" s="1"/>
  <c r="S15" i="30" a="1"/>
  <c r="S15" i="30" s="1"/>
  <c r="Q15" i="30" a="1"/>
  <c r="Q15" i="30" s="1"/>
  <c r="O15" i="30" a="1"/>
  <c r="O15" i="30" s="1"/>
  <c r="S25" i="29" a="1"/>
  <c r="S25" i="29" s="1"/>
  <c r="K26" i="28" a="1"/>
  <c r="K26" i="28" s="1"/>
  <c r="W15" i="30" a="1"/>
  <c r="W15" i="30" s="1"/>
  <c r="Q25" i="29" a="1"/>
  <c r="Q25" i="29" s="1"/>
  <c r="O25" i="29" a="1"/>
  <c r="O25" i="29" s="1"/>
  <c r="M25" i="29" a="1"/>
  <c r="M25" i="29" s="1"/>
  <c r="AA25" i="29" a="1"/>
  <c r="AA25" i="29" s="1"/>
  <c r="K25" i="29" a="1"/>
  <c r="K25" i="29" s="1"/>
  <c r="W26" i="28" a="1"/>
  <c r="W26" i="28" s="1"/>
  <c r="Y25" i="29" a="1"/>
  <c r="Y25" i="29" s="1"/>
  <c r="I25" i="29" a="1"/>
  <c r="I25" i="29" s="1"/>
  <c r="W25" i="29" a="1"/>
  <c r="W25" i="29" s="1"/>
  <c r="G25" i="29" a="1"/>
  <c r="G25" i="29" s="1"/>
  <c r="U25" i="29" a="1"/>
  <c r="U25" i="29" s="1"/>
  <c r="E25" i="29" a="1"/>
  <c r="E25" i="29" s="1"/>
  <c r="O26" i="28" a="1"/>
  <c r="O26" i="28" s="1"/>
  <c r="G26" i="28" a="1"/>
  <c r="G26" i="28" s="1"/>
  <c r="E26" i="28" a="1"/>
  <c r="E26" i="28" s="1"/>
  <c r="AA26" i="28" a="1"/>
  <c r="AA26" i="28" s="1"/>
  <c r="Y26" i="28" a="1"/>
  <c r="Y26" i="28" s="1"/>
  <c r="U26" i="28" a="1"/>
  <c r="U26" i="28" s="1"/>
  <c r="S26" i="28" a="1"/>
  <c r="S26" i="28" s="1"/>
  <c r="Q26" i="28" a="1"/>
  <c r="Q26" i="28" s="1"/>
  <c r="M26" i="28" a="1"/>
  <c r="M26" i="28" s="1"/>
  <c r="W18" i="27" a="1"/>
  <c r="W18" i="27" s="1"/>
  <c r="W25" i="26" a="1"/>
  <c r="W25" i="26" s="1"/>
  <c r="I25" i="26" a="1"/>
  <c r="I25" i="26" s="1"/>
  <c r="U18" i="27" a="1"/>
  <c r="U18" i="27" s="1"/>
  <c r="E18" i="27" a="1"/>
  <c r="E18" i="27" s="1"/>
  <c r="U25" i="26" a="1"/>
  <c r="U25" i="26" s="1"/>
  <c r="G25" i="26" a="1"/>
  <c r="G25" i="26" s="1"/>
  <c r="S18" i="27" a="1"/>
  <c r="S18" i="27" s="1"/>
  <c r="S25" i="26" a="1"/>
  <c r="S25" i="26" s="1"/>
  <c r="E25" i="26" a="1"/>
  <c r="E25" i="26" s="1"/>
  <c r="Q18" i="27" a="1"/>
  <c r="Q18" i="27" s="1"/>
  <c r="Q25" i="26" a="1"/>
  <c r="Q25" i="26" s="1"/>
  <c r="O18" i="27" a="1"/>
  <c r="O18" i="27" s="1"/>
  <c r="M18" i="27" a="1"/>
  <c r="M18" i="27" s="1"/>
  <c r="O25" i="26" a="1"/>
  <c r="O25" i="26" s="1"/>
  <c r="AA18" i="27" a="1"/>
  <c r="AA18" i="27" s="1"/>
  <c r="K18" i="27" a="1"/>
  <c r="K18" i="27" s="1"/>
  <c r="AA25" i="26" a="1"/>
  <c r="AA25" i="26" s="1"/>
  <c r="I18" i="27" a="1"/>
  <c r="I18" i="27" s="1"/>
  <c r="M25" i="26" a="1"/>
  <c r="M25" i="26" s="1"/>
  <c r="O24" i="25" a="1"/>
  <c r="O24" i="25" s="1"/>
  <c r="AA25" i="24" a="1"/>
  <c r="AA25" i="24" s="1"/>
  <c r="M24" i="25" a="1"/>
  <c r="M24" i="25" s="1"/>
  <c r="K24" i="25" a="1"/>
  <c r="K24" i="25" s="1"/>
  <c r="AA24" i="25" a="1"/>
  <c r="AA24" i="25" s="1"/>
  <c r="G24" i="25" a="1"/>
  <c r="G24" i="25" s="1"/>
  <c r="Y24" i="25" a="1"/>
  <c r="Y24" i="25" s="1"/>
  <c r="E24" i="25" a="1"/>
  <c r="E24" i="25" s="1"/>
  <c r="Y25" i="26" a="1"/>
  <c r="Y25" i="26" s="1"/>
  <c r="W24" i="25" a="1"/>
  <c r="W24" i="25" s="1"/>
  <c r="U24" i="25" a="1"/>
  <c r="U24" i="25" s="1"/>
  <c r="Y18" i="27" a="1"/>
  <c r="Y18" i="27" s="1"/>
  <c r="G18" i="27" a="1"/>
  <c r="G18" i="27" s="1"/>
  <c r="K25" i="26" a="1"/>
  <c r="K25" i="26" s="1"/>
  <c r="S24" i="25" a="1"/>
  <c r="S24" i="25" s="1"/>
  <c r="Y25" i="24" a="1"/>
  <c r="Y25" i="24" s="1"/>
  <c r="W25" i="24" a="1"/>
  <c r="W25" i="24" s="1"/>
  <c r="E25" i="24" a="1"/>
  <c r="E25" i="24" s="1"/>
  <c r="U25" i="24" a="1"/>
  <c r="U25" i="24" s="1"/>
  <c r="Q24" i="25" a="1"/>
  <c r="Q24" i="25" s="1"/>
  <c r="I24" i="25" a="1"/>
  <c r="I24" i="25" s="1"/>
  <c r="S25" i="24" a="1"/>
  <c r="S25" i="24" s="1"/>
  <c r="Q25" i="24" a="1"/>
  <c r="Q25" i="24" s="1"/>
  <c r="O25" i="24" a="1"/>
  <c r="O25" i="24" s="1"/>
  <c r="M25" i="24" a="1"/>
  <c r="M25" i="24" s="1"/>
  <c r="K25" i="24" a="1"/>
  <c r="K25" i="24" s="1"/>
  <c r="I25" i="24" a="1"/>
  <c r="I25" i="24" s="1"/>
  <c r="Q19" i="23" a="1"/>
  <c r="Q19" i="23" s="1"/>
  <c r="M19" i="23" a="1"/>
  <c r="M19" i="23" s="1"/>
  <c r="G25" i="24" a="1"/>
  <c r="G25" i="24" s="1"/>
  <c r="I19" i="23" a="1"/>
  <c r="I19" i="23" s="1"/>
  <c r="G19" i="23" a="1"/>
  <c r="G19" i="23" s="1"/>
  <c r="E19" i="23" a="1"/>
  <c r="E19" i="23" s="1"/>
  <c r="U19" i="23" a="1"/>
  <c r="U19" i="23" s="1"/>
  <c r="S19" i="23" a="1"/>
  <c r="S19" i="23" s="1"/>
  <c r="O19" i="23" a="1"/>
  <c r="O19" i="23" s="1"/>
  <c r="E29" i="28" a="1"/>
  <c r="E29" i="28" s="1"/>
  <c r="AB29" i="28" s="1"/>
  <c r="AF29" i="28" s="1"/>
  <c r="AA28" i="26" a="1"/>
  <c r="AA28" i="26" s="1"/>
  <c r="AB28" i="26" s="1"/>
  <c r="AF28" i="26" s="1"/>
  <c r="AN36" i="30"/>
  <c r="AR36" i="30" s="1"/>
  <c r="E7" i="30" a="1"/>
  <c r="E7" i="30" s="1"/>
  <c r="AB7" i="30" s="1"/>
  <c r="AF7" i="30" s="1"/>
  <c r="E11" i="29" a="1"/>
  <c r="E11" i="29" s="1"/>
  <c r="AB11" i="29" s="1"/>
  <c r="AF11" i="29" s="1"/>
  <c r="E6" i="28" a="1"/>
  <c r="E6" i="28" s="1"/>
  <c r="AB6" i="28" s="1"/>
  <c r="AF6" i="28" s="1"/>
  <c r="E8" i="27" a="1"/>
  <c r="E8" i="27" s="1"/>
  <c r="AB8" i="27" s="1"/>
  <c r="AF8" i="27" s="1"/>
  <c r="E6" i="26" a="1"/>
  <c r="E6" i="26" s="1"/>
  <c r="AB6" i="26" s="1"/>
  <c r="AF6" i="26" s="1"/>
  <c r="E10" i="25" a="1"/>
  <c r="E10" i="25" s="1"/>
  <c r="AB10" i="25" s="1"/>
  <c r="AF10" i="25" s="1"/>
  <c r="E15" i="24" a="1"/>
  <c r="E15" i="24" s="1"/>
  <c r="AB15" i="24" s="1"/>
  <c r="AF15" i="24" s="1"/>
  <c r="E9" i="23" a="1"/>
  <c r="E9" i="23" s="1"/>
  <c r="AB9" i="23" s="1"/>
  <c r="AF9" i="23" s="1"/>
  <c r="AA6" i="30" a="1"/>
  <c r="AA6" i="30" s="1"/>
  <c r="AA5" i="29" a="1"/>
  <c r="AA5" i="29" s="1"/>
  <c r="AB5" i="29" s="1"/>
  <c r="AF5" i="29" s="1"/>
  <c r="AA5" i="28" a="1"/>
  <c r="AA5" i="28" s="1"/>
  <c r="AB5" i="28" s="1"/>
  <c r="AF5" i="28" s="1"/>
  <c r="AA5" i="27" a="1"/>
  <c r="AA5" i="27" s="1"/>
  <c r="AB5" i="27" s="1"/>
  <c r="AF5" i="27" s="1"/>
  <c r="AA5" i="26" a="1"/>
  <c r="AA5" i="26" s="1"/>
  <c r="AB5" i="26" s="1"/>
  <c r="AF5" i="26" s="1"/>
  <c r="AN37" i="28"/>
  <c r="AR37" i="28" s="1"/>
  <c r="AA5" i="25" a="1"/>
  <c r="AA5" i="25" s="1"/>
  <c r="AB5" i="25" s="1"/>
  <c r="AF5" i="25" s="1"/>
  <c r="AA5" i="24" a="1"/>
  <c r="AA5" i="24" s="1"/>
  <c r="AB5" i="24" s="1"/>
  <c r="AF5" i="24" s="1"/>
  <c r="W5" i="23" a="1"/>
  <c r="W5" i="23" s="1"/>
  <c r="U26" i="29" a="1"/>
  <c r="U26" i="29" s="1"/>
  <c r="Y26" i="29" a="1"/>
  <c r="Y26" i="29" s="1"/>
  <c r="K26" i="29" a="1"/>
  <c r="K26" i="29" s="1"/>
  <c r="I26" i="29" a="1"/>
  <c r="I26" i="29" s="1"/>
  <c r="G26" i="29" a="1"/>
  <c r="G26" i="29" s="1"/>
  <c r="AA26" i="29" a="1"/>
  <c r="AA26" i="29" s="1"/>
  <c r="E26" i="29" a="1"/>
  <c r="E26" i="29" s="1"/>
  <c r="W26" i="29" a="1"/>
  <c r="W26" i="29" s="1"/>
  <c r="S26" i="29" a="1"/>
  <c r="S26" i="29" s="1"/>
  <c r="Q26" i="29" a="1"/>
  <c r="Q26" i="29" s="1"/>
  <c r="O26" i="29" a="1"/>
  <c r="O26" i="29" s="1"/>
  <c r="M26" i="29" a="1"/>
  <c r="M26" i="29" s="1"/>
  <c r="W25" i="25" a="1"/>
  <c r="W25" i="25" s="1"/>
  <c r="I25" i="25" a="1"/>
  <c r="I25" i="25" s="1"/>
  <c r="U25" i="25" a="1"/>
  <c r="U25" i="25" s="1"/>
  <c r="G25" i="25" a="1"/>
  <c r="G25" i="25" s="1"/>
  <c r="S25" i="25" a="1"/>
  <c r="S25" i="25" s="1"/>
  <c r="E25" i="25" a="1"/>
  <c r="E25" i="25" s="1"/>
  <c r="Q25" i="25" a="1"/>
  <c r="Q25" i="25" s="1"/>
  <c r="O25" i="25" a="1"/>
  <c r="O25" i="25" s="1"/>
  <c r="AA25" i="25" a="1"/>
  <c r="AA25" i="25" s="1"/>
  <c r="M25" i="25" a="1"/>
  <c r="M25" i="25" s="1"/>
  <c r="Y25" i="25" a="1"/>
  <c r="Y25" i="25" s="1"/>
  <c r="K25" i="25" a="1"/>
  <c r="K25" i="25" s="1"/>
  <c r="Q23" i="23" a="1"/>
  <c r="Q23" i="23" s="1"/>
  <c r="M23" i="23" a="1"/>
  <c r="M23" i="23" s="1"/>
  <c r="I23" i="23" a="1"/>
  <c r="I23" i="23" s="1"/>
  <c r="G23" i="23" a="1"/>
  <c r="G23" i="23" s="1"/>
  <c r="E23" i="23" a="1"/>
  <c r="E23" i="23" s="1"/>
  <c r="U23" i="23" a="1"/>
  <c r="U23" i="23" s="1"/>
  <c r="S23" i="23" a="1"/>
  <c r="S23" i="23" s="1"/>
  <c r="O23" i="23" a="1"/>
  <c r="O23" i="23" s="1"/>
  <c r="K23" i="23" a="1"/>
  <c r="K23" i="23" s="1"/>
  <c r="W24" i="30" a="1"/>
  <c r="W24" i="30" s="1"/>
  <c r="G24" i="30" a="1"/>
  <c r="G24" i="30" s="1"/>
  <c r="U24" i="30" a="1"/>
  <c r="U24" i="30" s="1"/>
  <c r="E24" i="30" a="1"/>
  <c r="E24" i="30" s="1"/>
  <c r="S24" i="30" a="1"/>
  <c r="S24" i="30" s="1"/>
  <c r="Q24" i="30" a="1"/>
  <c r="Q24" i="30" s="1"/>
  <c r="O24" i="30" a="1"/>
  <c r="O24" i="30" s="1"/>
  <c r="M24" i="30" a="1"/>
  <c r="M24" i="30" s="1"/>
  <c r="AA24" i="30" a="1"/>
  <c r="AA24" i="30" s="1"/>
  <c r="K24" i="30" a="1"/>
  <c r="K24" i="30" s="1"/>
  <c r="Y24" i="30" a="1"/>
  <c r="Y24" i="30" s="1"/>
  <c r="I24" i="30" a="1"/>
  <c r="I24" i="30" s="1"/>
  <c r="S18" i="30" a="1"/>
  <c r="S18" i="30" s="1"/>
  <c r="Q18" i="30" a="1"/>
  <c r="Q18" i="30" s="1"/>
  <c r="O18" i="30" a="1"/>
  <c r="O18" i="30" s="1"/>
  <c r="M18" i="30" a="1"/>
  <c r="M18" i="30" s="1"/>
  <c r="K18" i="30" a="1"/>
  <c r="K18" i="30" s="1"/>
  <c r="AA18" i="30" a="1"/>
  <c r="AA18" i="30" s="1"/>
  <c r="I18" i="30" a="1"/>
  <c r="I18" i="30" s="1"/>
  <c r="G18" i="30" a="1"/>
  <c r="G18" i="30" s="1"/>
  <c r="Y18" i="30" a="1"/>
  <c r="Y18" i="30" s="1"/>
  <c r="W18" i="30" a="1"/>
  <c r="W18" i="30" s="1"/>
  <c r="E18" i="30" a="1"/>
  <c r="E18" i="30" s="1"/>
  <c r="I15" i="29" a="1"/>
  <c r="I15" i="29" s="1"/>
  <c r="W15" i="29" a="1"/>
  <c r="W15" i="29" s="1"/>
  <c r="G15" i="29" a="1"/>
  <c r="G15" i="29" s="1"/>
  <c r="U15" i="29" a="1"/>
  <c r="U15" i="29" s="1"/>
  <c r="E15" i="29" a="1"/>
  <c r="E15" i="29" s="1"/>
  <c r="Q15" i="29" a="1"/>
  <c r="Q15" i="29" s="1"/>
  <c r="U18" i="30" a="1"/>
  <c r="U18" i="30" s="1"/>
  <c r="O15" i="29" a="1"/>
  <c r="O15" i="29" s="1"/>
  <c r="M15" i="29" a="1"/>
  <c r="M15" i="29" s="1"/>
  <c r="AA15" i="29" a="1"/>
  <c r="AA15" i="29" s="1"/>
  <c r="K15" i="29" a="1"/>
  <c r="K15" i="29" s="1"/>
  <c r="Y15" i="29" a="1"/>
  <c r="Y15" i="29" s="1"/>
  <c r="W13" i="28" a="1"/>
  <c r="W13" i="28" s="1"/>
  <c r="K13" i="28" a="1"/>
  <c r="K13" i="28" s="1"/>
  <c r="S15" i="29" a="1"/>
  <c r="S15" i="29" s="1"/>
  <c r="S13" i="28" a="1"/>
  <c r="S13" i="28" s="1"/>
  <c r="G13" i="28" a="1"/>
  <c r="G13" i="28" s="1"/>
  <c r="Q13" i="28" a="1"/>
  <c r="Q13" i="28" s="1"/>
  <c r="E13" i="28" a="1"/>
  <c r="E13" i="28" s="1"/>
  <c r="AA13" i="28" a="1"/>
  <c r="AA13" i="28" s="1"/>
  <c r="O13" i="28" a="1"/>
  <c r="O13" i="28" s="1"/>
  <c r="S13" i="26" a="1"/>
  <c r="S13" i="26" s="1"/>
  <c r="Y13" i="28" a="1"/>
  <c r="Y13" i="28" s="1"/>
  <c r="O15" i="27" a="1"/>
  <c r="O15" i="27" s="1"/>
  <c r="Q13" i="26" a="1"/>
  <c r="Q13" i="26" s="1"/>
  <c r="U13" i="28" a="1"/>
  <c r="U13" i="28" s="1"/>
  <c r="M15" i="27" a="1"/>
  <c r="M15" i="27" s="1"/>
  <c r="M13" i="28" a="1"/>
  <c r="M13" i="28" s="1"/>
  <c r="K15" i="27" a="1"/>
  <c r="K15" i="27" s="1"/>
  <c r="I13" i="28" a="1"/>
  <c r="I13" i="28" s="1"/>
  <c r="AA15" i="27" a="1"/>
  <c r="AA15" i="27" s="1"/>
  <c r="I15" i="27" a="1"/>
  <c r="I15" i="27" s="1"/>
  <c r="G15" i="27" a="1"/>
  <c r="G15" i="27" s="1"/>
  <c r="Y15" i="27" a="1"/>
  <c r="Y15" i="27" s="1"/>
  <c r="E15" i="27" a="1"/>
  <c r="E15" i="27" s="1"/>
  <c r="AA13" i="26" a="1"/>
  <c r="AA13" i="26" s="1"/>
  <c r="K13" i="26" a="1"/>
  <c r="K13" i="26" s="1"/>
  <c r="W15" i="27" a="1"/>
  <c r="W15" i="27" s="1"/>
  <c r="U15" i="27" a="1"/>
  <c r="U15" i="27" s="1"/>
  <c r="Y13" i="26" a="1"/>
  <c r="Y13" i="26" s="1"/>
  <c r="I13" i="26" a="1"/>
  <c r="I13" i="26" s="1"/>
  <c r="W13" i="26" a="1"/>
  <c r="W13" i="26" s="1"/>
  <c r="G13" i="26" a="1"/>
  <c r="G13" i="26" s="1"/>
  <c r="S15" i="27" a="1"/>
  <c r="S15" i="27" s="1"/>
  <c r="U13" i="26" a="1"/>
  <c r="U13" i="26" s="1"/>
  <c r="E13" i="26" a="1"/>
  <c r="E13" i="26" s="1"/>
  <c r="O14" i="25" a="1"/>
  <c r="O14" i="25" s="1"/>
  <c r="S24" i="24" a="1"/>
  <c r="S24" i="24" s="1"/>
  <c r="M14" i="25" a="1"/>
  <c r="M14" i="25" s="1"/>
  <c r="Q15" i="27" a="1"/>
  <c r="Q15" i="27" s="1"/>
  <c r="G14" i="25" a="1"/>
  <c r="G14" i="25" s="1"/>
  <c r="AA14" i="25" a="1"/>
  <c r="AA14" i="25" s="1"/>
  <c r="Y14" i="25" a="1"/>
  <c r="Y14" i="25" s="1"/>
  <c r="E14" i="25" a="1"/>
  <c r="E14" i="25" s="1"/>
  <c r="O13" i="26" a="1"/>
  <c r="O13" i="26" s="1"/>
  <c r="W14" i="25" a="1"/>
  <c r="W14" i="25" s="1"/>
  <c r="U14" i="25" a="1"/>
  <c r="U14" i="25" s="1"/>
  <c r="M13" i="26" a="1"/>
  <c r="M13" i="26" s="1"/>
  <c r="S14" i="25" a="1"/>
  <c r="S14" i="25" s="1"/>
  <c r="O24" i="24" a="1"/>
  <c r="O24" i="24" s="1"/>
  <c r="AA24" i="24" a="1"/>
  <c r="AA24" i="24" s="1"/>
  <c r="M24" i="24" a="1"/>
  <c r="M24" i="24" s="1"/>
  <c r="Y24" i="24" a="1"/>
  <c r="Y24" i="24" s="1"/>
  <c r="K24" i="24" a="1"/>
  <c r="K24" i="24" s="1"/>
  <c r="W24" i="24" a="1"/>
  <c r="W24" i="24" s="1"/>
  <c r="I24" i="24" a="1"/>
  <c r="I24" i="24" s="1"/>
  <c r="G24" i="24" a="1"/>
  <c r="G24" i="24" s="1"/>
  <c r="Q14" i="25" a="1"/>
  <c r="Q14" i="25" s="1"/>
  <c r="U24" i="24" a="1"/>
  <c r="U24" i="24" s="1"/>
  <c r="K14" i="25" a="1"/>
  <c r="K14" i="25" s="1"/>
  <c r="E24" i="24" a="1"/>
  <c r="E24" i="24" s="1"/>
  <c r="Q24" i="24" a="1"/>
  <c r="Q24" i="24" s="1"/>
  <c r="I14" i="25" a="1"/>
  <c r="I14" i="25" s="1"/>
  <c r="M16" i="23" a="1"/>
  <c r="M16" i="23" s="1"/>
  <c r="I16" i="23" a="1"/>
  <c r="I16" i="23" s="1"/>
  <c r="G16" i="23" a="1"/>
  <c r="G16" i="23" s="1"/>
  <c r="U16" i="23" a="1"/>
  <c r="U16" i="23" s="1"/>
  <c r="S16" i="23" a="1"/>
  <c r="S16" i="23" s="1"/>
  <c r="Q16" i="23" a="1"/>
  <c r="Q16" i="23" s="1"/>
  <c r="O16" i="23" a="1"/>
  <c r="O16" i="23" s="1"/>
  <c r="K16" i="23" a="1"/>
  <c r="K16" i="23" s="1"/>
  <c r="E16" i="23" a="1"/>
  <c r="E16" i="23" s="1"/>
  <c r="E4" i="30" a="1"/>
  <c r="E4" i="30" s="1"/>
  <c r="AB4" i="30" s="1"/>
  <c r="AF4" i="30" s="1"/>
  <c r="AN33" i="30"/>
  <c r="AR33" i="30" s="1"/>
  <c r="AE56" i="21" a="1"/>
  <c r="AE56" i="21" s="1"/>
  <c r="Q21" i="29" a="1"/>
  <c r="Q21" i="29" s="1"/>
  <c r="K21" i="29" a="1"/>
  <c r="K21" i="29" s="1"/>
  <c r="W21" i="29" a="1"/>
  <c r="W21" i="29" s="1"/>
  <c r="K21" i="28" a="1"/>
  <c r="K21" i="28" s="1"/>
  <c r="W21" i="28" a="1"/>
  <c r="W21" i="28" s="1"/>
  <c r="Q21" i="28" a="1"/>
  <c r="Q21" i="28" s="1"/>
  <c r="W20" i="26" a="1"/>
  <c r="W20" i="26" s="1"/>
  <c r="K28" i="27" a="1"/>
  <c r="K28" i="27" s="1"/>
  <c r="Q20" i="26" a="1"/>
  <c r="Q20" i="26" s="1"/>
  <c r="W28" i="27" a="1"/>
  <c r="W28" i="27" s="1"/>
  <c r="K20" i="26" a="1"/>
  <c r="K20" i="26" s="1"/>
  <c r="W20" i="25" a="1"/>
  <c r="W20" i="25" s="1"/>
  <c r="Q28" i="27" a="1"/>
  <c r="Q28" i="27" s="1"/>
  <c r="Q22" i="24" a="1"/>
  <c r="Q22" i="24" s="1"/>
  <c r="Q20" i="25" a="1"/>
  <c r="Q20" i="25" s="1"/>
  <c r="K22" i="24" a="1"/>
  <c r="K22" i="24" s="1"/>
  <c r="W22" i="24" a="1"/>
  <c r="W22" i="24" s="1"/>
  <c r="K20" i="25" a="1"/>
  <c r="K20" i="25" s="1"/>
  <c r="Q21" i="23" a="1"/>
  <c r="Q21" i="23" s="1"/>
  <c r="K21" i="23" a="1"/>
  <c r="K21" i="23" s="1"/>
  <c r="AA13" i="30" a="1"/>
  <c r="AA13" i="30" s="1"/>
  <c r="M13" i="30" a="1"/>
  <c r="M13" i="30" s="1"/>
  <c r="Y13" i="30" a="1"/>
  <c r="Y13" i="30" s="1"/>
  <c r="K13" i="30" a="1"/>
  <c r="K13" i="30" s="1"/>
  <c r="I13" i="30" a="1"/>
  <c r="I13" i="30" s="1"/>
  <c r="G13" i="30" a="1"/>
  <c r="G13" i="30" s="1"/>
  <c r="U13" i="30" a="1"/>
  <c r="U13" i="30" s="1"/>
  <c r="E13" i="30" a="1"/>
  <c r="E13" i="30" s="1"/>
  <c r="S13" i="30" a="1"/>
  <c r="S13" i="30" s="1"/>
  <c r="Q13" i="30" a="1"/>
  <c r="Q13" i="30" s="1"/>
  <c r="W13" i="30" a="1"/>
  <c r="W13" i="30" s="1"/>
  <c r="O13" i="30" a="1"/>
  <c r="O13" i="30" s="1"/>
  <c r="E21" i="27" a="1"/>
  <c r="E21" i="27" s="1"/>
  <c r="AB21" i="27" s="1"/>
  <c r="AF21" i="27" s="1"/>
  <c r="E26" i="26" a="1"/>
  <c r="E26" i="26" s="1"/>
  <c r="AB26" i="26" s="1"/>
  <c r="AF26" i="26" s="1"/>
  <c r="AN58" i="23"/>
  <c r="AR58" i="23" s="1"/>
  <c r="E25" i="23" a="1"/>
  <c r="E25" i="23" s="1"/>
  <c r="AB25" i="23" s="1"/>
  <c r="AF25" i="23" s="1"/>
  <c r="E23" i="30" a="1"/>
  <c r="E23" i="30" s="1"/>
  <c r="AB23" i="30" s="1"/>
  <c r="AF23" i="30" s="1"/>
  <c r="E16" i="29" a="1"/>
  <c r="E16" i="29" s="1"/>
  <c r="AB16" i="29" s="1"/>
  <c r="AF16" i="29" s="1"/>
  <c r="E23" i="28" a="1"/>
  <c r="E23" i="28" s="1"/>
  <c r="AB23" i="28" s="1"/>
  <c r="AF23" i="28" s="1"/>
  <c r="E22" i="26" a="1"/>
  <c r="E22" i="26" s="1"/>
  <c r="AB22" i="26" s="1"/>
  <c r="AF22" i="26" s="1"/>
  <c r="E25" i="27" a="1"/>
  <c r="E25" i="27" s="1"/>
  <c r="AB25" i="27" s="1"/>
  <c r="AF25" i="27" s="1"/>
  <c r="E15" i="25" a="1"/>
  <c r="E15" i="25" s="1"/>
  <c r="AB15" i="25" s="1"/>
  <c r="AF15" i="25" s="1"/>
  <c r="E17" i="24" a="1"/>
  <c r="E17" i="24" s="1"/>
  <c r="AB17" i="24" s="1"/>
  <c r="AF17" i="24" s="1"/>
  <c r="E28" i="23" a="1"/>
  <c r="E28" i="23" s="1"/>
  <c r="AK56" i="21" a="1"/>
  <c r="AK56" i="21" s="1"/>
  <c r="O10" i="30" a="1"/>
  <c r="O10" i="30" s="1"/>
  <c r="AA10" i="30" a="1"/>
  <c r="AA10" i="30" s="1"/>
  <c r="O19" i="29" a="1"/>
  <c r="O19" i="29" s="1"/>
  <c r="AA19" i="29" a="1"/>
  <c r="AA19" i="29" s="1"/>
  <c r="AA13" i="27" a="1"/>
  <c r="AA13" i="27" s="1"/>
  <c r="O13" i="27" a="1"/>
  <c r="O13" i="27" s="1"/>
  <c r="O18" i="25" a="1"/>
  <c r="O18" i="25" s="1"/>
  <c r="AA18" i="25" a="1"/>
  <c r="AA18" i="25" s="1"/>
  <c r="O20" i="24" a="1"/>
  <c r="O20" i="24" s="1"/>
  <c r="AA20" i="24" a="1"/>
  <c r="AA20" i="24" s="1"/>
  <c r="S16" i="28" a="1"/>
  <c r="S16" i="28" s="1"/>
  <c r="Q16" i="28" a="1"/>
  <c r="Q16" i="28" s="1"/>
  <c r="O16" i="28" a="1"/>
  <c r="O16" i="28" s="1"/>
  <c r="M16" i="28" a="1"/>
  <c r="M16" i="28" s="1"/>
  <c r="K16" i="28" a="1"/>
  <c r="K16" i="28" s="1"/>
  <c r="I16" i="28" a="1"/>
  <c r="I16" i="28" s="1"/>
  <c r="G16" i="28" a="1"/>
  <c r="G16" i="28" s="1"/>
  <c r="AA16" i="28" a="1"/>
  <c r="AA16" i="28" s="1"/>
  <c r="E16" i="28" a="1"/>
  <c r="E16" i="28" s="1"/>
  <c r="Y16" i="28" a="1"/>
  <c r="Y16" i="28" s="1"/>
  <c r="W16" i="28" a="1"/>
  <c r="W16" i="28" s="1"/>
  <c r="M16" i="26" a="1"/>
  <c r="M16" i="26" s="1"/>
  <c r="K16" i="26" a="1"/>
  <c r="K16" i="26" s="1"/>
  <c r="Y16" i="26" a="1"/>
  <c r="Y16" i="26" s="1"/>
  <c r="E16" i="26" a="1"/>
  <c r="E16" i="26" s="1"/>
  <c r="U16" i="26" a="1"/>
  <c r="U16" i="26" s="1"/>
  <c r="S16" i="26" a="1"/>
  <c r="S16" i="26" s="1"/>
  <c r="Q16" i="26" a="1"/>
  <c r="Q16" i="26" s="1"/>
  <c r="U16" i="28" a="1"/>
  <c r="U16" i="28" s="1"/>
  <c r="AA16" i="26" a="1"/>
  <c r="AA16" i="26" s="1"/>
  <c r="W16" i="26" a="1"/>
  <c r="W16" i="26" s="1"/>
  <c r="O16" i="26" a="1"/>
  <c r="O16" i="26" s="1"/>
  <c r="I16" i="26" a="1"/>
  <c r="I16" i="26" s="1"/>
  <c r="G16" i="26" a="1"/>
  <c r="G16" i="26" s="1"/>
  <c r="AA25" i="30" a="1"/>
  <c r="AA25" i="30" s="1"/>
  <c r="AB25" i="30" s="1"/>
  <c r="AF25" i="30" s="1"/>
  <c r="AN54" i="30"/>
  <c r="AR54" i="30" s="1"/>
  <c r="AA30" i="28" a="1"/>
  <c r="AA30" i="28" s="1"/>
  <c r="AB30" i="28" s="1"/>
  <c r="AF30" i="28" s="1"/>
  <c r="O30" i="23" a="1"/>
  <c r="O30" i="23" s="1"/>
  <c r="AB30" i="23" s="1"/>
  <c r="AF30" i="23" s="1"/>
  <c r="O8" i="30" a="1"/>
  <c r="O8" i="30" s="1"/>
  <c r="AA8" i="30" a="1"/>
  <c r="AA8" i="30" s="1"/>
  <c r="AA12" i="29" a="1"/>
  <c r="AA12" i="29" s="1"/>
  <c r="O12" i="29" a="1"/>
  <c r="O12" i="29" s="1"/>
  <c r="AA7" i="28" a="1"/>
  <c r="AA7" i="28" s="1"/>
  <c r="S12" i="27" a="1"/>
  <c r="S12" i="27" s="1"/>
  <c r="AA12" i="27" a="1"/>
  <c r="AA12" i="27" s="1"/>
  <c r="O7" i="28" a="1"/>
  <c r="O7" i="28" s="1"/>
  <c r="K12" i="27" a="1"/>
  <c r="K12" i="27" s="1"/>
  <c r="O7" i="26" a="1"/>
  <c r="O7" i="26" s="1"/>
  <c r="O11" i="25" a="1"/>
  <c r="O11" i="25" s="1"/>
  <c r="AA7" i="26" a="1"/>
  <c r="AA7" i="26" s="1"/>
  <c r="AA11" i="25" a="1"/>
  <c r="AA11" i="25" s="1"/>
  <c r="O16" i="24" a="1"/>
  <c r="O16" i="24" s="1"/>
  <c r="AA16" i="24" a="1"/>
  <c r="AA16" i="24" s="1"/>
  <c r="G24" i="29" a="1"/>
  <c r="G24" i="29" s="1"/>
  <c r="Y24" i="29" a="1"/>
  <c r="Y24" i="29" s="1"/>
  <c r="W24" i="29" a="1"/>
  <c r="W24" i="29" s="1"/>
  <c r="E24" i="29" a="1"/>
  <c r="E24" i="29" s="1"/>
  <c r="U24" i="29" a="1"/>
  <c r="U24" i="29" s="1"/>
  <c r="S24" i="29" a="1"/>
  <c r="S24" i="29" s="1"/>
  <c r="Q24" i="29" a="1"/>
  <c r="Q24" i="29" s="1"/>
  <c r="O24" i="29" a="1"/>
  <c r="O24" i="29" s="1"/>
  <c r="M24" i="29" a="1"/>
  <c r="M24" i="29" s="1"/>
  <c r="K24" i="29" a="1"/>
  <c r="K24" i="29" s="1"/>
  <c r="AA24" i="29" a="1"/>
  <c r="AA24" i="29" s="1"/>
  <c r="I24" i="29" a="1"/>
  <c r="I24" i="29" s="1"/>
  <c r="W23" i="25" a="1"/>
  <c r="W23" i="25" s="1"/>
  <c r="I23" i="25" a="1"/>
  <c r="I23" i="25" s="1"/>
  <c r="U23" i="25" a="1"/>
  <c r="U23" i="25" s="1"/>
  <c r="G23" i="25" a="1"/>
  <c r="G23" i="25" s="1"/>
  <c r="E23" i="25" a="1"/>
  <c r="E23" i="25" s="1"/>
  <c r="Q23" i="25" a="1"/>
  <c r="Q23" i="25" s="1"/>
  <c r="O23" i="25" a="1"/>
  <c r="O23" i="25" s="1"/>
  <c r="AA23" i="25" a="1"/>
  <c r="AA23" i="25" s="1"/>
  <c r="M23" i="25" a="1"/>
  <c r="M23" i="25" s="1"/>
  <c r="Y23" i="25" a="1"/>
  <c r="Y23" i="25" s="1"/>
  <c r="Y14" i="24" a="1"/>
  <c r="Y14" i="24" s="1"/>
  <c r="K14" i="24" a="1"/>
  <c r="K14" i="24" s="1"/>
  <c r="I14" i="24" a="1"/>
  <c r="I14" i="24" s="1"/>
  <c r="W14" i="24" a="1"/>
  <c r="W14" i="24" s="1"/>
  <c r="G14" i="24" a="1"/>
  <c r="G14" i="24" s="1"/>
  <c r="E14" i="24" a="1"/>
  <c r="E14" i="24" s="1"/>
  <c r="U14" i="24" a="1"/>
  <c r="U14" i="24" s="1"/>
  <c r="S23" i="25" a="1"/>
  <c r="S23" i="25" s="1"/>
  <c r="S14" i="24" a="1"/>
  <c r="S14" i="24" s="1"/>
  <c r="K23" i="25" a="1"/>
  <c r="K23" i="25" s="1"/>
  <c r="Q14" i="24" a="1"/>
  <c r="Q14" i="24" s="1"/>
  <c r="O14" i="24" a="1"/>
  <c r="O14" i="24" s="1"/>
  <c r="AA14" i="24" a="1"/>
  <c r="AA14" i="24" s="1"/>
  <c r="M14" i="24" a="1"/>
  <c r="M14" i="24" s="1"/>
  <c r="U17" i="23" a="1"/>
  <c r="U17" i="23" s="1"/>
  <c r="O17" i="23" a="1"/>
  <c r="O17" i="23" s="1"/>
  <c r="M17" i="23" a="1"/>
  <c r="M17" i="23" s="1"/>
  <c r="I17" i="23" a="1"/>
  <c r="I17" i="23" s="1"/>
  <c r="Q17" i="23" a="1"/>
  <c r="Q17" i="23" s="1"/>
  <c r="K17" i="23" a="1"/>
  <c r="K17" i="23" s="1"/>
  <c r="G17" i="23" a="1"/>
  <c r="G17" i="23" s="1"/>
  <c r="S17" i="23" a="1"/>
  <c r="S17" i="23" s="1"/>
  <c r="E17" i="23" a="1"/>
  <c r="E17" i="23" s="1"/>
  <c r="E9" i="29" a="1"/>
  <c r="E9" i="29" s="1"/>
  <c r="AB9" i="29" s="1"/>
  <c r="AF9" i="29" s="1"/>
  <c r="E9" i="28" a="1"/>
  <c r="E9" i="28" s="1"/>
  <c r="AB9" i="28" s="1"/>
  <c r="AF9" i="28" s="1"/>
  <c r="E10" i="27" a="1"/>
  <c r="E10" i="27" s="1"/>
  <c r="AB10" i="27" s="1"/>
  <c r="AF10" i="27" s="1"/>
  <c r="E9" i="26" a="1"/>
  <c r="E9" i="26" s="1"/>
  <c r="AB9" i="26" s="1"/>
  <c r="AF9" i="26" s="1"/>
  <c r="E8" i="25" a="1"/>
  <c r="E8" i="25" s="1"/>
  <c r="AB8" i="25" s="1"/>
  <c r="AF8" i="25" s="1"/>
  <c r="AN36" i="24"/>
  <c r="AR36" i="24" s="1"/>
  <c r="E7" i="24" a="1"/>
  <c r="E7" i="24" s="1"/>
  <c r="AB7" i="24" s="1"/>
  <c r="AF7" i="24" s="1"/>
  <c r="AN44" i="23"/>
  <c r="AR44" i="23" s="1"/>
  <c r="E11" i="23" a="1"/>
  <c r="E11" i="23" s="1"/>
  <c r="AB11" i="23" s="1"/>
  <c r="AF11" i="23" s="1"/>
  <c r="AA19" i="30" a="1"/>
  <c r="AA19" i="30" s="1"/>
  <c r="E19" i="30" a="1"/>
  <c r="E19" i="30" s="1"/>
  <c r="I23" i="27" a="1"/>
  <c r="I23" i="27" s="1"/>
  <c r="AA23" i="27" a="1"/>
  <c r="AA23" i="27" s="1"/>
  <c r="U23" i="27" a="1"/>
  <c r="U23" i="27" s="1"/>
  <c r="O23" i="27" a="1"/>
  <c r="O23" i="27" s="1"/>
  <c r="Y12" i="24" a="1"/>
  <c r="Y12" i="24" s="1"/>
  <c r="I12" i="24" a="1"/>
  <c r="I12" i="24" s="1"/>
  <c r="W12" i="24" a="1"/>
  <c r="W12" i="24" s="1"/>
  <c r="G12" i="24" a="1"/>
  <c r="G12" i="24" s="1"/>
  <c r="U12" i="24" a="1"/>
  <c r="U12" i="24" s="1"/>
  <c r="S12" i="24" a="1"/>
  <c r="S12" i="24" s="1"/>
  <c r="E12" i="24" a="1"/>
  <c r="E12" i="24" s="1"/>
  <c r="Q12" i="24" a="1"/>
  <c r="Q12" i="24" s="1"/>
  <c r="O12" i="24" a="1"/>
  <c r="O12" i="24" s="1"/>
  <c r="M12" i="24" a="1"/>
  <c r="M12" i="24" s="1"/>
  <c r="AA12" i="24" a="1"/>
  <c r="AA12" i="24" s="1"/>
  <c r="K12" i="24" a="1"/>
  <c r="K12" i="24" s="1"/>
  <c r="O10" i="29" a="1"/>
  <c r="O10" i="29" s="1"/>
  <c r="M10" i="29" a="1"/>
  <c r="M10" i="29" s="1"/>
  <c r="K10" i="29" a="1"/>
  <c r="K10" i="29" s="1"/>
  <c r="Y10" i="29" a="1"/>
  <c r="Y10" i="29" s="1"/>
  <c r="W10" i="29" a="1"/>
  <c r="W10" i="29" s="1"/>
  <c r="G10" i="29" a="1"/>
  <c r="G10" i="29" s="1"/>
  <c r="U10" i="29" a="1"/>
  <c r="U10" i="29" s="1"/>
  <c r="E10" i="29" a="1"/>
  <c r="E10" i="29" s="1"/>
  <c r="S10" i="29" a="1"/>
  <c r="S10" i="29" s="1"/>
  <c r="I10" i="29" a="1"/>
  <c r="I10" i="29" s="1"/>
  <c r="W10" i="28" a="1"/>
  <c r="W10" i="28" s="1"/>
  <c r="U10" i="28" a="1"/>
  <c r="U10" i="28" s="1"/>
  <c r="E10" i="28" a="1"/>
  <c r="E10" i="28" s="1"/>
  <c r="Q10" i="28" a="1"/>
  <c r="Q10" i="28" s="1"/>
  <c r="O10" i="28" a="1"/>
  <c r="O10" i="28" s="1"/>
  <c r="M10" i="28" a="1"/>
  <c r="M10" i="28" s="1"/>
  <c r="K10" i="28" a="1"/>
  <c r="K10" i="28" s="1"/>
  <c r="AA10" i="29" a="1"/>
  <c r="AA10" i="29" s="1"/>
  <c r="AA10" i="28" a="1"/>
  <c r="AA10" i="28" s="1"/>
  <c r="I10" i="28" a="1"/>
  <c r="I10" i="28" s="1"/>
  <c r="K11" i="27" a="1"/>
  <c r="K11" i="27" s="1"/>
  <c r="K10" i="26" a="1"/>
  <c r="K10" i="26" s="1"/>
  <c r="Q10" i="29" a="1"/>
  <c r="Q10" i="29" s="1"/>
  <c r="I11" i="27" a="1"/>
  <c r="I11" i="27" s="1"/>
  <c r="AA10" i="26" a="1"/>
  <c r="AA10" i="26" s="1"/>
  <c r="I10" i="26" a="1"/>
  <c r="I10" i="26" s="1"/>
  <c r="AA11" i="27" a="1"/>
  <c r="AA11" i="27" s="1"/>
  <c r="E11" i="27" a="1"/>
  <c r="E11" i="27" s="1"/>
  <c r="W11" i="27" a="1"/>
  <c r="W11" i="27" s="1"/>
  <c r="U11" i="27" a="1"/>
  <c r="U11" i="27" s="1"/>
  <c r="S10" i="26" a="1"/>
  <c r="S10" i="26" s="1"/>
  <c r="S11" i="27" a="1"/>
  <c r="S11" i="27" s="1"/>
  <c r="Y10" i="28" a="1"/>
  <c r="Y10" i="28" s="1"/>
  <c r="Q11" i="27" a="1"/>
  <c r="Q11" i="27" s="1"/>
  <c r="O10" i="26" a="1"/>
  <c r="O10" i="26" s="1"/>
  <c r="S10" i="28" a="1"/>
  <c r="S10" i="28" s="1"/>
  <c r="O11" i="27" a="1"/>
  <c r="O11" i="27" s="1"/>
  <c r="W10" i="26" a="1"/>
  <c r="W10" i="26" s="1"/>
  <c r="W9" i="25" a="1"/>
  <c r="W9" i="25" s="1"/>
  <c r="I9" i="25" a="1"/>
  <c r="I9" i="25" s="1"/>
  <c r="U9" i="25" a="1"/>
  <c r="U9" i="25" s="1"/>
  <c r="U10" i="26" a="1"/>
  <c r="U10" i="26" s="1"/>
  <c r="Q10" i="26" a="1"/>
  <c r="Q10" i="26" s="1"/>
  <c r="E9" i="25" a="1"/>
  <c r="E9" i="25" s="1"/>
  <c r="G10" i="28" a="1"/>
  <c r="G10" i="28" s="1"/>
  <c r="M11" i="27" a="1"/>
  <c r="M11" i="27" s="1"/>
  <c r="M10" i="26" a="1"/>
  <c r="M10" i="26" s="1"/>
  <c r="Q9" i="25" a="1"/>
  <c r="Q9" i="25" s="1"/>
  <c r="G10" i="26" a="1"/>
  <c r="G10" i="26" s="1"/>
  <c r="O9" i="25" a="1"/>
  <c r="O9" i="25" s="1"/>
  <c r="E10" i="26" a="1"/>
  <c r="E10" i="26" s="1"/>
  <c r="AA9" i="25" a="1"/>
  <c r="AA9" i="25" s="1"/>
  <c r="M9" i="25" a="1"/>
  <c r="M9" i="25" s="1"/>
  <c r="Y9" i="25" a="1"/>
  <c r="Y9" i="25" s="1"/>
  <c r="Y10" i="26" a="1"/>
  <c r="Y10" i="26" s="1"/>
  <c r="W8" i="24" a="1"/>
  <c r="W8" i="24" s="1"/>
  <c r="E8" i="24" a="1"/>
  <c r="E8" i="24" s="1"/>
  <c r="S9" i="25" a="1"/>
  <c r="S9" i="25" s="1"/>
  <c r="K9" i="25" a="1"/>
  <c r="K9" i="25" s="1"/>
  <c r="U8" i="24" a="1"/>
  <c r="U8" i="24" s="1"/>
  <c r="G9" i="25" a="1"/>
  <c r="G9" i="25" s="1"/>
  <c r="S8" i="24" a="1"/>
  <c r="S8" i="24" s="1"/>
  <c r="Q8" i="24" a="1"/>
  <c r="Q8" i="24" s="1"/>
  <c r="O8" i="24" a="1"/>
  <c r="O8" i="24" s="1"/>
  <c r="M8" i="24" a="1"/>
  <c r="M8" i="24" s="1"/>
  <c r="K8" i="24" a="1"/>
  <c r="K8" i="24" s="1"/>
  <c r="AA8" i="24" a="1"/>
  <c r="AA8" i="24" s="1"/>
  <c r="I8" i="24" a="1"/>
  <c r="I8" i="24" s="1"/>
  <c r="Y8" i="24" a="1"/>
  <c r="Y8" i="24" s="1"/>
  <c r="G8" i="24" a="1"/>
  <c r="G8" i="24" s="1"/>
  <c r="I12" i="23" a="1"/>
  <c r="I12" i="23" s="1"/>
  <c r="U12" i="23" a="1"/>
  <c r="U12" i="23" s="1"/>
  <c r="S12" i="23" a="1"/>
  <c r="S12" i="23" s="1"/>
  <c r="Q12" i="23" a="1"/>
  <c r="Q12" i="23" s="1"/>
  <c r="O12" i="23" a="1"/>
  <c r="O12" i="23" s="1"/>
  <c r="M12" i="23" a="1"/>
  <c r="M12" i="23" s="1"/>
  <c r="K12" i="23" a="1"/>
  <c r="K12" i="23" s="1"/>
  <c r="AI56" i="21" a="1"/>
  <c r="AI56" i="21" s="1"/>
  <c r="E12" i="23" a="1"/>
  <c r="E12" i="23" s="1"/>
  <c r="AG56" i="21" a="1"/>
  <c r="AG56" i="21" s="1"/>
  <c r="S14" i="30" a="1"/>
  <c r="S14" i="30" s="1"/>
  <c r="Q14" i="30" a="1"/>
  <c r="Q14" i="30" s="1"/>
  <c r="M14" i="30" a="1"/>
  <c r="M14" i="30" s="1"/>
  <c r="AA14" i="30" a="1"/>
  <c r="AA14" i="30" s="1"/>
  <c r="K14" i="30" a="1"/>
  <c r="K14" i="30" s="1"/>
  <c r="Y14" i="30" a="1"/>
  <c r="Y14" i="30" s="1"/>
  <c r="I14" i="30" a="1"/>
  <c r="I14" i="30" s="1"/>
  <c r="W14" i="30" a="1"/>
  <c r="W14" i="30" s="1"/>
  <c r="G14" i="30" a="1"/>
  <c r="G14" i="30" s="1"/>
  <c r="U14" i="30" a="1"/>
  <c r="U14" i="30" s="1"/>
  <c r="E14" i="30" a="1"/>
  <c r="E14" i="30" s="1"/>
  <c r="O14" i="30" a="1"/>
  <c r="O14" i="30" s="1"/>
  <c r="AA52" i="21" a="1"/>
  <c r="AA52" i="21" s="1"/>
  <c r="AG52" i="21" a="1"/>
  <c r="AG52" i="21" s="1"/>
  <c r="E20" i="29" a="1"/>
  <c r="E20" i="29" s="1"/>
  <c r="AB20" i="29" s="1"/>
  <c r="AF20" i="29" s="1"/>
  <c r="AN51" i="29"/>
  <c r="AR51" i="29" s="1"/>
  <c r="E27" i="27" a="1"/>
  <c r="E27" i="27" s="1"/>
  <c r="AB27" i="27" s="1"/>
  <c r="AF27" i="27" s="1"/>
  <c r="E20" i="28" a="1"/>
  <c r="E20" i="28" s="1"/>
  <c r="AB20" i="28" s="1"/>
  <c r="AF20" i="28" s="1"/>
  <c r="AN49" i="25"/>
  <c r="AR49" i="25" s="1"/>
  <c r="E19" i="25" a="1"/>
  <c r="E19" i="25" s="1"/>
  <c r="AB19" i="25" s="1"/>
  <c r="AF19" i="25" s="1"/>
  <c r="E19" i="26" a="1"/>
  <c r="E19" i="26" s="1"/>
  <c r="AB19" i="26" s="1"/>
  <c r="AF19" i="26" s="1"/>
  <c r="E21" i="24" a="1"/>
  <c r="E21" i="24" s="1"/>
  <c r="AB21" i="24" s="1"/>
  <c r="AF21" i="24" s="1"/>
  <c r="E20" i="23" a="1"/>
  <c r="E20" i="23" s="1"/>
  <c r="AB20" i="23" s="1"/>
  <c r="AF20" i="23" s="1"/>
  <c r="E6" i="29" a="1"/>
  <c r="E6" i="29" s="1"/>
  <c r="O6" i="29" a="1"/>
  <c r="O6" i="29" s="1"/>
  <c r="AA6" i="29" a="1"/>
  <c r="AA6" i="29" s="1"/>
  <c r="AA18" i="28" a="1"/>
  <c r="AA18" i="28" s="1"/>
  <c r="E18" i="28" a="1"/>
  <c r="E18" i="28" s="1"/>
  <c r="E7" i="27" a="1"/>
  <c r="E7" i="27" s="1"/>
  <c r="AA18" i="26" a="1"/>
  <c r="AA18" i="26" s="1"/>
  <c r="O7" i="27" a="1"/>
  <c r="O7" i="27" s="1"/>
  <c r="AA7" i="27" a="1"/>
  <c r="AA7" i="27" s="1"/>
  <c r="O6" i="25" a="1"/>
  <c r="O6" i="25" s="1"/>
  <c r="AA6" i="25" a="1"/>
  <c r="AA6" i="25" s="1"/>
  <c r="E6" i="25" a="1"/>
  <c r="E6" i="25" s="1"/>
  <c r="E18" i="26" a="1"/>
  <c r="E18" i="26" s="1"/>
  <c r="O6" i="24" a="1"/>
  <c r="O6" i="24" s="1"/>
  <c r="AA6" i="24" a="1"/>
  <c r="AA6" i="24" s="1"/>
  <c r="E6" i="24" a="1"/>
  <c r="E6" i="24" s="1"/>
  <c r="W6" i="23" a="1"/>
  <c r="W6" i="23" s="1"/>
  <c r="E6" i="23" a="1"/>
  <c r="E6" i="23" s="1"/>
  <c r="W22" i="27" a="1"/>
  <c r="W22" i="27" s="1"/>
  <c r="M22" i="27" a="1"/>
  <c r="M22" i="27" s="1"/>
  <c r="K22" i="27" a="1"/>
  <c r="K22" i="27" s="1"/>
  <c r="E22" i="27" a="1"/>
  <c r="E22" i="27" s="1"/>
  <c r="Y27" i="26" a="1"/>
  <c r="Y27" i="26" s="1"/>
  <c r="K27" i="26" a="1"/>
  <c r="K27" i="26" s="1"/>
  <c r="W27" i="26" a="1"/>
  <c r="W27" i="26" s="1"/>
  <c r="I27" i="26" a="1"/>
  <c r="I27" i="26" s="1"/>
  <c r="AA22" i="27" a="1"/>
  <c r="AA22" i="27" s="1"/>
  <c r="Y22" i="27" a="1"/>
  <c r="Y22" i="27" s="1"/>
  <c r="U22" i="27" a="1"/>
  <c r="U22" i="27" s="1"/>
  <c r="S22" i="27" a="1"/>
  <c r="S22" i="27" s="1"/>
  <c r="Q27" i="26" a="1"/>
  <c r="Q27" i="26" s="1"/>
  <c r="Q22" i="27" a="1"/>
  <c r="Q22" i="27" s="1"/>
  <c r="O22" i="27" a="1"/>
  <c r="O22" i="27" s="1"/>
  <c r="O27" i="26" a="1"/>
  <c r="O27" i="26" s="1"/>
  <c r="I22" i="27" a="1"/>
  <c r="I22" i="27" s="1"/>
  <c r="AA27" i="26" a="1"/>
  <c r="AA27" i="26" s="1"/>
  <c r="K27" i="24" a="1"/>
  <c r="K27" i="24" s="1"/>
  <c r="U27" i="26" a="1"/>
  <c r="U27" i="26" s="1"/>
  <c r="S27" i="26" a="1"/>
  <c r="S27" i="26" s="1"/>
  <c r="M27" i="26" a="1"/>
  <c r="M27" i="26" s="1"/>
  <c r="G22" i="27" a="1"/>
  <c r="G22" i="27" s="1"/>
  <c r="G27" i="26" a="1"/>
  <c r="G27" i="26" s="1"/>
  <c r="E27" i="26" a="1"/>
  <c r="E27" i="26" s="1"/>
  <c r="M27" i="24" a="1"/>
  <c r="M27" i="24" s="1"/>
  <c r="AA27" i="24" a="1"/>
  <c r="AA27" i="24" s="1"/>
  <c r="Y27" i="24" a="1"/>
  <c r="Y27" i="24" s="1"/>
  <c r="I27" i="24" a="1"/>
  <c r="I27" i="24" s="1"/>
  <c r="W27" i="24" a="1"/>
  <c r="W27" i="24" s="1"/>
  <c r="G27" i="24" a="1"/>
  <c r="G27" i="24" s="1"/>
  <c r="U27" i="24" a="1"/>
  <c r="U27" i="24" s="1"/>
  <c r="E27" i="24" a="1"/>
  <c r="E27" i="24" s="1"/>
  <c r="S27" i="24" a="1"/>
  <c r="S27" i="24" s="1"/>
  <c r="Q27" i="24" a="1"/>
  <c r="Q27" i="24" s="1"/>
  <c r="O27" i="24" a="1"/>
  <c r="O27" i="24" s="1"/>
  <c r="U26" i="23" a="1"/>
  <c r="U26" i="23" s="1"/>
  <c r="S26" i="23" a="1"/>
  <c r="S26" i="23" s="1"/>
  <c r="E26" i="23" a="1"/>
  <c r="E26" i="23" s="1"/>
  <c r="M26" i="23" a="1"/>
  <c r="M26" i="23" s="1"/>
  <c r="I26" i="23" a="1"/>
  <c r="I26" i="23" s="1"/>
  <c r="O26" i="23" a="1"/>
  <c r="O26" i="23" s="1"/>
  <c r="K26" i="23" a="1"/>
  <c r="K26" i="23" s="1"/>
  <c r="Q26" i="23" a="1"/>
  <c r="Q26" i="23" s="1"/>
  <c r="G26" i="23" a="1"/>
  <c r="G26" i="23" s="1"/>
  <c r="E27" i="23" a="1"/>
  <c r="E27" i="23" s="1"/>
  <c r="O27" i="23" a="1"/>
  <c r="O27" i="23" s="1"/>
  <c r="AA28" i="29" a="1"/>
  <c r="AA28" i="29" s="1"/>
  <c r="O28" i="29" a="1"/>
  <c r="O28" i="29" s="1"/>
  <c r="AA16" i="27" a="1"/>
  <c r="AA16" i="27" s="1"/>
  <c r="AB16" i="27" s="1"/>
  <c r="AF16" i="27" s="1"/>
  <c r="AA25" i="28" a="1"/>
  <c r="AA25" i="28" s="1"/>
  <c r="AB25" i="28" s="1"/>
  <c r="AF25" i="28" s="1"/>
  <c r="AA24" i="26" a="1"/>
  <c r="AA24" i="26" s="1"/>
  <c r="AB24" i="26" s="1"/>
  <c r="AF24" i="26" s="1"/>
  <c r="O27" i="25" a="1"/>
  <c r="O27" i="25" s="1"/>
  <c r="AA27" i="25" a="1"/>
  <c r="AA27" i="25" s="1"/>
  <c r="O10" i="24" a="1"/>
  <c r="O10" i="24" s="1"/>
  <c r="AA10" i="24" a="1"/>
  <c r="AA10" i="24" s="1"/>
  <c r="AN64" i="23"/>
  <c r="AR64" i="23" s="1"/>
  <c r="E9" i="30" a="1"/>
  <c r="E9" i="30" s="1"/>
  <c r="AB9" i="30" s="1"/>
  <c r="AF9" i="30" s="1"/>
  <c r="E18" i="29" a="1"/>
  <c r="E18" i="29" s="1"/>
  <c r="AB18" i="29" s="1"/>
  <c r="AF18" i="29" s="1"/>
  <c r="E9" i="27" a="1"/>
  <c r="E9" i="27" s="1"/>
  <c r="AB9" i="27" s="1"/>
  <c r="AF9" i="27" s="1"/>
  <c r="E17" i="25" a="1"/>
  <c r="E17" i="25" s="1"/>
  <c r="AB17" i="25" s="1"/>
  <c r="AF17" i="25" s="1"/>
  <c r="E19" i="24" a="1"/>
  <c r="E19" i="24" s="1"/>
  <c r="AB19" i="24" s="1"/>
  <c r="AF19" i="24" s="1"/>
  <c r="W10" i="23" a="1"/>
  <c r="W10" i="23" s="1"/>
  <c r="E10" i="23" a="1"/>
  <c r="E10" i="23" s="1"/>
  <c r="AN51" i="28"/>
  <c r="AR51" i="28" s="1"/>
  <c r="AA13" i="29" a="1"/>
  <c r="AA13" i="29" s="1"/>
  <c r="AB13" i="29" s="1"/>
  <c r="AF13" i="29" s="1"/>
  <c r="AA19" i="28" a="1"/>
  <c r="AA19" i="28" s="1"/>
  <c r="AB19" i="28" s="1"/>
  <c r="AF19" i="28" s="1"/>
  <c r="AA20" i="27" a="1"/>
  <c r="AA20" i="27" s="1"/>
  <c r="AB20" i="27" s="1"/>
  <c r="AF20" i="27" s="1"/>
  <c r="AA12" i="25" a="1"/>
  <c r="AA12" i="25" s="1"/>
  <c r="AB12" i="25" s="1"/>
  <c r="AF12" i="25" s="1"/>
  <c r="AA26" i="24" a="1"/>
  <c r="AA26" i="24" s="1"/>
  <c r="AB26" i="24" s="1"/>
  <c r="AF26" i="24" s="1"/>
  <c r="W8" i="23" a="1"/>
  <c r="W8" i="23" s="1"/>
  <c r="K19" i="23" a="1"/>
  <c r="K19" i="23" s="1"/>
  <c r="AN45" i="27"/>
  <c r="AR45" i="27" s="1"/>
  <c r="AN34" i="30"/>
  <c r="AR34" i="30" s="1"/>
  <c r="AN47" i="29"/>
  <c r="AR47" i="29" s="1"/>
  <c r="AN35" i="29"/>
  <c r="AR35" i="29" s="1"/>
  <c r="AN37" i="23"/>
  <c r="AR37" i="23" s="1"/>
  <c r="AN52" i="24"/>
  <c r="AR52" i="24" s="1"/>
  <c r="AN56" i="26"/>
  <c r="AR56" i="26" s="1"/>
  <c r="AN61" i="28"/>
  <c r="AR61" i="28" s="1"/>
  <c r="AN41" i="30"/>
  <c r="AR41" i="30" s="1"/>
  <c r="AN54" i="29"/>
  <c r="AR54" i="29" s="1"/>
  <c r="AN35" i="30"/>
  <c r="AR35" i="30" s="1"/>
  <c r="E8" i="26" l="1" a="1"/>
  <c r="E8" i="26" s="1"/>
  <c r="AB8" i="26" s="1"/>
  <c r="AF8" i="26" s="1"/>
  <c r="I55" i="21" a="1"/>
  <c r="I55" i="21" s="1"/>
  <c r="AN55" i="21" s="1"/>
  <c r="AR55" i="21" s="1"/>
  <c r="E38" i="26" a="1"/>
  <c r="E38" i="26" s="1"/>
  <c r="AN38" i="26" s="1"/>
  <c r="AR38" i="26" s="1"/>
  <c r="E40" i="28" a="1"/>
  <c r="E40" i="28" s="1"/>
  <c r="AN40" i="28" s="1"/>
  <c r="AR40" i="28" s="1"/>
  <c r="E8" i="28" a="1"/>
  <c r="E8" i="28" s="1"/>
  <c r="AB8" i="28" s="1"/>
  <c r="AF8" i="28" s="1"/>
  <c r="E11" i="30" a="1"/>
  <c r="E11" i="30" s="1"/>
  <c r="AB11" i="30" s="1"/>
  <c r="AF11" i="30" s="1"/>
  <c r="E40" i="30" a="1"/>
  <c r="E40" i="30" s="1"/>
  <c r="AN40" i="30" s="1"/>
  <c r="AR40" i="30" s="1"/>
  <c r="E36" i="23" a="1"/>
  <c r="E36" i="23" s="1"/>
  <c r="AN36" i="23" s="1"/>
  <c r="AR36" i="23" s="1"/>
  <c r="G55" i="30"/>
  <c r="E35" i="28" a="1"/>
  <c r="E35" i="28" s="1"/>
  <c r="AN35" i="28" s="1"/>
  <c r="AR35" i="28" s="1"/>
  <c r="AN47" i="26"/>
  <c r="AR47" i="26" s="1"/>
  <c r="AN37" i="25"/>
  <c r="AR37" i="25" s="1"/>
  <c r="AN45" i="24"/>
  <c r="AR45" i="24" s="1"/>
  <c r="G59" i="26"/>
  <c r="AN37" i="26"/>
  <c r="AR37" i="26" s="1"/>
  <c r="AB24" i="21"/>
  <c r="AF24" i="21" s="1"/>
  <c r="AM65" i="23"/>
  <c r="E34" i="29" a="1"/>
  <c r="E34" i="29" s="1"/>
  <c r="AN34" i="29" s="1"/>
  <c r="AR34" i="29" s="1"/>
  <c r="AB7" i="21"/>
  <c r="AF7" i="21" s="1"/>
  <c r="AB8" i="21"/>
  <c r="AF8" i="21" s="1"/>
  <c r="AB16" i="21"/>
  <c r="AF16" i="21" s="1"/>
  <c r="AB15" i="21"/>
  <c r="AF15" i="21" s="1"/>
  <c r="G60" i="29"/>
  <c r="O65" i="23"/>
  <c r="I61" i="27"/>
  <c r="AG60" i="29"/>
  <c r="AF3" i="26"/>
  <c r="I59" i="26"/>
  <c r="AF3" i="27"/>
  <c r="AB3" i="23"/>
  <c r="AF3" i="23" s="1"/>
  <c r="AF3" i="28"/>
  <c r="AB3" i="25"/>
  <c r="AF3" i="25" s="1"/>
  <c r="AB3" i="29"/>
  <c r="AF3" i="29" s="1"/>
  <c r="AB3" i="24"/>
  <c r="AF3" i="24" s="1"/>
  <c r="AC63" i="20"/>
  <c r="AG63" i="28"/>
  <c r="S87" i="21"/>
  <c r="Q55" i="30"/>
  <c r="U61" i="27"/>
  <c r="AA63" i="28"/>
  <c r="W61" i="27"/>
  <c r="S61" i="27"/>
  <c r="AN38" i="29"/>
  <c r="AR38" i="29" s="1"/>
  <c r="Y63" i="20"/>
  <c r="AM61" i="27"/>
  <c r="AI63" i="28"/>
  <c r="Q63" i="28"/>
  <c r="W63" i="28"/>
  <c r="AK63" i="20"/>
  <c r="G63" i="20"/>
  <c r="Y63" i="28"/>
  <c r="G63" i="28"/>
  <c r="AN36" i="27"/>
  <c r="AR36" i="27" s="1"/>
  <c r="AE63" i="20"/>
  <c r="W63" i="20"/>
  <c r="G87" i="21"/>
  <c r="O87" i="21"/>
  <c r="AN42" i="27"/>
  <c r="AR42" i="27" s="1"/>
  <c r="K63" i="28"/>
  <c r="K65" i="23"/>
  <c r="Q61" i="27"/>
  <c r="I63" i="28"/>
  <c r="AN39" i="25"/>
  <c r="AR39" i="25" s="1"/>
  <c r="S63" i="28"/>
  <c r="O57" i="24"/>
  <c r="O63" i="28"/>
  <c r="U31" i="20"/>
  <c r="Q63" i="20"/>
  <c r="U63" i="28"/>
  <c r="AE87" i="21"/>
  <c r="AA87" i="21"/>
  <c r="K31" i="20"/>
  <c r="Y87" i="21"/>
  <c r="AN32" i="24"/>
  <c r="AR32" i="24" s="1"/>
  <c r="E57" i="24"/>
  <c r="AC63" i="28"/>
  <c r="M63" i="28"/>
  <c r="AE63" i="28"/>
  <c r="G31" i="20"/>
  <c r="M31" i="20"/>
  <c r="AC87" i="21"/>
  <c r="AN39" i="29"/>
  <c r="AR39" i="29" s="1"/>
  <c r="AM63" i="28"/>
  <c r="O60" i="29"/>
  <c r="M87" i="21"/>
  <c r="AM57" i="24"/>
  <c r="K61" i="27"/>
  <c r="AK63" i="28"/>
  <c r="O63" i="20"/>
  <c r="O61" i="27"/>
  <c r="AA31" i="20"/>
  <c r="O31" i="20"/>
  <c r="Y31" i="20"/>
  <c r="I31" i="20"/>
  <c r="Q31" i="20"/>
  <c r="S31" i="20"/>
  <c r="W31" i="20"/>
  <c r="E31" i="20"/>
  <c r="E87" i="21"/>
  <c r="AK87" i="21"/>
  <c r="AI87" i="21"/>
  <c r="U87" i="21"/>
  <c r="Q87" i="21"/>
  <c r="AG87" i="21"/>
  <c r="W87" i="21"/>
  <c r="K87" i="21"/>
  <c r="AN49" i="21"/>
  <c r="AR49" i="21" s="1"/>
  <c r="AM87" i="21"/>
  <c r="S63" i="20"/>
  <c r="AI63" i="20"/>
  <c r="AM63" i="20"/>
  <c r="I63" i="20"/>
  <c r="U63" i="20"/>
  <c r="AN35" i="20"/>
  <c r="E63" i="20"/>
  <c r="AA63" i="20"/>
  <c r="K63" i="20"/>
  <c r="AG63" i="20"/>
  <c r="M63" i="20"/>
  <c r="AN61" i="20"/>
  <c r="AR61" i="20" s="1"/>
  <c r="AN47" i="20"/>
  <c r="AR47" i="20" s="1"/>
  <c r="AB15" i="20"/>
  <c r="AF15" i="20" s="1"/>
  <c r="AN59" i="21"/>
  <c r="AR59" i="21" s="1"/>
  <c r="AB7" i="29"/>
  <c r="AF7" i="29" s="1"/>
  <c r="AB6" i="20"/>
  <c r="AF6" i="20" s="1"/>
  <c r="AB8" i="30"/>
  <c r="AF8" i="30" s="1"/>
  <c r="K29" i="29"/>
  <c r="I29" i="29"/>
  <c r="AB8" i="29"/>
  <c r="AF8" i="29" s="1"/>
  <c r="G30" i="27"/>
  <c r="AR34" i="27"/>
  <c r="AN60" i="21"/>
  <c r="AR60" i="21" s="1"/>
  <c r="Y43" i="21"/>
  <c r="S43" i="21"/>
  <c r="U43" i="21"/>
  <c r="W43" i="21"/>
  <c r="AR33" i="24"/>
  <c r="AA26" i="30"/>
  <c r="G26" i="30"/>
  <c r="U26" i="30"/>
  <c r="I26" i="30"/>
  <c r="W26" i="30"/>
  <c r="K26" i="30"/>
  <c r="Y26" i="30"/>
  <c r="M26" i="30"/>
  <c r="S26" i="30"/>
  <c r="Q26" i="30"/>
  <c r="AB6" i="30"/>
  <c r="AF6" i="30" s="1"/>
  <c r="AN39" i="30"/>
  <c r="AR39" i="30" s="1"/>
  <c r="AE55" i="30"/>
  <c r="O26" i="30"/>
  <c r="AF3" i="30"/>
  <c r="AN47" i="23"/>
  <c r="AR47" i="23" s="1"/>
  <c r="AB5" i="23"/>
  <c r="AF5" i="23" s="1"/>
  <c r="AB7" i="23"/>
  <c r="AF7" i="23" s="1"/>
  <c r="W59" i="26"/>
  <c r="AA59" i="26"/>
  <c r="AI55" i="30"/>
  <c r="AN59" i="27"/>
  <c r="AR59" i="27" s="1"/>
  <c r="AN54" i="24"/>
  <c r="AR54" i="24" s="1"/>
  <c r="AN58" i="28"/>
  <c r="AR58" i="28" s="1"/>
  <c r="AN56" i="29"/>
  <c r="AR56" i="29" s="1"/>
  <c r="Q60" i="29"/>
  <c r="AN48" i="29"/>
  <c r="AR48" i="29" s="1"/>
  <c r="AC60" i="29"/>
  <c r="AN43" i="29"/>
  <c r="AR43" i="29" s="1"/>
  <c r="E29" i="29"/>
  <c r="AK59" i="26"/>
  <c r="Y60" i="29"/>
  <c r="AB6" i="23"/>
  <c r="AF6" i="23" s="1"/>
  <c r="AN48" i="26"/>
  <c r="AR48" i="26" s="1"/>
  <c r="AB12" i="29"/>
  <c r="AF12" i="29" s="1"/>
  <c r="AN41" i="20"/>
  <c r="AR41" i="20" s="1"/>
  <c r="AN38" i="20"/>
  <c r="AR38" i="20" s="1"/>
  <c r="S60" i="29"/>
  <c r="AN49" i="24"/>
  <c r="AR49" i="24" s="1"/>
  <c r="AN44" i="27"/>
  <c r="AR44" i="27" s="1"/>
  <c r="K55" i="30"/>
  <c r="AN54" i="23"/>
  <c r="AR54" i="23" s="1"/>
  <c r="AI59" i="26"/>
  <c r="AN46" i="27"/>
  <c r="AR46" i="27" s="1"/>
  <c r="AN49" i="27"/>
  <c r="AR49" i="27" s="1"/>
  <c r="AN44" i="30"/>
  <c r="AR44" i="30" s="1"/>
  <c r="AN47" i="24"/>
  <c r="AR47" i="24" s="1"/>
  <c r="AN46" i="25"/>
  <c r="AR46" i="25" s="1"/>
  <c r="AI60" i="29"/>
  <c r="AC59" i="26"/>
  <c r="AN41" i="26"/>
  <c r="AR41" i="26" s="1"/>
  <c r="AN58" i="29"/>
  <c r="AR58" i="29" s="1"/>
  <c r="AN37" i="27"/>
  <c r="AR37" i="27" s="1"/>
  <c r="AC55" i="30"/>
  <c r="AN53" i="24"/>
  <c r="AR53" i="24" s="1"/>
  <c r="AB20" i="30"/>
  <c r="AF20" i="30" s="1"/>
  <c r="AN56" i="28"/>
  <c r="AR56" i="28" s="1"/>
  <c r="AB17" i="28"/>
  <c r="AF17" i="28" s="1"/>
  <c r="AN50" i="21"/>
  <c r="AR50" i="21" s="1"/>
  <c r="Y55" i="30"/>
  <c r="O55" i="30"/>
  <c r="AG55" i="30"/>
  <c r="AN43" i="26"/>
  <c r="AR43" i="26" s="1"/>
  <c r="AN38" i="23"/>
  <c r="AR38" i="23" s="1"/>
  <c r="AN68" i="21"/>
  <c r="AR68" i="21" s="1"/>
  <c r="AB17" i="23"/>
  <c r="AF17" i="23" s="1"/>
  <c r="AN45" i="28"/>
  <c r="AR45" i="28" s="1"/>
  <c r="AN40" i="23"/>
  <c r="AR40" i="23" s="1"/>
  <c r="AB21" i="23"/>
  <c r="AF21" i="23" s="1"/>
  <c r="AB8" i="23"/>
  <c r="AF8" i="23" s="1"/>
  <c r="G43" i="21"/>
  <c r="AN50" i="29"/>
  <c r="AR50" i="29" s="1"/>
  <c r="AN39" i="23"/>
  <c r="AR39" i="23" s="1"/>
  <c r="M60" i="29"/>
  <c r="AN56" i="21"/>
  <c r="AR56" i="21" s="1"/>
  <c r="AA60" i="29"/>
  <c r="AN45" i="26"/>
  <c r="AR45" i="26" s="1"/>
  <c r="AB19" i="23"/>
  <c r="AF19" i="23" s="1"/>
  <c r="AN57" i="27"/>
  <c r="AR57" i="27" s="1"/>
  <c r="AN51" i="27"/>
  <c r="AR51" i="27" s="1"/>
  <c r="K59" i="26"/>
  <c r="AN50" i="28"/>
  <c r="AR50" i="28" s="1"/>
  <c r="AM60" i="29"/>
  <c r="AN37" i="30"/>
  <c r="AR37" i="30" s="1"/>
  <c r="AN53" i="30"/>
  <c r="AR53" i="30" s="1"/>
  <c r="K43" i="21"/>
  <c r="AN53" i="28"/>
  <c r="AR53" i="28" s="1"/>
  <c r="K60" i="29"/>
  <c r="AN50" i="25"/>
  <c r="AR50" i="25" s="1"/>
  <c r="AB10" i="23"/>
  <c r="AF10" i="23" s="1"/>
  <c r="AN59" i="29"/>
  <c r="AR59" i="29" s="1"/>
  <c r="Y58" i="25"/>
  <c r="AN49" i="28"/>
  <c r="AR49" i="28" s="1"/>
  <c r="AN41" i="23"/>
  <c r="AR41" i="23" s="1"/>
  <c r="AN46" i="29"/>
  <c r="AR46" i="29" s="1"/>
  <c r="AN57" i="29"/>
  <c r="AR57" i="29" s="1"/>
  <c r="AN53" i="26"/>
  <c r="AR53" i="26" s="1"/>
  <c r="W55" i="30"/>
  <c r="AB23" i="23"/>
  <c r="AF23" i="23" s="1"/>
  <c r="I58" i="25"/>
  <c r="AN47" i="21"/>
  <c r="U29" i="29"/>
  <c r="AN62" i="23"/>
  <c r="AR62" i="23" s="1"/>
  <c r="AB26" i="23"/>
  <c r="AF26" i="23" s="1"/>
  <c r="AN47" i="27"/>
  <c r="AR47" i="27" s="1"/>
  <c r="AB19" i="30"/>
  <c r="AF19" i="30" s="1"/>
  <c r="AK60" i="29"/>
  <c r="AB10" i="30"/>
  <c r="AF10" i="30" s="1"/>
  <c r="AN48" i="30"/>
  <c r="AR48" i="30" s="1"/>
  <c r="AB16" i="23"/>
  <c r="Q29" i="29"/>
  <c r="AN52" i="23"/>
  <c r="AR52" i="23" s="1"/>
  <c r="AB4" i="23"/>
  <c r="AF4" i="23" s="1"/>
  <c r="AM55" i="30"/>
  <c r="U58" i="25"/>
  <c r="AN47" i="30"/>
  <c r="AR47" i="30" s="1"/>
  <c r="AK55" i="30"/>
  <c r="AN55" i="25"/>
  <c r="AR55" i="25" s="1"/>
  <c r="AN55" i="26"/>
  <c r="AR55" i="26" s="1"/>
  <c r="AB29" i="23"/>
  <c r="AF29" i="23" s="1"/>
  <c r="AN56" i="25"/>
  <c r="AR56" i="25" s="1"/>
  <c r="AN51" i="30"/>
  <c r="AR51" i="30" s="1"/>
  <c r="AN52" i="21"/>
  <c r="AR52" i="21" s="1"/>
  <c r="E55" i="30"/>
  <c r="AB13" i="27"/>
  <c r="AF13" i="27" s="1"/>
  <c r="AN47" i="28"/>
  <c r="AR47" i="28" s="1"/>
  <c r="AB28" i="23"/>
  <c r="AF28" i="23" s="1"/>
  <c r="AN38" i="27"/>
  <c r="AR38" i="27" s="1"/>
  <c r="AN54" i="26"/>
  <c r="AR54" i="26" s="1"/>
  <c r="AB27" i="23"/>
  <c r="AF27" i="23" s="1"/>
  <c r="AN42" i="30"/>
  <c r="AR42" i="30" s="1"/>
  <c r="AB24" i="23"/>
  <c r="AF24" i="23" s="1"/>
  <c r="AN86" i="21"/>
  <c r="AR86" i="21" s="1"/>
  <c r="AN71" i="21"/>
  <c r="AR71" i="21" s="1"/>
  <c r="AB15" i="30"/>
  <c r="AF15" i="30" s="1"/>
  <c r="AB24" i="30"/>
  <c r="AF24" i="30" s="1"/>
  <c r="AB18" i="30"/>
  <c r="AF18" i="30" s="1"/>
  <c r="S29" i="29"/>
  <c r="AB17" i="29"/>
  <c r="AF17" i="29" s="1"/>
  <c r="AB27" i="29"/>
  <c r="AF27" i="29" s="1"/>
  <c r="Y29" i="29"/>
  <c r="AB28" i="29"/>
  <c r="AF28" i="29" s="1"/>
  <c r="G29" i="29"/>
  <c r="M29" i="29"/>
  <c r="W29" i="29"/>
  <c r="AB21" i="29"/>
  <c r="AF21" i="29" s="1"/>
  <c r="AB18" i="28"/>
  <c r="AF18" i="28" s="1"/>
  <c r="AB15" i="28"/>
  <c r="AF15" i="28" s="1"/>
  <c r="AB11" i="28"/>
  <c r="AF11" i="28" s="1"/>
  <c r="M31" i="28"/>
  <c r="I31" i="28"/>
  <c r="E31" i="28"/>
  <c r="AB16" i="28"/>
  <c r="AF16" i="28" s="1"/>
  <c r="Q31" i="28"/>
  <c r="AB6" i="27"/>
  <c r="AF6" i="27" s="1"/>
  <c r="AB28" i="27"/>
  <c r="AF28" i="27" s="1"/>
  <c r="AB12" i="27"/>
  <c r="AF12" i="27" s="1"/>
  <c r="U30" i="27"/>
  <c r="Y30" i="27"/>
  <c r="AB23" i="27"/>
  <c r="AF23" i="27" s="1"/>
  <c r="W30" i="27"/>
  <c r="AB24" i="28"/>
  <c r="AF24" i="28" s="1"/>
  <c r="S31" i="28"/>
  <c r="AB13" i="30"/>
  <c r="AF13" i="30" s="1"/>
  <c r="M55" i="30"/>
  <c r="AN38" i="30"/>
  <c r="AR38" i="30" s="1"/>
  <c r="U55" i="30"/>
  <c r="I55" i="30"/>
  <c r="AE60" i="29"/>
  <c r="AN37" i="29"/>
  <c r="AR37" i="29" s="1"/>
  <c r="AB19" i="29"/>
  <c r="AF19" i="29" s="1"/>
  <c r="Y31" i="28"/>
  <c r="K31" i="28"/>
  <c r="AN43" i="28"/>
  <c r="AR43" i="28" s="1"/>
  <c r="W31" i="28"/>
  <c r="U31" i="28"/>
  <c r="AB7" i="26"/>
  <c r="AF7" i="26" s="1"/>
  <c r="AB11" i="26"/>
  <c r="AF11" i="26" s="1"/>
  <c r="W29" i="26"/>
  <c r="AB15" i="26"/>
  <c r="AF15" i="26" s="1"/>
  <c r="AB23" i="26"/>
  <c r="AF23" i="26" s="1"/>
  <c r="AB18" i="26"/>
  <c r="AF18" i="26" s="1"/>
  <c r="AB20" i="26"/>
  <c r="AF20" i="26" s="1"/>
  <c r="AB11" i="25"/>
  <c r="AF11" i="25" s="1"/>
  <c r="M29" i="26"/>
  <c r="AB25" i="26"/>
  <c r="AF25" i="26" s="1"/>
  <c r="Q29" i="26"/>
  <c r="G29" i="26"/>
  <c r="S29" i="26"/>
  <c r="O29" i="26"/>
  <c r="AB13" i="26"/>
  <c r="AF13" i="26" s="1"/>
  <c r="I29" i="26"/>
  <c r="Y59" i="26"/>
  <c r="O59" i="26"/>
  <c r="U59" i="26"/>
  <c r="M59" i="26"/>
  <c r="AE59" i="26"/>
  <c r="U29" i="26"/>
  <c r="AG59" i="26"/>
  <c r="AB16" i="26"/>
  <c r="AF16" i="26" s="1"/>
  <c r="G28" i="25"/>
  <c r="AB7" i="25"/>
  <c r="AF7" i="25" s="1"/>
  <c r="AB6" i="25"/>
  <c r="AF6" i="25" s="1"/>
  <c r="W28" i="25"/>
  <c r="AB12" i="23"/>
  <c r="AF12" i="23" s="1"/>
  <c r="AB16" i="25"/>
  <c r="AF16" i="25" s="1"/>
  <c r="AB26" i="25"/>
  <c r="AF26" i="25" s="1"/>
  <c r="M28" i="25"/>
  <c r="AB20" i="25"/>
  <c r="AF20" i="25" s="1"/>
  <c r="AK58" i="25"/>
  <c r="AN41" i="25"/>
  <c r="AR41" i="25" s="1"/>
  <c r="M58" i="25"/>
  <c r="AB25" i="25"/>
  <c r="AF25" i="25" s="1"/>
  <c r="O58" i="25"/>
  <c r="K28" i="25"/>
  <c r="G58" i="25"/>
  <c r="AE58" i="25"/>
  <c r="AG58" i="25"/>
  <c r="AI58" i="25"/>
  <c r="AB14" i="25"/>
  <c r="AF14" i="25" s="1"/>
  <c r="AN54" i="25"/>
  <c r="AR54" i="25" s="1"/>
  <c r="Y28" i="25"/>
  <c r="W58" i="25"/>
  <c r="U28" i="25"/>
  <c r="Q58" i="25"/>
  <c r="S58" i="25"/>
  <c r="Q28" i="25"/>
  <c r="S28" i="25"/>
  <c r="K58" i="25"/>
  <c r="E58" i="25"/>
  <c r="AA28" i="25"/>
  <c r="AN44" i="25"/>
  <c r="AR44" i="25" s="1"/>
  <c r="AC58" i="25"/>
  <c r="E28" i="25"/>
  <c r="AA58" i="25"/>
  <c r="AB20" i="24"/>
  <c r="AF20" i="24" s="1"/>
  <c r="U28" i="24"/>
  <c r="AB16" i="24"/>
  <c r="AF16" i="24" s="1"/>
  <c r="Q28" i="24"/>
  <c r="AB18" i="24"/>
  <c r="AF18" i="24" s="1"/>
  <c r="M28" i="24"/>
  <c r="I28" i="24"/>
  <c r="AB24" i="24"/>
  <c r="AF24" i="24" s="1"/>
  <c r="AB25" i="24"/>
  <c r="AF25" i="24" s="1"/>
  <c r="AB10" i="24"/>
  <c r="AF10" i="24" s="1"/>
  <c r="Y28" i="24"/>
  <c r="W28" i="24"/>
  <c r="G28" i="24"/>
  <c r="AN56" i="24"/>
  <c r="AR56" i="24" s="1"/>
  <c r="S28" i="24"/>
  <c r="S32" i="23"/>
  <c r="AA32" i="23"/>
  <c r="Y32" i="23"/>
  <c r="AN57" i="23"/>
  <c r="AR57" i="23" s="1"/>
  <c r="Q32" i="23"/>
  <c r="I32" i="23"/>
  <c r="G32" i="23"/>
  <c r="O30" i="27"/>
  <c r="AB18" i="27"/>
  <c r="AF18" i="27" s="1"/>
  <c r="AB7" i="27"/>
  <c r="AF7" i="27" s="1"/>
  <c r="AN43" i="27"/>
  <c r="AR43" i="27" s="1"/>
  <c r="AB19" i="27"/>
  <c r="AF19" i="27" s="1"/>
  <c r="AB26" i="27"/>
  <c r="AF26" i="27" s="1"/>
  <c r="E61" i="27"/>
  <c r="I30" i="27"/>
  <c r="Q30" i="27"/>
  <c r="M30" i="27"/>
  <c r="S30" i="27"/>
  <c r="K30" i="27"/>
  <c r="AF16" i="20"/>
  <c r="AB20" i="20"/>
  <c r="AF20" i="20" s="1"/>
  <c r="AB26" i="20"/>
  <c r="AF26" i="20" s="1"/>
  <c r="AB9" i="20"/>
  <c r="AF9" i="20" s="1"/>
  <c r="AN44" i="20"/>
  <c r="AR44" i="20" s="1"/>
  <c r="AN51" i="20"/>
  <c r="AR51" i="20" s="1"/>
  <c r="AB29" i="20"/>
  <c r="AF29" i="20" s="1"/>
  <c r="O43" i="21"/>
  <c r="M43" i="21"/>
  <c r="Q43" i="21"/>
  <c r="AA43" i="21"/>
  <c r="AN55" i="24"/>
  <c r="AR55" i="24" s="1"/>
  <c r="AN57" i="25"/>
  <c r="AR57" i="25" s="1"/>
  <c r="U32" i="23"/>
  <c r="AB27" i="25"/>
  <c r="AF27" i="25" s="1"/>
  <c r="AN51" i="21"/>
  <c r="AR51" i="21" s="1"/>
  <c r="AB4" i="20"/>
  <c r="AF4" i="20" s="1"/>
  <c r="AN36" i="20"/>
  <c r="AR36" i="20" s="1"/>
  <c r="S55" i="30"/>
  <c r="AA55" i="30"/>
  <c r="Q59" i="26"/>
  <c r="AB21" i="28"/>
  <c r="AF21" i="28" s="1"/>
  <c r="AB13" i="20"/>
  <c r="AF13" i="20" s="1"/>
  <c r="I43" i="21"/>
  <c r="AN50" i="23"/>
  <c r="AR50" i="23" s="1"/>
  <c r="AB14" i="24"/>
  <c r="AF14" i="24" s="1"/>
  <c r="AN43" i="24"/>
  <c r="AR43" i="24" s="1"/>
  <c r="AN53" i="25"/>
  <c r="AR53" i="25" s="1"/>
  <c r="U60" i="29"/>
  <c r="AN55" i="29"/>
  <c r="AR55" i="29" s="1"/>
  <c r="O31" i="28"/>
  <c r="AA29" i="26"/>
  <c r="AN46" i="26"/>
  <c r="AR46" i="26" s="1"/>
  <c r="AM59" i="26"/>
  <c r="AN48" i="28"/>
  <c r="AR48" i="28" s="1"/>
  <c r="O28" i="25"/>
  <c r="AB23" i="20"/>
  <c r="AF23" i="20" s="1"/>
  <c r="AN55" i="20"/>
  <c r="AR55" i="20" s="1"/>
  <c r="AN59" i="23"/>
  <c r="AR59" i="23" s="1"/>
  <c r="K28" i="24"/>
  <c r="E28" i="24"/>
  <c r="AN35" i="24"/>
  <c r="AR35" i="24" s="1"/>
  <c r="AA30" i="27"/>
  <c r="AA29" i="29"/>
  <c r="AN46" i="20"/>
  <c r="AR46" i="20" s="1"/>
  <c r="K32" i="23"/>
  <c r="AN37" i="20"/>
  <c r="AR37" i="20" s="1"/>
  <c r="O28" i="24"/>
  <c r="AN37" i="24"/>
  <c r="AR37" i="24" s="1"/>
  <c r="Y29" i="26"/>
  <c r="E29" i="26"/>
  <c r="G31" i="28"/>
  <c r="I28" i="25"/>
  <c r="S59" i="26"/>
  <c r="AB11" i="27"/>
  <c r="AF11" i="27" s="1"/>
  <c r="AA31" i="28"/>
  <c r="AN41" i="29"/>
  <c r="AR41" i="29" s="1"/>
  <c r="AN42" i="28"/>
  <c r="AR42" i="28" s="1"/>
  <c r="AN54" i="27"/>
  <c r="AR54" i="27" s="1"/>
  <c r="AB22" i="24"/>
  <c r="AF22" i="24" s="1"/>
  <c r="O32" i="23"/>
  <c r="AN57" i="26"/>
  <c r="AR57" i="26" s="1"/>
  <c r="AB22" i="27"/>
  <c r="AF22" i="27" s="1"/>
  <c r="AN53" i="27"/>
  <c r="AR53" i="27" s="1"/>
  <c r="AN52" i="20"/>
  <c r="AR52" i="20" s="1"/>
  <c r="O29" i="29"/>
  <c r="AB14" i="20"/>
  <c r="AF14" i="20" s="1"/>
  <c r="AB14" i="30"/>
  <c r="AF14" i="30" s="1"/>
  <c r="AB5" i="20"/>
  <c r="AF5" i="20" s="1"/>
  <c r="AB8" i="24"/>
  <c r="AF8" i="24" s="1"/>
  <c r="AM58" i="25"/>
  <c r="K29" i="26"/>
  <c r="AN60" i="23"/>
  <c r="AR60" i="23" s="1"/>
  <c r="AN52" i="27"/>
  <c r="AR52" i="27" s="1"/>
  <c r="AA28" i="24"/>
  <c r="AN49" i="23"/>
  <c r="AR49" i="23" s="1"/>
  <c r="I60" i="29"/>
  <c r="E30" i="27"/>
  <c r="AN44" i="29"/>
  <c r="AR44" i="29" s="1"/>
  <c r="AB10" i="26"/>
  <c r="AF10" i="26" s="1"/>
  <c r="AB21" i="20"/>
  <c r="AF21" i="20" s="1"/>
  <c r="M32" i="23"/>
  <c r="AN46" i="23"/>
  <c r="AR46" i="23" s="1"/>
  <c r="AB27" i="26"/>
  <c r="AF27" i="26" s="1"/>
  <c r="AN56" i="23"/>
  <c r="AR56" i="23" s="1"/>
  <c r="AB12" i="24"/>
  <c r="AF12" i="24" s="1"/>
  <c r="AB26" i="28"/>
  <c r="AF26" i="28" s="1"/>
  <c r="AN41" i="24"/>
  <c r="AR41" i="24" s="1"/>
  <c r="AB6" i="29"/>
  <c r="AF6" i="29" s="1"/>
  <c r="AN50" i="26"/>
  <c r="AR50" i="26" s="1"/>
  <c r="E43" i="21"/>
  <c r="AN39" i="24"/>
  <c r="AR39" i="24" s="1"/>
  <c r="AB22" i="30"/>
  <c r="AF22" i="30" s="1"/>
  <c r="W60" i="29"/>
  <c r="AB10" i="28"/>
  <c r="AF10" i="28" s="1"/>
  <c r="AN45" i="23"/>
  <c r="AR45" i="23" s="1"/>
  <c r="AB10" i="29"/>
  <c r="AF10" i="29" s="1"/>
  <c r="AB17" i="26"/>
  <c r="AF17" i="26" s="1"/>
  <c r="AN42" i="25"/>
  <c r="AR42" i="25" s="1"/>
  <c r="AB18" i="25"/>
  <c r="AF18" i="25" s="1"/>
  <c r="AB6" i="24"/>
  <c r="AF6" i="24" s="1"/>
  <c r="AB15" i="29"/>
  <c r="AF15" i="29" s="1"/>
  <c r="AB26" i="29"/>
  <c r="AF26" i="29" s="1"/>
  <c r="AN58" i="20"/>
  <c r="AR58" i="20" s="1"/>
  <c r="AN40" i="26"/>
  <c r="AR40" i="26" s="1"/>
  <c r="W32" i="23"/>
  <c r="AB23" i="25"/>
  <c r="AF23" i="25" s="1"/>
  <c r="AB24" i="25"/>
  <c r="AF24" i="25" s="1"/>
  <c r="AB25" i="29"/>
  <c r="AF25" i="29" s="1"/>
  <c r="AB7" i="28"/>
  <c r="AF7" i="28" s="1"/>
  <c r="AB27" i="24"/>
  <c r="AF27" i="24" s="1"/>
  <c r="AB10" i="20"/>
  <c r="AF10" i="20" s="1"/>
  <c r="AN43" i="30"/>
  <c r="AR43" i="30" s="1"/>
  <c r="AN64" i="21"/>
  <c r="AR64" i="21" s="1"/>
  <c r="AN36" i="25"/>
  <c r="AR36" i="25" s="1"/>
  <c r="AN82" i="21"/>
  <c r="AR82" i="21" s="1"/>
  <c r="AN39" i="28"/>
  <c r="AR39" i="28" s="1"/>
  <c r="AB9" i="25"/>
  <c r="AF9" i="25" s="1"/>
  <c r="AB24" i="29"/>
  <c r="AF24" i="29" s="1"/>
  <c r="AN48" i="25"/>
  <c r="AR48" i="25" s="1"/>
  <c r="AB13" i="28"/>
  <c r="AF13" i="28" s="1"/>
  <c r="E32" i="23"/>
  <c r="AB15" i="27"/>
  <c r="AF15" i="27" s="1"/>
  <c r="AN75" i="21"/>
  <c r="AR75" i="21" s="1"/>
  <c r="E59" i="26" l="1"/>
  <c r="I87" i="21"/>
  <c r="E26" i="30"/>
  <c r="E65" i="23"/>
  <c r="E60" i="29"/>
  <c r="E63" i="28"/>
  <c r="AF3" i="20"/>
  <c r="AF31" i="20" s="1"/>
  <c r="AB31" i="20"/>
  <c r="AR47" i="21"/>
  <c r="AR87" i="21" s="1"/>
  <c r="AS87" i="21" s="1"/>
  <c r="AN87" i="21"/>
  <c r="AR35" i="20"/>
  <c r="AR63" i="20" s="1"/>
  <c r="AN63" i="20"/>
  <c r="AR55" i="30"/>
  <c r="AR60" i="29"/>
  <c r="AR63" i="28"/>
  <c r="AF30" i="27"/>
  <c r="AN61" i="27"/>
  <c r="AR61" i="27"/>
  <c r="AR59" i="26"/>
  <c r="AR58" i="25"/>
  <c r="AR57" i="24"/>
  <c r="AR65" i="23"/>
  <c r="AF29" i="26"/>
  <c r="AN57" i="24"/>
  <c r="AN55" i="30"/>
  <c r="AN65" i="23"/>
  <c r="AN60" i="29"/>
  <c r="AN63" i="28"/>
  <c r="AF26" i="30"/>
  <c r="AF29" i="29"/>
  <c r="AF31" i="28"/>
  <c r="AB26" i="30"/>
  <c r="AN59" i="26"/>
  <c r="AF28" i="25"/>
  <c r="AB28" i="25"/>
  <c r="AN58" i="25"/>
  <c r="AF28" i="24"/>
  <c r="AB28" i="24"/>
  <c r="AF16" i="23"/>
  <c r="AF32" i="23" s="1"/>
  <c r="AG32" i="23" s="1"/>
  <c r="AB32" i="23"/>
  <c r="AB30" i="27"/>
  <c r="AB29" i="29"/>
  <c r="AB29" i="26"/>
  <c r="AB31" i="28"/>
  <c r="AG30" i="27" l="1"/>
  <c r="AF43" i="21"/>
  <c r="AG28" i="24"/>
  <c r="AG43" i="21" l="1"/>
  <c r="C8" i="39"/>
  <c r="AB43" i="21"/>
  <c r="Q8" i="39" l="1"/>
  <c r="I22" i="39"/>
  <c r="A23" i="40" s="1"/>
  <c r="AD4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H11" authorId="0" shapeId="0" xr:uid="{C0BF1DD5-58F9-4789-8154-A14387EB0A1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19" authorId="0" shapeId="0" xr:uid="{4943D9E7-28E1-4CBA-AE5C-6A68518992BC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H11" authorId="0" shapeId="0" xr:uid="{3591CEBE-51FC-47CB-8ABD-731AEF8C31B9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19" authorId="0" shapeId="0" xr:uid="{6DEC3840-E0F1-464E-AE30-D025A8989E84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H12" authorId="0" shapeId="0" xr:uid="{C5E5FB2D-7EEA-43C1-8713-9D20593B66B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20" authorId="0" shapeId="0" xr:uid="{A3E16304-0550-4644-B89F-ADF21ABB7071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  <comment ref="H56" authorId="0" shapeId="0" xr:uid="{64412713-0347-4DC9-9C76-8CB051E79ED9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64" authorId="0" shapeId="0" xr:uid="{ADD53276-05C4-4DA2-A811-EE8DFDA17FA5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<sst xmlns="http://schemas.openxmlformats.org/spreadsheetml/2006/main" count="6754" uniqueCount="424">
  <si>
    <t>Servicios del Programa:</t>
  </si>
  <si>
    <t>CPI_80</t>
  </si>
  <si>
    <t>ENFERMERIA CONTROL / PROGRAMAS</t>
  </si>
  <si>
    <t>CPI_74</t>
  </si>
  <si>
    <t>NUTRICION PRIMERA VEZ / PROGRAMAS</t>
  </si>
  <si>
    <t>CPI_76</t>
  </si>
  <si>
    <t>PSICOLOGIA PRIMERA VEZ / PROGRAMAS</t>
  </si>
  <si>
    <t>CPI_04</t>
  </si>
  <si>
    <t>CONSULTA PRIMERA VEZ MEDICINA INTERNA / PROGRAMAS</t>
  </si>
  <si>
    <t>CPI_05</t>
  </si>
  <si>
    <t>CONSULTA CONTROL MEDICINA INTERNA / PROGRAMAS</t>
  </si>
  <si>
    <t>CPI_09</t>
  </si>
  <si>
    <t>ACTIVIDAD EDUCATIVA / PROGRAMAS</t>
  </si>
  <si>
    <t>CPI_01</t>
  </si>
  <si>
    <t>INGRESO PROGRAMAS INTEGRALES</t>
  </si>
  <si>
    <t>CPI_75</t>
  </si>
  <si>
    <t>NUTRICION CONTROL / PROGRAMAS</t>
  </si>
  <si>
    <t>CPI_77</t>
  </si>
  <si>
    <t>PSICOLOGIA CONTROL / PROGRAMAS</t>
  </si>
  <si>
    <t>CPI_11</t>
  </si>
  <si>
    <t>CONSULTA PRIMERA VEZ NEUMOLOGIA ADULTO / PROGRAMAS</t>
  </si>
  <si>
    <t>CPI_12</t>
  </si>
  <si>
    <t>CONSULTA CONTROL NEUMOLOGIA ADULTO / PROGRAMAS</t>
  </si>
  <si>
    <t>CPI_02</t>
  </si>
  <si>
    <t>REHABILITACION INGRESO / PROGRAMAS</t>
  </si>
  <si>
    <t>CPI_28</t>
  </si>
  <si>
    <t>CAMINATA 6 MINUTOS / PROGRAMAS</t>
  </si>
  <si>
    <t>CPI_15</t>
  </si>
  <si>
    <t>ESPIROMETRIA PRE Y POST BRONCODILATADORES / PROGRAMAS</t>
  </si>
  <si>
    <t>CPI_31</t>
  </si>
  <si>
    <t>CPI_08</t>
  </si>
  <si>
    <t>EGRESO PROGRAMAS INTEGRALES</t>
  </si>
  <si>
    <t>CPI_79</t>
  </si>
  <si>
    <t>CONSULTA CONTROL MEDICINA GENERAL / PROGRAMAS</t>
  </si>
  <si>
    <t>CPI_78</t>
  </si>
  <si>
    <t>CONSULTA PRIMERA VEZ MEDICINA GENERAL / PROGRAMAS</t>
  </si>
  <si>
    <t>CPI_03</t>
  </si>
  <si>
    <t>REHABILITACION CONTROL / PROGRAMAS</t>
  </si>
  <si>
    <t>CPI_06</t>
  </si>
  <si>
    <t>CONSULTA PRIORITARIA/ PROGRAMAS</t>
  </si>
  <si>
    <t>CPI_10</t>
  </si>
  <si>
    <t>CONTACTO DE SEGUIMIENTO Y/O TELEFONICO / PROGRAMAS</t>
  </si>
  <si>
    <t>CPI_32</t>
  </si>
  <si>
    <t>PRIMERA VEZ TERAPIA RESPIRATORIA/ PROGRAMAS</t>
  </si>
  <si>
    <t>CPI_33</t>
  </si>
  <si>
    <t>CONTROL TERAPIA RESPIRATORIA/ PROGRAMAS</t>
  </si>
  <si>
    <t>CPI_13</t>
  </si>
  <si>
    <t>CONSULTA PRIMERA VEZ NEUMOLOGIA PEDIATRICA / PROGRAMAS</t>
  </si>
  <si>
    <t>CPI_14</t>
  </si>
  <si>
    <t>CONSULTA CONTROL NEUMOLOGIA PEDIATRICA / PROGRAMAS</t>
  </si>
  <si>
    <t>CPI_24</t>
  </si>
  <si>
    <t>OSCILOMETRIA DE IMPULSO / PROGRAMAS</t>
  </si>
  <si>
    <t>CPI_72</t>
  </si>
  <si>
    <t>CPI_73</t>
  </si>
  <si>
    <t>CPI_30</t>
  </si>
  <si>
    <t>Programa de RHP / Ejercicio Cardiovascular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</si>
  <si>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</si>
  <si>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</si>
  <si>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</si>
  <si>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</si>
  <si>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</si>
  <si>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</si>
  <si>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</si>
  <si>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</si>
  <si>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</si>
  <si>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</si>
  <si>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</si>
  <si>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</si>
  <si>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</si>
  <si>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</si>
  <si>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</si>
  <si>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</si>
  <si>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</si>
  <si>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</si>
  <si>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CPI_81</t>
  </si>
  <si>
    <t>FISIOTERAPIA PRIMERA VEZ / PROGRAMAS</t>
  </si>
  <si>
    <t>CPI_82</t>
  </si>
  <si>
    <t>FISIOTERAPIA CONTROL / PROGRAMAS</t>
  </si>
  <si>
    <t>INO007</t>
  </si>
  <si>
    <t>CPI_68</t>
  </si>
  <si>
    <t>CPI_71</t>
  </si>
  <si>
    <t>CPI_21</t>
  </si>
  <si>
    <t>CPI_22</t>
  </si>
  <si>
    <t>VOLUMENES PULMONARES POR PLETISMOGRAFIA PRE Y POST BRONCODILATADORES / PROGRAMAS</t>
  </si>
  <si>
    <t>CPI_26</t>
  </si>
  <si>
    <t>CAPACIDAD DE DIFUSION / PROGRAMAS</t>
  </si>
  <si>
    <t>CPI_18</t>
  </si>
  <si>
    <t>CONSULTA CONTROL ALERGOLOGIA / PROGRAMAS</t>
  </si>
  <si>
    <t>CPI_20</t>
  </si>
  <si>
    <t>Prick Test / PROGRAMAS</t>
  </si>
  <si>
    <t>CPI_23</t>
  </si>
  <si>
    <t>TEST DE METACOLINA / PROGRAMAS</t>
  </si>
  <si>
    <t>CPI_19</t>
  </si>
  <si>
    <t>CONSULTA PRIMERA VEZ ALERGOLOGIA / PROGRAMAS</t>
  </si>
  <si>
    <t>CPI_16</t>
  </si>
  <si>
    <t>CONSULTA PRIMERA VEZ CARDIOLOGIA / PROGRAMAS</t>
  </si>
  <si>
    <t>CPI_17</t>
  </si>
  <si>
    <t>CONSULTA CONTROL CARDIOLOGIA / PROGRAMAS</t>
  </si>
  <si>
    <t>CPI_83</t>
  </si>
  <si>
    <t>TRABAJO SOCIAL PRIMERA VEZ/PROGRAMAS</t>
  </si>
  <si>
    <r>
      <t xml:space="preserve">REHABILITACION CONTROL / PROGRAMAS </t>
    </r>
    <r>
      <rPr>
        <b/>
        <i/>
        <sz val="10"/>
        <color rgb="FFFF0000"/>
        <rFont val="Calibri"/>
        <family val="2"/>
        <scheme val="minor"/>
      </rPr>
      <t>(1, 2 o 3 Sesiones semana)</t>
    </r>
  </si>
  <si>
    <r>
      <t xml:space="preserve">OSCILOMETRIA DE IMPULSO / PROGRAMAS </t>
    </r>
    <r>
      <rPr>
        <b/>
        <i/>
        <sz val="10"/>
        <color rgb="FFFF0000"/>
        <rFont val="Calibri"/>
        <family val="2"/>
        <scheme val="minor"/>
      </rPr>
      <t>(Pacientes que no logran realizar espirometria)</t>
    </r>
  </si>
  <si>
    <r>
      <t xml:space="preserve">CONSULTA PRIORITARIA/ PROGRAMAS </t>
    </r>
    <r>
      <rPr>
        <b/>
        <i/>
        <sz val="10"/>
        <color rgb="FFFF0000"/>
        <rFont val="Calibri"/>
        <family val="2"/>
        <scheme val="minor"/>
      </rPr>
      <t>(Todas las que requiera el paciente)</t>
    </r>
  </si>
  <si>
    <r>
      <t xml:space="preserve">CONSULTA CONTROL MEDICINA GENERAL / PROGRAMAS </t>
    </r>
    <r>
      <rPr>
        <b/>
        <i/>
        <sz val="10"/>
        <color rgb="FFFF0000"/>
        <rFont val="Calibri"/>
        <family val="2"/>
        <scheme val="minor"/>
      </rPr>
      <t>(Todas las que requiera el paciente)</t>
    </r>
  </si>
  <si>
    <t>CPI_84</t>
  </si>
  <si>
    <t>TRABAJO SOCIAL CONTROL/PROGRAMAS</t>
  </si>
  <si>
    <t>Servicio</t>
  </si>
  <si>
    <t>Valor</t>
  </si>
  <si>
    <t>CIERRE TERAPIA RESPIRATORIA/ PROGRAMAS</t>
  </si>
  <si>
    <t>DEPORTOLOGIA PRIMERA VEZ/PROGRAMAS</t>
  </si>
  <si>
    <t>DEPORTOLOGIA CONTROL/PROGRAMAS</t>
  </si>
  <si>
    <t>PRUEBA DE BRONCOMOTRICIDAD CON EJERCICIO / PROGRAMAS</t>
  </si>
  <si>
    <t>COSTO SERVICIOS 2025</t>
  </si>
  <si>
    <t>CPI_86</t>
  </si>
  <si>
    <t>CPI_87</t>
  </si>
  <si>
    <t>CPI_88</t>
  </si>
  <si>
    <r>
      <t>DEPORTOLOGIA PRIMERA VEZ/PROGRAMAS</t>
    </r>
    <r>
      <rPr>
        <b/>
        <i/>
        <sz val="10"/>
        <color rgb="FFFF0000"/>
        <rFont val="Calibri"/>
        <family val="2"/>
        <scheme val="minor"/>
      </rPr>
      <t xml:space="preserve"> (solo si se requiere)</t>
    </r>
  </si>
  <si>
    <r>
      <t xml:space="preserve">DEPORTOLOGIA CONTROL/PROGRAMAS </t>
    </r>
    <r>
      <rPr>
        <b/>
        <i/>
        <sz val="10"/>
        <color rgb="FFFF0000"/>
        <rFont val="Calibri"/>
        <family val="2"/>
        <scheme val="minor"/>
      </rPr>
      <t>(solo si se requiere)</t>
    </r>
  </si>
  <si>
    <r>
      <t xml:space="preserve">DEPORTOLOGIA EGRESO/PROGRAMAS </t>
    </r>
    <r>
      <rPr>
        <b/>
        <i/>
        <sz val="10"/>
        <color rgb="FFFF0000"/>
        <rFont val="Calibri"/>
        <family val="2"/>
        <scheme val="minor"/>
      </rPr>
      <t>(solo si se requiere)</t>
    </r>
  </si>
  <si>
    <t xml:space="preserve"> - </t>
  </si>
  <si>
    <t>Valor evento (SALUD TOTAl)</t>
  </si>
  <si>
    <t>CPI_85</t>
  </si>
  <si>
    <r>
      <t xml:space="preserve">ACTIVIDAD EDUCATIVA / PROGRAMAS </t>
    </r>
    <r>
      <rPr>
        <b/>
        <i/>
        <sz val="10"/>
        <color rgb="FFFF0000"/>
        <rFont val="Calibri"/>
        <family val="2"/>
        <scheme val="minor"/>
      </rPr>
      <t>(Grupo de apoyo semanal)</t>
    </r>
  </si>
  <si>
    <t>ENFERMERIA PRIMERA VEZ/PROGRAMAS</t>
  </si>
  <si>
    <t>ACTIVIDAD EDUCATIVA</t>
  </si>
  <si>
    <t>CAMINATA 6 MINUTOS</t>
  </si>
  <si>
    <t>CONSULTA CONTROL NEUMOLOGIA ADULTO</t>
  </si>
  <si>
    <t>CONSULTA CONTROL NEUMOLOGIA PEDIATRICA</t>
  </si>
  <si>
    <t>CONSULTA PRIMERA VEZ MEDICINA INTERNA</t>
  </si>
  <si>
    <t>CONSULTA PRIMERA VEZ NEUMOLOGIA ADULTO</t>
  </si>
  <si>
    <t>CONSULTA PRIMERA VEZ NEUMOLOGIA PEDIATRICA</t>
  </si>
  <si>
    <t>CONTACTO DE SEGUIMIENTO Y/O TELEFONICO</t>
  </si>
  <si>
    <t>ESPIROMETRIA PRE Y POST BRONCODILATADORES</t>
  </si>
  <si>
    <t>REHABILITACION INGRESO</t>
  </si>
  <si>
    <t>ENFERMERIA PRIMERA VEZ</t>
  </si>
  <si>
    <t>CONSULTA CONTROL MEDICINA INTERNA</t>
  </si>
  <si>
    <t>REHABILITACION CONTROL / PROGRAMAS (1, 2 o 3 Sesiones semana)</t>
  </si>
  <si>
    <t>CONSULTA PRIORITARIA/ PROGRAMAS (Todas las que requiera el paciente)</t>
  </si>
  <si>
    <t>ACTIVIDAD EDUCATIVA / PROGRAMAS (Grupo de apoyo semanal)</t>
  </si>
  <si>
    <t>DEPORTOLOGIA PRIMERA VEZ/PROGRAMAS (solo si se requiere)</t>
  </si>
  <si>
    <t>DEPORTOLOGIA CONTROL/PROGRAMAS (solo si se requiere)</t>
  </si>
  <si>
    <t>DEPORTOLOGIA EGRESO/PROGRAMAS (solo si se requiere)</t>
  </si>
  <si>
    <t>OSCILOMETRIA DE IMPULSO / PROGRAMAS (Pacientes que no logran realizar espirometria)</t>
  </si>
  <si>
    <t>CONSULTA CONTROL MEDICINA GENERAL / PROGRAMAS (Todas las que requiera el paciente)</t>
  </si>
  <si>
    <t>Ciudad Servicio</t>
  </si>
  <si>
    <t>Sede</t>
  </si>
  <si>
    <t>Unidad de Negocio</t>
  </si>
  <si>
    <t>CUPS</t>
  </si>
  <si>
    <t>BUCARAMANGA_AREA_METR</t>
  </si>
  <si>
    <t>SEDE FOSUNAB</t>
  </si>
  <si>
    <t>PROGRAMAS INTEGRALES</t>
  </si>
  <si>
    <t>SERVICIO</t>
  </si>
  <si>
    <t>VALOR</t>
  </si>
  <si>
    <t>SEDE EL PRADO</t>
  </si>
  <si>
    <t>INO031</t>
  </si>
  <si>
    <t>CONSULTA PRIORITARIA MEDICINA INTERNA - PROGRAMAS</t>
  </si>
  <si>
    <t>EQUIVALENCIAS COSTO SERVICIOS 2026</t>
  </si>
  <si>
    <t>SERVICIO MEDICO</t>
  </si>
  <si>
    <t>LABORATORIO PULMONAR</t>
  </si>
  <si>
    <t>CONSULTA PRIMERA VEZ CARDIOLOGIA</t>
  </si>
  <si>
    <t>CONSULTA CONTROL CARDIOLOGIA</t>
  </si>
  <si>
    <t>CLINICA DE ALERGIAS</t>
  </si>
  <si>
    <t>CONSULTA CONTROL ALERGOLOGIA</t>
  </si>
  <si>
    <t>CONSULTA PRIMERA VEZ ALERGOLOGIA</t>
  </si>
  <si>
    <t>Prick Test</t>
  </si>
  <si>
    <t>VOLUMENES PULMONARES POR PLETISMOGRAFIA PRE Y POST BRONCODILATADORES</t>
  </si>
  <si>
    <t>OSCILOMETRIA DE IMPULSO</t>
  </si>
  <si>
    <t>CAPACIDAD DE DIFUSION CON MONOXIDO DE CARBONO</t>
  </si>
  <si>
    <t>SEDE CABECERA</t>
  </si>
  <si>
    <t>TERAPIA RESPIRATORIA</t>
  </si>
  <si>
    <t>PRIMERA VEZ TERAPIA RESPIRATORIA2</t>
  </si>
  <si>
    <t>CPI_34</t>
  </si>
  <si>
    <t>CIERRE TERAPIA RESPIRATORIA2</t>
  </si>
  <si>
    <t>NUTRICION PRIMERA VEZ</t>
  </si>
  <si>
    <t>NUTRICION CONTROL</t>
  </si>
  <si>
    <t>PSICOLOGIA PRIMERA VEZ</t>
  </si>
  <si>
    <t>PSICOLOGIA CONTROL</t>
  </si>
  <si>
    <t>CONSULTA CONTROL MEDICINA GENERAL</t>
  </si>
  <si>
    <t>CONSULTA PRIMERA VEZ MEDICINA GENERAL</t>
  </si>
  <si>
    <t>ENFERMERIA CONTROL</t>
  </si>
  <si>
    <t>FISIOTERAPIA PRIMERA VEZ</t>
  </si>
  <si>
    <t>FISIOTERAPIA CONTROL</t>
  </si>
  <si>
    <t>TRABAJO SOCIAL PRIMERA VEZ</t>
  </si>
  <si>
    <t>TRABAJO SOCIAL CONTROL</t>
  </si>
  <si>
    <t>DEPORTOLOGIA PRIMERA VEZ</t>
  </si>
  <si>
    <t>DEPORTOLOGIA CONTROL</t>
  </si>
  <si>
    <t>DEPORTOLOGIA EGRESO</t>
  </si>
  <si>
    <t>Columna1</t>
  </si>
  <si>
    <t>Columna2</t>
  </si>
  <si>
    <t>Columna3</t>
  </si>
  <si>
    <t>CONSULTA ESPECIALIZADA CONTROL REHABILITACIoN/PROGRAMAS</t>
  </si>
  <si>
    <t>CONSULTA ESPECIALIZADA PRIMERA VEZ REHABILITACIoN/PROGRAMAS</t>
  </si>
  <si>
    <t>CONTROL CESACIoN TABAQUICA/ PROGRAMAS</t>
  </si>
  <si>
    <t>EGRESO CESACIoN TABAQUICA</t>
  </si>
  <si>
    <t>INGRESO CESACIoN TABAQUICA</t>
  </si>
  <si>
    <t>PARTICIPACIoN JUNTA MEDICA/ PROGRAMAS</t>
  </si>
  <si>
    <t>REHABILITACIoN EGRESO / PROGRAMAS</t>
  </si>
  <si>
    <t>CONTROL CESACIoN TABAQUICA/ PROGRAMAS (1 sesion semana)</t>
  </si>
  <si>
    <t>INTERVENCIoN DOMICILIARIA TRABAJO SOCIAL/PROGRAMAS</t>
  </si>
  <si>
    <t>PROGRAMA REHABILITACIoN PULMONAR/TRASTORNOS DEL SUEÑO (12 MESES)</t>
  </si>
  <si>
    <t>Programa Rehabilitacion Pulmonar / Trastornos del Sueño</t>
  </si>
  <si>
    <t>PROGRAMA REHABILITACIoN PULMONAR/TRASTORNOS DEL SUEÑO (ECOPETROL 18 MESES)</t>
  </si>
  <si>
    <t>PROGRAMA REHABILITACIoN PULMONAR/EPOC (12 MESES)</t>
  </si>
  <si>
    <t>Programa Rehabilitacion Pulmonar / Epoc</t>
  </si>
  <si>
    <t>PROGRAMA REHABILITACIoN PULMONAR/EPOC (ECOPETROL 18 MESES)</t>
  </si>
  <si>
    <t>PROGRAMA REHABILITACIoN PULMONAR/CESACIoN TABAQUICA (12 MESES)</t>
  </si>
  <si>
    <t>Programa de RHP /Cesacion TabAquica</t>
  </si>
  <si>
    <t>PROGRAMA REHABILITACIoN PULMONAR/CESACIoN TABAQUICA (ECOPETROL 18 MESES)</t>
  </si>
  <si>
    <t>PROGRAMA REHABILITACIoN PULMONAR/DISNEA - OBESIDAD (12 MESES)</t>
  </si>
  <si>
    <t>Programa Rehabilitacion Pulmonar / Disnea</t>
  </si>
  <si>
    <t>PROGRAMA REHABILITACIoN PULMONAR/DISNEA - OBESIDAD (ECOPETROL 18 MESES)</t>
  </si>
  <si>
    <t>PROGRAMA REHABILITACIoN PULMONAR/NODULO PULMONAR (12 MESES)</t>
  </si>
  <si>
    <t>Programa Rehabilitacion Pulmonar / Nodulo Pulmonar</t>
  </si>
  <si>
    <t>PROGRAMA REHABILITACIoN PULMONAR/NODULO PULMONAR (ECOPETROL 18 MESES)</t>
  </si>
  <si>
    <t>PROGRAMA REHABILITACIoN PULMONAR/EPI (12 MESES)</t>
  </si>
  <si>
    <t>Programa Rehabilitacion Pulmonar / Epic</t>
  </si>
  <si>
    <t>PROGRAMA REHABILITACIoN PULMONAR/EPI (ECOPETROL 18 MESES)</t>
  </si>
  <si>
    <t>PROGRAMA REHABILITACIoN PULMONAR/CUIDADO RESPIRATORIO INTEGRAL (12 MESES)</t>
  </si>
  <si>
    <t>Programa Rehabilitacion Pulmonar / Cuidado Respiratorio</t>
  </si>
  <si>
    <t>PROGRAMA REHABILITACIoN PULMONAR/CUIDADO RESPIRATORIO INTEGRAL (ECOPETROL 18 MESES)</t>
  </si>
  <si>
    <t>CONSULTA CONTROL MEDICINA INTERNA / PROGRAMAS  (Segun indicacion medica)</t>
  </si>
  <si>
    <t>CONSULTA CONTROL NEUMOLOGIA ADULTO / PROGRAMAS (Segun indicacion medica)</t>
  </si>
  <si>
    <t>CONSULTA CONTROL NEUMOLOGIA PEDIATRICA / PROGRAMAS (Segun indicacion medica)</t>
  </si>
  <si>
    <t>ESPIROMETRIA PRE Y POST BRONCODILATADORES / PROGRAMAS (Segun condicion de salud)</t>
  </si>
  <si>
    <t>CONSULTA CONTROL CARDIOLOGIA / PROGRAMAS (Segun indicacion medica)</t>
  </si>
  <si>
    <t>CONSULTA CONTROL ALERGOLOGIA / PROGRAMAS (Segun indicacion medica)</t>
  </si>
  <si>
    <t>CAMINATA 6 MINUTOS / PROGRAMAS (Segun condicion de salud)</t>
  </si>
  <si>
    <t>PARTICIPACIoN JUNTA MEDICA/ PROGRAMAS (Segun indicacion medica)</t>
  </si>
  <si>
    <t>PRIMERA VEZ TERAPIA RESPIRATORIA/ PROGRAMAS (Segun indicacion medica)</t>
  </si>
  <si>
    <t>CONTROL TERAPIA RESPIRATORIA/ PROGRAMAS (Segun indicacion medica)</t>
  </si>
  <si>
    <t>CONSULTA ESPECIALIZADA CONTROL REHABILITACIoN/PROGRAMAS  (Segun indicacion medica)</t>
  </si>
  <si>
    <t>CONSULTA ESPECIALIZADA CONTROL REHABILITACIoN/PROGRAMAS (Segun indicacion medica)</t>
  </si>
  <si>
    <t>INTERVENCIoN DOMICILIARIA TRABAJO SOCIAL/PROGRAMAS (Segun indicacion medica)</t>
  </si>
  <si>
    <t>PROGRAMA REHABILITACIoN PULMONAR/ASMA (12 MESES)</t>
  </si>
  <si>
    <t>Programa Rehabilitacion Pulmonar / Asma</t>
  </si>
  <si>
    <t>COSTO</t>
  </si>
  <si>
    <t>COSTO2</t>
  </si>
  <si>
    <t>COSTO3</t>
  </si>
  <si>
    <t>COSTO4</t>
  </si>
  <si>
    <t>COSTO5</t>
  </si>
  <si>
    <t>COSTO6</t>
  </si>
  <si>
    <t>COSTO7</t>
  </si>
  <si>
    <t>COSTO8</t>
  </si>
  <si>
    <t>COSTO9</t>
  </si>
  <si>
    <t>COSTO10</t>
  </si>
  <si>
    <t>COSTO11</t>
  </si>
  <si>
    <t>COSTO12</t>
  </si>
  <si>
    <t>TOTAL</t>
  </si>
  <si>
    <t>PROGRAMA REHABILITACIoN PULMONAR/ASMA (ECOPETROL 18 MESES)</t>
  </si>
  <si>
    <t>COSTOS</t>
  </si>
  <si>
    <t>COSTOS2</t>
  </si>
  <si>
    <t>COSTOS3</t>
  </si>
  <si>
    <t>COSTOS4</t>
  </si>
  <si>
    <t>COSTOS5</t>
  </si>
  <si>
    <t>COSTOS6</t>
  </si>
  <si>
    <t>COSTOS7</t>
  </si>
  <si>
    <t>COSTOS8</t>
  </si>
  <si>
    <t>COSTOS9</t>
  </si>
  <si>
    <t>COSTOS10</t>
  </si>
  <si>
    <t>COSTOS11</t>
  </si>
  <si>
    <t>COSTOS12</t>
  </si>
  <si>
    <t>COSTOS13</t>
  </si>
  <si>
    <t>COSTOS14</t>
  </si>
  <si>
    <t>COSTOS15</t>
  </si>
  <si>
    <t>COSTOS16</t>
  </si>
  <si>
    <t>COSTOS17</t>
  </si>
  <si>
    <t>COSTOS18</t>
  </si>
  <si>
    <t>PROGRAMA REHABILITACIoN PULMONAR/HIPERTENSIoN PULMONAR (12 MESES)</t>
  </si>
  <si>
    <t>Programa Rehabilitacion Pulmonar / Hipertensiòn</t>
  </si>
  <si>
    <t>TOTAL RUTA</t>
  </si>
  <si>
    <t>PROGRAMA REHABILITACIoN PULMONAR/HIPERTENSIoN PULMONAR (ECOPETROL 18 MESES)</t>
  </si>
  <si>
    <t>COSTO13</t>
  </si>
  <si>
    <t>COSTO14</t>
  </si>
  <si>
    <t>COSTO15</t>
  </si>
  <si>
    <t>COSTO16</t>
  </si>
  <si>
    <t>COSTO17</t>
  </si>
  <si>
    <t>COSTO18</t>
  </si>
  <si>
    <t>COSTO19</t>
  </si>
  <si>
    <t>FRACCIóN EXHALADA DE óxido NíTRICO (FeNo)</t>
  </si>
  <si>
    <t>FRACCIóN EXHALADA DE óxido NíTRICO (FeNo) / PROGRAMAS</t>
  </si>
  <si>
    <t>PRUEBA DE BRONCOPROVOCACIÓN ESPECÍFICA (ALERGENO) O INESPECÍFICA</t>
  </si>
  <si>
    <t>PARTICIPACIÓN JUNTA MEDICA2</t>
  </si>
  <si>
    <t>REHABILITACIÓN EGRESO</t>
  </si>
  <si>
    <t>CONTROL CESACIÓN TABAQUICA2</t>
  </si>
  <si>
    <t>EGRESO CESACIÓN TABAQUICA</t>
  </si>
  <si>
    <t>CONSULTA ESPECIALIZADA PRIMERA VEZ REHABILITACIÓN</t>
  </si>
  <si>
    <t>CONSULTA ESPECIALIZADA CONTROL REHABILITACIÓN</t>
  </si>
  <si>
    <t>INGRESO CESACIÓN TABAQUICA</t>
  </si>
  <si>
    <r>
      <t xml:space="preserve">PRIMERA VEZ TERAPIA RESPIRATORIA/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</si>
  <si>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 xml:space="preserve">CONTROL TERAPIA RESPIRATORIA/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</si>
  <si>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>CONSULTA CONTROL NEUMOLOGIA ADULTO / 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</si>
  <si>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>INTERVENCIoN DOMICILIARIA TRABAJO SOCIAL/PROGRAMAS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</si>
  <si>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>CONSULTA ESPECIALIZADA CONTROL REHABILITACIoN/PROGRAMAS</t>
    </r>
    <r>
      <rPr>
        <b/>
        <i/>
        <sz val="10"/>
        <color rgb="FFFF0000"/>
        <rFont val="Calibri"/>
        <family val="2"/>
        <scheme val="minor"/>
      </rPr>
      <t xml:space="preserve">  (Segun indicacion medica)</t>
    </r>
  </si>
  <si>
    <t>MES 22</t>
  </si>
  <si>
    <t>MES 32</t>
  </si>
  <si>
    <t>MES 42</t>
  </si>
  <si>
    <t>MES 52</t>
  </si>
  <si>
    <t>MES 62</t>
  </si>
  <si>
    <t>MES 72</t>
  </si>
  <si>
    <t>MES 82</t>
  </si>
  <si>
    <t>MES 92</t>
  </si>
  <si>
    <t>MES 102</t>
  </si>
  <si>
    <t>MES 112</t>
  </si>
  <si>
    <t>MES 19</t>
  </si>
  <si>
    <t>MES 122</t>
  </si>
  <si>
    <t>MES 132</t>
  </si>
  <si>
    <t>MES 142</t>
  </si>
  <si>
    <t>MES 152</t>
  </si>
  <si>
    <t>MES 162</t>
  </si>
  <si>
    <t>MES 172</t>
  </si>
  <si>
    <t>MES 1722</t>
  </si>
  <si>
    <t>MES 1122</t>
  </si>
  <si>
    <t>MES 1723</t>
  </si>
  <si>
    <t>TOTAL SERVICIOS</t>
  </si>
  <si>
    <t>PROGRAMA REHABILITACIoN PULMONAR/EJERCICIO FISICO (12 MESES) - 48  sesiones</t>
  </si>
  <si>
    <t>PROGRAMA REHABILITACIoN PULMONAR/EJERCICIO FISICO (ECOPETROL 18 MESES) -  si dura 18 meses</t>
  </si>
  <si>
    <t>% de las personas que lo usaron</t>
  </si>
  <si>
    <t>VALOR COSTO</t>
  </si>
  <si>
    <t>FIJO</t>
  </si>
  <si>
    <t>PROBABILISTICO</t>
  </si>
  <si>
    <r>
      <t xml:space="preserve">CONSULTA CONTROL ALERGOLOGIA 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</si>
  <si>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>CONSULTA CONTROL NEUMOLOGIA PEDIATRICA / 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</si>
  <si>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 xml:space="preserve">PARTICIPACIoN JUNTA MEDICA/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</si>
  <si>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t>Modalidad</t>
  </si>
  <si>
    <t>confirmar</t>
  </si>
  <si>
    <t xml:space="preserve"> No tiene sesiones de rehabilitacion pulmonar?????</t>
  </si>
  <si>
    <t>316 603 02 83</t>
  </si>
  <si>
    <t>Total</t>
  </si>
  <si>
    <t xml:space="preserve"> Total </t>
  </si>
  <si>
    <t>Asma</t>
  </si>
  <si>
    <t>Hipertensión Pulmonar</t>
  </si>
  <si>
    <t>EPOC</t>
  </si>
  <si>
    <t>Disnea - Obesidad</t>
  </si>
  <si>
    <t>Nódulo Pulmonar</t>
  </si>
  <si>
    <t>Cuidado Respiratorio</t>
  </si>
  <si>
    <t>Programa</t>
  </si>
  <si>
    <t>Ruta Normal (12m)</t>
  </si>
  <si>
    <t>Ruta Ecopetrol (18m)</t>
  </si>
  <si>
    <t>Cesación Tabáquica</t>
  </si>
  <si>
    <t>Costo Normal (12m)</t>
  </si>
  <si>
    <t>Costo Ecopetrol (18m)</t>
  </si>
  <si>
    <t>CODIGO</t>
  </si>
  <si>
    <t>Consultas</t>
  </si>
  <si>
    <t>Gestion y seguimiento</t>
  </si>
  <si>
    <t>Terapias</t>
  </si>
  <si>
    <t>Educacion</t>
  </si>
  <si>
    <t>Diagnosticos</t>
  </si>
  <si>
    <t>CATEGORIA</t>
  </si>
  <si>
    <t>RUTA</t>
  </si>
  <si>
    <t>ASMA</t>
  </si>
  <si>
    <t>HIPERTENCION PULMONAR</t>
  </si>
  <si>
    <t>EJERCICIO FISICO</t>
  </si>
  <si>
    <t>TRASTORNOS DE SUEÑO</t>
  </si>
  <si>
    <t>CESACION TABAQUICA</t>
  </si>
  <si>
    <t>DISNEA - OBESIDAD</t>
  </si>
  <si>
    <t>NODULO PULMONAR</t>
  </si>
  <si>
    <t>EPI</t>
  </si>
  <si>
    <t>CUIDADO RESPIRATORIO</t>
  </si>
  <si>
    <t/>
  </si>
  <si>
    <t>MOTOR DE CÁLCULO — alimenta el DASHBOARD (no imprimir)</t>
  </si>
  <si>
    <t>TABLA 1 · COSTO Y SERVICIOS POR PROGRAMA (ambas modalidades)</t>
  </si>
  <si>
    <t>Key (RUTA)</t>
  </si>
  <si>
    <t>Serv. Normal</t>
  </si>
  <si>
    <t>Serv. Ecopetrol</t>
  </si>
  <si>
    <t>Trastornos de Sueño</t>
  </si>
  <si>
    <t>Ejercicio Físico</t>
  </si>
  <si>
    <t>Programa seleccionado:</t>
  </si>
  <si>
    <t>Key resuelta:</t>
  </si>
  <si>
    <t>TABLA 2 · CATEGORÍAS DEL PROGRAMA SELECCIONADO</t>
  </si>
  <si>
    <t>Categoría</t>
  </si>
  <si>
    <t>Costo Normal</t>
  </si>
  <si>
    <t>Costo Ecopetrol</t>
  </si>
  <si>
    <t>% Normal</t>
  </si>
  <si>
    <t>PARETO (Normal) ordenado</t>
  </si>
  <si>
    <t>Costo</t>
  </si>
  <si>
    <t>% Acumulado</t>
  </si>
  <si>
    <t>TABLA 3 · COMPARATIVO DEL PROGRAMA SELECCIONADO</t>
  </si>
  <si>
    <t>Concepto</t>
  </si>
  <si>
    <t>Normal (12m)</t>
  </si>
  <si>
    <t>Ecopetrol (18m)</t>
  </si>
  <si>
    <t>Variación</t>
  </si>
  <si>
    <t>Costo total por paciente</t>
  </si>
  <si>
    <t>Número total de servicios</t>
  </si>
  <si>
    <t>Costo promedio mensual</t>
  </si>
  <si>
    <t>Costo promedio por servicio</t>
  </si>
  <si>
    <t>TABLA 4 · DETALLE DE SERVICIOS (Normal 12m) — programa seleccionado</t>
  </si>
  <si>
    <t>Cantidad</t>
  </si>
  <si>
    <t>Costo total</t>
  </si>
  <si>
    <t>Costo unitario</t>
  </si>
  <si>
    <t>% del total</t>
  </si>
  <si>
    <t>ESTRUCTURA DEL COSTO POR PROGRAMA Y USO DE RECURSOS MÉDICOS</t>
  </si>
  <si>
    <t>Análisis por ruta clínica – Cifras promedio por paciente</t>
  </si>
  <si>
    <t>Programa:</t>
  </si>
  <si>
    <t>1   RESUMEN EJECUTIVO – COSTO POR PROGRAMA</t>
  </si>
  <si>
    <t>5   COMPARATIVO NORMAL (12m) VS ECOPETROL (18m)</t>
  </si>
  <si>
    <t>6   MAPA ESTRATÉGICO DE IMPACTO ECONÓMICO</t>
  </si>
  <si>
    <t>% total</t>
  </si>
  <si>
    <t>TABLA 5 · MAPA (Normal)</t>
  </si>
  <si>
    <t>Serv (x)</t>
  </si>
  <si>
    <t>Costo (y)</t>
  </si>
  <si>
    <t>KPI top3 share (Normal)</t>
  </si>
  <si>
    <t>KPI categoria top (nombre)</t>
  </si>
  <si>
    <t>KPI categoria top (%)</t>
  </si>
  <si>
    <t>KPI top2 categorias (% acum)</t>
  </si>
  <si>
    <t>Nº serv.</t>
  </si>
  <si>
    <t>Estos análisis permiten identificar oportunidades de optimización, priorizar recursos y mejorar el valor en salud.      |      Fuente: Costos por Programa y Uso de Recursos Médicos</t>
  </si>
  <si>
    <t>DURACION</t>
  </si>
  <si>
    <t>Usos/pac.</t>
  </si>
  <si>
    <t>TABLA 6 · INTENSIDAD DE USO — programa seleccionado (Normal 12m)</t>
  </si>
  <si>
    <t>Servicios distintos en la ruta</t>
  </si>
  <si>
    <t>Usos promedio por paciente</t>
  </si>
  <si>
    <t>Servicio de mayor uso</t>
  </si>
  <si>
    <t>Usos del servicio top</t>
  </si>
  <si>
    <t>Servicios con uso &lt; 25%</t>
  </si>
  <si>
    <t>TABLA 7 · COSTO FIJO vs PROBABILÍSTICO POR PROGRAMA (Normal 12m)</t>
  </si>
  <si>
    <t>Costo Fijo</t>
  </si>
  <si>
    <t>Costo Probabilístico</t>
  </si>
  <si>
    <t>% Fijo</t>
  </si>
  <si>
    <t>% Probab.</t>
  </si>
  <si>
    <t>TESTMOVE</t>
  </si>
  <si>
    <t>REHABILITACION CONTROL</t>
  </si>
  <si>
    <t>MED</t>
  </si>
  <si>
    <t>MEDICAMENTOS</t>
  </si>
  <si>
    <t>Medicamentos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</si>
</sst>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??_-;_-@_-"/>
    <numFmt numFmtId="166" formatCode="_-* #,##0_-;\-* #,##0_-;_-* &quot;-&quot;??_-;_-@_-"/>
    <numFmt numFmtId="167" formatCode="&quot;$&quot;#,##0;\(&quot;$&quot;#,##0\);\-"/>
    <numFmt numFmtId="168" formatCode="0.0%"/>
    <numFmt numFmtId="169" formatCode="&quot;$&quot;#,##0"/>
    <numFmt numFmtId="170" formatCode="\+0%;\-0%"/>
    <numFmt numFmtId="171" formatCode="[Red]\+0%;[Green]\-0%;0%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0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b/>
      <sz val="18"/>
      <color rgb="FFFFFFFF"/>
      <name val="Arial Narrow"/>
      <family val="2"/>
    </font>
    <font>
      <i/>
      <sz val="10.5"/>
      <color rgb="FFAFC0DA"/>
      <name val="Arial Narrow"/>
      <family val="2"/>
    </font>
    <font>
      <i/>
      <sz val="11"/>
      <color rgb="FFC9D6E8"/>
      <name val="Arial Narrow"/>
      <family val="2"/>
    </font>
    <font>
      <b/>
      <sz val="11"/>
      <color rgb="FF3B3A39"/>
      <name val="Arial Narrow"/>
      <family val="2"/>
    </font>
    <font>
      <b/>
      <sz val="11"/>
      <color rgb="FF16335B"/>
      <name val="Arial Narrow"/>
      <family val="2"/>
    </font>
    <font>
      <b/>
      <sz val="9"/>
      <color rgb="FF3B3A39"/>
      <name val="Arial Narrow"/>
      <family val="2"/>
    </font>
    <font>
      <b/>
      <sz val="11.5"/>
      <color rgb="FF252423"/>
      <name val="Arial Narrow"/>
      <family val="2"/>
    </font>
    <font>
      <i/>
      <sz val="8.5"/>
      <color rgb="FF605E5C"/>
      <name val="Arial Narrow"/>
      <family val="2"/>
    </font>
    <font>
      <b/>
      <sz val="11"/>
      <color rgb="FF252423"/>
      <name val="Arial Narrow"/>
      <family val="2"/>
    </font>
    <font>
      <b/>
      <sz val="11"/>
      <color rgb="FFFFFFFF"/>
      <name val="Arial Narrow"/>
      <family val="2"/>
    </font>
    <font>
      <sz val="9"/>
      <color theme="1"/>
      <name val="Arial Narrow"/>
      <family val="2"/>
    </font>
    <font>
      <b/>
      <sz val="10"/>
      <color rgb="FFFFFFFF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</patternFill>
    </fill>
    <fill>
      <patternFill patternType="solid">
        <fgColor rgb="FFD9D2E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16335B"/>
        <bgColor indexed="64"/>
      </patternFill>
    </fill>
    <fill>
      <patternFill patternType="solid">
        <fgColor rgb="FF1F7A44"/>
        <bgColor indexed="64"/>
      </patternFill>
    </fill>
    <fill>
      <patternFill patternType="solid">
        <fgColor rgb="FFF1F2F4"/>
        <bgColor indexed="64"/>
      </patternFill>
    </fill>
    <fill>
      <patternFill patternType="solid">
        <fgColor rgb="FFEDEFF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33CC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rgb="FF000000"/>
      </right>
      <top style="thin">
        <color theme="4"/>
      </top>
      <bottom/>
      <diagonal/>
    </border>
    <border>
      <left/>
      <right/>
      <top/>
      <bottom style="thick">
        <color rgb="FF1F7A44"/>
      </bottom>
      <diagonal/>
    </border>
    <border>
      <left style="thin">
        <color rgb="FF16335B"/>
      </left>
      <right style="thin">
        <color rgb="FF16335B"/>
      </right>
      <top style="thin">
        <color rgb="FF16335B"/>
      </top>
      <bottom style="thin">
        <color rgb="FF16335B"/>
      </bottom>
      <diagonal/>
    </border>
    <border>
      <left/>
      <right/>
      <top style="thin">
        <color rgb="FFE3E3E3"/>
      </top>
      <bottom/>
      <diagonal/>
    </border>
    <border>
      <left style="thin">
        <color rgb="FFE3E3E3"/>
      </left>
      <right/>
      <top/>
      <bottom/>
      <diagonal/>
    </border>
    <border>
      <left style="thin">
        <color rgb="FFE3E3E3"/>
      </left>
      <right/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 style="thin">
        <color rgb="FFE3E3E3"/>
      </top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E3E3E3"/>
      </left>
      <right/>
      <top style="thin">
        <color rgb="FFE3E3E3"/>
      </top>
      <bottom style="medium">
        <color rgb="FF1F7A44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BBBBBB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/>
      <top style="thin">
        <color rgb="FFBBBBBB"/>
      </top>
      <bottom style="thin">
        <color rgb="FFE3E3E3"/>
      </bottom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76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0" xfId="0" applyFont="1" applyFill="1"/>
    <xf numFmtId="0" fontId="1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4" fontId="10" fillId="4" borderId="1" xfId="1" applyNumberFormat="1" applyFont="1" applyFill="1" applyBorder="1" applyAlignment="1">
      <alignment horizontal="right" vertical="center"/>
    </xf>
    <xf numFmtId="164" fontId="1" fillId="2" borderId="1" xfId="1" applyNumberFormat="1" applyFont="1" applyFill="1" applyBorder="1"/>
    <xf numFmtId="165" fontId="1" fillId="2" borderId="1" xfId="0" applyNumberFormat="1" applyFont="1" applyFill="1" applyBorder="1"/>
    <xf numFmtId="0" fontId="1" fillId="2" borderId="5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/>
    <xf numFmtId="0" fontId="1" fillId="7" borderId="1" xfId="0" applyFont="1" applyFill="1" applyBorder="1" applyAlignment="1">
      <alignment horizontal="right" vertical="center"/>
    </xf>
    <xf numFmtId="164" fontId="1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11" fillId="0" borderId="14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/>
    <xf numFmtId="164" fontId="0" fillId="2" borderId="0" xfId="1" applyNumberFormat="1" applyFont="1" applyFill="1"/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164" fontId="0" fillId="2" borderId="6" xfId="1" applyNumberFormat="1" applyFont="1" applyFill="1" applyBorder="1"/>
    <xf numFmtId="0" fontId="10" fillId="4" borderId="3" xfId="0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vertic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/>
    <xf numFmtId="164" fontId="0" fillId="2" borderId="9" xfId="1" applyNumberFormat="1" applyFont="1" applyFill="1" applyBorder="1"/>
    <xf numFmtId="0" fontId="1" fillId="8" borderId="1" xfId="0" applyFont="1" applyFill="1" applyBorder="1"/>
    <xf numFmtId="164" fontId="1" fillId="2" borderId="1" xfId="1" applyNumberFormat="1" applyFont="1" applyFill="1" applyBorder="1" applyAlignment="1">
      <alignment horizontal="center"/>
    </xf>
    <xf numFmtId="164" fontId="1" fillId="2" borderId="8" xfId="1" applyNumberFormat="1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7" xfId="0" applyFont="1" applyFill="1" applyBorder="1"/>
    <xf numFmtId="164" fontId="2" fillId="9" borderId="17" xfId="1" applyNumberFormat="1" applyFont="1" applyFill="1" applyBorder="1" applyAlignment="1">
      <alignment horizontal="center"/>
    </xf>
    <xf numFmtId="164" fontId="2" fillId="9" borderId="18" xfId="1" applyNumberFormat="1" applyFont="1" applyFill="1" applyBorder="1"/>
    <xf numFmtId="0" fontId="14" fillId="2" borderId="0" xfId="0" applyFont="1" applyFill="1"/>
    <xf numFmtId="164" fontId="6" fillId="5" borderId="12" xfId="1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164" fontId="1" fillId="3" borderId="3" xfId="1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164" fontId="0" fillId="2" borderId="0" xfId="0" applyNumberFormat="1" applyFill="1"/>
    <xf numFmtId="0" fontId="1" fillId="0" borderId="8" xfId="0" applyFont="1" applyBorder="1"/>
    <xf numFmtId="0" fontId="2" fillId="3" borderId="19" xfId="0" applyFont="1" applyFill="1" applyBorder="1" applyAlignment="1">
      <alignment horizontal="center" vertical="center"/>
    </xf>
    <xf numFmtId="166" fontId="1" fillId="2" borderId="1" xfId="2" applyNumberFormat="1" applyFont="1" applyFill="1" applyBorder="1" applyAlignment="1">
      <alignment horizontal="center"/>
    </xf>
    <xf numFmtId="166" fontId="1" fillId="2" borderId="1" xfId="2" applyNumberFormat="1" applyFont="1" applyFill="1" applyBorder="1"/>
    <xf numFmtId="166" fontId="1" fillId="2" borderId="6" xfId="2" applyNumberFormat="1" applyFont="1" applyFill="1" applyBorder="1"/>
    <xf numFmtId="166" fontId="1" fillId="2" borderId="6" xfId="2" applyNumberFormat="1" applyFont="1" applyFill="1" applyBorder="1" applyAlignment="1">
      <alignment horizontal="center"/>
    </xf>
    <xf numFmtId="164" fontId="1" fillId="2" borderId="3" xfId="0" applyNumberFormat="1" applyFont="1" applyFill="1" applyBorder="1"/>
    <xf numFmtId="0" fontId="17" fillId="10" borderId="0" xfId="0" applyFont="1" applyFill="1"/>
    <xf numFmtId="166" fontId="0" fillId="2" borderId="0" xfId="2" applyNumberFormat="1" applyFont="1" applyFill="1"/>
    <xf numFmtId="166" fontId="1" fillId="2" borderId="8" xfId="0" applyNumberFormat="1" applyFont="1" applyFill="1" applyBorder="1"/>
    <xf numFmtId="166" fontId="1" fillId="2" borderId="8" xfId="0" applyNumberFormat="1" applyFont="1" applyFill="1" applyBorder="1" applyAlignment="1">
      <alignment horizontal="center"/>
    </xf>
    <xf numFmtId="164" fontId="17" fillId="10" borderId="3" xfId="0" applyNumberFormat="1" applyFont="1" applyFill="1" applyBorder="1"/>
    <xf numFmtId="164" fontId="17" fillId="2" borderId="8" xfId="0" applyNumberFormat="1" applyFont="1" applyFill="1" applyBorder="1" applyAlignment="1">
      <alignment horizontal="center"/>
    </xf>
    <xf numFmtId="164" fontId="17" fillId="10" borderId="8" xfId="1" applyNumberFormat="1" applyFont="1" applyFill="1" applyBorder="1" applyAlignment="1">
      <alignment horizontal="center"/>
    </xf>
    <xf numFmtId="164" fontId="18" fillId="10" borderId="3" xfId="0" applyNumberFormat="1" applyFont="1" applyFill="1" applyBorder="1" applyAlignment="1">
      <alignment horizontal="center"/>
    </xf>
    <xf numFmtId="164" fontId="17" fillId="10" borderId="1" xfId="1" applyNumberFormat="1" applyFont="1" applyFill="1" applyBorder="1" applyAlignment="1">
      <alignment horizontal="center"/>
    </xf>
    <xf numFmtId="164" fontId="17" fillId="10" borderId="3" xfId="1" applyNumberFormat="1" applyFont="1" applyFill="1" applyBorder="1" applyAlignment="1">
      <alignment horizontal="center"/>
    </xf>
    <xf numFmtId="164" fontId="18" fillId="10" borderId="22" xfId="0" applyNumberFormat="1" applyFont="1" applyFill="1" applyBorder="1" applyAlignment="1">
      <alignment horizontal="center"/>
    </xf>
    <xf numFmtId="0" fontId="11" fillId="0" borderId="0" xfId="0" applyFont="1"/>
    <xf numFmtId="0" fontId="1" fillId="3" borderId="3" xfId="0" applyFont="1" applyFill="1" applyBorder="1" applyAlignment="1">
      <alignment horizontal="center" vertical="center" wrapText="1"/>
    </xf>
    <xf numFmtId="0" fontId="0" fillId="0" borderId="20" xfId="0" applyBorder="1"/>
    <xf numFmtId="0" fontId="1" fillId="6" borderId="1" xfId="0" applyFont="1" applyFill="1" applyBorder="1"/>
    <xf numFmtId="164" fontId="17" fillId="10" borderId="0" xfId="0" applyNumberFormat="1" applyFont="1" applyFill="1"/>
    <xf numFmtId="0" fontId="1" fillId="6" borderId="1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center"/>
    </xf>
    <xf numFmtId="0" fontId="1" fillId="6" borderId="8" xfId="0" applyFont="1" applyFill="1" applyBorder="1"/>
    <xf numFmtId="164" fontId="17" fillId="10" borderId="8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22" fillId="3" borderId="23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9" xfId="0" applyFont="1" applyFill="1" applyBorder="1" applyAlignment="1">
      <alignment horizontal="center" vertical="center" wrapText="1"/>
    </xf>
    <xf numFmtId="166" fontId="17" fillId="10" borderId="3" xfId="2" applyNumberFormat="1" applyFont="1" applyFill="1" applyBorder="1"/>
    <xf numFmtId="0" fontId="21" fillId="3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/>
    </xf>
    <xf numFmtId="0" fontId="12" fillId="2" borderId="8" xfId="0" applyFont="1" applyFill="1" applyBorder="1"/>
    <xf numFmtId="0" fontId="0" fillId="2" borderId="8" xfId="0" applyFill="1" applyBorder="1"/>
    <xf numFmtId="0" fontId="25" fillId="2" borderId="5" xfId="0" applyFont="1" applyFill="1" applyBorder="1" applyAlignment="1">
      <alignment horizontal="center"/>
    </xf>
    <xf numFmtId="0" fontId="25" fillId="6" borderId="1" xfId="0" applyFont="1" applyFill="1" applyBorder="1"/>
    <xf numFmtId="164" fontId="25" fillId="2" borderId="1" xfId="1" applyNumberFormat="1" applyFont="1" applyFill="1" applyBorder="1" applyAlignment="1">
      <alignment horizontal="center"/>
    </xf>
    <xf numFmtId="164" fontId="25" fillId="2" borderId="3" xfId="0" applyNumberFormat="1" applyFont="1" applyFill="1" applyBorder="1"/>
    <xf numFmtId="166" fontId="26" fillId="10" borderId="3" xfId="2" applyNumberFormat="1" applyFont="1" applyFill="1" applyBorder="1"/>
    <xf numFmtId="0" fontId="23" fillId="2" borderId="1" xfId="0" applyFont="1" applyFill="1" applyBorder="1"/>
    <xf numFmtId="0" fontId="23" fillId="2" borderId="0" xfId="0" applyFont="1" applyFill="1"/>
    <xf numFmtId="10" fontId="23" fillId="2" borderId="1" xfId="3" applyNumberFormat="1" applyFont="1" applyFill="1" applyBorder="1"/>
    <xf numFmtId="10" fontId="0" fillId="2" borderId="1" xfId="3" applyNumberFormat="1" applyFont="1" applyFill="1" applyBorder="1"/>
    <xf numFmtId="10" fontId="0" fillId="8" borderId="1" xfId="3" applyNumberFormat="1" applyFont="1" applyFill="1" applyBorder="1"/>
    <xf numFmtId="164" fontId="17" fillId="10" borderId="1" xfId="1" applyNumberFormat="1" applyFont="1" applyFill="1" applyBorder="1"/>
    <xf numFmtId="0" fontId="17" fillId="10" borderId="1" xfId="0" applyFont="1" applyFill="1" applyBorder="1"/>
    <xf numFmtId="166" fontId="18" fillId="10" borderId="0" xfId="2" applyNumberFormat="1" applyFont="1" applyFill="1" applyBorder="1" applyAlignment="1">
      <alignment horizontal="center"/>
    </xf>
    <xf numFmtId="166" fontId="18" fillId="10" borderId="22" xfId="0" applyNumberFormat="1" applyFont="1" applyFill="1" applyBorder="1" applyAlignment="1">
      <alignment horizontal="center"/>
    </xf>
    <xf numFmtId="164" fontId="0" fillId="0" borderId="20" xfId="0" applyNumberFormat="1" applyBorder="1"/>
    <xf numFmtId="10" fontId="0" fillId="0" borderId="1" xfId="3" applyNumberFormat="1" applyFont="1" applyFill="1" applyBorder="1"/>
    <xf numFmtId="10" fontId="17" fillId="10" borderId="1" xfId="3" applyNumberFormat="1" applyFont="1" applyFill="1" applyBorder="1"/>
    <xf numFmtId="166" fontId="1" fillId="14" borderId="8" xfId="0" applyNumberFormat="1" applyFont="1" applyFill="1" applyBorder="1" applyAlignment="1">
      <alignment horizontal="center"/>
    </xf>
    <xf numFmtId="164" fontId="1" fillId="14" borderId="8" xfId="0" applyNumberFormat="1" applyFont="1" applyFill="1" applyBorder="1" applyAlignment="1">
      <alignment horizontal="center"/>
    </xf>
    <xf numFmtId="164" fontId="17" fillId="14" borderId="8" xfId="0" applyNumberFormat="1" applyFont="1" applyFill="1" applyBorder="1" applyAlignment="1">
      <alignment horizontal="center"/>
    </xf>
    <xf numFmtId="164" fontId="17" fillId="15" borderId="0" xfId="0" applyNumberFormat="1" applyFont="1" applyFill="1"/>
    <xf numFmtId="0" fontId="0" fillId="14" borderId="1" xfId="0" applyFill="1" applyBorder="1"/>
    <xf numFmtId="164" fontId="0" fillId="14" borderId="20" xfId="0" applyNumberFormat="1" applyFill="1" applyBorder="1"/>
    <xf numFmtId="10" fontId="17" fillId="12" borderId="5" xfId="3" applyNumberFormat="1" applyFont="1" applyFill="1" applyBorder="1"/>
    <xf numFmtId="164" fontId="17" fillId="10" borderId="5" xfId="1" applyNumberFormat="1" applyFont="1" applyFill="1" applyBorder="1"/>
    <xf numFmtId="10" fontId="17" fillId="12" borderId="1" xfId="3" applyNumberFormat="1" applyFont="1" applyFill="1" applyBorder="1"/>
    <xf numFmtId="0" fontId="2" fillId="3" borderId="19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 wrapText="1"/>
    </xf>
    <xf numFmtId="166" fontId="1" fillId="2" borderId="0" xfId="2" applyNumberFormat="1" applyFont="1" applyFill="1" applyBorder="1"/>
    <xf numFmtId="164" fontId="1" fillId="3" borderId="3" xfId="1" applyNumberFormat="1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2" borderId="0" xfId="0" applyFont="1" applyFill="1" applyAlignment="1">
      <alignment wrapText="1"/>
    </xf>
    <xf numFmtId="166" fontId="1" fillId="2" borderId="0" xfId="2" applyNumberFormat="1" applyFont="1" applyFill="1" applyBorder="1" applyAlignment="1">
      <alignment horizontal="center" vertical="center"/>
    </xf>
    <xf numFmtId="10" fontId="17" fillId="0" borderId="5" xfId="3" applyNumberFormat="1" applyFont="1" applyFill="1" applyBorder="1"/>
    <xf numFmtId="164" fontId="1" fillId="2" borderId="21" xfId="0" applyNumberFormat="1" applyFont="1" applyFill="1" applyBorder="1" applyAlignment="1">
      <alignment horizontal="center"/>
    </xf>
    <xf numFmtId="164" fontId="17" fillId="10" borderId="8" xfId="0" applyNumberFormat="1" applyFont="1" applyFill="1" applyBorder="1" applyAlignment="1">
      <alignment horizontal="center"/>
    </xf>
    <xf numFmtId="166" fontId="18" fillId="10" borderId="1" xfId="2" applyNumberFormat="1" applyFont="1" applyFill="1" applyBorder="1" applyAlignment="1">
      <alignment horizontal="center"/>
    </xf>
    <xf numFmtId="10" fontId="17" fillId="10" borderId="5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7" fillId="12" borderId="1" xfId="0" applyFont="1" applyFill="1" applyBorder="1"/>
    <xf numFmtId="164" fontId="1" fillId="2" borderId="22" xfId="0" applyNumberFormat="1" applyFont="1" applyFill="1" applyBorder="1"/>
    <xf numFmtId="10" fontId="17" fillId="0" borderId="7" xfId="3" applyNumberFormat="1" applyFont="1" applyFill="1" applyBorder="1"/>
    <xf numFmtId="10" fontId="17" fillId="12" borderId="5" xfId="3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13" borderId="0" xfId="0" applyFont="1" applyFill="1"/>
    <xf numFmtId="0" fontId="1" fillId="3" borderId="1" xfId="0" applyFont="1" applyFill="1" applyBorder="1" applyAlignment="1">
      <alignment horizontal="center" vertical="center"/>
    </xf>
    <xf numFmtId="164" fontId="17" fillId="10" borderId="1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164" fontId="18" fillId="10" borderId="4" xfId="0" applyNumberFormat="1" applyFont="1" applyFill="1" applyBorder="1" applyAlignment="1">
      <alignment horizontal="center"/>
    </xf>
    <xf numFmtId="164" fontId="1" fillId="2" borderId="8" xfId="0" applyNumberFormat="1" applyFont="1" applyFill="1" applyBorder="1"/>
    <xf numFmtId="166" fontId="17" fillId="10" borderId="1" xfId="0" applyNumberFormat="1" applyFont="1" applyFill="1" applyBorder="1"/>
    <xf numFmtId="0" fontId="1" fillId="3" borderId="25" xfId="0" applyFont="1" applyFill="1" applyBorder="1" applyAlignment="1">
      <alignment horizontal="center" vertical="center" wrapText="1"/>
    </xf>
    <xf numFmtId="0" fontId="0" fillId="8" borderId="0" xfId="0" applyFill="1"/>
    <xf numFmtId="0" fontId="1" fillId="3" borderId="22" xfId="0" applyFont="1" applyFill="1" applyBorder="1" applyAlignment="1">
      <alignment horizontal="center" vertical="center"/>
    </xf>
    <xf numFmtId="164" fontId="0" fillId="0" borderId="0" xfId="0" applyNumberFormat="1"/>
    <xf numFmtId="0" fontId="17" fillId="0" borderId="1" xfId="0" applyFont="1" applyBorder="1"/>
    <xf numFmtId="0" fontId="3" fillId="8" borderId="1" xfId="0" applyFont="1" applyFill="1" applyBorder="1"/>
    <xf numFmtId="0" fontId="1" fillId="16" borderId="8" xfId="0" applyFont="1" applyFill="1" applyBorder="1"/>
    <xf numFmtId="0" fontId="1" fillId="3" borderId="4" xfId="0" applyFont="1" applyFill="1" applyBorder="1" applyAlignment="1">
      <alignment horizontal="center" vertical="center" wrapText="1"/>
    </xf>
    <xf numFmtId="0" fontId="27" fillId="10" borderId="1" xfId="0" applyFont="1" applyFill="1" applyBorder="1"/>
    <xf numFmtId="0" fontId="25" fillId="16" borderId="1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17" fillId="10" borderId="20" xfId="0" applyNumberFormat="1" applyFont="1" applyFill="1" applyBorder="1"/>
    <xf numFmtId="166" fontId="21" fillId="16" borderId="8" xfId="0" applyNumberFormat="1" applyFont="1" applyFill="1" applyBorder="1"/>
    <xf numFmtId="166" fontId="21" fillId="0" borderId="20" xfId="0" applyNumberFormat="1" applyFont="1" applyBorder="1"/>
    <xf numFmtId="164" fontId="21" fillId="2" borderId="0" xfId="1" applyNumberFormat="1" applyFont="1" applyFill="1"/>
    <xf numFmtId="0" fontId="21" fillId="2" borderId="0" xfId="0" applyFont="1" applyFill="1"/>
    <xf numFmtId="164" fontId="21" fillId="2" borderId="8" xfId="0" applyNumberFormat="1" applyFont="1" applyFill="1" applyBorder="1"/>
    <xf numFmtId="164" fontId="21" fillId="2" borderId="8" xfId="0" applyNumberFormat="1" applyFont="1" applyFill="1" applyBorder="1" applyAlignment="1">
      <alignment horizontal="center"/>
    </xf>
    <xf numFmtId="164" fontId="21" fillId="2" borderId="22" xfId="0" applyNumberFormat="1" applyFont="1" applyFill="1" applyBorder="1" applyAlignment="1">
      <alignment horizontal="center"/>
    </xf>
    <xf numFmtId="164" fontId="21" fillId="0" borderId="0" xfId="0" applyNumberFormat="1" applyFont="1"/>
    <xf numFmtId="164" fontId="21" fillId="0" borderId="20" xfId="0" applyNumberFormat="1" applyFont="1" applyBorder="1"/>
    <xf numFmtId="164" fontId="1" fillId="2" borderId="27" xfId="0" applyNumberFormat="1" applyFont="1" applyFill="1" applyBorder="1" applyAlignment="1">
      <alignment horizontal="center"/>
    </xf>
    <xf numFmtId="164" fontId="14" fillId="0" borderId="20" xfId="0" applyNumberFormat="1" applyFont="1" applyBorder="1"/>
    <xf numFmtId="166" fontId="1" fillId="2" borderId="8" xfId="2" applyNumberFormat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/>
    <xf numFmtId="0" fontId="21" fillId="2" borderId="8" xfId="0" applyFont="1" applyFill="1" applyBorder="1" applyAlignment="1">
      <alignment horizontal="center"/>
    </xf>
    <xf numFmtId="164" fontId="28" fillId="2" borderId="8" xfId="0" applyNumberFormat="1" applyFont="1" applyFill="1" applyBorder="1" applyAlignment="1">
      <alignment horizontal="center"/>
    </xf>
    <xf numFmtId="1" fontId="21" fillId="2" borderId="8" xfId="0" applyNumberFormat="1" applyFont="1" applyFill="1" applyBorder="1" applyAlignment="1">
      <alignment horizontal="center"/>
    </xf>
    <xf numFmtId="0" fontId="21" fillId="0" borderId="20" xfId="0" applyFont="1" applyBorder="1"/>
    <xf numFmtId="0" fontId="0" fillId="2" borderId="0" xfId="0" applyFill="1" applyAlignment="1">
      <alignment wrapText="1"/>
    </xf>
    <xf numFmtId="164" fontId="1" fillId="2" borderId="7" xfId="0" applyNumberFormat="1" applyFont="1" applyFill="1" applyBorder="1" applyAlignment="1">
      <alignment horizontal="center"/>
    </xf>
    <xf numFmtId="166" fontId="6" fillId="5" borderId="1" xfId="2" applyNumberFormat="1" applyFont="1" applyFill="1" applyBorder="1" applyAlignment="1">
      <alignment vertical="center"/>
    </xf>
    <xf numFmtId="166" fontId="1" fillId="3" borderId="3" xfId="2" applyNumberFormat="1" applyFont="1" applyFill="1" applyBorder="1" applyAlignment="1">
      <alignment horizontal="center" vertical="center" wrapText="1"/>
    </xf>
    <xf numFmtId="166" fontId="1" fillId="2" borderId="8" xfId="2" applyNumberFormat="1" applyFont="1" applyFill="1" applyBorder="1"/>
    <xf numFmtId="166" fontId="6" fillId="5" borderId="12" xfId="2" applyNumberFormat="1" applyFont="1" applyFill="1" applyBorder="1" applyAlignment="1">
      <alignment vertical="center"/>
    </xf>
    <xf numFmtId="166" fontId="1" fillId="3" borderId="3" xfId="2" applyNumberFormat="1" applyFont="1" applyFill="1" applyBorder="1" applyAlignment="1">
      <alignment horizontal="center" vertical="center"/>
    </xf>
    <xf numFmtId="164" fontId="0" fillId="13" borderId="20" xfId="0" applyNumberFormat="1" applyFill="1" applyBorder="1"/>
    <xf numFmtId="166" fontId="17" fillId="10" borderId="0" xfId="2" applyNumberFormat="1" applyFont="1" applyFill="1" applyBorder="1"/>
    <xf numFmtId="10" fontId="17" fillId="10" borderId="5" xfId="3" applyNumberFormat="1" applyFont="1" applyFill="1" applyBorder="1"/>
    <xf numFmtId="44" fontId="1" fillId="2" borderId="8" xfId="0" applyNumberFormat="1" applyFont="1" applyFill="1" applyBorder="1" applyAlignment="1">
      <alignment horizontal="center"/>
    </xf>
    <xf numFmtId="44" fontId="17" fillId="10" borderId="0" xfId="0" applyNumberFormat="1" applyFont="1" applyFill="1"/>
    <xf numFmtId="164" fontId="17" fillId="17" borderId="0" xfId="0" applyNumberFormat="1" applyFont="1" applyFill="1"/>
    <xf numFmtId="164" fontId="1" fillId="2" borderId="21" xfId="0" applyNumberFormat="1" applyFont="1" applyFill="1" applyBorder="1"/>
    <xf numFmtId="166" fontId="1" fillId="16" borderId="21" xfId="0" applyNumberFormat="1" applyFont="1" applyFill="1" applyBorder="1" applyAlignment="1">
      <alignment horizontal="center"/>
    </xf>
    <xf numFmtId="164" fontId="17" fillId="2" borderId="21" xfId="0" applyNumberFormat="1" applyFont="1" applyFill="1" applyBorder="1" applyAlignment="1">
      <alignment horizontal="center"/>
    </xf>
    <xf numFmtId="166" fontId="1" fillId="2" borderId="9" xfId="0" applyNumberFormat="1" applyFont="1" applyFill="1" applyBorder="1"/>
    <xf numFmtId="0" fontId="2" fillId="2" borderId="8" xfId="0" applyFont="1" applyFill="1" applyBorder="1" applyAlignment="1">
      <alignment horizontal="center"/>
    </xf>
    <xf numFmtId="0" fontId="1" fillId="19" borderId="1" xfId="0" applyFont="1" applyFill="1" applyBorder="1"/>
    <xf numFmtId="0" fontId="25" fillId="8" borderId="1" xfId="0" applyFont="1" applyFill="1" applyBorder="1"/>
    <xf numFmtId="0" fontId="19" fillId="0" borderId="2" xfId="0" applyFont="1" applyBorder="1"/>
    <xf numFmtId="0" fontId="19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1" xfId="0" applyFont="1" applyBorder="1"/>
    <xf numFmtId="0" fontId="31" fillId="20" borderId="6" xfId="0" applyFont="1" applyFill="1" applyBorder="1" applyAlignment="1">
      <alignment horizontal="center" vertical="center"/>
    </xf>
    <xf numFmtId="0" fontId="31" fillId="21" borderId="6" xfId="0" applyFont="1" applyFill="1" applyBorder="1" applyAlignment="1">
      <alignment horizontal="center" vertical="center"/>
    </xf>
    <xf numFmtId="0" fontId="31" fillId="22" borderId="6" xfId="0" applyFont="1" applyFill="1" applyBorder="1" applyAlignment="1">
      <alignment horizontal="center" vertical="center"/>
    </xf>
    <xf numFmtId="0" fontId="31" fillId="23" borderId="6" xfId="0" applyFont="1" applyFill="1" applyBorder="1" applyAlignment="1">
      <alignment horizontal="center" vertical="center"/>
    </xf>
    <xf numFmtId="0" fontId="31" fillId="24" borderId="6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2" fillId="0" borderId="1" xfId="0" applyFont="1" applyBorder="1"/>
    <xf numFmtId="44" fontId="0" fillId="0" borderId="20" xfId="0" applyNumberFormat="1" applyBorder="1"/>
    <xf numFmtId="166" fontId="0" fillId="0" borderId="1" xfId="0" applyNumberFormat="1" applyBorder="1"/>
    <xf numFmtId="164" fontId="17" fillId="10" borderId="6" xfId="1" applyNumberFormat="1" applyFont="1" applyFill="1" applyBorder="1"/>
    <xf numFmtId="0" fontId="22" fillId="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vertical="center"/>
    </xf>
    <xf numFmtId="0" fontId="17" fillId="10" borderId="28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24" fillId="3" borderId="24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/>
    </xf>
    <xf numFmtId="0" fontId="22" fillId="3" borderId="30" xfId="0" applyFont="1" applyFill="1" applyBorder="1" applyAlignment="1">
      <alignment horizontal="center" vertical="center" wrapText="1"/>
    </xf>
    <xf numFmtId="164" fontId="14" fillId="9" borderId="31" xfId="1" applyNumberFormat="1" applyFont="1" applyFill="1" applyBorder="1" applyAlignment="1">
      <alignment horizontal="center"/>
    </xf>
    <xf numFmtId="44" fontId="14" fillId="2" borderId="1" xfId="1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164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18" fillId="2" borderId="8" xfId="0" applyNumberFormat="1" applyFont="1" applyFill="1" applyBorder="1" applyAlignment="1">
      <alignment horizontal="center"/>
    </xf>
    <xf numFmtId="0" fontId="14" fillId="0" borderId="20" xfId="0" applyFont="1" applyBorder="1"/>
    <xf numFmtId="166" fontId="2" fillId="2" borderId="8" xfId="0" applyNumberFormat="1" applyFont="1" applyFill="1" applyBorder="1" applyAlignment="1">
      <alignment horizontal="center"/>
    </xf>
    <xf numFmtId="164" fontId="18" fillId="10" borderId="8" xfId="0" applyNumberFormat="1" applyFont="1" applyFill="1" applyBorder="1" applyAlignment="1">
      <alignment horizontal="center"/>
    </xf>
    <xf numFmtId="164" fontId="2" fillId="2" borderId="2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44" fontId="2" fillId="2" borderId="27" xfId="0" applyNumberFormat="1" applyFont="1" applyFill="1" applyBorder="1" applyAlignment="1">
      <alignment horizontal="center"/>
    </xf>
    <xf numFmtId="166" fontId="18" fillId="10" borderId="3" xfId="2" applyNumberFormat="1" applyFont="1" applyFill="1" applyBorder="1"/>
    <xf numFmtId="166" fontId="2" fillId="9" borderId="17" xfId="2" applyNumberFormat="1" applyFont="1" applyFill="1" applyBorder="1" applyAlignment="1">
      <alignment horizontal="center"/>
    </xf>
    <xf numFmtId="166" fontId="2" fillId="9" borderId="17" xfId="2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1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0" fillId="6" borderId="1" xfId="0" applyFont="1" applyFill="1" applyBorder="1"/>
    <xf numFmtId="0" fontId="30" fillId="16" borderId="1" xfId="0" applyFont="1" applyFill="1" applyBorder="1" applyAlignment="1">
      <alignment horizontal="center"/>
    </xf>
    <xf numFmtId="164" fontId="30" fillId="2" borderId="1" xfId="1" applyNumberFormat="1" applyFont="1" applyFill="1" applyBorder="1" applyAlignment="1">
      <alignment horizontal="center"/>
    </xf>
    <xf numFmtId="0" fontId="11" fillId="2" borderId="1" xfId="0" applyFont="1" applyFill="1" applyBorder="1"/>
    <xf numFmtId="0" fontId="30" fillId="16" borderId="6" xfId="0" applyFont="1" applyFill="1" applyBorder="1" applyAlignment="1">
      <alignment horizontal="center"/>
    </xf>
    <xf numFmtId="0" fontId="30" fillId="8" borderId="1" xfId="0" applyFont="1" applyFill="1" applyBorder="1"/>
    <xf numFmtId="0" fontId="30" fillId="2" borderId="1" xfId="0" applyFont="1" applyFill="1" applyBorder="1"/>
    <xf numFmtId="0" fontId="30" fillId="2" borderId="1" xfId="0" applyFont="1" applyFill="1" applyBorder="1" applyAlignment="1">
      <alignment horizontal="center"/>
    </xf>
    <xf numFmtId="164" fontId="30" fillId="2" borderId="32" xfId="0" applyNumberFormat="1" applyFont="1" applyFill="1" applyBorder="1"/>
    <xf numFmtId="166" fontId="33" fillId="10" borderId="32" xfId="2" applyNumberFormat="1" applyFont="1" applyFill="1" applyBorder="1"/>
    <xf numFmtId="0" fontId="33" fillId="10" borderId="1" xfId="0" applyFont="1" applyFill="1" applyBorder="1"/>
    <xf numFmtId="164" fontId="33" fillId="10" borderId="1" xfId="1" applyNumberFormat="1" applyFont="1" applyFill="1" applyBorder="1"/>
    <xf numFmtId="164" fontId="33" fillId="10" borderId="32" xfId="0" applyNumberFormat="1" applyFont="1" applyFill="1" applyBorder="1"/>
    <xf numFmtId="0" fontId="30" fillId="2" borderId="6" xfId="0" applyFont="1" applyFill="1" applyBorder="1" applyAlignment="1">
      <alignment horizontal="center"/>
    </xf>
    <xf numFmtId="0" fontId="30" fillId="2" borderId="8" xfId="0" applyFont="1" applyFill="1" applyBorder="1"/>
    <xf numFmtId="0" fontId="30" fillId="2" borderId="8" xfId="0" applyFont="1" applyFill="1" applyBorder="1" applyAlignment="1">
      <alignment horizontal="center"/>
    </xf>
    <xf numFmtId="166" fontId="30" fillId="2" borderId="1" xfId="2" applyNumberFormat="1" applyFont="1" applyFill="1" applyBorder="1" applyAlignment="1">
      <alignment horizontal="center"/>
    </xf>
    <xf numFmtId="166" fontId="30" fillId="2" borderId="1" xfId="2" applyNumberFormat="1" applyFont="1" applyFill="1" applyBorder="1"/>
    <xf numFmtId="166" fontId="30" fillId="2" borderId="6" xfId="2" applyNumberFormat="1" applyFont="1" applyFill="1" applyBorder="1"/>
    <xf numFmtId="166" fontId="30" fillId="2" borderId="35" xfId="2" applyNumberFormat="1" applyFont="1" applyFill="1" applyBorder="1"/>
    <xf numFmtId="166" fontId="30" fillId="2" borderId="6" xfId="2" applyNumberFormat="1" applyFont="1" applyFill="1" applyBorder="1" applyAlignment="1">
      <alignment horizontal="center"/>
    </xf>
    <xf numFmtId="0" fontId="30" fillId="6" borderId="1" xfId="0" applyFont="1" applyFill="1" applyBorder="1" applyAlignment="1">
      <alignment horizontal="left"/>
    </xf>
    <xf numFmtId="0" fontId="30" fillId="16" borderId="1" xfId="0" applyFont="1" applyFill="1" applyBorder="1"/>
    <xf numFmtId="166" fontId="30" fillId="2" borderId="35" xfId="2" applyNumberFormat="1" applyFont="1" applyFill="1" applyBorder="1" applyAlignment="1">
      <alignment horizontal="center" vertical="center"/>
    </xf>
    <xf numFmtId="0" fontId="33" fillId="12" borderId="1" xfId="0" applyFont="1" applyFill="1" applyBorder="1"/>
    <xf numFmtId="164" fontId="33" fillId="10" borderId="6" xfId="1" applyNumberFormat="1" applyFont="1" applyFill="1" applyBorder="1"/>
    <xf numFmtId="0" fontId="33" fillId="10" borderId="28" xfId="0" applyFont="1" applyFill="1" applyBorder="1"/>
    <xf numFmtId="164" fontId="30" fillId="2" borderId="8" xfId="1" applyNumberFormat="1" applyFont="1" applyFill="1" applyBorder="1" applyAlignment="1">
      <alignment horizontal="center"/>
    </xf>
    <xf numFmtId="164" fontId="30" fillId="2" borderId="33" xfId="0" applyNumberFormat="1" applyFont="1" applyFill="1" applyBorder="1"/>
    <xf numFmtId="0" fontId="11" fillId="2" borderId="8" xfId="0" applyFont="1" applyFill="1" applyBorder="1"/>
    <xf numFmtId="164" fontId="34" fillId="10" borderId="32" xfId="0" applyNumberFormat="1" applyFont="1" applyFill="1" applyBorder="1" applyAlignment="1">
      <alignment horizontal="center"/>
    </xf>
    <xf numFmtId="166" fontId="34" fillId="10" borderId="1" xfId="2" applyNumberFormat="1" applyFont="1" applyFill="1" applyBorder="1" applyAlignment="1">
      <alignment horizontal="center"/>
    </xf>
    <xf numFmtId="164" fontId="33" fillId="10" borderId="1" xfId="1" applyNumberFormat="1" applyFont="1" applyFill="1" applyBorder="1" applyAlignment="1">
      <alignment horizontal="center"/>
    </xf>
    <xf numFmtId="0" fontId="33" fillId="10" borderId="28" xfId="0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164" fontId="34" fillId="10" borderId="3" xfId="0" applyNumberFormat="1" applyFont="1" applyFill="1" applyBorder="1" applyAlignment="1">
      <alignment horizontal="center"/>
    </xf>
    <xf numFmtId="166" fontId="34" fillId="10" borderId="0" xfId="2" applyNumberFormat="1" applyFont="1" applyFill="1" applyBorder="1" applyAlignment="1">
      <alignment horizontal="center"/>
    </xf>
    <xf numFmtId="0" fontId="30" fillId="6" borderId="8" xfId="0" applyFont="1" applyFill="1" applyBorder="1"/>
    <xf numFmtId="164" fontId="33" fillId="10" borderId="32" xfId="1" applyNumberFormat="1" applyFont="1" applyFill="1" applyBorder="1" applyAlignment="1">
      <alignment horizontal="center"/>
    </xf>
    <xf numFmtId="0" fontId="33" fillId="0" borderId="1" xfId="0" applyFont="1" applyBorder="1"/>
    <xf numFmtId="0" fontId="33" fillId="10" borderId="29" xfId="0" applyFont="1" applyFill="1" applyBorder="1" applyAlignment="1">
      <alignment horizontal="center"/>
    </xf>
    <xf numFmtId="0" fontId="11" fillId="0" borderId="1" xfId="0" applyFont="1" applyBorder="1"/>
    <xf numFmtId="164" fontId="33" fillId="10" borderId="8" xfId="1" applyNumberFormat="1" applyFont="1" applyFill="1" applyBorder="1" applyAlignment="1">
      <alignment horizontal="center"/>
    </xf>
    <xf numFmtId="0" fontId="33" fillId="10" borderId="39" xfId="0" applyFont="1" applyFill="1" applyBorder="1" applyAlignment="1">
      <alignment horizontal="center"/>
    </xf>
    <xf numFmtId="166" fontId="30" fillId="2" borderId="8" xfId="2" applyNumberFormat="1" applyFont="1" applyFill="1" applyBorder="1"/>
    <xf numFmtId="166" fontId="30" fillId="2" borderId="8" xfId="2" applyNumberFormat="1" applyFont="1" applyFill="1" applyBorder="1" applyAlignment="1">
      <alignment horizontal="center"/>
    </xf>
    <xf numFmtId="164" fontId="34" fillId="10" borderId="36" xfId="0" applyNumberFormat="1" applyFont="1" applyFill="1" applyBorder="1" applyAlignment="1">
      <alignment horizontal="center"/>
    </xf>
    <xf numFmtId="0" fontId="35" fillId="8" borderId="1" xfId="0" applyFont="1" applyFill="1" applyBorder="1"/>
    <xf numFmtId="0" fontId="35" fillId="2" borderId="1" xfId="0" applyFont="1" applyFill="1" applyBorder="1"/>
    <xf numFmtId="0" fontId="30" fillId="8" borderId="8" xfId="0" applyFont="1" applyFill="1" applyBorder="1"/>
    <xf numFmtId="164" fontId="34" fillId="10" borderId="40" xfId="0" applyNumberFormat="1" applyFont="1" applyFill="1" applyBorder="1" applyAlignment="1">
      <alignment horizontal="center"/>
    </xf>
    <xf numFmtId="166" fontId="34" fillId="10" borderId="8" xfId="2" applyNumberFormat="1" applyFont="1" applyFill="1" applyBorder="1" applyAlignment="1">
      <alignment horizontal="center"/>
    </xf>
    <xf numFmtId="0" fontId="33" fillId="10" borderId="8" xfId="0" applyFont="1" applyFill="1" applyBorder="1"/>
    <xf numFmtId="164" fontId="33" fillId="10" borderId="8" xfId="1" applyNumberFormat="1" applyFont="1" applyFill="1" applyBorder="1"/>
    <xf numFmtId="0" fontId="33" fillId="10" borderId="41" xfId="0" applyFont="1" applyFill="1" applyBorder="1" applyAlignment="1">
      <alignment horizontal="center"/>
    </xf>
    <xf numFmtId="9" fontId="33" fillId="10" borderId="1" xfId="3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10" borderId="0" xfId="0" applyFont="1" applyFill="1" applyAlignment="1">
      <alignment horizontal="center"/>
    </xf>
    <xf numFmtId="0" fontId="1" fillId="2" borderId="57" xfId="0" applyFont="1" applyFill="1" applyBorder="1"/>
    <xf numFmtId="44" fontId="5" fillId="0" borderId="20" xfId="0" applyNumberFormat="1" applyFont="1" applyBorder="1"/>
    <xf numFmtId="0" fontId="17" fillId="10" borderId="37" xfId="0" applyFont="1" applyFill="1" applyBorder="1" applyAlignment="1">
      <alignment horizontal="center"/>
    </xf>
    <xf numFmtId="164" fontId="5" fillId="0" borderId="20" xfId="0" applyNumberFormat="1" applyFont="1" applyBorder="1"/>
    <xf numFmtId="0" fontId="17" fillId="10" borderId="58" xfId="0" applyFont="1" applyFill="1" applyBorder="1" applyAlignment="1">
      <alignment horizontal="center"/>
    </xf>
    <xf numFmtId="0" fontId="11" fillId="27" borderId="0" xfId="0" applyFont="1" applyFill="1"/>
    <xf numFmtId="0" fontId="39" fillId="27" borderId="0" xfId="0" applyFont="1" applyFill="1" applyAlignment="1">
      <alignment horizontal="right" vertical="center"/>
    </xf>
    <xf numFmtId="0" fontId="11" fillId="25" borderId="0" xfId="0" applyFont="1" applyFill="1"/>
    <xf numFmtId="0" fontId="11" fillId="26" borderId="0" xfId="0" applyFont="1" applyFill="1"/>
    <xf numFmtId="0" fontId="11" fillId="18" borderId="45" xfId="0" applyFont="1" applyFill="1" applyBorder="1"/>
    <xf numFmtId="0" fontId="11" fillId="18" borderId="0" xfId="0" applyFont="1" applyFill="1"/>
    <xf numFmtId="0" fontId="11" fillId="18" borderId="49" xfId="0" applyFont="1" applyFill="1" applyBorder="1"/>
    <xf numFmtId="0" fontId="44" fillId="28" borderId="53" xfId="0" applyFont="1" applyFill="1" applyBorder="1" applyAlignment="1">
      <alignment horizontal="center" vertical="center"/>
    </xf>
    <xf numFmtId="0" fontId="44" fillId="28" borderId="55" xfId="0" applyFont="1" applyFill="1" applyBorder="1" applyAlignment="1">
      <alignment horizontal="center" vertical="center"/>
    </xf>
    <xf numFmtId="0" fontId="44" fillId="28" borderId="53" xfId="0" applyFont="1" applyFill="1" applyBorder="1" applyAlignment="1">
      <alignment horizontal="center"/>
    </xf>
    <xf numFmtId="3" fontId="11" fillId="18" borderId="54" xfId="0" applyNumberFormat="1" applyFont="1" applyFill="1" applyBorder="1"/>
    <xf numFmtId="168" fontId="11" fillId="18" borderId="56" xfId="0" applyNumberFormat="1" applyFont="1" applyFill="1" applyBorder="1"/>
    <xf numFmtId="171" fontId="11" fillId="18" borderId="54" xfId="0" applyNumberFormat="1" applyFont="1" applyFill="1" applyBorder="1" applyAlignment="1">
      <alignment horizontal="center"/>
    </xf>
    <xf numFmtId="168" fontId="11" fillId="18" borderId="54" xfId="0" applyNumberFormat="1" applyFont="1" applyFill="1" applyBorder="1"/>
    <xf numFmtId="3" fontId="45" fillId="25" borderId="54" xfId="0" applyNumberFormat="1" applyFont="1" applyFill="1" applyBorder="1"/>
    <xf numFmtId="168" fontId="45" fillId="25" borderId="54" xfId="0" applyNumberFormat="1" applyFont="1" applyFill="1" applyBorder="1"/>
    <xf numFmtId="0" fontId="11" fillId="18" borderId="46" xfId="0" applyFont="1" applyFill="1" applyBorder="1"/>
    <xf numFmtId="0" fontId="11" fillId="18" borderId="47" xfId="0" applyFont="1" applyFill="1" applyBorder="1"/>
    <xf numFmtId="0" fontId="11" fillId="18" borderId="50" xfId="0" applyFont="1" applyFill="1" applyBorder="1"/>
    <xf numFmtId="0" fontId="11" fillId="2" borderId="1" xfId="0" applyFont="1" applyFill="1" applyBorder="1" applyAlignment="1">
      <alignment horizontal="center"/>
    </xf>
    <xf numFmtId="0" fontId="48" fillId="0" borderId="0" xfId="0" applyFont="1"/>
    <xf numFmtId="0" fontId="49" fillId="0" borderId="0" xfId="0" applyFont="1"/>
    <xf numFmtId="0" fontId="48" fillId="0" borderId="59" xfId="0" applyFont="1" applyBorder="1"/>
    <xf numFmtId="0" fontId="49" fillId="0" borderId="60" xfId="0" applyFont="1" applyBorder="1"/>
    <xf numFmtId="0" fontId="49" fillId="0" borderId="61" xfId="0" applyFont="1" applyBorder="1"/>
    <xf numFmtId="0" fontId="48" fillId="0" borderId="62" xfId="0" applyFont="1" applyBorder="1"/>
    <xf numFmtId="0" fontId="48" fillId="0" borderId="63" xfId="0" applyFont="1" applyBorder="1"/>
    <xf numFmtId="0" fontId="49" fillId="0" borderId="62" xfId="0" applyFont="1" applyBorder="1"/>
    <xf numFmtId="167" fontId="49" fillId="0" borderId="0" xfId="0" applyNumberFormat="1" applyFont="1"/>
    <xf numFmtId="3" fontId="49" fillId="0" borderId="0" xfId="0" applyNumberFormat="1" applyFont="1"/>
    <xf numFmtId="3" fontId="49" fillId="0" borderId="63" xfId="0" applyNumberFormat="1" applyFont="1" applyBorder="1"/>
    <xf numFmtId="3" fontId="48" fillId="0" borderId="0" xfId="0" applyNumberFormat="1" applyFont="1"/>
    <xf numFmtId="169" fontId="49" fillId="0" borderId="0" xfId="0" applyNumberFormat="1" applyFont="1"/>
    <xf numFmtId="168" fontId="49" fillId="0" borderId="0" xfId="0" applyNumberFormat="1" applyFont="1"/>
    <xf numFmtId="9" fontId="49" fillId="0" borderId="0" xfId="0" applyNumberFormat="1" applyFont="1"/>
    <xf numFmtId="0" fontId="49" fillId="0" borderId="64" xfId="0" applyFont="1" applyBorder="1"/>
    <xf numFmtId="0" fontId="49" fillId="0" borderId="65" xfId="0" applyFont="1" applyBorder="1"/>
    <xf numFmtId="167" fontId="49" fillId="0" borderId="65" xfId="0" applyNumberFormat="1" applyFont="1" applyBorder="1"/>
    <xf numFmtId="3" fontId="49" fillId="0" borderId="65" xfId="0" applyNumberFormat="1" applyFont="1" applyBorder="1"/>
    <xf numFmtId="3" fontId="49" fillId="0" borderId="66" xfId="0" applyNumberFormat="1" applyFont="1" applyBorder="1"/>
    <xf numFmtId="0" fontId="49" fillId="0" borderId="63" xfId="0" applyFont="1" applyBorder="1"/>
    <xf numFmtId="170" fontId="49" fillId="0" borderId="0" xfId="0" applyNumberFormat="1" applyFont="1"/>
    <xf numFmtId="2" fontId="49" fillId="0" borderId="63" xfId="0" applyNumberFormat="1" applyFont="1" applyBorder="1"/>
    <xf numFmtId="0" fontId="48" fillId="0" borderId="0" xfId="0" applyFont="1" applyAlignment="1">
      <alignment horizontal="right"/>
    </xf>
    <xf numFmtId="2" fontId="49" fillId="0" borderId="0" xfId="0" applyNumberFormat="1" applyFont="1"/>
    <xf numFmtId="0" fontId="49" fillId="0" borderId="0" xfId="0" applyFont="1" applyAlignment="1">
      <alignment horizontal="right"/>
    </xf>
    <xf numFmtId="0" fontId="49" fillId="0" borderId="66" xfId="0" applyFont="1" applyBorder="1"/>
    <xf numFmtId="167" fontId="48" fillId="0" borderId="0" xfId="0" applyNumberFormat="1" applyFont="1"/>
    <xf numFmtId="168" fontId="48" fillId="0" borderId="0" xfId="0" applyNumberFormat="1" applyFont="1"/>
    <xf numFmtId="0" fontId="30" fillId="0" borderId="1" xfId="0" applyFont="1" applyBorder="1" applyAlignment="1">
      <alignment horizontal="center"/>
    </xf>
    <xf numFmtId="164" fontId="30" fillId="0" borderId="1" xfId="1" applyNumberFormat="1" applyFont="1" applyFill="1" applyBorder="1" applyAlignment="1">
      <alignment horizontal="center"/>
    </xf>
    <xf numFmtId="166" fontId="33" fillId="0" borderId="1" xfId="2" applyNumberFormat="1" applyFont="1" applyFill="1" applyBorder="1" applyAlignment="1">
      <alignment horizontal="center"/>
    </xf>
    <xf numFmtId="166" fontId="1" fillId="16" borderId="1" xfId="2" applyNumberFormat="1" applyFont="1" applyFill="1" applyBorder="1"/>
    <xf numFmtId="166" fontId="1" fillId="16" borderId="1" xfId="2" applyNumberFormat="1" applyFont="1" applyFill="1" applyBorder="1" applyAlignment="1">
      <alignment horizontal="center"/>
    </xf>
    <xf numFmtId="166" fontId="1" fillId="16" borderId="8" xfId="2" applyNumberFormat="1" applyFont="1" applyFill="1" applyBorder="1"/>
    <xf numFmtId="166" fontId="30" fillId="2" borderId="32" xfId="2" applyNumberFormat="1" applyFont="1" applyFill="1" applyBorder="1"/>
    <xf numFmtId="166" fontId="30" fillId="2" borderId="33" xfId="2" applyNumberFormat="1" applyFont="1" applyFill="1" applyBorder="1"/>
    <xf numFmtId="166" fontId="33" fillId="10" borderId="32" xfId="2" applyNumberFormat="1" applyFont="1" applyFill="1" applyBorder="1" applyAlignment="1">
      <alignment horizontal="center"/>
    </xf>
    <xf numFmtId="166" fontId="33" fillId="0" borderId="32" xfId="2" applyNumberFormat="1" applyFont="1" applyFill="1" applyBorder="1" applyAlignment="1">
      <alignment horizontal="center"/>
    </xf>
    <xf numFmtId="166" fontId="33" fillId="10" borderId="3" xfId="2" applyNumberFormat="1" applyFont="1" applyFill="1" applyBorder="1" applyAlignment="1">
      <alignment horizontal="center"/>
    </xf>
    <xf numFmtId="166" fontId="33" fillId="10" borderId="36" xfId="2" applyNumberFormat="1" applyFont="1" applyFill="1" applyBorder="1" applyAlignment="1">
      <alignment horizontal="center"/>
    </xf>
    <xf numFmtId="166" fontId="33" fillId="10" borderId="40" xfId="2" applyNumberFormat="1" applyFont="1" applyFill="1" applyBorder="1" applyAlignment="1">
      <alignment horizontal="center"/>
    </xf>
    <xf numFmtId="44" fontId="1" fillId="2" borderId="17" xfId="0" applyNumberFormat="1" applyFont="1" applyFill="1" applyBorder="1"/>
    <xf numFmtId="0" fontId="11" fillId="8" borderId="1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2" fillId="8" borderId="1" xfId="0" applyFont="1" applyFill="1" applyBorder="1"/>
    <xf numFmtId="0" fontId="0" fillId="8" borderId="1" xfId="0" applyFill="1" applyBorder="1"/>
    <xf numFmtId="164" fontId="0" fillId="8" borderId="6" xfId="1" applyNumberFormat="1" applyFont="1" applyFill="1" applyBorder="1"/>
    <xf numFmtId="0" fontId="12" fillId="8" borderId="8" xfId="0" applyFont="1" applyFill="1" applyBorder="1"/>
    <xf numFmtId="0" fontId="1" fillId="8" borderId="8" xfId="0" applyFont="1" applyFill="1" applyBorder="1"/>
    <xf numFmtId="0" fontId="1" fillId="8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29" borderId="5" xfId="0" applyFont="1" applyFill="1" applyBorder="1" applyAlignment="1">
      <alignment horizontal="center"/>
    </xf>
    <xf numFmtId="0" fontId="30" fillId="30" borderId="34" xfId="0" applyFont="1" applyFill="1" applyBorder="1" applyAlignment="1">
      <alignment horizontal="center"/>
    </xf>
    <xf numFmtId="0" fontId="30" fillId="11" borderId="34" xfId="0" applyFont="1" applyFill="1" applyBorder="1" applyAlignment="1">
      <alignment horizontal="center"/>
    </xf>
    <xf numFmtId="0" fontId="30" fillId="31" borderId="5" xfId="0" applyFont="1" applyFill="1" applyBorder="1" applyAlignment="1">
      <alignment horizontal="center"/>
    </xf>
    <xf numFmtId="0" fontId="30" fillId="31" borderId="7" xfId="0" applyFont="1" applyFill="1" applyBorder="1" applyAlignment="1">
      <alignment horizontal="center"/>
    </xf>
    <xf numFmtId="0" fontId="30" fillId="32" borderId="34" xfId="0" applyFont="1" applyFill="1" applyBorder="1" applyAlignment="1">
      <alignment horizontal="center"/>
    </xf>
    <xf numFmtId="0" fontId="30" fillId="33" borderId="5" xfId="0" applyFont="1" applyFill="1" applyBorder="1" applyAlignment="1">
      <alignment horizontal="center"/>
    </xf>
    <xf numFmtId="0" fontId="30" fillId="33" borderId="7" xfId="0" applyFont="1" applyFill="1" applyBorder="1" applyAlignment="1">
      <alignment horizontal="center"/>
    </xf>
    <xf numFmtId="0" fontId="30" fillId="34" borderId="34" xfId="0" applyFont="1" applyFill="1" applyBorder="1" applyAlignment="1">
      <alignment horizontal="center"/>
    </xf>
    <xf numFmtId="0" fontId="30" fillId="35" borderId="34" xfId="0" applyFont="1" applyFill="1" applyBorder="1" applyAlignment="1">
      <alignment horizontal="center"/>
    </xf>
    <xf numFmtId="0" fontId="35" fillId="35" borderId="34" xfId="0" applyFont="1" applyFill="1" applyBorder="1" applyAlignment="1">
      <alignment horizontal="center"/>
    </xf>
    <xf numFmtId="0" fontId="30" fillId="35" borderId="38" xfId="0" applyFont="1" applyFill="1" applyBorder="1" applyAlignment="1">
      <alignment horizontal="center"/>
    </xf>
    <xf numFmtId="0" fontId="42" fillId="18" borderId="51" xfId="0" applyFont="1" applyFill="1" applyBorder="1" applyAlignment="1">
      <alignment horizontal="left" vertical="center" indent="1"/>
    </xf>
    <xf numFmtId="0" fontId="11" fillId="18" borderId="44" xfId="0" applyFont="1" applyFill="1" applyBorder="1"/>
    <xf numFmtId="0" fontId="11" fillId="18" borderId="48" xfId="0" applyFont="1" applyFill="1" applyBorder="1"/>
    <xf numFmtId="0" fontId="36" fillId="25" borderId="0" xfId="0" applyFont="1" applyFill="1" applyAlignment="1">
      <alignment horizontal="center" vertical="center"/>
    </xf>
    <xf numFmtId="0" fontId="36" fillId="25" borderId="0" xfId="0" applyFont="1" applyFill="1" applyAlignment="1">
      <alignment horizontal="center"/>
    </xf>
    <xf numFmtId="0" fontId="37" fillId="25" borderId="42" xfId="0" applyFont="1" applyFill="1" applyBorder="1" applyAlignment="1">
      <alignment horizontal="center" vertical="center"/>
    </xf>
    <xf numFmtId="0" fontId="38" fillId="25" borderId="42" xfId="0" applyFont="1" applyFill="1" applyBorder="1" applyAlignment="1">
      <alignment horizontal="center"/>
    </xf>
    <xf numFmtId="0" fontId="38" fillId="25" borderId="0" xfId="0" applyFont="1" applyFill="1" applyAlignment="1">
      <alignment horizontal="center"/>
    </xf>
    <xf numFmtId="0" fontId="40" fillId="18" borderId="43" xfId="0" applyFont="1" applyFill="1" applyBorder="1" applyAlignment="1">
      <alignment horizontal="center" vertical="center"/>
    </xf>
    <xf numFmtId="0" fontId="11" fillId="27" borderId="0" xfId="0" applyFont="1" applyFill="1"/>
    <xf numFmtId="0" fontId="41" fillId="27" borderId="0" xfId="0" applyFont="1" applyFill="1" applyAlignment="1">
      <alignment vertical="center"/>
    </xf>
    <xf numFmtId="0" fontId="44" fillId="28" borderId="52" xfId="0" applyFont="1" applyFill="1" applyBorder="1"/>
    <xf numFmtId="0" fontId="11" fillId="18" borderId="53" xfId="0" applyFont="1" applyFill="1" applyBorder="1"/>
    <xf numFmtId="0" fontId="45" fillId="25" borderId="53" xfId="0" applyFont="1" applyFill="1" applyBorder="1" applyAlignment="1">
      <alignment horizontal="center"/>
    </xf>
    <xf numFmtId="0" fontId="45" fillId="26" borderId="53" xfId="0" applyFont="1" applyFill="1" applyBorder="1" applyAlignment="1">
      <alignment horizontal="center"/>
    </xf>
    <xf numFmtId="0" fontId="46" fillId="18" borderId="54" xfId="0" applyFont="1" applyFill="1" applyBorder="1" applyAlignment="1">
      <alignment vertical="center" wrapText="1"/>
    </xf>
    <xf numFmtId="169" fontId="11" fillId="18" borderId="54" xfId="0" applyNumberFormat="1" applyFont="1" applyFill="1" applyBorder="1" applyAlignment="1">
      <alignment horizontal="center"/>
    </xf>
    <xf numFmtId="0" fontId="11" fillId="18" borderId="54" xfId="0" applyFont="1" applyFill="1" applyBorder="1"/>
    <xf numFmtId="3" fontId="11" fillId="18" borderId="54" xfId="0" applyNumberFormat="1" applyFont="1" applyFill="1" applyBorder="1" applyAlignment="1">
      <alignment horizontal="center"/>
    </xf>
    <xf numFmtId="0" fontId="43" fillId="18" borderId="45" xfId="0" applyFont="1" applyFill="1" applyBorder="1" applyAlignment="1">
      <alignment horizontal="left" vertical="center" wrapText="1" indent="1"/>
    </xf>
    <xf numFmtId="0" fontId="11" fillId="18" borderId="0" xfId="0" applyFont="1" applyFill="1"/>
    <xf numFmtId="0" fontId="11" fillId="18" borderId="45" xfId="0" applyFont="1" applyFill="1" applyBorder="1"/>
    <xf numFmtId="0" fontId="11" fillId="18" borderId="49" xfId="0" applyFont="1" applyFill="1" applyBorder="1"/>
    <xf numFmtId="0" fontId="43" fillId="18" borderId="0" xfId="0" applyFont="1" applyFill="1" applyAlignment="1">
      <alignment horizontal="left" vertical="center" wrapText="1" indent="1"/>
    </xf>
    <xf numFmtId="0" fontId="11" fillId="18" borderId="46" xfId="0" applyFont="1" applyFill="1" applyBorder="1"/>
    <xf numFmtId="0" fontId="11" fillId="18" borderId="47" xfId="0" applyFont="1" applyFill="1" applyBorder="1"/>
    <xf numFmtId="0" fontId="44" fillId="28" borderId="52" xfId="0" applyFont="1" applyFill="1" applyBorder="1" applyAlignment="1">
      <alignment vertical="center"/>
    </xf>
    <xf numFmtId="0" fontId="44" fillId="28" borderId="53" xfId="0" applyFont="1" applyFill="1" applyBorder="1" applyAlignment="1">
      <alignment vertical="center"/>
    </xf>
    <xf numFmtId="0" fontId="44" fillId="28" borderId="53" xfId="0" applyFont="1" applyFill="1" applyBorder="1" applyAlignment="1">
      <alignment horizontal="center" vertical="center"/>
    </xf>
    <xf numFmtId="169" fontId="11" fillId="18" borderId="54" xfId="0" applyNumberFormat="1" applyFont="1" applyFill="1" applyBorder="1"/>
    <xf numFmtId="0" fontId="45" fillId="25" borderId="54" xfId="0" applyFont="1" applyFill="1" applyBorder="1"/>
    <xf numFmtId="169" fontId="45" fillId="25" borderId="54" xfId="0" applyNumberFormat="1" applyFont="1" applyFill="1" applyBorder="1"/>
    <xf numFmtId="0" fontId="47" fillId="2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33" fillId="10" borderId="8" xfId="3" applyFont="1" applyFill="1" applyBorder="1" applyAlignment="1">
      <alignment horizontal="center" vertical="center"/>
    </xf>
    <xf numFmtId="0" fontId="11" fillId="16" borderId="8" xfId="0" applyFont="1" applyFill="1" applyBorder="1" applyAlignment="1">
      <alignment horizontal="center"/>
    </xf>
    <xf numFmtId="164" fontId="30" fillId="2" borderId="9" xfId="1" applyNumberFormat="1" applyFont="1" applyFill="1" applyBorder="1" applyAlignment="1">
      <alignment horizontal="center"/>
    </xf>
    <xf numFmtId="166" fontId="34" fillId="10" borderId="7" xfId="2" applyNumberFormat="1" applyFont="1" applyFill="1" applyBorder="1" applyAlignment="1">
      <alignment horizontal="center"/>
    </xf>
    <xf numFmtId="0" fontId="11" fillId="0" borderId="8" xfId="0" applyFont="1" applyBorder="1"/>
    <xf numFmtId="0" fontId="11" fillId="0" borderId="0" xfId="0" applyFont="1" applyBorder="1"/>
    <xf numFmtId="164" fontId="11" fillId="2" borderId="8" xfId="1" applyNumberFormat="1" applyFont="1" applyFill="1" applyBorder="1" applyAlignment="1">
      <alignment horizontal="center"/>
    </xf>
    <xf numFmtId="164" fontId="11" fillId="2" borderId="22" xfId="0" applyNumberFormat="1" applyFont="1" applyFill="1" applyBorder="1"/>
    <xf numFmtId="166" fontId="11" fillId="10" borderId="22" xfId="2" applyNumberFormat="1" applyFont="1" applyFill="1" applyBorder="1"/>
    <xf numFmtId="10" fontId="11" fillId="2" borderId="8" xfId="3" applyNumberFormat="1" applyFont="1" applyFill="1" applyBorder="1"/>
    <xf numFmtId="164" fontId="11" fillId="2" borderId="9" xfId="1" applyNumberFormat="1" applyFont="1" applyFill="1" applyBorder="1"/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19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rgb="FFFF33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fill>
        <patternFill patternType="solid">
          <fgColor indexed="64"/>
          <bgColor rgb="FF92D050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fill>
        <patternFill patternType="solid">
          <fgColor indexed="64"/>
          <bgColor rgb="FF92D050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b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b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4" formatCode="_-&quot;$&quot;\ * #,##0.00_-;\-&quot;$&quot;\ * #,##0.00_-;_-&quot;$&quot;\ 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4" formatCode="_-&quot;$&quot;\ * #,##0.00_-;\-&quot;$&quot;\ * #,##0.00_-;_-&quot;$&quot;\ 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rgb="FF000000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rgb="FF000000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33CC"/>
      <color rgb="FF66FFFF"/>
      <color rgb="FFEEF2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r>
              <a:rPr lang="en-US" sz="1400" b="1"/>
              <a:t>Costo promedio por paciente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5E5C"/>
              </a:solidFill>
              <a:latin typeface="Arial Narrow" panose="020B0606020202030204" pitchFamily="34" charset="0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Calculos!$C$4</c:f>
              <c:strCache>
                <c:ptCount val="1"/>
                <c:pt idx="0">
                  <c:v>Costo Normal (12m)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605E5C"/>
                    </a:solidFill>
                    <a:latin typeface="Arial Narrow" panose="020B0606020202030204" pitchFamily="34" charset="0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Calculos!$B$5:$B$14</c:f>
              <c:strCache>
                <c:ptCount val="10"/>
                <c:pt idx="0">
                  <c:v>Cesación Tabáquica</c:v>
                </c:pt>
                <c:pt idx="1">
                  <c:v>Nódulo Pulmonar</c:v>
                </c:pt>
                <c:pt idx="2">
                  <c:v>Hipertensión Pulmonar</c:v>
                </c:pt>
                <c:pt idx="3">
                  <c:v>Asma</c:v>
                </c:pt>
                <c:pt idx="4">
                  <c:v>EPI</c:v>
                </c:pt>
                <c:pt idx="5">
                  <c:v>EPOC</c:v>
                </c:pt>
                <c:pt idx="6">
                  <c:v>Disnea - Obesidad</c:v>
                </c:pt>
                <c:pt idx="7">
                  <c:v>Trastornos de Sueño</c:v>
                </c:pt>
                <c:pt idx="8">
                  <c:v>Ejercicio Físico</c:v>
                </c:pt>
                <c:pt idx="9">
                  <c:v>Cuidado Respiratorio</c:v>
                </c:pt>
              </c:strCache>
            </c:strRef>
          </c:cat>
          <c:val>
            <c:numRef>
              <c:f>Calculos!$C$5:$C$14</c:f>
              <c:numCache>
                <c:formatCode>"$"#,##0;\("$"#,##0\);\-</c:formatCode>
                <c:ptCount val="10"/>
                <c:pt idx="0">
                  <c:v>2603272.8574974192</c:v>
                </c:pt>
                <c:pt idx="1">
                  <c:v>2725809.3393049096</c:v>
                </c:pt>
                <c:pt idx="2">
                  <c:v>1893343.8270447098</c:v>
                </c:pt>
                <c:pt idx="3">
                  <c:v>1828395.5604669065</c:v>
                </c:pt>
                <c:pt idx="4">
                  <c:v>1853151.4184918643</c:v>
                </c:pt>
                <c:pt idx="5">
                  <c:v>1457032.9145659576</c:v>
                </c:pt>
                <c:pt idx="6">
                  <c:v>1471331.3563234289</c:v>
                </c:pt>
                <c:pt idx="7">
                  <c:v>1146281.1244100151</c:v>
                </c:pt>
                <c:pt idx="8">
                  <c:v>1123402.6588274152</c:v>
                </c:pt>
                <c:pt idx="9">
                  <c:v>674015.56967324426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2-45B2-A5D0-5BBCDEC321BE}"/>
            </c:ext>
          </c:extLst>
        </c:ser>
        <c:ser>
          <c:idx val="1"/>
          <c:order val="1"/>
          <c:tx>
            <c:strRef>
              <c:f>Calculos!$D$4</c:f>
              <c:strCache>
                <c:ptCount val="1"/>
                <c:pt idx="0">
                  <c:v>Costo Ecopetrol (18m)</c:v>
                </c:pt>
              </c:strCache>
            </c:strRef>
          </c:tx>
          <c:spPr>
            <a:solidFill>
              <a:srgbClr val="1F7A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rgbClr val="605E5C"/>
                    </a:solidFill>
                    <a:latin typeface="Arial Narrow" panose="020B0606020202030204" pitchFamily="34" charset="0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Calculos!$B$5:$B$14</c:f>
              <c:strCache>
                <c:ptCount val="10"/>
                <c:pt idx="0">
                  <c:v>Cesación Tabáquica</c:v>
                </c:pt>
                <c:pt idx="1">
                  <c:v>Nódulo Pulmonar</c:v>
                </c:pt>
                <c:pt idx="2">
                  <c:v>Hipertensión Pulmonar</c:v>
                </c:pt>
                <c:pt idx="3">
                  <c:v>Asma</c:v>
                </c:pt>
                <c:pt idx="4">
                  <c:v>EPI</c:v>
                </c:pt>
                <c:pt idx="5">
                  <c:v>EPOC</c:v>
                </c:pt>
                <c:pt idx="6">
                  <c:v>Disnea - Obesidad</c:v>
                </c:pt>
                <c:pt idx="7">
                  <c:v>Trastornos de Sueño</c:v>
                </c:pt>
                <c:pt idx="8">
                  <c:v>Ejercicio Físico</c:v>
                </c:pt>
                <c:pt idx="9">
                  <c:v>Cuidado Respiratorio</c:v>
                </c:pt>
              </c:strCache>
            </c:strRef>
          </c:cat>
          <c:val>
            <c:numRef>
              <c:f>Calculos!$D$5:$D$14</c:f>
              <c:numCache>
                <c:formatCode>"$"#,##0;\("$"#,##0\);\-</c:formatCode>
                <c:ptCount val="10"/>
                <c:pt idx="0">
                  <c:v>3621691.9982883041</c:v>
                </c:pt>
                <c:pt idx="1">
                  <c:v>3722812.6115518063</c:v>
                </c:pt>
                <c:pt idx="2">
                  <c:v>2438360.2444459889</c:v>
                </c:pt>
                <c:pt idx="3">
                  <c:v>2402405.5751683982</c:v>
                </c:pt>
                <c:pt idx="4">
                  <c:v>2468663.6666908506</c:v>
                </c:pt>
                <c:pt idx="5">
                  <c:v>1910724.2176804843</c:v>
                </c:pt>
                <c:pt idx="6">
                  <c:v>1924285.0155554828</c:v>
                </c:pt>
                <c:pt idx="7">
                  <c:v>1603374.5579784799</c:v>
                </c:pt>
                <c:pt idx="8">
                  <c:v>1583587.7298586413</c:v>
                </c:pt>
                <c:pt idx="9">
                  <c:v>1007999.3968776469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2-45B2-A5D0-5BBCDEC3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665616"/>
        <c:axId val="354666096"/>
      </c:barChart>
      <c:catAx>
        <c:axId val="3546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endParaRPr lang="es-CO"/>
          </a:p>
        </c:txPr>
        <c:crossAx val="354666096"/>
        <c:crosses val="autoZero"/>
        <c:auto val="1"/>
        <c:lblAlgn val="ctr"/>
        <c:lblOffset val="100"/>
        <c:noMultiLvlLbl val="0"/>
      </c:catAx>
      <c:valAx>
        <c:axId val="3546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endParaRPr lang="es-CO"/>
          </a:p>
        </c:txPr>
        <c:crossAx val="3546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Arial Narrow" panose="020B0606020202030204" pitchFamily="34" charset="0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Arial Narrow" panose="020B0606020202030204" pitchFamily="34" charset="0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Costo por categoría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Calculos!$I$7</c:f>
              <c:strCache>
                <c:ptCount val="1"/>
                <c:pt idx="0">
                  <c:v>Costo Normal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cat>
            <c:strRef>
              <c:f>Calculos!$H$8:$H$12</c:f>
              <c:strCache>
                <c:ptCount val="5"/>
                <c:pt idx="0">
                  <c:v>Consultas</c:v>
                </c:pt>
                <c:pt idx="1">
                  <c:v>Diagnosticos</c:v>
                </c:pt>
                <c:pt idx="2">
                  <c:v>Terapias</c:v>
                </c:pt>
                <c:pt idx="3">
                  <c:v>Educacion</c:v>
                </c:pt>
                <c:pt idx="4">
                  <c:v>Gestion y seguimiento</c:v>
                </c:pt>
              </c:strCache>
            </c:strRef>
          </c:cat>
          <c:val>
            <c:numRef>
              <c:f>Calculos!$I$8:$I$12</c:f>
              <c:numCache>
                <c:formatCode>"$"#,##0;\("$"#,##0\);\-</c:formatCode>
                <c:ptCount val="5"/>
                <c:pt idx="0">
                  <c:v>273505.03790114046</c:v>
                </c:pt>
                <c:pt idx="1">
                  <c:v>21589.01624042014</c:v>
                </c:pt>
                <c:pt idx="2">
                  <c:v>4921.1722168236038</c:v>
                </c:pt>
                <c:pt idx="3">
                  <c:v>152921.05970663566</c:v>
                </c:pt>
                <c:pt idx="4">
                  <c:v>221079.28360822436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B-4257-B62D-3C312558143D}"/>
            </c:ext>
          </c:extLst>
        </c:ser>
        <c:ser>
          <c:idx val="1"/>
          <c:order val="1"/>
          <c:tx>
            <c:strRef>
              <c:f>Calculos!$J$7</c:f>
              <c:strCache>
                <c:ptCount val="1"/>
                <c:pt idx="0">
                  <c:v>Costo Ecopetrol</c:v>
                </c:pt>
              </c:strCache>
            </c:strRef>
          </c:tx>
          <c:spPr>
            <a:solidFill>
              <a:srgbClr val="1F7A44"/>
            </a:solidFill>
            <a:ln>
              <a:noFill/>
            </a:ln>
            <a:effectLst/>
          </c:spPr>
          <c:invertIfNegative val="0"/>
          <c:cat>
            <c:strRef>
              <c:f>Calculos!$H$8:$H$12</c:f>
              <c:strCache>
                <c:ptCount val="5"/>
                <c:pt idx="0">
                  <c:v>Consultas</c:v>
                </c:pt>
                <c:pt idx="1">
                  <c:v>Diagnosticos</c:v>
                </c:pt>
                <c:pt idx="2">
                  <c:v>Terapias</c:v>
                </c:pt>
                <c:pt idx="3">
                  <c:v>Educacion</c:v>
                </c:pt>
                <c:pt idx="4">
                  <c:v>Gestion y seguimiento</c:v>
                </c:pt>
              </c:strCache>
            </c:strRef>
          </c:cat>
          <c:val>
            <c:numRef>
              <c:f>Calculos!$J$8:$J$12</c:f>
              <c:numCache>
                <c:formatCode>"$"#,##0;\("$"#,##0\);\-</c:formatCode>
                <c:ptCount val="5"/>
                <c:pt idx="0">
                  <c:v>468767.21943367022</c:v>
                </c:pt>
                <c:pt idx="1">
                  <c:v>24441.101972840286</c:v>
                </c:pt>
                <c:pt idx="2">
                  <c:v>4921.1722168236038</c:v>
                </c:pt>
                <c:pt idx="3">
                  <c:v>194981.5014917716</c:v>
                </c:pt>
                <c:pt idx="4">
                  <c:v>314888.40176254109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B-4257-B62D-3C312558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659712"/>
        <c:axId val="982662112"/>
      </c:barChart>
      <c:catAx>
        <c:axId val="9826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982662112"/>
        <c:crosses val="autoZero"/>
        <c:auto val="1"/>
        <c:lblAlgn val="ctr"/>
        <c:lblOffset val="100"/>
        <c:noMultiLvlLbl val="0"/>
      </c:catAx>
      <c:valAx>
        <c:axId val="9826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9826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Pareto de costos (Ruta Normal)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Calculos!$M$7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cat>
            <c:strRef>
              <c:f>Calculos!$L$8:$L$12</c:f>
              <c:strCache>
                <c:ptCount val="5"/>
                <c:pt idx="0">
                  <c:v>Consultas</c:v>
                </c:pt>
                <c:pt idx="1">
                  <c:v>Gestion y seguimiento</c:v>
                </c:pt>
                <c:pt idx="2">
                  <c:v>Educacion</c:v>
                </c:pt>
                <c:pt idx="3">
                  <c:v>Diagnosticos</c:v>
                </c:pt>
                <c:pt idx="4">
                  <c:v>Terapias</c:v>
                </c:pt>
              </c:strCache>
            </c:strRef>
          </c:cat>
          <c:val>
            <c:numRef>
              <c:f>Calculos!$M$8:$M$12</c:f>
              <c:numCache>
                <c:formatCode>General</c:formatCode>
                <c:ptCount val="5"/>
                <c:pt idx="0">
                  <c:v>273505.03790114046</c:v>
                </c:pt>
                <c:pt idx="1">
                  <c:v>221079.28360822436</c:v>
                </c:pt>
                <c:pt idx="2">
                  <c:v>152921.05970663566</c:v>
                </c:pt>
                <c:pt idx="3">
                  <c:v>21589.01624042014</c:v>
                </c:pt>
                <c:pt idx="4">
                  <c:v>4921.1722168236038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5-49AA-B14E-C04D35BB2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0447"/>
        <c:axId val="59599967"/>
      </c:barChart>
      <c:lineChart>
        <c:grouping val="standard"/>
        <c:varyColors val="0"/>
        <c:ser>
          <c:idx val="1"/>
          <c:order val="1"/>
          <c:tx>
            <c:strRef>
              <c:f>Calculos!$N$7</c:f>
              <c:strCache>
                <c:ptCount val="1"/>
                <c:pt idx="0">
                  <c:v>% Acumulado</c:v>
                </c:pt>
              </c:strCache>
            </c:strRef>
          </c:tx>
          <c:spPr>
            <a:ln w="25400" cap="rnd">
              <a:solidFill>
                <a:srgbClr val="1F7A4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Calculos!$L$8:$L$12</c:f>
              <c:strCache>
                <c:ptCount val="5"/>
                <c:pt idx="0">
                  <c:v>Consultas</c:v>
                </c:pt>
                <c:pt idx="1">
                  <c:v>Gestion y seguimiento</c:v>
                </c:pt>
                <c:pt idx="2">
                  <c:v>Educacion</c:v>
                </c:pt>
                <c:pt idx="3">
                  <c:v>Diagnosticos</c:v>
                </c:pt>
                <c:pt idx="4">
                  <c:v>Terapias</c:v>
                </c:pt>
              </c:strCache>
            </c:strRef>
          </c:cat>
          <c:val>
            <c:numRef>
              <c:f>Calculos!$N$8:$N$12</c:f>
              <c:numCache>
                <c:formatCode>0%</c:formatCode>
                <c:ptCount val="5"/>
                <c:pt idx="0">
                  <c:v>0.40578445099381438</c:v>
                </c:pt>
                <c:pt idx="1">
                  <c:v>0.73378768052662957</c:v>
                </c:pt>
                <c:pt idx="2">
                  <c:v>0.96066828475476373</c:v>
                </c:pt>
                <c:pt idx="3">
                  <c:v>0.99269872620418953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5-49AA-B14E-C04D35BB2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128480"/>
        <c:axId val="1316130400"/>
      </c:lineChart>
      <c:catAx>
        <c:axId val="596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59599967"/>
        <c:crosses val="autoZero"/>
        <c:auto val="1"/>
        <c:lblAlgn val="ctr"/>
        <c:lblOffset val="100"/>
        <c:noMultiLvlLbl val="0"/>
      </c:catAx>
      <c:valAx>
        <c:axId val="595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59600447"/>
        <c:crosses val="autoZero"/>
        <c:crossBetween val="between"/>
      </c:valAx>
      <c:valAx>
        <c:axId val="1316130400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6128480"/>
        <c:crosses val="max"/>
        <c:crossBetween val="between"/>
      </c:valAx>
      <c:catAx>
        <c:axId val="1316128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130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Impacto: Nº servicios vs Costo/paciente (Normal)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16335B"/>
              </a:solidFill>
              <a:ln w="9525">
                <a:solidFill>
                  <a:srgbClr val="16335B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Cesación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57-4E84-AD29-80E7FAA6924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Nódulo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57-4E84-AD29-80E7FAA6924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Hipertensión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57-4E84-AD29-80E7FAA6924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Asma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757-4E84-AD29-80E7FAA69245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EPI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757-4E84-AD29-80E7FAA69245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EPOC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757-4E84-AD29-80E7FAA69245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Disnea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757-4E84-AD29-80E7FAA6924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Sueño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57-4E84-AD29-80E7FAA69245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Ejercicio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57-4E84-AD29-80E7FAA69245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Cuidado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57-4E84-AD29-80E7FAA692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Calculos!$P$5:$P$14</c:f>
              <c:numCache>
                <c:formatCode>#,##0</c:formatCode>
                <c:ptCount val="10"/>
                <c:pt idx="0">
                  <c:v>191</c:v>
                </c:pt>
                <c:pt idx="1">
                  <c:v>198</c:v>
                </c:pt>
                <c:pt idx="2">
                  <c:v>135</c:v>
                </c:pt>
                <c:pt idx="3">
                  <c:v>137</c:v>
                </c:pt>
                <c:pt idx="4">
                  <c:v>140</c:v>
                </c:pt>
                <c:pt idx="5">
                  <c:v>126</c:v>
                </c:pt>
                <c:pt idx="6">
                  <c:v>126</c:v>
                </c:pt>
                <c:pt idx="7">
                  <c:v>125</c:v>
                </c:pt>
                <c:pt idx="8">
                  <c:v>115</c:v>
                </c:pt>
                <c:pt idx="9">
                  <c:v>47</c:v>
                </c:pt>
              </c:numCache>
            </c:numRef>
          </c:xVal>
          <c:yVal>
            <c:numRef>
              <c:f>Calculos!$Q$5:$Q$14</c:f>
              <c:numCache>
                <c:formatCode>"$"#,##0</c:formatCode>
                <c:ptCount val="10"/>
                <c:pt idx="0">
                  <c:v>2603272.8574974192</c:v>
                </c:pt>
                <c:pt idx="1">
                  <c:v>2725809.3393049096</c:v>
                </c:pt>
                <c:pt idx="2">
                  <c:v>1893343.8270447098</c:v>
                </c:pt>
                <c:pt idx="3">
                  <c:v>1828395.5604669065</c:v>
                </c:pt>
                <c:pt idx="4">
                  <c:v>1853151.4184918643</c:v>
                </c:pt>
                <c:pt idx="5">
                  <c:v>1457032.9145659576</c:v>
                </c:pt>
                <c:pt idx="6">
                  <c:v>1471331.3563234289</c:v>
                </c:pt>
                <c:pt idx="7">
                  <c:v>1146281.1244100151</c:v>
                </c:pt>
                <c:pt idx="8">
                  <c:v>1123402.6588274152</c:v>
                </c:pt>
                <c:pt idx="9">
                  <c:v>674015.56967324426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7-4E84-AD29-80E7FAA69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489056"/>
        <c:axId val="1319490976"/>
      </c:scatterChart>
      <c:valAx>
        <c:axId val="131948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s-CO"/>
                  <a:t>Número de servicios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05E5C"/>
                  </a:solidFill>
                  <a:latin typeface="Segoe UI"/>
                  <a:ea typeface="Segoe UI"/>
                  <a:cs typeface="Segoe UI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9490976"/>
        <c:crosses val="autoZero"/>
        <c:crossBetween val="midCat"/>
      </c:valAx>
      <c:valAx>
        <c:axId val="13194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s-CO"/>
                  <a:t>Costo por paciente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05E5C"/>
                  </a:solidFill>
                  <a:latin typeface="Segoe UI"/>
                  <a:ea typeface="Segoe UI"/>
                  <a:cs typeface="Segoe UI"/>
                </a:defRPr>
              </a:pPr>
              <a:endParaRPr lang="es-CO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948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Programa">
          <a:extLst>
            <a:ext uri="{FF2B5EF4-FFF2-40B4-BE49-F238E27FC236}">
              <a16:creationId xmlns:a16="http://schemas.microsoft.com/office/drawing/2014/main" id="{737D9EA5-FA09-A9EC-44F6-7CC7A84BD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5</xdr:row>
      <xdr:rowOff>57150</xdr:rowOff>
    </xdr:from>
    <xdr:to>
      <xdr:col>13</xdr:col>
      <xdr:colOff>533400</xdr:colOff>
      <xdr:row>21</xdr:row>
      <xdr:rowOff>57150</xdr:rowOff>
    </xdr:to>
    <xdr:graphicFrame macro="">
      <xdr:nvGraphicFramePr>
        <xdr:cNvPr id="3" name="ChartCategoria">
          <a:extLst>
            <a:ext uri="{FF2B5EF4-FFF2-40B4-BE49-F238E27FC236}">
              <a16:creationId xmlns:a16="http://schemas.microsoft.com/office/drawing/2014/main" id="{BDC30B2A-6EC7-644F-90A2-140A6BEEC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4" name="ChartPareto">
          <a:extLst>
            <a:ext uri="{FF2B5EF4-FFF2-40B4-BE49-F238E27FC236}">
              <a16:creationId xmlns:a16="http://schemas.microsoft.com/office/drawing/2014/main" id="{C109C241-76FD-81E1-2185-C81D7E70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21</xdr:col>
      <xdr:colOff>0</xdr:colOff>
      <xdr:row>44</xdr:row>
      <xdr:rowOff>0</xdr:rowOff>
    </xdr:to>
    <xdr:graphicFrame macro="">
      <xdr:nvGraphicFramePr>
        <xdr:cNvPr id="5" name="ChartMapa">
          <a:extLst>
            <a:ext uri="{FF2B5EF4-FFF2-40B4-BE49-F238E27FC236}">
              <a16:creationId xmlns:a16="http://schemas.microsoft.com/office/drawing/2014/main" id="{E98F6BFC-BED1-2E0E-149B-D51B12DED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.%20MATRIZ%20COSTOS%20INO/MATRIZ%20COSTOS/MATRIZ%20DE%20COSTOS%20INO%202025.xlsx" TargetMode="External"/><Relationship Id="rId2" Type="http://schemas.openxmlformats.org/officeDocument/2006/relationships/externalLinkPath" Target="file:///C:\Users\pablo.ramirez\ownCloud%20-%20analistadecostos@cloudino.planetaip.co\COSTOS\1.%20MATRIZ%20COSTOS%20INO\MATRIZ%20COSTOS\MATRIZ%20DE%20COSTOS%20INO%202025.xlsx" TargetMode="External"/><Relationship Id="rId1" Type="http://schemas.openxmlformats.org/officeDocument/2006/relationships/externalLinkPath" Target="/Users/pablo.ramirez/ownCloud%20-%20analistadecostos@cloudino.planetaip.co/COSTOS/1.%20MATRIZ%20COSTOS%20INO/MATRIZ%20COSTOS/MATRIZ%20DE%20COSTOS%20INO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.%20MATRIZ%20COSTOS%20INO/MATRIZ%20COSTOS/MATRIZ%20DE%20COSTOS%20INO%202025%20ALERGIAS.xlsx" TargetMode="External"/><Relationship Id="rId2" Type="http://schemas.openxmlformats.org/officeDocument/2006/relationships/externalLinkPath" Target="file:///C:\Users\pablo.ramirez\ownCloud%20-%20analistadecostos@cloudino.planetaip.co\COSTOS\1.%20MATRIZ%20COSTOS%20INO\MATRIZ%20COSTOS\MATRIZ%20DE%20COSTOS%20INO%202025%20ALERGIAS.xlsx" TargetMode="External"/><Relationship Id="rId1" Type="http://schemas.openxmlformats.org/officeDocument/2006/relationships/externalLinkPath" Target="/Users/pablo.ramirez/ownCloud%20-%20analistadecostos@cloudino.planetaip.co/COSTOS/1.%20MATRIZ%20COSTOS%20INO/MATRIZ%20COSTOS/MATRIZ%20DE%20COSTOS%20INO%202025%20ALER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LISTAS"/>
      <sheetName val="LECTURA EXAMENES"/>
      <sheetName val="SERVICIOS PREST"/>
      <sheetName val="INFORME_POLIS (2)"/>
      <sheetName val="COMPARATIVO"/>
      <sheetName val="COSTOS A 2025"/>
      <sheetName val="DIN_DASH_DEP"/>
      <sheetName val="DASHBOARD"/>
      <sheetName val="DIN_DASH_DEPUR"/>
      <sheetName val="DIN_DASHBOARD anterior"/>
      <sheetName val="INFORME_POLIS"/>
      <sheetName val="DIN_DASH_alergias"/>
      <sheetName val="DIN_DASH_CONSULTAS"/>
      <sheetName val="PSG"/>
      <sheetName val="DETALLE COSTOS"/>
      <sheetName val="DETALLE COSTOS ENE-JUN_2026"/>
      <sheetName val="DETALLE COSTOS JUL-DIC_2026"/>
      <sheetName val="FACT_SIESA"/>
      <sheetName val="LISTADO DE PESTAÑAS"/>
      <sheetName val="RUTA DEL ARCHIVO"/>
      <sheetName val="MINIBOX-FENO"/>
      <sheetName val="DIN_DASH_MINIBOX"/>
      <sheetName val="COMPARATIVO MINIBOX"/>
      <sheetName val="DETALLE COSTOS nuevos alergias"/>
      <sheetName val="CIF(ARR_SEDES)"/>
      <sheetName val="CIF ARRIENDO"/>
      <sheetName val="CREAR FILAS"/>
      <sheetName val="OCUPACIÓN SEDES"/>
      <sheetName val="M O D"/>
      <sheetName val="M O I"/>
      <sheetName val="MO CALCULO"/>
      <sheetName val="MO_BASE"/>
      <sheetName val="TABLA MO"/>
      <sheetName val="DIN_BASE_DET"/>
      <sheetName val="BALANCES"/>
      <sheetName val="DIN_BASE"/>
      <sheetName val="Hoja1"/>
      <sheetName val="BASE_SIESA"/>
      <sheetName val="CUENTAS"/>
      <sheetName val="BUCARAMANGA_AREA_METR-SEDE FOS"/>
      <sheetName val="MATRIZ DE COSTOS INO 2025"/>
    </sheetNames>
    <sheetDataSet>
      <sheetData sheetId="0"/>
      <sheetData sheetId="1">
        <row r="2">
          <cell r="J2" t="str">
            <v>ADMINISTRACION (BACKOFFICE)</v>
          </cell>
          <cell r="L2" t="str">
            <v>BARRANCABERMEJA</v>
          </cell>
        </row>
        <row r="3">
          <cell r="J3" t="str">
            <v>CLINICA DE SUEÑO</v>
          </cell>
          <cell r="L3" t="str">
            <v>BUCARAMANGA_AREA_METR</v>
          </cell>
        </row>
        <row r="4">
          <cell r="J4" t="str">
            <v>LABORATORIO PULMONAR</v>
          </cell>
          <cell r="L4" t="str">
            <v>MALAGA</v>
          </cell>
        </row>
        <row r="5">
          <cell r="J5" t="str">
            <v>PROGRAMAS INTEGRALES</v>
          </cell>
          <cell r="L5" t="str">
            <v>SAN GIL</v>
          </cell>
        </row>
        <row r="6">
          <cell r="J6" t="str">
            <v>CLINICA DE ALERGIAS</v>
          </cell>
        </row>
        <row r="7">
          <cell r="J7" t="str">
            <v>PUNTO RESPIRATORIO</v>
          </cell>
        </row>
        <row r="8">
          <cell r="J8" t="str">
            <v>INVESTIGACIÓN</v>
          </cell>
        </row>
        <row r="9">
          <cell r="J9" t="str">
            <v>TERAPIA RESPIRATORIA</v>
          </cell>
        </row>
        <row r="10">
          <cell r="J10" t="str">
            <v>EDUCACION</v>
          </cell>
        </row>
        <row r="11">
          <cell r="J11" t="str">
            <v>PROCEDIMIENTOS</v>
          </cell>
        </row>
        <row r="12">
          <cell r="J12" t="str">
            <v>NEUMOLOGÍA ADULTO</v>
          </cell>
        </row>
        <row r="13">
          <cell r="J13" t="str">
            <v>NEUMOLOGÍA PEDIÁTRICA</v>
          </cell>
        </row>
        <row r="14">
          <cell r="J14" t="str">
            <v>SERVICIO MEDICO</v>
          </cell>
        </row>
        <row r="15">
          <cell r="J15" t="str">
            <v xml:space="preserve"> </v>
          </cell>
        </row>
        <row r="16">
          <cell r="J16" t="str">
            <v xml:space="preserve"> </v>
          </cell>
        </row>
        <row r="17">
          <cell r="J17" t="str">
            <v xml:space="preserve"> </v>
          </cell>
        </row>
        <row r="18">
          <cell r="J18" t="str">
            <v xml:space="preserve"> </v>
          </cell>
        </row>
        <row r="19">
          <cell r="J19" t="str">
            <v xml:space="preserve"> </v>
          </cell>
        </row>
        <row r="20">
          <cell r="J20" t="str">
            <v xml:space="preserve"> </v>
          </cell>
        </row>
        <row r="21">
          <cell r="J21" t="str">
            <v xml:space="preserve"> </v>
          </cell>
        </row>
        <row r="22">
          <cell r="J22" t="str">
            <v xml:space="preserve"> </v>
          </cell>
        </row>
        <row r="23">
          <cell r="J23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LISTAS"/>
      <sheetName val="LECTURA EXAMENES"/>
      <sheetName val="SERVICIOS PREST"/>
      <sheetName val="INFORME_POLIS (2)"/>
      <sheetName val="COMPARATIVO"/>
      <sheetName val="COSTOS A 2025"/>
      <sheetName val="DIN_DASH_DEP"/>
      <sheetName val="DASHBOARD"/>
      <sheetName val="DIN_DASH_DEPUR"/>
      <sheetName val="DIN_DASHBOARD anterior"/>
      <sheetName val="INFORME_POLIS"/>
      <sheetName val="DIN_DASH_alergias"/>
      <sheetName val="DIN_DASH_CONSULTAS"/>
      <sheetName val="PSG"/>
      <sheetName val="DETALLE COSTOS"/>
      <sheetName val="DETALLE COSTOS ENE-JUN_2026"/>
      <sheetName val="DETALLE COSTOS JUL-DIC_2026"/>
      <sheetName val="FACT_SIESA"/>
      <sheetName val="LISTADO DE PESTAÑAS"/>
      <sheetName val="RUTA DEL ARCHIVO"/>
      <sheetName val="MINIBOX-FENO"/>
      <sheetName val="DIN_DASH_MINIBOX"/>
      <sheetName val="COMPARATIVO MINIBOX"/>
      <sheetName val="DETALLE COSTOS nuevos alergias"/>
      <sheetName val="CIF(ARR_SEDES)"/>
      <sheetName val="CIF ARRIENDO"/>
      <sheetName val="CREAR FILAS"/>
      <sheetName val="OCUPACIÓN SEDES"/>
      <sheetName val="M O D"/>
      <sheetName val="M O I"/>
      <sheetName val="MO CALCULO"/>
      <sheetName val="MO_BASE"/>
      <sheetName val="TABLA MO"/>
      <sheetName val="DIN_BASE_DET"/>
      <sheetName val="BALANCES"/>
      <sheetName val="DIN_BASE"/>
      <sheetName val="Hoja1"/>
      <sheetName val="BASE_SIESA"/>
      <sheetName val="CUENTAS"/>
      <sheetName val="BUCARAMANGA_AREA_METR-SEDE FOS"/>
    </sheetNames>
    <sheetDataSet>
      <sheetData sheetId="0" refreshError="1"/>
      <sheetData sheetId="1">
        <row r="2">
          <cell r="E2" t="str">
            <v>ACTIGRAFÍA</v>
          </cell>
        </row>
        <row r="3">
          <cell r="E3" t="str">
            <v>CAMINATA 6 MINUTOS / RHP_TRASTORNOS DEL SUEÑO</v>
          </cell>
        </row>
        <row r="4">
          <cell r="E4" t="str">
            <v>CONSULTA CONTROL ADAPTACION/ RHP_TRASTORNOS DEL SUEÑO</v>
          </cell>
        </row>
        <row r="5">
          <cell r="E5" t="str">
            <v>MONITOREO DE PRESIÓN POSITIVA(  AUTO-CPAP)</v>
          </cell>
        </row>
        <row r="6">
          <cell r="E6" t="str">
            <v>CONTACTO DE SEGUIMIENTO Y/O TELEFONICO</v>
          </cell>
        </row>
        <row r="7">
          <cell r="E7" t="str">
            <v>CONTROL AOS / CLINICA DE SUEÑO</v>
          </cell>
        </row>
        <row r="8">
          <cell r="E8" t="str">
            <v>CONTROL PROGRAMA AOS</v>
          </cell>
        </row>
        <row r="9">
          <cell r="E9" t="str">
            <v>CONTROL TERAPIA MIOFUNCIONAL</v>
          </cell>
        </row>
        <row r="10">
          <cell r="E10" t="str">
            <v>CONTROL TERAPIA MIOFUNCIONAL PARA APNEA DEL SUEÑO (FONOAUDIOLOGIA, ANALISIS MIOFUNCIONAL OROFACIAL)</v>
          </cell>
        </row>
        <row r="11">
          <cell r="E11" t="str">
            <v>EDUCACION GRUPAL EN SALUD, MEDICINA ESPECIALIZADA (CONSULTA ADAPTACIÓN DE CPAP)</v>
          </cell>
        </row>
        <row r="12">
          <cell r="E12" t="str">
            <v>INGRESO PROGRAMAS RHP_TRASTORNOS DEL SUEÑO</v>
          </cell>
        </row>
        <row r="13">
          <cell r="E13" t="str">
            <v>MEDICION NO INVASIVA DE CO2 O CAPNOGRAFIA</v>
          </cell>
        </row>
        <row r="14">
          <cell r="E14" t="str">
            <v>MONITOREO DE PRESIÓN POSITIVA( AUTO-CPAP)</v>
          </cell>
        </row>
        <row r="15">
          <cell r="E15" t="str">
            <v>MONITOREO DE PRESIÓN POSITIVA( CONSULTA ADAPTACIÓN DE CPAP)</v>
          </cell>
        </row>
        <row r="16">
          <cell r="E16" t="str">
            <v>POLIGRAFÍA RESPIRATORIA</v>
          </cell>
        </row>
        <row r="17">
          <cell r="E17" t="str">
            <v>POLISOMNOGRAFIA COMPLETA CON OXIMETRIA</v>
          </cell>
        </row>
        <row r="18">
          <cell r="E18" t="str">
            <v>POLISOMNOGRAFIA COMPLETA CON OXIMETRIA - DOMICILIO</v>
          </cell>
        </row>
        <row r="19">
          <cell r="E19" t="str">
            <v>POLISOMNOGRAFIA CON TITULACION DE CPAP</v>
          </cell>
        </row>
        <row r="20">
          <cell r="E20" t="str">
            <v>POLISOMNOGRAFIA CON TITULACION DE CPAP - DOMICILIO</v>
          </cell>
        </row>
        <row r="21">
          <cell r="E21" t="str">
            <v>PRIMERA VEZ TERAPIA MIOFUNCIONAL PARA APNEA DEL SUEÑO (FONOAUDIOLOGIA, ANALISIS MIOFUNCIONAL OROFACIAL)</v>
          </cell>
        </row>
        <row r="22">
          <cell r="E22" t="str">
            <v>PRUEBAS DE LATENCIA MULTIPLE DE SUEÑO</v>
          </cell>
        </row>
        <row r="23">
          <cell r="E23" t="str">
            <v>REHABILITACION CONTROL / RHP_TRASTORNOS DEL SUEÑO</v>
          </cell>
        </row>
        <row r="24">
          <cell r="E24" t="str">
            <v>REHABILITACION INGRESO / RHP_TRASTORNOS DEL SUEÑO</v>
          </cell>
        </row>
        <row r="25">
          <cell r="E25" t="str">
            <v>CAPACIDAD DE DIFUSION CON MONOXIDO DE CARBONO</v>
          </cell>
        </row>
        <row r="26">
          <cell r="E26" t="str">
            <v>ESPIROMETRIA O CURVA DE FLUJO VOLUMEN PRE Y POST BRONCODILATADORES</v>
          </cell>
        </row>
        <row r="27">
          <cell r="E27" t="str">
            <v>ESPIROMETRIA O CURVA FLUJO VOLUMEN SIMPLE</v>
          </cell>
        </row>
        <row r="28">
          <cell r="E28" t="str">
            <v>ESPIROMETRIA PRE Y POST BRONCODILATADORES</v>
          </cell>
        </row>
        <row r="29">
          <cell r="E29" t="str">
            <v>FRACCIÓN EXHALADA DE ÓXIDO NÍTRICO (FeNo)</v>
          </cell>
        </row>
        <row r="30">
          <cell r="E30" t="str">
            <v>FRACCIÓN EXHALADA DE ÓXIDO NÍTRICO (FeNo)</v>
          </cell>
        </row>
        <row r="31">
          <cell r="E31" t="str">
            <v>MEDICION NO INVASIVA DE CO2 O CAPNOGRAFIA</v>
          </cell>
        </row>
        <row r="32">
          <cell r="E32" t="str">
            <v>PRUEBA DE BRONCOMOTRICIDAD CON EJERCICIO</v>
          </cell>
        </row>
        <row r="33">
          <cell r="E33" t="str">
            <v>RESISTENCIA DE LAS VIAS AEREAS POR PLETISMOGRAFIA SIMPLE</v>
          </cell>
        </row>
        <row r="34">
          <cell r="E34" t="str">
            <v>VOLUMENES PULMONARES POR PLETISMOGRAFIA PRE Y POST BRONCODILATADORES</v>
          </cell>
        </row>
        <row r="35">
          <cell r="E35" t="str">
            <v>VOLUMENES PULMONARES POR PLETISMOGRAFIA PRE Y POST BRONCODILATADORES</v>
          </cell>
        </row>
        <row r="36">
          <cell r="E36" t="str">
            <v>CAMINATA 6 MINUTOS</v>
          </cell>
        </row>
        <row r="37">
          <cell r="E37" t="str">
            <v>CONTACTO DE SEGUIMIENTO Y/O TELEFONICO</v>
          </cell>
        </row>
        <row r="38">
          <cell r="E38" t="str">
            <v>PROGRAMA REHABILITACIÓN PULMONAR</v>
          </cell>
        </row>
        <row r="39">
          <cell r="E39" t="str">
            <v>PRUEBA DE CAMINATA DE 6 MINUTOS</v>
          </cell>
        </row>
        <row r="40">
          <cell r="E40" t="str">
            <v>REHABILITACION CONTROL GRUPAL</v>
          </cell>
        </row>
        <row r="41">
          <cell r="E41" t="str">
            <v>REHABILITACIÓN EGRESO</v>
          </cell>
        </row>
        <row r="42">
          <cell r="E42" t="str">
            <v>REHABILITACION INGRESO</v>
          </cell>
        </row>
        <row r="43">
          <cell r="E43" t="str">
            <v>1ERA VEZ EN MEDICINA ESPECIALIZADA EN NEUMOLOGIA ADULTO</v>
          </cell>
        </row>
        <row r="44">
          <cell r="E44" t="str">
            <v>1ERA VEZ EN MEDICINA ESPECIALIZADA EN NEUMOLOGIA PEDIATRICA</v>
          </cell>
        </row>
        <row r="45">
          <cell r="E45" t="str">
            <v>CONSULTA CONTROL NEUMOLOGIA ADULTO</v>
          </cell>
        </row>
        <row r="46">
          <cell r="E46" t="str">
            <v>CONSULTA PRIMERA VEZ NEUMOLOGIA ADULTO</v>
          </cell>
        </row>
        <row r="47">
          <cell r="E47" t="str">
            <v>CTROL MEDICINA ESPECIALIZADA EN NEUMOLOGIA ADULTO</v>
          </cell>
        </row>
        <row r="48">
          <cell r="E48" t="str">
            <v>CTROL MEDICINA ESPECIALIZADA EN NEUMOLOGIA PEDIATRICA</v>
          </cell>
        </row>
        <row r="49">
          <cell r="E49" t="str">
            <v>CONSULTA CONTROL ALERGOLOGIA</v>
          </cell>
        </row>
        <row r="50">
          <cell r="E50" t="str">
            <v>CONSULTA DE CONTROL O DE SEGUIMIENTO POR ESPECIALISTA EN ALERGOLOGÍA</v>
          </cell>
        </row>
        <row r="51">
          <cell r="E51" t="str">
            <v>CONSULTA PRIMERA VEZ ALERGOLOGIA</v>
          </cell>
        </row>
        <row r="52">
          <cell r="E52" t="str">
            <v>LECTURA PRUEBA DE PARCHE/ ALERGOLOGÍA</v>
          </cell>
        </row>
        <row r="53">
          <cell r="E53" t="str">
            <v>PRUEBA DE SENSIBILIZACIÓN CON ALÉRGENO VÍA ORAL [PROVOCACIÓN]</v>
          </cell>
        </row>
        <row r="54">
          <cell r="E54" t="str">
            <v>PRUEBA EPICUTÁNEA DE ALERGIA (PRUEBA DE PARCHE)</v>
          </cell>
        </row>
        <row r="55">
          <cell r="E55" t="str">
            <v>CAPACIDAD DE DIFUSION</v>
          </cell>
        </row>
        <row r="56">
          <cell r="E56" t="str">
            <v>ESPIROMETRIA O CURVA DE FLUJO VOLUMEN PRE Y POST BRONCODILATADORES</v>
          </cell>
        </row>
        <row r="57">
          <cell r="E57" t="str">
            <v>ESPIROMETRIA O CURVA FLUJO VOLUMEN SIMPLE</v>
          </cell>
        </row>
        <row r="58">
          <cell r="E58" t="str">
            <v>ESPIROMETRIA PRE Y POST BRONCODILATADORES</v>
          </cell>
        </row>
        <row r="59">
          <cell r="E59" t="str">
            <v>OXIMETRÍA DE PULSO</v>
          </cell>
        </row>
        <row r="60">
          <cell r="E60" t="str">
            <v>PRUEBA DE BRONCOMOTRICIDAD CON EJERCICIO</v>
          </cell>
        </row>
        <row r="61">
          <cell r="E61" t="str">
            <v>REGISTRO DE OXIMETRIA CUTANEA</v>
          </cell>
        </row>
        <row r="62">
          <cell r="E62" t="str">
            <v>1ERA VEZ EN MEDICINA ESPECIALIZADA EN NEUMOLOGIA ADULTO</v>
          </cell>
        </row>
        <row r="63">
          <cell r="E63" t="str">
            <v>1ERA VEZ EN MEDICINA ESPECIALIZADA EN NEUMOLOGIA PEDIATRICA</v>
          </cell>
        </row>
        <row r="64">
          <cell r="E64" t="str">
            <v>CONSULTA CONTROL NEUMOLOGIA ADULTO</v>
          </cell>
        </row>
        <row r="65">
          <cell r="E65" t="str">
            <v>CONSULTA CONTROL NEUMOLOGIA ADULTO - SOMNOLOGIA</v>
          </cell>
        </row>
        <row r="66">
          <cell r="E66" t="str">
            <v>CONSULTA CONTROL NEUMOLOGIA PEDIATRICA</v>
          </cell>
        </row>
        <row r="67">
          <cell r="E67" t="str">
            <v>CONSULTA DE CONTROL MEDICINA ESPECIALIZADA SOMNOLOGO</v>
          </cell>
        </row>
        <row r="68">
          <cell r="E68" t="str">
            <v>CONSULTA DE CONTROL POR MEDICINA ESPECIALIZADA SOMNOLOGIA</v>
          </cell>
        </row>
        <row r="69">
          <cell r="E69" t="str">
            <v>CONSULTA DE PRIMERA VEZ POR MEDICINA ESPECIALIZADA SOMNOLOGÍA</v>
          </cell>
        </row>
        <row r="70">
          <cell r="E70" t="str">
            <v>CONSULTA PRIMERA VEZ NEUMOLOGIA ADULTO</v>
          </cell>
        </row>
        <row r="71">
          <cell r="E71" t="str">
            <v>CONSULTA PRIMERA VEZ NEUMOLOGIA PEDIATRICA</v>
          </cell>
        </row>
        <row r="72">
          <cell r="E72" t="str">
            <v>CTROL MEDICINA ESPECIALIZADA EN NEUMOLOGIA ADULTO</v>
          </cell>
        </row>
        <row r="73">
          <cell r="E73" t="str">
            <v>CTROL MEDICINA ESPECIALIZADA EN NEUMOLOGIA PEDIATRICA</v>
          </cell>
        </row>
        <row r="74">
          <cell r="E74" t="str">
            <v>CIERRE TERAPIA RESPIRATORIA</v>
          </cell>
        </row>
        <row r="75">
          <cell r="E75" t="str">
            <v>CIERRE TERAPIA RESPIRATORIA AMBULATORIA</v>
          </cell>
        </row>
        <row r="76">
          <cell r="E76" t="str">
            <v>CIERRE TERAPIA RESPIRATORIA/ASPIRACIÓN INTEGRAL (DOMICILIARIA)</v>
          </cell>
        </row>
        <row r="77">
          <cell r="E77" t="str">
            <v>CONTACTO DE SEGUIMIENTO Y/O TELEFONICO</v>
          </cell>
        </row>
        <row r="78">
          <cell r="E78" t="str">
            <v>CONTROL TERAPIA RESPIRATORIA</v>
          </cell>
        </row>
        <row r="79">
          <cell r="E79" t="str">
            <v>CONTROL TERAPIA RESPIRATORIA AMBULATORIA</v>
          </cell>
        </row>
        <row r="80">
          <cell r="E80" t="str">
            <v>CONTROL TERAPIA RESPIRATORIA/ASPIRACIÓN INTEGRAL (DOMICILIARIA)</v>
          </cell>
        </row>
        <row r="81">
          <cell r="E81" t="str">
            <v>NEBULIZACIÓN</v>
          </cell>
        </row>
        <row r="82">
          <cell r="E82" t="str">
            <v>NEBULIZACIÓN (DOMICILIARIA)</v>
          </cell>
        </row>
        <row r="83">
          <cell r="E83" t="str">
            <v>PRIMERA VEZ TERAPIA RESPIRATORIA</v>
          </cell>
        </row>
        <row r="84">
          <cell r="E84" t="str">
            <v>PRIMERA VEZ TERAPIA RESPIRATORIA AMBULATORIA</v>
          </cell>
        </row>
        <row r="85">
          <cell r="E85" t="str">
            <v>PRIMERA VEZ TERAPIA RESPIRATORIA/ASPIRACIÓN INTEGRAL (DOMICILIARIA)</v>
          </cell>
        </row>
        <row r="86">
          <cell r="E86" t="str">
            <v>ACTIVIDAD EDUCATIVA</v>
          </cell>
        </row>
        <row r="87">
          <cell r="E87" t="str">
            <v>CONSULTA CONTROL CARDIOLOGIA</v>
          </cell>
        </row>
        <row r="88">
          <cell r="E88" t="str">
            <v>CONSULTA CONTROL MEDICINA GENERAL</v>
          </cell>
        </row>
        <row r="89">
          <cell r="E89" t="str">
            <v>CONSULTA CONTROL MEDICINA INTERNA</v>
          </cell>
        </row>
        <row r="90">
          <cell r="E90" t="str">
            <v>CONSULTA PRIMERA VEZ CARDIOLOGIA</v>
          </cell>
        </row>
        <row r="91">
          <cell r="E91" t="str">
            <v>CONSULTA PRIMERA VEZ MEDICINA GENERAL</v>
          </cell>
        </row>
        <row r="92">
          <cell r="E92" t="str">
            <v>CONSULTA PRIMERA VEZ MEDICINA INTERNA</v>
          </cell>
        </row>
        <row r="93">
          <cell r="E93" t="str">
            <v>CONSULTA PRIORITARIA</v>
          </cell>
        </row>
        <row r="94">
          <cell r="E94" t="str">
            <v>CONSULTA PRIORITARIA MEDICINA INTERNA - PROGRAMAS</v>
          </cell>
        </row>
        <row r="95">
          <cell r="E95" t="str">
            <v>CONTACTO DE SEGUIMIENTO Y/O TELEFONICO</v>
          </cell>
        </row>
        <row r="96">
          <cell r="E96" t="str">
            <v>CONTROL CESACIÓN TABAQUICA</v>
          </cell>
        </row>
        <row r="97">
          <cell r="E97" t="str">
            <v>DEPORTOLOGIA PRIMERA VEZ</v>
          </cell>
        </row>
        <row r="98">
          <cell r="E98" t="str">
            <v>EGRESO CESACIÓN TABAQUICA</v>
          </cell>
        </row>
        <row r="99">
          <cell r="E99" t="str">
            <v>EGRESO PROGRAMAS INTEGRALES</v>
          </cell>
        </row>
        <row r="100">
          <cell r="E100" t="str">
            <v>ENFERMERIA CONTROL</v>
          </cell>
        </row>
        <row r="101">
          <cell r="E101" t="str">
            <v>FISIOTERAPIA CONTROL</v>
          </cell>
        </row>
        <row r="102">
          <cell r="E102" t="str">
            <v>FISIOTERAPIA PRIMERA VEZ</v>
          </cell>
        </row>
        <row r="103">
          <cell r="E103" t="str">
            <v>INGRESO CESACIÓN TABAQUICA</v>
          </cell>
        </row>
        <row r="104">
          <cell r="E104" t="str">
            <v>INGRESO PROGRAMAS INTEGRALES</v>
          </cell>
        </row>
        <row r="105">
          <cell r="E105" t="str">
            <v>INTERVENCIÓN DOMICILIARIA TRABAJO SOCIAL</v>
          </cell>
        </row>
        <row r="106">
          <cell r="E106" t="str">
            <v>NUTRICION CONTROL</v>
          </cell>
        </row>
        <row r="107">
          <cell r="E107" t="str">
            <v>NUTRICION PRIMERA VEZ</v>
          </cell>
        </row>
        <row r="108">
          <cell r="E108" t="str">
            <v>PARTICIPACIÓN JUNTA MEDICA</v>
          </cell>
        </row>
        <row r="109">
          <cell r="E109" t="str">
            <v>PROGRAMA REHABILITACIÓN PULMONAR</v>
          </cell>
        </row>
        <row r="110">
          <cell r="E110" t="str">
            <v>PROGRAMA REHABILITACIÓN PULMONAR EPID</v>
          </cell>
        </row>
        <row r="111">
          <cell r="E111" t="str">
            <v>PSICOLOGIA CONTROL</v>
          </cell>
        </row>
        <row r="112">
          <cell r="E112" t="str">
            <v>PSICOLOGIA PRIMERA VEZ</v>
          </cell>
        </row>
        <row r="113">
          <cell r="E113" t="str">
            <v>REHABILITACION CONTROL</v>
          </cell>
        </row>
        <row r="114">
          <cell r="E114" t="str">
            <v>REHABILITACIÓN EGRESO</v>
          </cell>
        </row>
        <row r="115">
          <cell r="E115" t="str">
            <v>REHABILITACION INGRESO</v>
          </cell>
        </row>
        <row r="116">
          <cell r="E116" t="str">
            <v>SESIÓN DE REHABILITACIÓN PULMONAR</v>
          </cell>
        </row>
        <row r="117">
          <cell r="E117" t="str">
            <v>TRABAJO SOCIAL CONTROL</v>
          </cell>
        </row>
        <row r="118">
          <cell r="E118" t="str">
            <v>TRABAJO SOCIAL PRIMERA VEZ</v>
          </cell>
        </row>
        <row r="119">
          <cell r="E119" t="str">
            <v>TERAPIA REHABILITACION PULMONAR</v>
          </cell>
        </row>
        <row r="120">
          <cell r="E120" t="str">
            <v>CONSULTA CONTROL ALERGOLOGIA</v>
          </cell>
        </row>
        <row r="121">
          <cell r="E121" t="str">
            <v>CONSULTA DE CONTROL O DE SEGUIMIENTO POR ESPECIALISTA EN ALERGOLOGÍA</v>
          </cell>
        </row>
        <row r="122">
          <cell r="E122" t="str">
            <v>CONSULTA DE PRIMERA VEZ POR ESPECIALISTA EN ALERGOLOGÍA</v>
          </cell>
        </row>
        <row r="123">
          <cell r="E123" t="str">
            <v>CONSULTA PRIMERA VEZ ALERGOLOGIA</v>
          </cell>
        </row>
        <row r="124">
          <cell r="E124" t="str">
            <v>INMUNOTERAPIA CON EXTRACTO ALERGÉNICO POR VÍA SUBCUTÁNEA</v>
          </cell>
        </row>
        <row r="125">
          <cell r="E125" t="str">
            <v>INMUNOTERAPIA CON EXTRACTO ALERGENICO POR VÍA SUBLINGUAL</v>
          </cell>
        </row>
        <row r="126">
          <cell r="E126" t="str">
            <v>INTERCONSULTA POR ESPECIALISTA EN ALERGOLOGÍA</v>
          </cell>
        </row>
        <row r="127">
          <cell r="E127" t="str">
            <v>LECTURA PRUEBA DE PARCHE/ ALERGOLOGÍA</v>
          </cell>
        </row>
        <row r="128">
          <cell r="E128" t="str">
            <v>Prick Test</v>
          </cell>
        </row>
        <row r="129">
          <cell r="E129" t="str">
            <v>PRUEBA DE PROVOCACIÓN NASAL CON ALERGENO (ESPECÍFICO)</v>
          </cell>
        </row>
        <row r="130">
          <cell r="E130" t="str">
            <v>PRUEBA DE SENSIBILIZACIÓN CON ALÉRGENO VÍA ORAL [PROVOCACIÓN]</v>
          </cell>
        </row>
        <row r="131">
          <cell r="E131" t="str">
            <v>PRUEBA EPICUTÁNEA DE ALERGIA (PRUEBA DE PARCHE)</v>
          </cell>
        </row>
        <row r="132">
          <cell r="E132" t="str">
            <v>PRUEBA INTRADÉRMICA DE ALERGIA</v>
          </cell>
        </row>
        <row r="133">
          <cell r="E133" t="str">
            <v>PRUEBA INTRAEPIDÉRMICA DE ALERGIA CON ESCARIFICACIÓN O PUNTURA (PRICK)(AEROALERGENOS ALIMENTOS VENENOS DE INSECTOS O MEDICAMENTOS)</v>
          </cell>
        </row>
        <row r="134">
          <cell r="E134" t="str">
            <v>TRATAMIENTO MENSUAL INMUNOTERAPEUTICO  COMPLETO (SIN VACUNAS)</v>
          </cell>
        </row>
        <row r="135">
          <cell r="E135" t="str">
            <v>ACTIGRAFÍA</v>
          </cell>
        </row>
        <row r="136">
          <cell r="E136" t="str">
            <v>CAMINATA 6 MINUTOS / RHP_TRASTORNOS DEL SUEÑO</v>
          </cell>
        </row>
        <row r="137">
          <cell r="E137" t="str">
            <v>CONSULTA DE CONTROL POR PSICOLOGÍA</v>
          </cell>
        </row>
        <row r="138">
          <cell r="E138" t="str">
            <v>MONITOREO DE PRESIÓN POSITIVA(  AUTO-CPAP)</v>
          </cell>
        </row>
        <row r="139">
          <cell r="E139" t="str">
            <v>CONSULTA DE PRIMERA VEZ POR PSICOLOGÍA</v>
          </cell>
        </row>
        <row r="140">
          <cell r="E140" t="str">
            <v>CONSULTA PRIMERA VEZ INSOMNIO / RHP_TRASTORNOS DEL SUEÑO</v>
          </cell>
        </row>
        <row r="141">
          <cell r="E141" t="str">
            <v>CONSULTA PROGRAMA INSOMNIO- 8 SESIONES- EDUCACIÓN GRUPAL EN SALUD, POR PSICOLOGÍA</v>
          </cell>
        </row>
        <row r="142">
          <cell r="E142" t="str">
            <v>CONTROL AOS / CLINICA DE SUEÑO</v>
          </cell>
        </row>
        <row r="143">
          <cell r="E143" t="str">
            <v>CONTROL FONOAUDIOLOGIA (TERAPIA MIOFUNCIONAL PARA APNEA DEL SUEÑO)</v>
          </cell>
        </row>
        <row r="144">
          <cell r="E144" t="str">
            <v>CONTROL PROGRAMA AOS</v>
          </cell>
        </row>
        <row r="145">
          <cell r="E145" t="str">
            <v>CONTROL TERAPIA MIOFUNCIONAL</v>
          </cell>
        </row>
        <row r="146">
          <cell r="E146" t="str">
            <v>CONTROL TERAPIA MIOFUNCIONAL PARA APNEA DEL SUEÑO (FONOAUDIOLOGIA, ANALISIS MIOFUNCIONAL OROFACIAL)</v>
          </cell>
        </row>
        <row r="147">
          <cell r="E147" t="str">
            <v>INSOMNIO/ TERAPIA COGNITIVO CONDUCTUAL (PROGRAMA REHABILITACION INTEGRAL)</v>
          </cell>
        </row>
        <row r="148">
          <cell r="E148" t="str">
            <v>MEDICION NO INVASIVA DE CO2 O CAPNOGRAFIA</v>
          </cell>
        </row>
        <row r="149">
          <cell r="E149" t="str">
            <v>MONITOREO DE PRESIÓN POSITIVA( AUTO-CPAP)</v>
          </cell>
        </row>
        <row r="150">
          <cell r="E150" t="str">
            <v>MONITOREO DE PRESIÓN POSITIVA( CONSULTA ADAPTACIÓN DE CPAP)</v>
          </cell>
        </row>
        <row r="151">
          <cell r="E151" t="str">
            <v>POLIGRAFÍA RESPIRATORIA</v>
          </cell>
        </row>
        <row r="152">
          <cell r="E152" t="str">
            <v>POLISOMNOGRAFIA COMPLETA CON OXIMETRIA</v>
          </cell>
        </row>
        <row r="153">
          <cell r="E153" t="str">
            <v>POLISOMNOGRAFIA COMPLETA CON OXIMETRIA - DOMICILIO</v>
          </cell>
        </row>
        <row r="154">
          <cell r="E154" t="str">
            <v>POLISOMNOGRAFIA COMPLETA CON OXIMETRIA - DOMICILIO PEDIATRICA</v>
          </cell>
        </row>
        <row r="155">
          <cell r="E155" t="str">
            <v>POLISOMNOGRAFIA COMPLETA CON OXIMETRIA PEDIATRICA</v>
          </cell>
        </row>
        <row r="156">
          <cell r="E156" t="str">
            <v>POLISOMNOGRAFIA CON TITULACION DE CPAP</v>
          </cell>
        </row>
        <row r="157">
          <cell r="E157" t="str">
            <v>POLISOMNOGRAFIA CON TITULACION DE CPAP - DOMICILIO</v>
          </cell>
        </row>
        <row r="158">
          <cell r="E158" t="str">
            <v>POLISOMNOGRAFIA CON TITULACION DE CPAP - DOMICILIO PEDIATRICA</v>
          </cell>
        </row>
        <row r="159">
          <cell r="E159" t="str">
            <v>POLISOMNOGRAFIA CON TITULACION DE CPAP PEDIATRICA</v>
          </cell>
        </row>
        <row r="160">
          <cell r="E160" t="str">
            <v>PRIMERA VEZ FONOAUDIOLOGIA ( TERAPIA MIOFUNCIONAL PARA APNEA DEL SUEÑO )</v>
          </cell>
        </row>
        <row r="161">
          <cell r="E161" t="str">
            <v>PRIMERA VEZ TERAPIA MIOFUNCIONAL PARA APNEA DEL SUEÑO (FONOAUDIOLOGIA, ANALISIS MIOFUNCIONAL OROFACIAL)</v>
          </cell>
        </row>
        <row r="162">
          <cell r="E162" t="str">
            <v>PROGRAMA VENTINO (MONITOREO DE PRESIÓN POSITIVA)</v>
          </cell>
        </row>
        <row r="163">
          <cell r="E163" t="str">
            <v>PRUEBAS DE LATENCIA MULTIPLE DE SUEÑO</v>
          </cell>
        </row>
        <row r="164">
          <cell r="E164" t="str">
            <v>PSICOLOGICA CONTROL</v>
          </cell>
        </row>
        <row r="165">
          <cell r="E165" t="str">
            <v>REPROCESO ESTUDIO DE SUEÑO</v>
          </cell>
        </row>
        <row r="166">
          <cell r="E166" t="str">
            <v>CAPACIDAD DE DIFUSION</v>
          </cell>
        </row>
        <row r="167">
          <cell r="E167" t="str">
            <v>CAPACIDAD DE DIFUSION CON MONOXIDO DE CARBONO</v>
          </cell>
        </row>
        <row r="168">
          <cell r="E168" t="str">
            <v>ELECTROLITOS EN SUDOR [IONTOFORESIS]</v>
          </cell>
        </row>
        <row r="169">
          <cell r="E169" t="str">
            <v>ELECTROLITOS EN SUDOR [IONTOFORESIS] MEDICIÓN DIRECTA</v>
          </cell>
        </row>
        <row r="170">
          <cell r="E170" t="str">
            <v>ESPIROMETRIA O CURVA DE FLUJO VOLUMEN PRE Y POST BRONCODILATADORES</v>
          </cell>
        </row>
        <row r="171">
          <cell r="E171" t="str">
            <v>ESPIROMETRIA O CURVA FLUJO VOLUMEN SIMPLE</v>
          </cell>
        </row>
        <row r="172">
          <cell r="E172" t="str">
            <v>ESPIROMETRIA PRE Y POST BRONCODILATADORES</v>
          </cell>
        </row>
        <row r="173">
          <cell r="E173" t="str">
            <v>FRACCIÓN EXHALADA DE ÓXIDO NÍTRICO (FeNo)</v>
          </cell>
        </row>
        <row r="174">
          <cell r="E174" t="str">
            <v>FRACCIÓN EXHALADA DE ÓXIDO NÍTRICO (FeNo)</v>
          </cell>
        </row>
        <row r="175">
          <cell r="E175" t="str">
            <v>FRACCIÓN EXHALADA DE ÓXIDO NÍTRICO (Supresión de FENO)</v>
          </cell>
        </row>
        <row r="176">
          <cell r="E176" t="str">
            <v>MEDICIÓN DE LA FRACCIÓN EXHALADA DE ÓXIDO NÍTRICO POST ESTÍMULO</v>
          </cell>
        </row>
        <row r="177">
          <cell r="E177" t="str">
            <v>MEDICION DE LA FUERZA MUSCULAR RESPIRATORIA (PIM-PEM AJUSTADO CON VOLUMENES PULMONARES)</v>
          </cell>
        </row>
        <row r="178">
          <cell r="E178" t="str">
            <v>MEDICIÓN DE PRESIÓN INSPIRATORIA Y ESPIRATORIA MÁXIMA CON EQUIPO PORTATIL (Variabilidad del FEM - Flujo Espiratorio Máximo)</v>
          </cell>
        </row>
        <row r="179">
          <cell r="E179" t="str">
            <v>OSCILOMETRIA DE IMPULSO</v>
          </cell>
        </row>
        <row r="180">
          <cell r="E180" t="str">
            <v>OSCILOMETRIA DE IMPULSO</v>
          </cell>
        </row>
        <row r="181">
          <cell r="E181" t="str">
            <v>OXIMETRÍA DE PULSO</v>
          </cell>
        </row>
        <row r="182">
          <cell r="E182" t="str">
            <v>PRUEBA DE BRONCOMOTRICIDAD CON EJERCICIO</v>
          </cell>
        </row>
        <row r="183">
          <cell r="E183" t="str">
            <v>PRUEBA DE BRONCOMOTRICIDAD CON EJERCICIO</v>
          </cell>
        </row>
        <row r="184">
          <cell r="E184" t="str">
            <v>PRUEBA DE BRONCOPROVOCACIÓN ESPECÍFICA (ALERGENO) O INESPECÍFICA</v>
          </cell>
        </row>
        <row r="185">
          <cell r="E185" t="str">
            <v>PRUEBA DE EJERCICIO CARDIO-PULMONAR INTEGRADA (ERGOESPIROMETRIA)</v>
          </cell>
        </row>
        <row r="186">
          <cell r="E186" t="str">
            <v>REGISTRO DE OXIMETRIA CUTANEA</v>
          </cell>
        </row>
        <row r="187">
          <cell r="E187" t="str">
            <v>RESISTENCIA DE LAS VIAS AEREAS POR PLETIMOSGRAFICA PRE Y POST BRONCODILATADORES</v>
          </cell>
        </row>
        <row r="188">
          <cell r="E188" t="str">
            <v>RESISTENCIA DE LAS VIAS AEREAS POR PLETISMOGRAFIA SIMPLE</v>
          </cell>
        </row>
        <row r="189">
          <cell r="E189" t="str">
            <v>VOLUMENES PULMONARES POR PLETISMOGRAFIA PRE Y POST BRONCODILATADORES</v>
          </cell>
        </row>
        <row r="190">
          <cell r="E190" t="str">
            <v>VOLUMENES PULMONARES POR PLETISMOGRAFIA PRE Y POST BRONCODILATADORES</v>
          </cell>
        </row>
        <row r="191">
          <cell r="E191" t="str">
            <v>CAMINATA 6 MINUTOS</v>
          </cell>
        </row>
        <row r="192">
          <cell r="E192" t="str">
            <v>CONSULTA CONTROL CARDIOLOGIA</v>
          </cell>
        </row>
        <row r="193">
          <cell r="E193" t="str">
            <v>CONSULTA ESPECIALIZADA CONTROL REHABILITACIÓN</v>
          </cell>
        </row>
        <row r="194">
          <cell r="E194" t="str">
            <v>CONSULTA ESPECIALIZADA PRIMERA VEZ REHABILITACIÓN</v>
          </cell>
        </row>
        <row r="195">
          <cell r="E195" t="str">
            <v>CONSULTA PRIMERA VEZ CARDIOLOGIA</v>
          </cell>
        </row>
        <row r="196">
          <cell r="E196" t="str">
            <v>CONSULTA PRIORITARIA</v>
          </cell>
        </row>
        <row r="197">
          <cell r="E197" t="str">
            <v>CONTACTO DE SEGUIMIENTO Y/O TELEFONICO</v>
          </cell>
        </row>
        <row r="198">
          <cell r="E198" t="str">
            <v>DEPORTOLOGIA CONTROL</v>
          </cell>
        </row>
        <row r="199">
          <cell r="E199" t="str">
            <v>DEPORTOLOGIA EGRESO</v>
          </cell>
        </row>
        <row r="200">
          <cell r="E200" t="str">
            <v>DEPORTOLOGIA PRIMERA VEZ</v>
          </cell>
        </row>
        <row r="201">
          <cell r="E201" t="str">
            <v>PROGRAMA REHABILITACIÓN PULMONAR 401</v>
          </cell>
        </row>
        <row r="202">
          <cell r="E202" t="str">
            <v>PROGRAMA REHABILITACIÓN PULMONAR 602</v>
          </cell>
        </row>
        <row r="203">
          <cell r="E203" t="str">
            <v>PRUEBA DE CAMINATA DE 6 MINUTOS</v>
          </cell>
        </row>
        <row r="204">
          <cell r="E204" t="str">
            <v>REHABILITACION CONTROL</v>
          </cell>
        </row>
        <row r="205">
          <cell r="E205" t="str">
            <v>REHABILITACION CONTROL AVANZADA</v>
          </cell>
        </row>
        <row r="206">
          <cell r="E206" t="str">
            <v>REHABILITACION CONTROL GRUPAL</v>
          </cell>
        </row>
        <row r="207">
          <cell r="E207" t="str">
            <v>REHABILITACION CONTROL PERSONALIZADO PEDIATRICA</v>
          </cell>
        </row>
        <row r="208">
          <cell r="E208" t="str">
            <v>REHABILITACION CONTROL PERSONALIZADO</v>
          </cell>
        </row>
        <row r="209">
          <cell r="E209" t="str">
            <v>REHABILITACION INGRESO</v>
          </cell>
        </row>
        <row r="210">
          <cell r="E210" t="str">
            <v>1ERA VEZ EN MEDICINA ESPECIALIZADA EN NEUMOLOGIA ADULTO</v>
          </cell>
        </row>
        <row r="211">
          <cell r="E211" t="str">
            <v>1ERA VEZ EN MEDICINA ESPECIALIZADA EN NEUMOLOGIA PEDIATRICA</v>
          </cell>
        </row>
        <row r="212">
          <cell r="E212" t="str">
            <v>CONSULTA CONTROL NEUMOLOGIA ADULTO</v>
          </cell>
        </row>
        <row r="213">
          <cell r="E213" t="str">
            <v>CONSULTA CONTROL NEUMOLOGIA ADULTO - SOMNOLOGIA</v>
          </cell>
        </row>
        <row r="214">
          <cell r="E214" t="str">
            <v>CONSULTA DE CONTROL POR MEDICINA ESPECIALIZADA SOMNOLOGIA</v>
          </cell>
        </row>
        <row r="215">
          <cell r="E215" t="str">
            <v>CONSULTA DE PRIMERA VEZ POR MEDICINA ESPECIALIZADA SOMNOLOGÍA</v>
          </cell>
        </row>
        <row r="216">
          <cell r="E216" t="str">
            <v>CONSULTA PRIMERA VEZ NEUMOLOGIA ADULTO</v>
          </cell>
        </row>
        <row r="217">
          <cell r="E217" t="str">
            <v>CONSULTA PRIMERA VEZ NEUMOLOGIA ADULTO - SOMNOLOGIA</v>
          </cell>
        </row>
        <row r="218">
          <cell r="E218" t="str">
            <v>CONSULTA PRIMERA VEZ NEUMOLOGIA PEDIATRICA</v>
          </cell>
        </row>
        <row r="219">
          <cell r="E219" t="str">
            <v>CTROL MEDICINA ESPECIALIZADA EN NEUMOLOGIA ADULTO</v>
          </cell>
        </row>
        <row r="220">
          <cell r="E220" t="str">
            <v>CTROL MEDICINA ESPECIALIZADA EN NEUMOLOGIA PEDIATRICA</v>
          </cell>
        </row>
        <row r="221">
          <cell r="E221" t="str">
            <v>INTERCONSULTA POR ESPECIALISTA EN NEUMOLOGIA ADULTO</v>
          </cell>
        </row>
        <row r="222">
          <cell r="E222" t="str">
            <v>INTERCONSULTA POR ESPECIALISTA EN NEUMOLOGÍA PEDIÁTRICA</v>
          </cell>
        </row>
        <row r="223">
          <cell r="E223" t="str">
            <v>ACTIGRAFÍA</v>
          </cell>
        </row>
        <row r="224">
          <cell r="E224" t="str">
            <v>CONSULTA DE CONTROL POR NUTRICIÓN</v>
          </cell>
        </row>
        <row r="225">
          <cell r="E225" t="str">
            <v>CONSULTA DE CONTROL POR NUTRICIÓN</v>
          </cell>
        </row>
        <row r="226">
          <cell r="E226" t="str">
            <v>CONSULTA DE CONTROL POR PSICOLOGÍA</v>
          </cell>
        </row>
        <row r="227">
          <cell r="E227" t="str">
            <v>CONSULTA DE PRIMERA VEZ POR NUTRICIÓN</v>
          </cell>
        </row>
        <row r="228">
          <cell r="E228" t="str">
            <v>CONSULTA DE PRIMERA VEZ POR PSICOLOGÍA</v>
          </cell>
        </row>
        <row r="229">
          <cell r="E229" t="str">
            <v>CONSULTA PROGRAMA INSOMNIO- 8 SESIONES- EDUCACIÓN GRUPAL EN SALUD, POR PSICOLOGÍA</v>
          </cell>
        </row>
        <row r="230">
          <cell r="E230" t="str">
            <v>CONTROL AOS / CLINICA DE SUEÑO</v>
          </cell>
        </row>
        <row r="231">
          <cell r="E231" t="str">
            <v>CONTROL FONOAUDIOLOGIA (TERAPIA MIOFUNCIONAL PARA APNEA DEL SUEÑO)</v>
          </cell>
        </row>
        <row r="232">
          <cell r="E232" t="str">
            <v>CONTROL PROGRAMA AOS</v>
          </cell>
        </row>
        <row r="233">
          <cell r="E233" t="str">
            <v>CONTROL TERAPIA MIOFUNCIONAL</v>
          </cell>
        </row>
        <row r="234">
          <cell r="E234" t="str">
            <v>CONTROL TERAPIA MIOFUNCIONAL PARA APNEA DEL SUEÑO (FONOAUDIOLOGIA, ANALISIS MIOFUNCIONAL OROFACIAL)</v>
          </cell>
        </row>
        <row r="235">
          <cell r="E235" t="str">
            <v>EGRESO PROGRAMA AOS</v>
          </cell>
        </row>
        <row r="236">
          <cell r="E236" t="str">
            <v>ELABORACIÓN Y ADAPTACIÓN DE APARATO ORTESICO INTRAORAL - COBERTURA DE DISPOSITIVO DE AVANCE MANDIBULAR PARA APNEA DE SUEÑO</v>
          </cell>
        </row>
        <row r="237">
          <cell r="E237" t="str">
            <v>INGRESO PROGRAMA AOS</v>
          </cell>
        </row>
        <row r="238">
          <cell r="E238" t="str">
            <v>INSOMNIO/ TERAPIA COGNITIVO CONDUCTUAL (PROGRAMA REHABILITACION INTEGRAL)</v>
          </cell>
        </row>
        <row r="239">
          <cell r="E239" t="str">
            <v>MEDICION NO INVASIVA DE CO2 O CAPNOGRAFIA</v>
          </cell>
        </row>
        <row r="240">
          <cell r="E240" t="str">
            <v>MONITOREO DE PRESIÓN POSITIVA( AUTO-CPAP)</v>
          </cell>
        </row>
        <row r="241">
          <cell r="E241" t="str">
            <v>MONITOREO DE PRESIÓN POSITIVA( CONSULTA ADAPTACIÓN DE CPAP)</v>
          </cell>
        </row>
        <row r="242">
          <cell r="E242" t="str">
            <v>POLIGRAFÍA RESPIRATORIA</v>
          </cell>
        </row>
        <row r="243">
          <cell r="E243" t="str">
            <v>POLISOMNOGRAFIA COMPLETA CON OXIMETRIA</v>
          </cell>
        </row>
        <row r="244">
          <cell r="E244" t="str">
            <v>POLISOMNOGRAFIA COMPLETA CON OXIMETRIA - DOMICILIO</v>
          </cell>
        </row>
        <row r="245">
          <cell r="E245" t="str">
            <v>POLISOMNOGRAFIA COMPLETA CON OXIMETRIA - DOMICILIO PEDIATRICA</v>
          </cell>
        </row>
        <row r="246">
          <cell r="E246" t="str">
            <v>POLISOMNOGRAFIA COMPLETA CON OXIMETRIA PEDIATRICA</v>
          </cell>
        </row>
        <row r="247">
          <cell r="E247" t="str">
            <v>POLISOMNOGRAFIA COMPLETA CON OXIMETRIA/RHP_TRASTORNOS DEL SUEÑO</v>
          </cell>
        </row>
        <row r="248">
          <cell r="E248" t="str">
            <v>POLISOMNOGRAFIA COMPLETA CON OXIMETRIA/RHP_TRASTORNOS DEL SUEÑO PEDIATRICA</v>
          </cell>
        </row>
        <row r="249">
          <cell r="E249" t="str">
            <v>POLISOMNOGRAFIA CON TITULACION DE CPAP</v>
          </cell>
        </row>
        <row r="250">
          <cell r="E250" t="str">
            <v>POLISOMNOGRAFIA CON TITULACION DE CPAP - DOMICILIO</v>
          </cell>
        </row>
        <row r="251">
          <cell r="E251" t="str">
            <v>POLISOMNOGRAFIA CON TITULACION DE CPAP - DOMICILIO PEDIATRICA</v>
          </cell>
        </row>
        <row r="252">
          <cell r="E252" t="str">
            <v>POLISOMNOGRAFIA CON TITULACION DE CPAP PEDIATRICA</v>
          </cell>
        </row>
        <row r="253">
          <cell r="E253" t="str">
            <v>PRIMERA VEZ FONOAUDIOLOGIA ( TERAPIA MIOFUNCIONAL PARA APNEA DEL SUEÑO )</v>
          </cell>
        </row>
        <row r="254">
          <cell r="E254" t="str">
            <v>PRIMERA VEZ TERAPIA MIOFUNCIONAL PARA APNEA DEL SUEÑO (FONOAUDIOLOGIA, ANALISIS MIOFUNCIONAL OROFACIAL)</v>
          </cell>
        </row>
        <row r="255">
          <cell r="E255" t="str">
            <v>PROGRAMA VENTINO (MONITOREO DE PRESIÓN POSITIVA)</v>
          </cell>
        </row>
        <row r="256">
          <cell r="E256" t="str">
            <v>PRUEBA MANTENIMIENTO DE LA VIGILIA</v>
          </cell>
        </row>
        <row r="257">
          <cell r="E257" t="str">
            <v>PSICOLOGICA CONTROL</v>
          </cell>
        </row>
        <row r="258">
          <cell r="E258" t="str">
            <v>CONTACTO DE SEGUIMIENTO Y/O TELEFONICO</v>
          </cell>
        </row>
        <row r="259">
          <cell r="E259" t="str">
            <v>PROGRAMA REHABILITACIÓN PULMONAR</v>
          </cell>
        </row>
        <row r="260">
          <cell r="E260" t="str">
            <v>REHABILITACION CONTROL AVANZADA</v>
          </cell>
        </row>
        <row r="261">
          <cell r="E261" t="str">
            <v>REHABILITACION CONTROL GRUPAL</v>
          </cell>
        </row>
        <row r="262">
          <cell r="E262" t="str">
            <v>REHABILITACION CONTROL INDIVIDUAL</v>
          </cell>
        </row>
        <row r="263">
          <cell r="E263" t="str">
            <v>SESIÓN DE REHABILITACIÓN PULMONAR</v>
          </cell>
        </row>
        <row r="264">
          <cell r="E264" t="str">
            <v>1ERA VEZ EN MEDICINA ESPECIALIZADA EN NEUMOLOGIA ADULTO</v>
          </cell>
        </row>
        <row r="265">
          <cell r="E265" t="str">
            <v>CONSULTA CONTROL NEUMOLOGIA ADULTO</v>
          </cell>
        </row>
        <row r="266">
          <cell r="E266" t="str">
            <v>CONSULTA CONTROL NEUMOLOGIA ADULTO - SOMNOLOGIA</v>
          </cell>
        </row>
        <row r="267">
          <cell r="E267" t="str">
            <v>CONSULTA DE CONTROL POR MEDICINA ESPECIALIZADA SOMNOLOGIA</v>
          </cell>
        </row>
        <row r="268">
          <cell r="E268" t="str">
            <v>CONSULTA DE PRIMERA VEZ POR MEDICINA ESPECIALIZADA SOMNOLOGÍA</v>
          </cell>
        </row>
        <row r="269">
          <cell r="E269" t="str">
            <v>CONSULTA PRIMERA VEZ NEUMOLOGIA ADULTO</v>
          </cell>
        </row>
        <row r="270">
          <cell r="E270" t="str">
            <v>CONSULTA PRIMERA VEZ NEUMOLOGIA ADULTO - SOMNOLOGIA</v>
          </cell>
        </row>
        <row r="271">
          <cell r="E271" t="str">
            <v>CTROL MEDICINA ESPECIALIZADA EN NEUMOLOGIA ADULTO</v>
          </cell>
        </row>
        <row r="272">
          <cell r="E272" t="str">
            <v>POLISOMNOGRAFIA COMPLETA CON OXIMETRIA</v>
          </cell>
        </row>
        <row r="273">
          <cell r="E273" t="str">
            <v>POLISOMNOGRAFIA COMPLETA CON OXIMETRIA - DOMICILIO</v>
          </cell>
        </row>
        <row r="274">
          <cell r="E274" t="str">
            <v>POLISOMNOGRAFIA COMPLETA CON OXIMETRIA - DOMICILIO PEDIATRICA</v>
          </cell>
        </row>
        <row r="275">
          <cell r="E275" t="str">
            <v>POLISOMNOGRAFIA COMPLETA CON OXIMETRIA PEDIATRICA</v>
          </cell>
        </row>
        <row r="276">
          <cell r="E276" t="str">
            <v>POLISOMNOGRAFIA CON TITULACION DE CPAP</v>
          </cell>
        </row>
        <row r="277">
          <cell r="E277" t="str">
            <v>POLISOMNOGRAFIA CON TITULACION DE CPAP - DOMICILIO</v>
          </cell>
        </row>
        <row r="278">
          <cell r="E278" t="str">
            <v>POLISOMNOGRAFIA CON TITULACION DE CPAP PEDIATRICA</v>
          </cell>
        </row>
        <row r="279">
          <cell r="E279" t="str">
            <v>POLISOMNOGRAFIA COMPLETA CON OXIMETRIA</v>
          </cell>
        </row>
        <row r="280">
          <cell r="E280" t="str">
            <v>POLISOMNOGRAFIA CON TITULACION DE CPAP</v>
          </cell>
        </row>
        <row r="281">
          <cell r="E281" t="str">
            <v>REHABILITACION CONTROL INDIVIDUAL</v>
          </cell>
        </row>
        <row r="282">
          <cell r="E282" t="str">
            <v>REHABILITACION CONTROL / RHP_TRASTORNOS DEL SUEÑO</v>
          </cell>
        </row>
        <row r="283">
          <cell r="E283" t="str">
            <v>ESPIROMETRIA O CURVA DE FLUJO VOLUMEN PRE Y POST BRONCODILATADORES</v>
          </cell>
        </row>
        <row r="284">
          <cell r="E284" t="str">
            <v>ESPIROMETRIA O CURVA FLUJO VOLUMEN SIMPLE</v>
          </cell>
        </row>
        <row r="285">
          <cell r="E285" t="str">
            <v>ESPIROMETRIA PRE Y POST BRONCODILATADORES</v>
          </cell>
        </row>
        <row r="286">
          <cell r="E286" t="str">
            <v>PRUEBA DE BRONCOMOTRICIDAD CON EJERCICIO</v>
          </cell>
        </row>
        <row r="287">
          <cell r="E287" t="str">
            <v>CAMINATA 6 MINUTOS</v>
          </cell>
        </row>
        <row r="288">
          <cell r="E288" t="str">
            <v>FISIOTERAPIA CONTROL</v>
          </cell>
        </row>
        <row r="289">
          <cell r="E289" t="str">
            <v>PROGRAMA REHABILITACIÓN PULMONAR</v>
          </cell>
        </row>
        <row r="290">
          <cell r="E290" t="str">
            <v>PRUEBA DE CAMINATA DE 6 MINUTOS</v>
          </cell>
        </row>
        <row r="291">
          <cell r="E291" t="str">
            <v>REHABILITACION CONTROL GRUPAL</v>
          </cell>
        </row>
        <row r="292">
          <cell r="E292" t="str">
            <v>REHABILITACIÓN EGRESO</v>
          </cell>
        </row>
        <row r="293">
          <cell r="E293" t="str">
            <v>REHABILITACION INGRESO</v>
          </cell>
        </row>
        <row r="294">
          <cell r="E294" t="str">
            <v>1ERA VEZ EN MEDICINA ESPECIALIZADA EN NEUMOLOGIA ADULTO</v>
          </cell>
        </row>
        <row r="295">
          <cell r="E295" t="str">
            <v>1ERA VEZ EN MEDICINA ESPECIALIZADA EN NEUMOLOGIA PEDIATRICA</v>
          </cell>
        </row>
        <row r="296">
          <cell r="E296" t="str">
            <v>CONSULTA CONTROL NEUMOLOGIA ADULTO</v>
          </cell>
        </row>
        <row r="297">
          <cell r="E297" t="str">
            <v>CONSULTA PRIMERA VEZ NEUMOLOGIA ADULTO</v>
          </cell>
        </row>
        <row r="298">
          <cell r="E298" t="str">
            <v>CONSULTA PRIMERA VEZ NEUMOLOGIA ADULTO - SOMNOLOGIA</v>
          </cell>
        </row>
        <row r="299">
          <cell r="E299" t="str">
            <v>CTROL MEDICINA ESPECIALIZADA EN NEUMOLOGIA ADULTO</v>
          </cell>
        </row>
        <row r="300">
          <cell r="E300" t="str">
            <v>CTROL MEDICINA ESPECIALIZADA EN NEUMOLOGIA PEDIATRICA</v>
          </cell>
        </row>
        <row r="301">
          <cell r="E301" t="str">
            <v>CAMINATA 6 MINUTOS / RHP_TRASTORNOS DEL SUEÑO</v>
          </cell>
        </row>
        <row r="302">
          <cell r="E302" t="str">
            <v>CONSULTA CONTROL INSOMNIO / RHP_TRASTORNOS DEL SUEÑO</v>
          </cell>
        </row>
        <row r="303">
          <cell r="E303" t="str">
            <v>CONSULTA DE CONTROL POR PSICOLOGÍA</v>
          </cell>
        </row>
        <row r="304">
          <cell r="E304" t="str">
            <v>MONITOREO DE PRESIÓN POSITIVA(  AUTO-CPAP)</v>
          </cell>
        </row>
        <row r="305">
          <cell r="E305" t="str">
            <v>CONSULTA DE PRIMERA VEZ POR PSICOLOGÍA</v>
          </cell>
        </row>
        <row r="306">
          <cell r="E306" t="str">
            <v>CONSULTA PRIMERA VEZ INSOMNIO / RHP_TRASTORNOS DEL SUEÑO</v>
          </cell>
        </row>
        <row r="307">
          <cell r="E307" t="str">
            <v>CONSULTA PROGRAMA INSOMNIO- 8 SESIONES- EDUCACIÓN GRUPAL EN SALUD, POR PSICOLOGÍA</v>
          </cell>
        </row>
        <row r="308">
          <cell r="E308" t="str">
            <v>CONSULTA PROGRAMA INSOMNIO- 8 SESIONES- EDUCACIÓN GRUPAL EN SALUD, POR PSICOLOGÍA</v>
          </cell>
        </row>
        <row r="309">
          <cell r="E309" t="str">
            <v>CONTROL FONOAUDIOLOGIA (TERAPIA MIOFUNCIONAL PARA APNEA DEL SUEÑO)</v>
          </cell>
        </row>
        <row r="310">
          <cell r="E310" t="str">
            <v>CONTROL TERAPIA MIOFUNCIONAL</v>
          </cell>
        </row>
        <row r="311">
          <cell r="E311" t="str">
            <v>CONTROL TERAPIA MIOFUNCIONAL PARA APNEA DEL SUEÑO (FONOAUDIOLOGIA, ANALISIS MIOFUNCIONAL OROFACIAL)</v>
          </cell>
        </row>
        <row r="312">
          <cell r="E312" t="str">
            <v>INGRESO PROGRAMAS RHP_TRASTORNOS DEL SUEÑO</v>
          </cell>
        </row>
        <row r="313">
          <cell r="E313" t="str">
            <v>INSOMNIO/ TERAPIA COGNITIVO CONDUCTUAL (PROGRAMA REHABILITACION INTEGRAL)</v>
          </cell>
        </row>
        <row r="314">
          <cell r="E314" t="str">
            <v>MONITOREO DE PRESION POSITIVA DURANTE EL SUEÑO (CONSULTA ADAPTACION) / RHP_TRASTORNOS DEL SUEÑO</v>
          </cell>
        </row>
        <row r="315">
          <cell r="E315" t="str">
            <v>MONITOREO DE PRESIÓN POSITIVA( AUTO-CPAP)</v>
          </cell>
        </row>
        <row r="316">
          <cell r="E316" t="str">
            <v>MONITOREO DE PRESIÓN POSITIVA( CONSULTA ADAPTACIÓN DE CPAP)</v>
          </cell>
        </row>
        <row r="317">
          <cell r="E317" t="str">
            <v>POLIGRAFÍA RESPIRATORIA</v>
          </cell>
        </row>
        <row r="318">
          <cell r="E318" t="str">
            <v>POLISOMNOGRAFIA COMPLETA CON OXIMETRIA</v>
          </cell>
        </row>
        <row r="319">
          <cell r="E319" t="str">
            <v>POLISOMNOGRAFIA CON TITULACION DE CPAP</v>
          </cell>
        </row>
        <row r="320">
          <cell r="E320" t="str">
            <v>PRIMERA VEZ FONOAUDIOLOGIA ( TERAPIA MIOFUNCIONAL PARA APNEA DEL SUEÑO )</v>
          </cell>
        </row>
        <row r="321">
          <cell r="E321" t="str">
            <v>PRIMERA VEZ TERAPIA MIOFUNCIONAL PARA APNEA DEL SUEÑO (FONOAUDIOLOGIA, ANALISIS MIOFUNCIONAL OROFACIAL)</v>
          </cell>
        </row>
        <row r="322">
          <cell r="E322" t="str">
            <v>PSICOLOGICA CONTROL</v>
          </cell>
        </row>
        <row r="323">
          <cell r="E323" t="str">
            <v>REHABILITACION CONTROL / RHP_TRASTORNOS DEL SUEÑO</v>
          </cell>
        </row>
        <row r="324">
          <cell r="E324" t="str">
            <v>REHABILITACION INGRESO / RHP_TRASTORNOS DEL SUEÑO</v>
          </cell>
        </row>
        <row r="325">
          <cell r="E325" t="str">
            <v>REPROCESO ESTUDIO DE SUEÑO</v>
          </cell>
        </row>
        <row r="326">
          <cell r="E326" t="str">
            <v>CAPACIDAD DE DIFUSION</v>
          </cell>
        </row>
        <row r="327">
          <cell r="E327" t="str">
            <v>CAPACIDAD DE DIFUSION CON MONOXIDO DE CARBONO</v>
          </cell>
        </row>
        <row r="328">
          <cell r="E328" t="str">
            <v>ESPIROMETRIA O CURVA DE FLUJO VOLUMEN PRE Y POST BRONCODILATADORES</v>
          </cell>
        </row>
        <row r="329">
          <cell r="E329" t="str">
            <v>ESPIROMETRIA O CURVA FLUJO VOLUMEN SIMPLE</v>
          </cell>
        </row>
        <row r="330">
          <cell r="E330" t="str">
            <v>ESPIROMETRIA PRE Y POST BRONCODILATADORES</v>
          </cell>
        </row>
        <row r="331">
          <cell r="E331" t="str">
            <v>FRACCIÓN EXHALADA DE ÓXIDO NÍTRICO (FeNo)</v>
          </cell>
        </row>
        <row r="332">
          <cell r="E332" t="str">
            <v>FRACCIÓN EXHALADA DE ÓXIDO NÍTRICO (FeNo)</v>
          </cell>
        </row>
        <row r="333">
          <cell r="E333" t="str">
            <v>PRUEBA DE BRONCOMOTRICIDAD CON EJERCICIO</v>
          </cell>
        </row>
        <row r="334">
          <cell r="E334" t="str">
            <v>VOLUMENES PULMONARES POR PLETISMOGRAFIA PRE Y POST BRONCODILATADORES</v>
          </cell>
        </row>
        <row r="335">
          <cell r="E335" t="str">
            <v>VOLUMENES PULMONARES POR PLETISMOGRAFIA PRE Y POST BRONCODILATADORES</v>
          </cell>
        </row>
        <row r="336">
          <cell r="E336" t="str">
            <v>CAMINATA 6 MINUTOS</v>
          </cell>
        </row>
        <row r="337">
          <cell r="E337" t="str">
            <v>PROGRAMA REHABILITACIÓN PULMONAR</v>
          </cell>
        </row>
        <row r="338">
          <cell r="E338" t="str">
            <v>PRUEBA DE CAMINATA DE 6 MINUTOS</v>
          </cell>
        </row>
        <row r="339">
          <cell r="E339" t="str">
            <v>REHABILITACION CONTROL GRUPAL</v>
          </cell>
        </row>
        <row r="340">
          <cell r="E340" t="str">
            <v>REHABILITACIÓN EGRESO</v>
          </cell>
        </row>
        <row r="341">
          <cell r="E341" t="str">
            <v>REHABILITACION INGRESO</v>
          </cell>
        </row>
        <row r="342">
          <cell r="E342" t="str">
            <v>1ERA VEZ EN MEDICINA ESPECIALIZADA EN NEUMOLOGIA ADULTO</v>
          </cell>
        </row>
        <row r="343">
          <cell r="E343" t="str">
            <v>1ERA VEZ EN MEDICINA ESPECIALIZADA EN NEUMOLOGIA PEDIATRICA</v>
          </cell>
        </row>
        <row r="344">
          <cell r="E344" t="str">
            <v>CONSULTA CONTROL NEUMOLOGIA ADULTO</v>
          </cell>
        </row>
        <row r="345">
          <cell r="E345" t="str">
            <v>CONSULTA PRIMERA VEZ NEUMOLOGIA ADULTO</v>
          </cell>
        </row>
        <row r="346">
          <cell r="E346" t="str">
            <v>CTROL MEDICINA ESPECIALIZADA EN NEUMOLOGIA ADULTO</v>
          </cell>
        </row>
        <row r="347">
          <cell r="E347" t="str">
            <v>CTROL MEDICINA ESPECIALIZADA EN NEUMOLOGIA PEDIATRICA</v>
          </cell>
        </row>
        <row r="348">
          <cell r="E348" t="str">
            <v>TELEREHABILITACION CONTROL GRUPAL</v>
          </cell>
        </row>
        <row r="349">
          <cell r="E349" t="str">
            <v>TELEREHABILITACION CONTROL PERSONALIZADO</v>
          </cell>
        </row>
        <row r="350">
          <cell r="E350" t="str">
            <v>PARTICIPACIÓN JUNTA MEDICA2</v>
          </cell>
        </row>
        <row r="351">
          <cell r="E351" t="str">
            <v>ENFERMERIA PRIMERA VEZ</v>
          </cell>
        </row>
        <row r="352">
          <cell r="E352" t="str">
            <v>PRUEBA DE PROVOCACIÓN EPICUTÁNEA CON ESTÍMULO FÍSICO (ESPECÍFICO)</v>
          </cell>
        </row>
        <row r="353">
          <cell r="E353" t="str">
            <v>MONITOREO DE PRESIÓN POSITIVA(  AUTO-CPAP)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03A0C6-F827-4D81-9695-5142E1F68C83}" name="Tabla14" displayName="Tabla14" ref="A2:B49" totalsRowShown="0" headerRowDxfId="1865" dataDxfId="1864">
  <autoFilter ref="A2:B49" xr:uid="{0103A0C6-F827-4D81-9695-5142E1F68C83}"/>
  <sortState xmlns:xlrd2="http://schemas.microsoft.com/office/spreadsheetml/2017/richdata2" ref="A3:B48">
    <sortCondition ref="A2:A47"/>
  </sortState>
  <tableColumns count="2">
    <tableColumn id="46" xr3:uid="{B4A79FD1-E72D-425F-BF41-9EBDB0038B06}" name="Servicio" dataDxfId="1863"/>
    <tableColumn id="53" xr3:uid="{5DEA0376-7527-4CCF-9017-5D155183008D}" name="Valor" dataDxfId="1862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EC625-B97A-425A-9E43-AC89C8E313EA}" name="Tabla1" displayName="Tabla1" ref="E2:M63" totalsRowShown="0" headerRowDxfId="1861" headerRowBorderDxfId="1860" tableBorderDxfId="1859" totalsRowBorderDxfId="1858">
  <autoFilter ref="E2:M63" xr:uid="{CCEEC625-B97A-425A-9E43-AC89C8E313EA}">
    <filterColumn colId="2">
      <filters>
        <filter val="PROGRAMAS INTEGRALES"/>
      </filters>
    </filterColumn>
  </autoFilter>
  <sortState xmlns:xlrd2="http://schemas.microsoft.com/office/spreadsheetml/2017/richdata2" ref="E3:M62">
    <sortCondition ref="H2:H63"/>
  </sortState>
  <tableColumns count="9">
    <tableColumn id="1" xr3:uid="{D78DDFA3-D369-4BB5-8729-F1DAC7D9CAED}" name="Ciudad Servicio" dataDxfId="1857"/>
    <tableColumn id="2" xr3:uid="{4DFC8BCC-A056-4CAB-960E-14B2FC2FCF25}" name="Sede" dataDxfId="1856"/>
    <tableColumn id="3" xr3:uid="{8FBCDB0C-D168-4903-BB28-A2DE6066E312}" name="Unidad de Negocio" dataDxfId="1855"/>
    <tableColumn id="4" xr3:uid="{EC81DD5B-3829-421D-9D6B-EEF8FB569F5E}" name="Columna1" dataDxfId="1854"/>
    <tableColumn id="5" xr3:uid="{FC26D1E8-146E-4555-A43D-409A3015D7E9}" name="Columna2" dataDxfId="1853"/>
    <tableColumn id="6" xr3:uid="{A4DD4A79-5B37-4510-BD11-D832065D09E8}" name="Columna3" dataDxfId="1852">
      <calculatedColumnFormula>_xlfn.CONCAT(E3,"-",F3,"-",G3,"-",I3)</calculatedColumnFormula>
    </tableColumn>
    <tableColumn id="7" xr3:uid="{08E2D525-9597-4750-B1CA-56809DAA6D92}" name="CUPS" dataDxfId="1851"/>
    <tableColumn id="8" xr3:uid="{E20EA105-32AB-47AE-811F-FB103D88A8B4}" name="SERVICIO" dataDxfId="1850"/>
    <tableColumn id="9" xr3:uid="{9D40A984-CEC9-4D19-A40B-83A1EF98AB25}" name="VALOR" dataDxfId="1849" dataCellStyle="Moneda">
      <calculatedColumnFormula>_xlfn.XLOOKUP(J3,[1]!Tabla1[CONCAT DETALLE],[1]!Tabla1[COSTO ACTUAL])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3A59399-972A-4EA8-8CFA-921506403077}" name="Tabla51" displayName="Tabla51" ref="A1:AH288" totalsRowShown="0" headerRowDxfId="1901" tableBorderDxfId="1900">
  <autoFilter ref="A1:AH288" xr:uid="{43A59399-972A-4EA8-8CFA-921506403077}"/>
  <tableColumns count="34">
    <tableColumn id="1" xr3:uid="{6FF2DC20-2CAA-4C54-9591-7F47725C0C32}" name="Servicios del Programa:" dataDxfId="1899"/>
    <tableColumn id="2" xr3:uid="{15DFE5F3-B446-4AEF-AAB6-0742B118627A}" name="Programa Rehabilitacion Pulmonar / Asma" dataDxfId="1898"/>
    <tableColumn id="3" xr3:uid="{5E65099D-2A60-4896-9F61-77E03AFF450A}" name="CATEGORIA" dataDxfId="1897"/>
    <tableColumn id="4" xr3:uid="{9AB4BE63-5450-4DD8-A914-4C57EFA7DBAD}" name="MES 1" dataDxfId="1896"/>
    <tableColumn id="5" xr3:uid="{62C8196E-72F5-4855-A302-03EB13A05B08}" name="COSTO" dataDxfId="1895" dataCellStyle="Moneda"/>
    <tableColumn id="6" xr3:uid="{ABE8E904-F7A5-4A88-8786-B444C277D210}" name="MES 2" dataDxfId="1894"/>
    <tableColumn id="7" xr3:uid="{89FF7DE3-9503-4246-B6AD-913CA29D21D9}" name="COSTO2" dataDxfId="1893" dataCellStyle="Moneda"/>
    <tableColumn id="8" xr3:uid="{B6DF8DDA-B944-41E8-8ECA-99E469FE2FF8}" name="MES 3" dataDxfId="1892"/>
    <tableColumn id="9" xr3:uid="{EB0CAC59-8023-4EED-81C3-67985061E1FC}" name="COSTO3" dataDxfId="1891" dataCellStyle="Moneda"/>
    <tableColumn id="10" xr3:uid="{A358F412-130F-48E6-A69D-51B7868EE9C0}" name="MES 4" dataDxfId="1890"/>
    <tableColumn id="11" xr3:uid="{2A64C653-9EA6-4CE7-B63C-6672D28108BA}" name="COSTO4" dataDxfId="1889" dataCellStyle="Moneda"/>
    <tableColumn id="12" xr3:uid="{4B723D3B-9AEC-4A43-AADC-FE943BB599FF}" name="MES 5" dataDxfId="1888"/>
    <tableColumn id="13" xr3:uid="{122C6C40-9D4A-4EA8-90B7-120359DEFB0C}" name="COSTO5" dataDxfId="1887" dataCellStyle="Moneda"/>
    <tableColumn id="14" xr3:uid="{8E0852A5-5F97-4C9D-BF4E-37F8D6658695}" name="MES 6" dataDxfId="1886"/>
    <tableColumn id="15" xr3:uid="{32B6EB7A-33F6-43E3-AC0B-49B2ECD5330E}" name="COSTO6" dataDxfId="1885" dataCellStyle="Moneda"/>
    <tableColumn id="16" xr3:uid="{0A5AF54B-3155-4DD0-830B-952BF3BDC358}" name="MES 7" dataDxfId="1884"/>
    <tableColumn id="17" xr3:uid="{FA1F1921-A23D-41C3-87A4-6F30CF5E164E}" name="COSTO7" dataDxfId="1883" dataCellStyle="Moneda"/>
    <tableColumn id="18" xr3:uid="{27CF50C0-9C52-43BF-B4D9-ED4B32D6D490}" name="MES 8" dataDxfId="1882"/>
    <tableColumn id="19" xr3:uid="{1E085C7B-B190-4D84-864D-B5AEEE638D0B}" name="COSTO8" dataDxfId="1881" dataCellStyle="Moneda"/>
    <tableColumn id="20" xr3:uid="{F6453CBB-E640-4452-98E2-BA29C434CEF5}" name="MES 9" dataDxfId="1880"/>
    <tableColumn id="21" xr3:uid="{723C6CF6-477B-4F89-AC43-483AD1162379}" name="COSTO9" dataDxfId="1879" dataCellStyle="Moneda"/>
    <tableColumn id="22" xr3:uid="{8CA3A188-19E2-4A26-B718-F1B37D7ED64B}" name="MES 10" dataDxfId="1878"/>
    <tableColumn id="23" xr3:uid="{84252307-55FC-411A-8F52-105B5596B4FC}" name="COSTO10" dataDxfId="1877" dataCellStyle="Moneda"/>
    <tableColumn id="24" xr3:uid="{C77020DB-3C77-42C3-A14A-A670CEA8A077}" name="MES 11" dataDxfId="1876"/>
    <tableColumn id="25" xr3:uid="{BAC4CFE6-7E5F-4CD9-8286-F16003CF833A}" name="COSTO11" dataDxfId="1875" dataCellStyle="Moneda"/>
    <tableColumn id="26" xr3:uid="{1E95F4CB-484C-4156-8EC5-06124952C81B}" name="MES 12" dataDxfId="1874"/>
    <tableColumn id="27" xr3:uid="{87C6B5E3-1602-46F7-8876-94C7E9A13937}" name="COSTO12" dataDxfId="1873" dataCellStyle="Moneda"/>
    <tableColumn id="28" xr3:uid="{F3F0239F-CBBC-426F-BF4F-8F04C74981E0}" name="TOTAL" dataDxfId="1872"/>
    <tableColumn id="29" xr3:uid="{B398D526-6B74-4315-8EDC-EB9C60D861D7}" name="TOTAL SERVICIOS" dataDxfId="1871" dataCellStyle="Millares"/>
    <tableColumn id="30" xr3:uid="{039772FD-C2E0-4E4D-832F-64C1DD797044}" name="Modalidad" dataDxfId="1870"/>
    <tableColumn id="31" xr3:uid="{69FC52D4-4CAC-4E63-89A3-7702CB507B37}" name="% de las personas que lo usaron" dataDxfId="1869" dataCellStyle="Porcentaje"/>
    <tableColumn id="32" xr3:uid="{CB8F793F-CC45-45D2-9E0B-D6BA493F6DD1}" name="VALOR COSTO" dataDxfId="1868" dataCellStyle="Moneda"/>
    <tableColumn id="33" xr3:uid="{3F6A0D6D-5AC9-4083-897E-DEDC73B0F086}" name="RUTA" dataDxfId="1867"/>
    <tableColumn id="34" xr3:uid="{AB73D7C4-5940-4DA9-84CD-78B651F0A93D}" name="DURACION" dataDxfId="18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8B4D84A-004A-4F23-B5F5-378DA0CA1E93}" name="Tabla5153" displayName="Tabla5153" ref="A1:AT288" totalsRowShown="0" headerRowDxfId="1848" tableBorderDxfId="1847">
  <autoFilter ref="A1:AT288" xr:uid="{43A59399-972A-4EA8-8CFA-921506403077}"/>
  <tableColumns count="46">
    <tableColumn id="1" xr3:uid="{75405CDF-CBEA-40A1-B59B-0F5E9A1C9499}" name="Servicios del Programa:" dataDxfId="138"/>
    <tableColumn id="2" xr3:uid="{A0FD3376-6AAC-45BF-9EFE-26734EAFED9B}" name="Programa Rehabilitacion Pulmonar / Asma" dataDxfId="1846"/>
    <tableColumn id="3" xr3:uid="{72BF4BEF-9037-4821-848B-220CED60DEA4}" name="CATEGORIA" dataDxfId="1845"/>
    <tableColumn id="4" xr3:uid="{84B3967E-EBAD-4F0D-B8DE-AB48F22FD499}" name="MES 1" dataDxfId="1844"/>
    <tableColumn id="5" xr3:uid="{8CDD4F26-3C4D-45EA-8153-8547EB64B1B0}" name="COSTOS" dataDxfId="1843" dataCellStyle="Moneda"/>
    <tableColumn id="6" xr3:uid="{13854B26-7A8E-4FCE-B7DB-556FEC25DB98}" name="MES 2" dataDxfId="1842"/>
    <tableColumn id="7" xr3:uid="{AA18FE65-5A1C-4C4C-8B30-97C0923553E7}" name="COSTOS2" dataDxfId="1841" dataCellStyle="Moneda"/>
    <tableColumn id="8" xr3:uid="{25BFFD13-5E9B-42DD-B25A-CE6F88D9C89C}" name="MES 3" dataDxfId="1840"/>
    <tableColumn id="9" xr3:uid="{FF27E566-935D-4360-BB82-FAF537CC9ED4}" name="COSTOS3" dataDxfId="1839" dataCellStyle="Moneda"/>
    <tableColumn id="10" xr3:uid="{FA2FB8FB-4F23-4A3B-A7A3-D8E0B054D4B7}" name="MES 4" dataDxfId="1838"/>
    <tableColumn id="11" xr3:uid="{BB78C8CA-B4C4-472A-A32F-F34FEFBCCEBA}" name="COSTOS4" dataDxfId="1837" dataCellStyle="Moneda"/>
    <tableColumn id="12" xr3:uid="{D1353F16-D792-49BE-83EF-E261B7C3B9A8}" name="MES 5" dataDxfId="1836"/>
    <tableColumn id="13" xr3:uid="{7AC005BF-850C-4430-AD99-DCA4C184462D}" name="COSTOS5" dataDxfId="1835" dataCellStyle="Moneda"/>
    <tableColumn id="14" xr3:uid="{BBE9C0F4-58F8-439F-B029-EDA5725849B5}" name="MES 6" dataDxfId="1834"/>
    <tableColumn id="15" xr3:uid="{5E5134ED-161F-4A86-AE1F-AE290FE8DDD7}" name="COSTOS6" dataDxfId="1833" dataCellStyle="Moneda"/>
    <tableColumn id="16" xr3:uid="{3A158A58-2011-4CCE-BD42-9BF1D71C3784}" name="MES 7" dataDxfId="1832"/>
    <tableColumn id="17" xr3:uid="{13DC08D2-4047-4105-A46D-391D81D162C5}" name="COSTOS7" dataDxfId="1831" dataCellStyle="Moneda"/>
    <tableColumn id="18" xr3:uid="{A9392A7C-02B3-4CEE-8457-E4336FA9ECF2}" name="MES 8" dataDxfId="1830"/>
    <tableColumn id="19" xr3:uid="{57441E46-FF57-4C68-8E5D-8E9AB368E739}" name="COSTOS8" dataDxfId="1829" dataCellStyle="Moneda"/>
    <tableColumn id="20" xr3:uid="{2D9AFEDE-DD50-469F-AA68-24BC7C55E5A7}" name="MES 9" dataDxfId="1828"/>
    <tableColumn id="21" xr3:uid="{959F48EB-950D-44FD-B07B-2C677FEC7729}" name="COSTOS9" dataDxfId="1827" dataCellStyle="Moneda"/>
    <tableColumn id="22" xr3:uid="{78CE7D40-6E28-4047-B310-740A488602F1}" name="MES 10" dataDxfId="1826"/>
    <tableColumn id="23" xr3:uid="{320CD78F-DB4D-4EF3-93D2-5BDAACFE92BD}" name="COSTOS10" dataDxfId="1825" dataCellStyle="Moneda"/>
    <tableColumn id="24" xr3:uid="{342403E2-49F3-45C6-9870-311BAC1677B6}" name="MES 11" dataDxfId="1824"/>
    <tableColumn id="25" xr3:uid="{96E4E7A9-370F-41B8-A093-E06E3C9FCC68}" name="COSTOS11" dataDxfId="1823" dataCellStyle="Moneda"/>
    <tableColumn id="26" xr3:uid="{E6CDF093-AF8E-4474-87EA-EFBB2FB8E01B}" name="MES 12" dataDxfId="1822"/>
    <tableColumn id="27" xr3:uid="{F83BC083-9C29-419A-8C78-D65A83EEC88D}" name="COSTOS12" dataDxfId="1821" dataCellStyle="Moneda"/>
    <tableColumn id="28" xr3:uid="{CE3DCFC6-425E-416B-9A84-4D28798D9461}" name="MES 13" dataDxfId="1820" dataCellStyle="Millares"/>
    <tableColumn id="29" xr3:uid="{E3DC4F28-05F2-447D-8CE8-75E835544A9A}" name="COSTOS13" dataDxfId="1819" dataCellStyle="Millares"/>
    <tableColumn id="30" xr3:uid="{97F9B97C-332F-4D62-A12A-A0C036A21C16}" name="MES 14" dataDxfId="1818"/>
    <tableColumn id="31" xr3:uid="{0EFC53BF-9DAA-4A8F-BDBB-3F0B6AF21D68}" name="COSTOS14" dataDxfId="1817" dataCellStyle="Porcentaje"/>
    <tableColumn id="32" xr3:uid="{5832F5CF-E92A-40C8-8481-4C8075E59565}" name="MES 15" dataDxfId="1816" dataCellStyle="Moneda"/>
    <tableColumn id="33" xr3:uid="{17EB418B-7B71-4574-B82E-C0FF9247F5F2}" name="COSTOS15" dataDxfId="1815"/>
    <tableColumn id="34" xr3:uid="{4DB10F62-9EF7-4703-9829-C8BBCA9349F9}" name="MES 16" dataDxfId="1814"/>
    <tableColumn id="35" xr3:uid="{163F8787-BEBF-4AFA-AE2A-52F0ECC2B99B}" name="COSTOS16" dataDxfId="1813"/>
    <tableColumn id="36" xr3:uid="{D8C1F237-3D6F-436D-AB9B-DB2A6E488975}" name="MES 17" dataDxfId="1812"/>
    <tableColumn id="37" xr3:uid="{8DA3C1C6-E580-471C-AF49-9639B2B8A308}" name="COSTOS17" dataDxfId="1811"/>
    <tableColumn id="38" xr3:uid="{8BCFDAF5-5EF4-46D8-A6D8-4D932E9F3E68}" name="MES 18" dataDxfId="1810"/>
    <tableColumn id="39" xr3:uid="{6BB73676-06AE-47E8-A676-AB29EE230540}" name="COSTOS18" dataDxfId="1809"/>
    <tableColumn id="40" xr3:uid="{D30888ED-8C09-4AC8-B9A5-415FE0DDED3B}" name="TOTAL" dataDxfId="1808"/>
    <tableColumn id="41" xr3:uid="{D398B18E-E200-4880-9B82-37C0465F02BF}" name="TOTAL SERVICIOS" dataDxfId="1807"/>
    <tableColumn id="42" xr3:uid="{E5FCBB57-40F3-475E-A150-78CF8D33D345}" name="Modalidad" dataDxfId="1806"/>
    <tableColumn id="43" xr3:uid="{41FB69C7-62DF-4742-9A29-28DD3078C501}" name="% de las personas que lo usaron" dataDxfId="1805"/>
    <tableColumn id="44" xr3:uid="{F718A037-D569-48FC-A9C4-57EEC80FE114}" name="VALOR COSTO" dataDxfId="1804"/>
    <tableColumn id="45" xr3:uid="{70FA774A-4D87-456D-B8AD-A087AD1C38A5}" name="RUTA" dataDxfId="1803"/>
    <tableColumn id="46" xr3:uid="{8CB3C0C7-AD29-4A4B-A66E-AAC39D9239DF}" name="DURACION" dataDxfId="180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A787B2D-2AD2-45BD-A323-3C20AA186F7E}" name="Tabla151" displayName="Tabla151" ref="A1:C51" totalsRowShown="0" headerRowBorderDxfId="1801" tableBorderDxfId="1800" totalsRowBorderDxfId="1799">
  <autoFilter ref="A1:C51" xr:uid="{FA787B2D-2AD2-45BD-A323-3C20AA186F7E}"/>
  <sortState xmlns:xlrd2="http://schemas.microsoft.com/office/spreadsheetml/2017/richdata2" ref="A2:C51">
    <sortCondition ref="A1:A278"/>
  </sortState>
  <tableColumns count="3">
    <tableColumn id="1" xr3:uid="{10D07452-F3C3-4BC4-B86E-E35349D45A54}" name="CODIGO" dataDxfId="1798"/>
    <tableColumn id="2" xr3:uid="{956E7DFC-8CB4-4F6C-82AD-0B9461BC2B32}" name="SERVICIO" dataDxfId="1797"/>
    <tableColumn id="3" xr3:uid="{C14488F8-90C2-4910-B4C9-492262878E74}" name="VALOR" dataDxfId="17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7E0D0C4-C29E-4A62-8F7F-65859DC87142}" name="Tabla428" displayName="Tabla428" ref="A2:AC43" totalsRowShown="0" headerRowDxfId="1795" dataDxfId="1793" headerRowBorderDxfId="1794" tableBorderDxfId="1792" totalsRowBorderDxfId="1791">
  <autoFilter ref="A2:AC43" xr:uid="{17E0D0C4-C29E-4A62-8F7F-65859DC87142}"/>
  <tableColumns count="29">
    <tableColumn id="1" xr3:uid="{D859F520-A511-4C51-84F2-F8DCB2B4FC90}" name="Servicios del Programa:" dataDxfId="1790" totalsRowDxfId="1789"/>
    <tableColumn id="2" xr3:uid="{1286CA92-AFF9-4287-B558-D07FFF134B4B}" name="Programa Rehabilitacion Pulmonar / Asma" dataDxfId="1788" totalsRowDxfId="1787"/>
    <tableColumn id="29" xr3:uid="{57B114BA-203B-4476-8F7E-B90CF64024C0}" name="CATEGORIA" dataDxfId="1786" totalsRowDxfId="1785"/>
    <tableColumn id="3" xr3:uid="{B1DCA809-9CEF-4BB0-824D-2930B5573CC6}" name="MES 1" dataDxfId="1784" totalsRowDxfId="1783"/>
    <tableColumn id="15" xr3:uid="{DE93AE9D-100B-4D4F-A2A3-90086E4F94CA}" name="COSTO" dataDxfId="1782" totalsRowDxfId="1781" dataCellStyle="Moneda">
      <calculatedColumnFormula array="1">IF(D3="X",(_xlfn.XLOOKUP($B3,Tabla1[SERVICIO],Tabla1[VALOR])*1),IF(D3&gt;=1,_xlfn.XLOOKUP($B3,Tabla1[SERVICIO],Tabla1[VALOR]*D3),0))</calculatedColumnFormula>
    </tableColumn>
    <tableColumn id="4" xr3:uid="{91709B71-4A91-4F61-A7A0-73DF1187E68B}" name="MES 2" dataDxfId="1780" totalsRowDxfId="1779"/>
    <tableColumn id="16" xr3:uid="{666E6C14-FD17-44F2-8E25-77C227741A25}" name="COSTO2" dataDxfId="1778" totalsRowDxfId="1777" dataCellStyle="Moneda">
      <calculatedColumnFormula array="1">IF(F3="X",(_xlfn.XLOOKUP($B3,Tabla1[SERVICIO],Tabla1[VALOR])*1),IF(F3&gt;=1,_xlfn.XLOOKUP($B3,Tabla1[SERVICIO],Tabla1[VALOR]*F3),0))</calculatedColumnFormula>
    </tableColumn>
    <tableColumn id="5" xr3:uid="{8DAC150C-C052-4664-9A52-3976563AE6BA}" name="MES 3" dataDxfId="1776" totalsRowDxfId="1775"/>
    <tableColumn id="17" xr3:uid="{05BD5866-4F72-4003-8AA7-1E04AB4145AC}" name="COSTO3" dataDxfId="1774" totalsRowDxfId="1773" dataCellStyle="Moneda">
      <calculatedColumnFormula array="1">IF(H3="X",(_xlfn.XLOOKUP($B3,Tabla1[SERVICIO],Tabla1[VALOR])*1),IF(H3&gt;=1,_xlfn.XLOOKUP($B3,Tabla1[SERVICIO],Tabla1[VALOR]*H3),0))</calculatedColumnFormula>
    </tableColumn>
    <tableColumn id="6" xr3:uid="{C9D4243B-B9C1-4004-98DC-EC16B4E299E7}" name="MES 4" dataDxfId="1772" totalsRowDxfId="1771"/>
    <tableColumn id="18" xr3:uid="{7BFDA5AF-282F-45C4-9A15-3BD47ED56CDA}" name="COSTO4" dataDxfId="1770" totalsRowDxfId="1769" dataCellStyle="Moneda">
      <calculatedColumnFormula array="1">IF(J3="X",(_xlfn.XLOOKUP($B3,Tabla1[SERVICIO],Tabla1[VALOR])*1),IF(J3&gt;=1,_xlfn.XLOOKUP($B3,Tabla1[SERVICIO],Tabla1[VALOR]*J3),0))</calculatedColumnFormula>
    </tableColumn>
    <tableColumn id="7" xr3:uid="{16FA760F-8EBD-49A0-B944-1BA613815A2F}" name="MES 5" dataDxfId="1768" totalsRowDxfId="1767"/>
    <tableColumn id="19" xr3:uid="{07A31624-1735-4AF4-8954-4BF4D6550E11}" name="COSTO5" dataDxfId="1766" totalsRowDxfId="1765" dataCellStyle="Moneda">
      <calculatedColumnFormula array="1">IF(L3="X",(_xlfn.XLOOKUP($B3,Tabla1[SERVICIO],Tabla1[VALOR])*1),IF(L3&gt;=1,_xlfn.XLOOKUP($B3,Tabla1[SERVICIO],Tabla1[VALOR]*L3),0))</calculatedColumnFormula>
    </tableColumn>
    <tableColumn id="8" xr3:uid="{46775785-8005-4F59-BA2D-0EBEFC909D94}" name="MES 6" dataDxfId="1764" totalsRowDxfId="1763"/>
    <tableColumn id="20" xr3:uid="{87D21073-90B9-4A4A-B79A-17A46548C8AE}" name="COSTO6" dataDxfId="1762" totalsRowDxfId="1761" dataCellStyle="Moneda">
      <calculatedColumnFormula array="1">IF(N3="X",(_xlfn.XLOOKUP($B3,Tabla1[SERVICIO],Tabla1[VALOR])*1),IF(N3&gt;=1,_xlfn.XLOOKUP($B3,Tabla1[SERVICIO],Tabla1[VALOR]*N3),0))</calculatedColumnFormula>
    </tableColumn>
    <tableColumn id="9" xr3:uid="{359CA2C0-F4D2-47DC-8ACF-8A3A9082B7C8}" name="MES 7" dataDxfId="1760" totalsRowDxfId="1759"/>
    <tableColumn id="21" xr3:uid="{41A928DE-3CC4-4C7F-B715-EE17379AAF63}" name="COSTO7" dataDxfId="1758" totalsRowDxfId="1757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D268A996-FBC5-41B1-A7EC-375BA4DAA714}" name="MES 8" dataDxfId="1756" totalsRowDxfId="1755"/>
    <tableColumn id="22" xr3:uid="{87BCB6E9-0538-484C-A9E8-52405C036690}" name="COSTO8" dataDxfId="1754" totalsRowDxfId="1753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990B7814-DAE6-4287-8072-36A338E28F8C}" name="MES 9" dataDxfId="1752" totalsRowDxfId="1751"/>
    <tableColumn id="23" xr3:uid="{FCE30895-35A9-4E1D-BDB4-0741619C8901}" name="COSTO9" dataDxfId="1750" totalsRowDxfId="1749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D8AD1E1F-4C32-46E6-9371-FB4194AB9843}" name="MES 10" dataDxfId="1748" totalsRowDxfId="1747"/>
    <tableColumn id="24" xr3:uid="{9B0877A2-DAB0-4929-8585-4A558B6B2EF4}" name="COSTO10" dataDxfId="1746" totalsRowDxfId="1745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8FA31D30-26BF-4413-BE39-70C22EE13A0F}" name="MES 11" dataDxfId="1744" totalsRowDxfId="1743"/>
    <tableColumn id="25" xr3:uid="{56515EB3-2E7E-4852-9A6F-50785AD10874}" name="COSTO11" dataDxfId="1742" totalsRowDxfId="1741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E161947B-A748-45D2-A39B-1B0B20733464}" name="MES 12" dataDxfId="1740" totalsRowDxfId="1739"/>
    <tableColumn id="26" xr3:uid="{0C9101A9-8E34-4BED-99BC-505F1204B37B}" name="COSTO12" dataDxfId="1738" totalsRowDxfId="1737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2B0FD830-9AD9-4F1B-A9E5-77AE9890280D}" name="TOTAL" dataDxfId="1736" totalsRowDxfId="1735"/>
    <tableColumn id="28" xr3:uid="{7F3D8E69-6E96-46EE-B540-FF9E4B7F9978}" name="TOTAL SERVICIOS" dataDxfId="1734" totalsRowDxfId="1733" dataCellStyle="Millares">
      <calculatedColumnFormula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210864-D312-493A-80D8-52D33AD684E0}" name="Tabla41429" displayName="Tabla41429" ref="A46:AT87" totalsRowCount="1" headerRowDxfId="1732" dataDxfId="1730" headerRowBorderDxfId="1731" tableBorderDxfId="1729" totalsRowBorderDxfId="1728">
  <tableColumns count="46">
    <tableColumn id="1" xr3:uid="{D1536F38-615C-4353-9B5C-29A44C6E8304}" name="Servicios del Programa:" totalsRowLabel="Total" dataDxfId="1727" totalsRowDxfId="1726"/>
    <tableColumn id="2" xr3:uid="{7A40CF92-ABB8-48F0-B66A-ACE4C061B4F0}" name="Programa Rehabilitacion Pulmonar / Asma" dataDxfId="1725" totalsRowDxfId="1724"/>
    <tableColumn id="44" xr3:uid="{5C182CC5-2793-412E-BF95-F14E58E74D3E}" name="CATEGORIA" dataDxfId="1723" totalsRowDxfId="1722"/>
    <tableColumn id="3" xr3:uid="{76FCE996-623B-49B1-81DD-0D0DDF7C8E11}" name="MES 1" totalsRowFunction="sum" dataDxfId="1721" totalsRowDxfId="1720"/>
    <tableColumn id="21" xr3:uid="{8B6099E5-EBC8-46A0-82BD-D6108A03D2E7}" name="COSTOS" totalsRowFunction="sum" dataDxfId="1719" totalsRowDxfId="1718" dataCellStyle="Moneda">
      <calculatedColumnFormula array="1">IF(D47="X",(_xlfn.XLOOKUP($B47,Tabla1[SERVICIO],Tabla1[VALOR])*1),IF(D47&gt;=1,_xlfn.XLOOKUP($B47,Tabla1[SERVICIO],Tabla1[VALOR]*D47),""))</calculatedColumnFormula>
    </tableColumn>
    <tableColumn id="4" xr3:uid="{BBB832E7-76A5-41BB-84C9-57AE9585FBF5}" name="MES 2" totalsRowFunction="sum" dataDxfId="1717" totalsRowDxfId="1716"/>
    <tableColumn id="22" xr3:uid="{A265FC66-99FD-4409-8D24-4686751BA127}" name="COSTOS2" totalsRowFunction="sum" dataDxfId="1715" totalsRowDxfId="1714" dataCellStyle="Moneda">
      <calculatedColumnFormula array="1">IF(F47="X",(_xlfn.XLOOKUP($B47,Tabla1[SERVICIO],Tabla1[VALOR])*1),IF(F47&gt;=1,_xlfn.XLOOKUP($B47,Tabla1[SERVICIO],Tabla1[VALOR]*F47),""))</calculatedColumnFormula>
    </tableColumn>
    <tableColumn id="5" xr3:uid="{8F7354B4-19C2-46A8-93E1-115DBAA44FBF}" name="MES 3" totalsRowFunction="sum" dataDxfId="1713" totalsRowDxfId="1712"/>
    <tableColumn id="24" xr3:uid="{775D5DE2-C57C-4366-82EF-A35EB2228EC5}" name="COSTOS3" totalsRowFunction="sum" dataDxfId="1711" totalsRowDxfId="1710" dataCellStyle="Moneda">
      <calculatedColumnFormula array="1">IF(H47="X",(_xlfn.XLOOKUP($B47,Tabla1[SERVICIO],Tabla1[VALOR])*1),IF(H47&gt;=1,_xlfn.XLOOKUP($B47,Tabla1[SERVICIO],Tabla1[VALOR]*H47),""))</calculatedColumnFormula>
    </tableColumn>
    <tableColumn id="6" xr3:uid="{9363F43C-583D-40BA-8198-C9B0ACFFC733}" name="MES 4" totalsRowFunction="sum" dataDxfId="1709" totalsRowDxfId="1708"/>
    <tableColumn id="25" xr3:uid="{B420E86A-36EC-40B7-AF13-76C2EBAF866E}" name="COSTOS4" totalsRowFunction="sum" dataDxfId="1707" totalsRowDxfId="1706" dataCellStyle="Moneda">
      <calculatedColumnFormula array="1">IF(J47="X",(_xlfn.XLOOKUP($B47,Tabla1[SERVICIO],Tabla1[VALOR])*1),IF(J47&gt;=1,_xlfn.XLOOKUP($B47,Tabla1[SERVICIO],Tabla1[VALOR]*J47),""))</calculatedColumnFormula>
    </tableColumn>
    <tableColumn id="7" xr3:uid="{591882D4-08F5-4F52-872A-29644F1B95FA}" name="MES 5" totalsRowFunction="sum" dataDxfId="1705" totalsRowDxfId="1704"/>
    <tableColumn id="26" xr3:uid="{23971AC0-58EF-48C2-B39B-4998F493C773}" name="COSTOS5" totalsRowFunction="sum" dataDxfId="1703" totalsRowDxfId="1702" dataCellStyle="Moneda">
      <calculatedColumnFormula array="1">IF(L47="X",(_xlfn.XLOOKUP($B47,Tabla1[SERVICIO],Tabla1[VALOR])*1),IF(L47&gt;=1,_xlfn.XLOOKUP($B47,Tabla1[SERVICIO],Tabla1[VALOR]*L47),""))</calculatedColumnFormula>
    </tableColumn>
    <tableColumn id="8" xr3:uid="{602B2D1E-5A4B-4F9B-A137-22904D1F3ECB}" name="MES 6" totalsRowFunction="sum" dataDxfId="1701" totalsRowDxfId="1700"/>
    <tableColumn id="27" xr3:uid="{B3B03E7B-6CF3-4688-9B9A-F12DFA497E75}" name="COSTOS6" totalsRowFunction="sum" dataDxfId="1699" totalsRowDxfId="1698" dataCellStyle="Moneda">
      <calculatedColumnFormula array="1">IF(N47="X",(_xlfn.XLOOKUP($B47,Tabla1[SERVICIO],Tabla1[VALOR])*1),IF(N47&gt;=1,_xlfn.XLOOKUP($B47,Tabla1[SERVICIO],Tabla1[VALOR]*N47),""))</calculatedColumnFormula>
    </tableColumn>
    <tableColumn id="9" xr3:uid="{AE27F841-3B2E-40CF-9048-0CF415CAECEA}" name="MES 7" totalsRowFunction="sum" dataDxfId="1697" totalsRowDxfId="1696"/>
    <tableColumn id="28" xr3:uid="{3C7E49BF-ED84-4207-80C4-B8FB152E8D40}" name="COSTOS7" totalsRowFunction="sum" dataDxfId="1695" totalsRowDxfId="1694" dataCellStyle="Moneda">
      <calculatedColumnFormula array="1">IF(P47="X",(_xlfn.XLOOKUP($B47,Tabla1[SERVICIO],Tabla1[VALOR])*1),IF(P47&gt;=1,_xlfn.XLOOKUP($B47,Tabla1[SERVICIO],Tabla1[VALOR]*P47),""))</calculatedColumnFormula>
    </tableColumn>
    <tableColumn id="10" xr3:uid="{17842A31-D9DD-4408-A9F4-205F771AAB7D}" name="MES 8" totalsRowFunction="sum" dataDxfId="1693" totalsRowDxfId="1692"/>
    <tableColumn id="29" xr3:uid="{CE68A616-0399-41BC-A3A0-196838A1B2F9}" name="COSTOS8" totalsRowFunction="sum" dataDxfId="1691" totalsRowDxfId="1690" dataCellStyle="Moneda">
      <calculatedColumnFormula array="1">IF(R47="X",(_xlfn.XLOOKUP($B47,Tabla1[SERVICIO],Tabla1[VALOR])*1),IF(R47&gt;=1,_xlfn.XLOOKUP($B47,Tabla1[SERVICIO],Tabla1[VALOR]*R47),""))</calculatedColumnFormula>
    </tableColumn>
    <tableColumn id="11" xr3:uid="{F7C0798A-13A8-438A-8454-66E37E1C1467}" name="MES 9" totalsRowFunction="sum" dataDxfId="1689" totalsRowDxfId="1688"/>
    <tableColumn id="30" xr3:uid="{60E69C16-BA2B-476B-B2CB-E2776134AB64}" name="COSTOS9" totalsRowFunction="sum" dataDxfId="1687" totalsRowDxfId="1686" dataCellStyle="Moneda">
      <calculatedColumnFormula array="1">IF(T47="X",(_xlfn.XLOOKUP($B47,Tabla1[SERVICIO],Tabla1[VALOR])*1),IF(T47&gt;=1,_xlfn.XLOOKUP($B47,Tabla1[SERVICIO],Tabla1[VALOR]*T47),""))</calculatedColumnFormula>
    </tableColumn>
    <tableColumn id="12" xr3:uid="{D89BBA50-EAE3-4327-948F-9E3DA0086DFF}" name="MES 10" totalsRowFunction="sum" dataDxfId="1685" totalsRowDxfId="1684"/>
    <tableColumn id="31" xr3:uid="{C4529FC9-1EE1-4F14-A4E9-05EBE662FFD8}" name="COSTOS10" totalsRowFunction="sum" dataDxfId="1683" totalsRowDxfId="1682" dataCellStyle="Moneda">
      <calculatedColumnFormula array="1">IF(V47="X",(_xlfn.XLOOKUP($B47,Tabla1[SERVICIO],Tabla1[VALOR])*1),IF(V47&gt;=1,_xlfn.XLOOKUP($B47,Tabla1[SERVICIO],Tabla1[VALOR]*V47),""))</calculatedColumnFormula>
    </tableColumn>
    <tableColumn id="13" xr3:uid="{4DACBD06-2F4E-45E7-83F0-EE089E366426}" name="MES 11" totalsRowFunction="sum" dataDxfId="1681" totalsRowDxfId="1680"/>
    <tableColumn id="32" xr3:uid="{CF314DDA-81CB-4491-8481-156914AE8789}" name="COSTOS11" totalsRowFunction="sum" dataDxfId="1679" totalsRowDxfId="1678" dataCellStyle="Moneda">
      <calculatedColumnFormula array="1">IF(X47="X",(_xlfn.XLOOKUP($B47,Tabla1[SERVICIO],Tabla1[VALOR])*1),IF(X47&gt;=1,_xlfn.XLOOKUP($B47,Tabla1[SERVICIO],Tabla1[VALOR]*X47),""))</calculatedColumnFormula>
    </tableColumn>
    <tableColumn id="14" xr3:uid="{1EA3B4B8-61E4-4F01-90A7-8EC34CB20848}" name="MES 12" totalsRowFunction="sum" dataDxfId="1677" totalsRowDxfId="1676"/>
    <tableColumn id="33" xr3:uid="{5475AF8B-2455-4AF1-BEF4-3F5CA686C101}" name="COSTOS12" totalsRowFunction="sum" dataDxfId="1675" totalsRowDxfId="1674" dataCellStyle="Moneda">
      <calculatedColumnFormula array="1">IF(Z47="X",(_xlfn.XLOOKUP($B47,Tabla1[SERVICIO],Tabla1[VALOR])*1),IF(Z47&gt;=1,_xlfn.XLOOKUP($B47,Tabla1[SERVICIO],Tabla1[VALOR]*Z47),""))</calculatedColumnFormula>
    </tableColumn>
    <tableColumn id="15" xr3:uid="{92E397FF-9340-4222-9CDA-CFA75D751883}" name="MES 13" totalsRowFunction="sum" dataDxfId="1673" totalsRowDxfId="1672"/>
    <tableColumn id="34" xr3:uid="{02051C3A-BC62-4824-92AB-B85EE55A7D0D}" name="COSTOS13" totalsRowFunction="sum" dataDxfId="1671" totalsRowDxfId="1670" dataCellStyle="Moneda">
      <calculatedColumnFormula array="1">IF(AB47="X",(_xlfn.XLOOKUP($B47,Tabla1[SERVICIO],Tabla1[VALOR])*1),IF(AB47&gt;=1,_xlfn.XLOOKUP($B47,Tabla1[SERVICIO],Tabla1[VALOR]*AB47),""))</calculatedColumnFormula>
    </tableColumn>
    <tableColumn id="16" xr3:uid="{AB13BCFB-57D3-4F85-B85C-CAE3DD9673CF}" name="MES 14" totalsRowFunction="sum" dataDxfId="1669" totalsRowDxfId="1668"/>
    <tableColumn id="35" xr3:uid="{6A55C286-2F34-4EF1-8A6D-55AA3E48B5B5}" name="COSTOS14" totalsRowFunction="sum" dataDxfId="1667" totalsRowDxfId="1666" dataCellStyle="Moneda">
      <calculatedColumnFormula array="1">IF(AD47="X",(_xlfn.XLOOKUP($B47,Tabla1[SERVICIO],Tabla1[VALOR])*1),IF(AD47&gt;=1,_xlfn.XLOOKUP($B47,Tabla1[SERVICIO],Tabla1[VALOR]*AD47),""))</calculatedColumnFormula>
    </tableColumn>
    <tableColumn id="17" xr3:uid="{3D19AB6E-DCA8-4A11-967A-51CC012BD64C}" name="MES 15" totalsRowFunction="sum" dataDxfId="1665" totalsRowDxfId="1664"/>
    <tableColumn id="36" xr3:uid="{B90428D1-4F4D-4C25-A919-2914F317108C}" name="COSTOS15" totalsRowFunction="sum" dataDxfId="1663" totalsRowDxfId="1662" dataCellStyle="Moneda">
      <calculatedColumnFormula array="1">IF(AF47="X",(_xlfn.XLOOKUP($B47,Tabla1[SERVICIO],Tabla1[VALOR])*1),IF(AF47&gt;=1,_xlfn.XLOOKUP($B47,Tabla1[SERVICIO],Tabla1[VALOR]*AF47),""))</calculatedColumnFormula>
    </tableColumn>
    <tableColumn id="18" xr3:uid="{DD868F49-C011-402A-B6AF-FD9691CB8DE6}" name="MES 16" totalsRowFunction="sum" dataDxfId="1661" totalsRowDxfId="1660"/>
    <tableColumn id="37" xr3:uid="{0A5F8583-9177-41D4-954A-EEBF1A028BDC}" name="COSTOS16" totalsRowFunction="sum" dataDxfId="1659" totalsRowDxfId="1658" dataCellStyle="Moneda">
      <calculatedColumnFormula array="1">IF(AH47="X",(_xlfn.XLOOKUP($B47,Tabla1[SERVICIO],Tabla1[VALOR])*1),IF(AH47&gt;=1,_xlfn.XLOOKUP($B47,Tabla1[SERVICIO],Tabla1[VALOR]*AH47),""))</calculatedColumnFormula>
    </tableColumn>
    <tableColumn id="19" xr3:uid="{3E216DDD-816D-4329-A158-D9D23F735DF7}" name="MES 17" totalsRowFunction="sum" dataDxfId="1657" totalsRowDxfId="1656"/>
    <tableColumn id="38" xr3:uid="{AB966098-3C06-4E33-829D-953067678EC2}" name="COSTOS17" totalsRowFunction="sum" dataDxfId="1655" totalsRowDxfId="1654" dataCellStyle="Moneda">
      <calculatedColumnFormula array="1">IF(AJ47="X",(_xlfn.XLOOKUP($B47,Tabla1[SERVICIO],Tabla1[VALOR])*1),IF(AJ47&gt;=1,_xlfn.XLOOKUP($B47,Tabla1[SERVICIO],Tabla1[VALOR]*AJ47),""))</calculatedColumnFormula>
    </tableColumn>
    <tableColumn id="20" xr3:uid="{A61BD9AC-C104-4232-97FE-D658C299803A}" name="MES 18" totalsRowFunction="sum" dataDxfId="1653" totalsRowDxfId="1652"/>
    <tableColumn id="39" xr3:uid="{95F621F1-4974-439D-8EEF-DC286A52ACEF}" name="COSTOS18" totalsRowFunction="sum" dataDxfId="1651" totalsRowDxfId="1650" dataCellStyle="Moneda">
      <calculatedColumnFormula array="1">IF(AL47="X",(_xlfn.XLOOKUP($B47,Tabla1[SERVICIO],Tabla1[VALOR])*1),IF(AL47&gt;=1,_xlfn.XLOOKUP($B47,Tabla1[SERVICIO],Tabla1[VALOR]*AL47),""))</calculatedColumnFormula>
    </tableColumn>
    <tableColumn id="40" xr3:uid="{002D9769-6E88-4AF8-B429-14F634A2CFC5}" name="TOTAL" totalsRowFunction="sum" dataDxfId="1649" totalsRowDxfId="1648"/>
    <tableColumn id="23" xr3:uid="{7AF85EB1-732D-40A0-876F-3A012AF924C8}" name="TOTAL SERVICIOS" totalsRowFunction="sum" dataDxfId="1647" totalsRowDxfId="1646" dataCellStyle="Millares">
      <calculatedColumnFormula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calculatedColumnFormula>
    </tableColumn>
    <tableColumn id="41" xr3:uid="{AC686B1A-CA41-4388-A972-67DE145C97B9}" name="Modalidad" totalsRowFunction="sum" dataDxfId="1645" totalsRowDxfId="1644"/>
    <tableColumn id="42" xr3:uid="{58184FAE-6CF0-40BF-A451-1917B9E0A0D5}" name="% de las personas que lo usaron" totalsRowFunction="sum" dataDxfId="1643" totalsRowDxfId="1642" dataCellStyle="Porcentaje"/>
    <tableColumn id="43" xr3:uid="{0ACA0453-8C28-45A6-A8F6-4BA1F87DC3FF}" name="VALOR COSTO" totalsRowFunction="sum" dataDxfId="1641" totalsRowDxfId="1640">
      <calculatedColumnFormula>+Tabla41429[[#This Row],[TOTAL]]*Tabla41429[[#This Row],[% de las personas que lo usaron]]</calculatedColumnFormula>
    </tableColumn>
    <tableColumn id="45" xr3:uid="{BD7EEA1D-CCCA-4E36-A655-AA5FE7C773FC}" name="RUTA" totalsRowFunction="custom" dataDxfId="1639" totalsRowDxfId="1638">
      <totalsRowFormula>+Tabla41429[[#Totals],[VALOR COSTO]]/18</totalsRowFormula>
    </tableColumn>
    <tableColumn id="46" xr3:uid="{287FD806-E0E5-4100-955D-2FB599A0FC74}" name="DURACION" dataDxfId="1637" totalsRowDxfId="163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11AA7FC-58D0-4B7C-B0DF-1B9DADBF31E8}" name="Tabla46" displayName="Tabla46" ref="A2:AH31" totalsRowCount="1" headerRowDxfId="1635" dataDxfId="1633" totalsRowDxfId="1631" headerRowBorderDxfId="1634" tableBorderDxfId="1632" totalsRowBorderDxfId="1630">
  <autoFilter ref="A2:AH30" xr:uid="{811AA7FC-58D0-4B7C-B0DF-1B9DADBF31E8}"/>
  <tableColumns count="34">
    <tableColumn id="1" xr3:uid="{FED0DB7C-48CA-42DC-96B0-F617F217CFAB}" name="Servicios del Programa:" totalsRowLabel="Total" dataDxfId="1629" totalsRowDxfId="1628"/>
    <tableColumn id="2" xr3:uid="{4A50B9FD-6DF7-4058-A7FD-624874D3608B}" name="Programa Rehabilitacion Pulmonar / Hipertensiòn" dataDxfId="1627" totalsRowDxfId="1626"/>
    <tableColumn id="29" xr3:uid="{7899BBC8-3878-4FFA-9F2B-EF0BEB203971}" name="CATEGORIA" dataDxfId="1625" totalsRowDxfId="1624">
      <calculatedColumnFormula>_xlfn.XLOOKUP(Tabla46[[#This Row],[Servicios del Programa:]],Tabla151[CODIGO],Tabla151[VALOR])</calculatedColumnFormula>
    </tableColumn>
    <tableColumn id="3" xr3:uid="{99EA796F-855C-4354-8C74-61B43D51FED8}" name="MES 1" totalsRowFunction="sum" dataDxfId="1623" totalsRowDxfId="1622"/>
    <tableColumn id="15" xr3:uid="{5839EA24-8745-43EB-919D-6C6E5E4A2483}" name="COSTO" totalsRowFunction="sum" dataDxfId="1621" totalsRowDxfId="1620" dataCellStyle="Moneda">
      <calculatedColumnFormula array="1">IF(D3="X",(_xlfn.XLOOKUP($B3,Tabla1[SERVICIO],Tabla1[VALOR])*1),IF(D3&gt;=1,_xlfn.XLOOKUP($B3,Tabla1[SERVICIO],Tabla1[VALOR]*D3),0))</calculatedColumnFormula>
    </tableColumn>
    <tableColumn id="4" xr3:uid="{785F98E1-38F8-4F84-B1B8-A8A6DFD1A5FF}" name="MES 2" totalsRowFunction="sum" dataDxfId="1619" totalsRowDxfId="1618"/>
    <tableColumn id="16" xr3:uid="{402B2CBC-326C-4E63-8354-E67E1C1E6CC1}" name="COSTO2" totalsRowFunction="sum" dataDxfId="1617" totalsRowDxfId="1616" dataCellStyle="Moneda">
      <calculatedColumnFormula array="1">IF(F3="X",(_xlfn.XLOOKUP($B3,Tabla1[SERVICIO],Tabla1[VALOR])*1),IF(F3&gt;=1,_xlfn.XLOOKUP($B3,Tabla1[SERVICIO],Tabla1[VALOR]*F3),0))</calculatedColumnFormula>
    </tableColumn>
    <tableColumn id="5" xr3:uid="{2CFCD348-595F-4C04-87BD-0D4F36BE4388}" name="MES 3" totalsRowFunction="sum" dataDxfId="1615" totalsRowDxfId="1614"/>
    <tableColumn id="17" xr3:uid="{E26B3FDD-BE9E-4E67-BD89-07210507AACA}" name="COSTO3" totalsRowFunction="sum" dataDxfId="1613" totalsRowDxfId="1612" dataCellStyle="Moneda">
      <calculatedColumnFormula array="1">IF(H3="X",(_xlfn.XLOOKUP($B3,Tabla1[SERVICIO],Tabla1[VALOR])*1),IF(H3&gt;=1,_xlfn.XLOOKUP($B3,Tabla1[SERVICIO],Tabla1[VALOR]*H3),0))</calculatedColumnFormula>
    </tableColumn>
    <tableColumn id="6" xr3:uid="{5E159220-91E0-4D06-A752-808D17850C03}" name="MES 4" totalsRowFunction="sum" dataDxfId="1611" totalsRowDxfId="1610"/>
    <tableColumn id="18" xr3:uid="{37EE44E0-FF0F-4C21-A4B1-8194C2A08A3C}" name="COSTO4" totalsRowFunction="sum" dataDxfId="1609" totalsRowDxfId="1608" dataCellStyle="Moneda">
      <calculatedColumnFormula array="1">IF(J3="X",(_xlfn.XLOOKUP($B3,Tabla1[SERVICIO],Tabla1[VALOR])*1),IF(J3&gt;=1,_xlfn.XLOOKUP($B3,Tabla1[SERVICIO],Tabla1[VALOR]*J3),0))</calculatedColumnFormula>
    </tableColumn>
    <tableColumn id="7" xr3:uid="{41F77E3F-4A26-4906-8F56-D852C2684C77}" name="MES 5" totalsRowFunction="sum" dataDxfId="1607" totalsRowDxfId="1606"/>
    <tableColumn id="19" xr3:uid="{5F2DE1C7-CBDA-461A-89B6-167B32F560F1}" name="COSTO5" totalsRowFunction="sum" dataDxfId="1605" totalsRowDxfId="1604" dataCellStyle="Moneda">
      <calculatedColumnFormula array="1">IF(L3="X",(_xlfn.XLOOKUP($B3,Tabla1[SERVICIO],Tabla1[VALOR])*1),IF(L3&gt;=1,_xlfn.XLOOKUP($B3,Tabla1[SERVICIO],Tabla1[VALOR]*L3),0))</calculatedColumnFormula>
    </tableColumn>
    <tableColumn id="8" xr3:uid="{3956B1E6-CA21-407C-AA35-BA27A32C2768}" name="MES 6" totalsRowFunction="sum" dataDxfId="1603" totalsRowDxfId="1602"/>
    <tableColumn id="20" xr3:uid="{67390CC9-94B6-49C7-B86F-B3D05A4EB968}" name="COSTO6" totalsRowFunction="sum" dataDxfId="1601" totalsRowDxfId="1600" dataCellStyle="Moneda">
      <calculatedColumnFormula array="1">IF(N3="X",(_xlfn.XLOOKUP($B3,Tabla1[SERVICIO],Tabla1[VALOR])*1),IF(N3&gt;=1,_xlfn.XLOOKUP($B3,Tabla1[SERVICIO],Tabla1[VALOR]*N3),0))</calculatedColumnFormula>
    </tableColumn>
    <tableColumn id="9" xr3:uid="{5BD76163-8519-4DE0-B02E-71F661EC3CFA}" name="MES 7" totalsRowFunction="sum" dataDxfId="1599" totalsRowDxfId="1598"/>
    <tableColumn id="21" xr3:uid="{D7B80669-F95B-4FBC-A8BC-CF77AFB750D3}" name="COSTO7" totalsRowFunction="sum" dataDxfId="1597" totalsRowDxfId="1596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EB6BB245-B514-4710-B52C-9B052445A079}" name="MES 8" totalsRowFunction="sum" dataDxfId="1595" totalsRowDxfId="1594"/>
    <tableColumn id="22" xr3:uid="{2BBB2AC2-1299-4C38-8AE8-4DCC6644798E}" name="COSTO8" totalsRowFunction="sum" dataDxfId="1593" totalsRowDxfId="1592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4B2C2C43-E89E-489B-99AB-D57034AFECAF}" name="MES 9" totalsRowFunction="sum" dataDxfId="1591" totalsRowDxfId="1590"/>
    <tableColumn id="23" xr3:uid="{89899E88-6AC7-4F24-8233-AE487C56FA52}" name="COSTO9" totalsRowFunction="sum" dataDxfId="1589" totalsRowDxfId="1588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6FF40409-1914-4CB4-A227-A994BCD6D334}" name="MES 10" totalsRowFunction="sum" dataDxfId="1587" totalsRowDxfId="1586"/>
    <tableColumn id="24" xr3:uid="{FF4A6589-39F6-4268-9F7A-389A45387299}" name="COSTO10" totalsRowFunction="sum" dataDxfId="1585" totalsRowDxfId="1584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0E7C3C2E-DDB6-4761-BE3A-233B45FB21CF}" name="MES 11" totalsRowFunction="sum" dataDxfId="1583" totalsRowDxfId="1582"/>
    <tableColumn id="25" xr3:uid="{3C5D708B-FDCE-47C2-81AF-8CAEA433FC3D}" name="COSTO11" totalsRowFunction="sum" dataDxfId="1581" totalsRowDxfId="1580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09AFBF31-EE59-4809-B7C4-CED4D43C82AD}" name="MES 12" totalsRowFunction="sum" dataDxfId="1579" totalsRowDxfId="1578"/>
    <tableColumn id="26" xr3:uid="{3215816F-D174-420D-8A13-F1F0BDCF97D7}" name="COSTO12" totalsRowFunction="sum" dataDxfId="1577" totalsRowDxfId="1576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59454E00-A1E1-4238-812D-097CF5E50E71}" name="TOTAL RUTA" totalsRowFunction="sum" dataDxfId="1575" totalsRowDxfId="1574">
      <calculatedColumnFormula>SUM(E3,G3,I3,K3+M3,O3,Q3,S3,U3,W3,Y3,AA3)</calculatedColumnFormula>
    </tableColumn>
    <tableColumn id="28" xr3:uid="{20624A29-14A1-4C68-B15D-2689D58555E2}" name="TOTAL SERVICIOS" totalsRowFunction="sum" dataDxfId="1573" totalsRowDxfId="1572">
      <calculatedColumnFormula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calculatedColumnFormula>
    </tableColumn>
    <tableColumn id="30" xr3:uid="{ED5246ED-FEDF-4536-A218-86ECD7C286CD}" name="Modalidad" totalsRowFunction="sum" dataDxfId="1571" totalsRowDxfId="1570"/>
    <tableColumn id="31" xr3:uid="{D17F9113-CF0C-442F-AB6C-8616F2752968}" name="% de las personas que lo usaron" totalsRowFunction="sum" dataDxfId="1569" totalsRowDxfId="1568"/>
    <tableColumn id="32" xr3:uid="{3A4313D2-9E8E-42F9-AB91-479A71EEEE21}" name="VALOR COSTO" totalsRowFunction="sum" dataDxfId="1567" totalsRowDxfId="1566" totalsRowCellStyle="Moneda">
      <calculatedColumnFormula>+Tabla46[[#This Row],[TOTAL RUTA]]*AE3</calculatedColumnFormula>
    </tableColumn>
    <tableColumn id="33" xr3:uid="{9ED6E295-F958-4401-B45B-EC32AA5C97ED}" name="RUTA" totalsRowFunction="sum" dataDxfId="1565" totalsRowDxfId="1564"/>
    <tableColumn id="34" xr3:uid="{EA87A29D-5DE9-43D1-B450-4F39AC162FF2}" name="DURACION" dataDxfId="1563" totalsRowDxfId="156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7B9A6F-577F-4C1F-82C1-79992F00221C}" name="Tabla4615" displayName="Tabla4615" ref="A34:AT63" totalsRowCount="1" headerRowDxfId="1561" dataDxfId="1559" headerRowBorderDxfId="1560" tableBorderDxfId="1558" totalsRowBorderDxfId="1557">
  <tableColumns count="46">
    <tableColumn id="1" xr3:uid="{55A65512-D5AB-448D-81FF-E16D563CBDD2}" name="Servicios del Programa:" totalsRowLabel="Total" dataDxfId="1556" totalsRowDxfId="1555"/>
    <tableColumn id="2" xr3:uid="{738A3B43-BF9F-4E7D-91D8-BE272D307C09}" name="Programa Rehabilitacion Pulmonar / Hipertensiòn" dataDxfId="1554" totalsRowDxfId="1553"/>
    <tableColumn id="44" xr3:uid="{8BC51B32-9A29-4B8B-B925-EADA903C8077}" name="CATEGORIA" dataDxfId="1552" totalsRowDxfId="1551">
      <calculatedColumnFormula>_xlfn.XLOOKUP(Tabla4615[[#This Row],[Servicios del Programa:]],Tabla151[CODIGO],Tabla151[VALOR])</calculatedColumnFormula>
    </tableColumn>
    <tableColumn id="3" xr3:uid="{BB2B61B4-5244-4B38-8756-64E9620E9DDD}" name="MES 1" totalsRowFunction="sum" dataDxfId="1550" totalsRowDxfId="1549"/>
    <tableColumn id="22" xr3:uid="{9922CDFA-801C-4060-8391-0CBA4D16F1BC}" name="COSTO" totalsRowFunction="sum" dataDxfId="1548" totalsRowDxfId="1547" dataCellStyle="Moneda">
      <calculatedColumnFormula array="1">IF(D35="X",_xlfn.XLOOKUP(Tabla4615[[#This Row],[Programa Rehabilitacion Pulmonar / Hipertensiòn]],Tabla1[SERVICIO],Tabla1[VALOR]*1),IF(D35&gt;=1,_xlfn.XLOOKUP(Tabla4615[[#This Row],[Programa Rehabilitacion Pulmonar / Hipertensiòn]],Tabla1[SERVICIO],Tabla1[VALOR]*D35),""))</calculatedColumnFormula>
    </tableColumn>
    <tableColumn id="4" xr3:uid="{E790460A-24CA-4949-AC90-3CB2FCB75B4C}" name="MES 2" totalsRowFunction="sum" dataDxfId="1546" totalsRowDxfId="1545"/>
    <tableColumn id="23" xr3:uid="{8D7EDA5C-522A-4300-8E35-36662ADE1714}" name="COSTO2" totalsRowFunction="sum" dataDxfId="1544" totalsRowDxfId="1543" dataCellStyle="Moneda">
      <calculatedColumnFormula array="1">IF(F35="X",_xlfn.XLOOKUP(Tabla4615[[#This Row],[Programa Rehabilitacion Pulmonar / Hipertensiòn]],Tabla1[SERVICIO],Tabla1[VALOR]*1),IF(F35&gt;=1,_xlfn.XLOOKUP(Tabla4615[[#This Row],[Programa Rehabilitacion Pulmonar / Hipertensiòn]],Tabla1[SERVICIO],Tabla1[VALOR]*F35),""))</calculatedColumnFormula>
    </tableColumn>
    <tableColumn id="5" xr3:uid="{223C2167-55CC-42AB-A81D-9D32F9DE21C0}" name="MES 3" totalsRowFunction="sum" dataDxfId="1542" totalsRowDxfId="1541"/>
    <tableColumn id="25" xr3:uid="{B00E7274-B1A1-41A3-9ADC-E0F0CF5B55A4}" name="COSTO3" totalsRowFunction="sum" dataDxfId="1540" totalsRowDxfId="1539" dataCellStyle="Moneda">
      <calculatedColumnFormula array="1">IF(H35="X",_xlfn.XLOOKUP(Tabla4615[[#This Row],[Programa Rehabilitacion Pulmonar / Hipertensiòn]],Tabla1[SERVICIO],Tabla1[VALOR]*1),IF(H35&gt;=1,_xlfn.XLOOKUP(Tabla4615[[#This Row],[Programa Rehabilitacion Pulmonar / Hipertensiòn]],Tabla1[SERVICIO],Tabla1[VALOR]*H35),""))</calculatedColumnFormula>
    </tableColumn>
    <tableColumn id="6" xr3:uid="{8F01813A-8DB9-425B-88CC-BCC133377CF0}" name="MES 4" totalsRowFunction="sum" dataDxfId="1538" totalsRowDxfId="1537"/>
    <tableColumn id="26" xr3:uid="{62787E92-C481-4479-92C3-158673178E1A}" name="COSTO4" totalsRowFunction="sum" dataDxfId="1536" totalsRowDxfId="1535" dataCellStyle="Moneda">
      <calculatedColumnFormula array="1">IF(J35="X",_xlfn.XLOOKUP(Tabla4615[[#This Row],[Programa Rehabilitacion Pulmonar / Hipertensiòn]],Tabla1[SERVICIO],Tabla1[VALOR]*1),IF(J35&gt;=1,_xlfn.XLOOKUP(Tabla4615[[#This Row],[Programa Rehabilitacion Pulmonar / Hipertensiòn]],Tabla1[SERVICIO],Tabla1[VALOR]*J35),""))</calculatedColumnFormula>
    </tableColumn>
    <tableColumn id="7" xr3:uid="{51211DB3-EFAD-4404-BC6E-DAC7DD0DBECD}" name="MES 5" totalsRowFunction="sum" dataDxfId="1534" totalsRowDxfId="1533"/>
    <tableColumn id="27" xr3:uid="{184AA566-4603-4971-B440-4DBCCFBC670A}" name="COSTO5" totalsRowFunction="sum" dataDxfId="1532" totalsRowDxfId="1531" dataCellStyle="Moneda">
      <calculatedColumnFormula array="1">IF(L35="X",_xlfn.XLOOKUP(Tabla4615[[#This Row],[Programa Rehabilitacion Pulmonar / Hipertensiòn]],Tabla1[SERVICIO],Tabla1[VALOR]*1),IF(L35&gt;=1,_xlfn.XLOOKUP(Tabla4615[[#This Row],[Programa Rehabilitacion Pulmonar / Hipertensiòn]],Tabla1[SERVICIO],Tabla1[VALOR]*L35),""))</calculatedColumnFormula>
    </tableColumn>
    <tableColumn id="8" xr3:uid="{39B3DAB8-F171-459A-8C7F-95E4E73F1D5A}" name="MES 6" totalsRowFunction="sum" dataDxfId="1530" totalsRowDxfId="1529"/>
    <tableColumn id="28" xr3:uid="{3EE9D61E-4CEB-49EB-A478-2D2E58269ADC}" name="COSTO6" totalsRowFunction="sum" dataDxfId="1528" totalsRowDxfId="1527" dataCellStyle="Moneda">
      <calculatedColumnFormula array="1">IF(N35="X",_xlfn.XLOOKUP(Tabla4615[[#This Row],[Programa Rehabilitacion Pulmonar / Hipertensiòn]],Tabla1[SERVICIO],Tabla1[VALOR]*1),IF(N35&gt;=1,_xlfn.XLOOKUP(Tabla4615[[#This Row],[Programa Rehabilitacion Pulmonar / Hipertensiòn]],Tabla1[SERVICIO],Tabla1[VALOR]*N35),""))</calculatedColumnFormula>
    </tableColumn>
    <tableColumn id="9" xr3:uid="{92707DC0-1387-4C45-9D62-94F9B5F8EE20}" name="MES 7" totalsRowFunction="sum" dataDxfId="1526" totalsRowDxfId="1525"/>
    <tableColumn id="29" xr3:uid="{97D23EBA-3B83-405D-BA34-94696027D22A}" name="COSTO7" totalsRowFunction="sum" dataDxfId="1524" totalsRowDxfId="1523" dataCellStyle="Moneda">
      <calculatedColumnFormula array="1">IF(P35="X",_xlfn.XLOOKUP(Tabla4615[[#This Row],[Programa Rehabilitacion Pulmonar / Hipertensiòn]],Tabla1[SERVICIO],Tabla1[VALOR]*1),IF(P35&gt;=1,_xlfn.XLOOKUP(Tabla4615[[#This Row],[Programa Rehabilitacion Pulmonar / Hipertensiòn]],Tabla1[SERVICIO],Tabla1[VALOR]*P35),""))</calculatedColumnFormula>
    </tableColumn>
    <tableColumn id="10" xr3:uid="{1ADA1BA3-982F-4F67-9CF6-91F3F4F6E172}" name="MES 8" totalsRowFunction="sum" dataDxfId="1522" totalsRowDxfId="1521"/>
    <tableColumn id="30" xr3:uid="{D097362C-AE2F-4F2C-806E-49A79768A854}" name="COSTO8" totalsRowFunction="sum" dataDxfId="1520" totalsRowDxfId="1519" dataCellStyle="Moneda">
      <calculatedColumnFormula array="1">IF(R35="X",_xlfn.XLOOKUP(Tabla4615[[#This Row],[Programa Rehabilitacion Pulmonar / Hipertensiòn]],Tabla1[SERVICIO],Tabla1[VALOR]*1),IF(R35&gt;=1,_xlfn.XLOOKUP(Tabla4615[[#This Row],[Programa Rehabilitacion Pulmonar / Hipertensiòn]],Tabla1[SERVICIO],Tabla1[VALOR]*R35),""))</calculatedColumnFormula>
    </tableColumn>
    <tableColumn id="11" xr3:uid="{A1806151-2BFF-435A-A55E-C03C2D2EC156}" name="MES 9" totalsRowFunction="sum" dataDxfId="1518" totalsRowDxfId="1517"/>
    <tableColumn id="31" xr3:uid="{A12DD37E-7983-485F-948B-6018A6FA0376}" name="COSTO9" totalsRowFunction="sum" dataDxfId="1516" totalsRowDxfId="1515" dataCellStyle="Moneda">
      <calculatedColumnFormula array="1">IF(T35="X",_xlfn.XLOOKUP(Tabla4615[[#This Row],[Programa Rehabilitacion Pulmonar / Hipertensiòn]],Tabla1[SERVICIO],Tabla1[VALOR]*1),IF(T35&gt;=1,_xlfn.XLOOKUP(Tabla4615[[#This Row],[Programa Rehabilitacion Pulmonar / Hipertensiòn]],Tabla1[SERVICIO],Tabla1[VALOR]*T35),""))</calculatedColumnFormula>
    </tableColumn>
    <tableColumn id="12" xr3:uid="{F3E2E9F7-C947-4F5F-9D2F-1E2F70DE2B42}" name="MES 10" totalsRowFunction="sum" dataDxfId="1514" totalsRowDxfId="1513"/>
    <tableColumn id="32" xr3:uid="{852CCA7D-620B-4E16-BD7F-E6932B70B21F}" name="COSTO10" totalsRowFunction="sum" dataDxfId="1512" totalsRowDxfId="1511" dataCellStyle="Moneda">
      <calculatedColumnFormula array="1">IF(V35="X",_xlfn.XLOOKUP(Tabla4615[[#This Row],[Programa Rehabilitacion Pulmonar / Hipertensiòn]],Tabla1[SERVICIO],Tabla1[VALOR]*1),IF(V35&gt;=1,_xlfn.XLOOKUP(Tabla4615[[#This Row],[Programa Rehabilitacion Pulmonar / Hipertensiòn]],Tabla1[SERVICIO],Tabla1[VALOR]*V35),""))</calculatedColumnFormula>
    </tableColumn>
    <tableColumn id="13" xr3:uid="{D38CAC58-76AE-4747-A42F-22044B21F7FA}" name="MES 11" totalsRowFunction="sum" dataDxfId="1510" totalsRowDxfId="1509"/>
    <tableColumn id="33" xr3:uid="{5B32B179-BEC1-42D3-AA4A-0E3BE714E257}" name="COSTO11" totalsRowFunction="sum" dataDxfId="1508" totalsRowDxfId="1507" dataCellStyle="Moneda">
      <calculatedColumnFormula array="1">IF(X35="X",_xlfn.XLOOKUP(Tabla4615[[#This Row],[Programa Rehabilitacion Pulmonar / Hipertensiòn]],Tabla1[SERVICIO],Tabla1[VALOR]*1),IF(X35&gt;=1,_xlfn.XLOOKUP(Tabla4615[[#This Row],[Programa Rehabilitacion Pulmonar / Hipertensiòn]],Tabla1[SERVICIO],Tabla1[VALOR]*X35),""))</calculatedColumnFormula>
    </tableColumn>
    <tableColumn id="14" xr3:uid="{CBCE8B51-CC2A-4290-AFE4-B613AEEC6B43}" name="MES 12" totalsRowFunction="sum" dataDxfId="1506" totalsRowDxfId="1505"/>
    <tableColumn id="21" xr3:uid="{981CD924-7887-4A91-AB16-6999EB8A049A}" name="COSTO12" totalsRowFunction="sum" dataDxfId="1504" totalsRowDxfId="1503" dataCellStyle="Moneda">
      <calculatedColumnFormula array="1">IF(Z35="X",_xlfn.XLOOKUP(Tabla4615[[#This Row],[Programa Rehabilitacion Pulmonar / Hipertensiòn]],Tabla1[SERVICIO],Tabla1[VALOR]*1),IF(Z35&gt;=1,_xlfn.XLOOKUP(Tabla4615[[#This Row],[Programa Rehabilitacion Pulmonar / Hipertensiòn]],Tabla1[SERVICIO],Tabla1[VALOR]*Z35),""))</calculatedColumnFormula>
    </tableColumn>
    <tableColumn id="15" xr3:uid="{F24CB0A8-5DAB-4408-A72B-7BB68D4994C5}" name="MES 13" totalsRowFunction="sum" dataDxfId="1502" totalsRowDxfId="1501"/>
    <tableColumn id="34" xr3:uid="{F6469910-A76D-400D-9453-C466EA1E4A88}" name="COSTO13" totalsRowFunction="sum" dataDxfId="1500" totalsRowDxfId="1499" dataCellStyle="Moneda">
      <calculatedColumnFormula array="1">IF(AB35="X",_xlfn.XLOOKUP(Tabla4615[[#This Row],[Programa Rehabilitacion Pulmonar / Hipertensiòn]],Tabla1[SERVICIO],Tabla1[VALOR]*1),IF(AB35&gt;=1,_xlfn.XLOOKUP(Tabla4615[[#This Row],[Programa Rehabilitacion Pulmonar / Hipertensiòn]],Tabla1[SERVICIO],Tabla1[VALOR]*AB35),""))</calculatedColumnFormula>
    </tableColumn>
    <tableColumn id="16" xr3:uid="{FA759A2C-0666-4A8C-96E0-A594F37E4E9A}" name="MES 14" totalsRowFunction="sum" dataDxfId="1498" totalsRowDxfId="1497"/>
    <tableColumn id="35" xr3:uid="{F3E0D1CA-6D7D-402C-8B78-821895F1F25F}" name="COSTO14" totalsRowFunction="sum" dataDxfId="1496" totalsRowDxfId="1495" dataCellStyle="Moneda">
      <calculatedColumnFormula array="1">IF(AD35="X",_xlfn.XLOOKUP(Tabla4615[[#This Row],[Programa Rehabilitacion Pulmonar / Hipertensiòn]],Tabla1[SERVICIO],Tabla1[VALOR]*1),IF(AD35&gt;=1,_xlfn.XLOOKUP(Tabla4615[[#This Row],[Programa Rehabilitacion Pulmonar / Hipertensiòn]],Tabla1[SERVICIO],Tabla1[VALOR]*AD35),""))</calculatedColumnFormula>
    </tableColumn>
    <tableColumn id="17" xr3:uid="{D0387DB6-C504-4B1B-8D88-B70E4C9AB3FE}" name="MES 15" totalsRowFunction="sum" dataDxfId="1494" totalsRowDxfId="1493"/>
    <tableColumn id="36" xr3:uid="{637C39CB-6C59-4A6C-BF30-D5BF4C1EEDD2}" name="COSTO15" totalsRowFunction="sum" dataDxfId="1492" totalsRowDxfId="1491" dataCellStyle="Moneda">
      <calculatedColumnFormula array="1">IF(AF35="X",_xlfn.XLOOKUP(Tabla4615[[#This Row],[Programa Rehabilitacion Pulmonar / Hipertensiòn]],Tabla1[SERVICIO],Tabla1[VALOR]*1),IF(AF35&gt;=1,_xlfn.XLOOKUP(Tabla4615[[#This Row],[Programa Rehabilitacion Pulmonar / Hipertensiòn]],Tabla1[SERVICIO],Tabla1[VALOR]*AF35),""))</calculatedColumnFormula>
    </tableColumn>
    <tableColumn id="18" xr3:uid="{00CE3BF6-65D4-4B24-8E56-FC853B5233AB}" name="MES 16" totalsRowFunction="sum" dataDxfId="1490" totalsRowDxfId="1489"/>
    <tableColumn id="37" xr3:uid="{9E54BEE2-A44C-4363-BF34-CB8A7E850950}" name="COSTO16" totalsRowFunction="sum" dataDxfId="1488" totalsRowDxfId="1487" dataCellStyle="Moneda">
      <calculatedColumnFormula array="1">IF(AH35="X",_xlfn.XLOOKUP(Tabla4615[[#This Row],[Programa Rehabilitacion Pulmonar / Hipertensiòn]],Tabla1[SERVICIO],Tabla1[VALOR]*1),IF(AH35&gt;=1,_xlfn.XLOOKUP(Tabla4615[[#This Row],[Programa Rehabilitacion Pulmonar / Hipertensiòn]],Tabla1[SERVICIO],Tabla1[VALOR]*AH35),""))</calculatedColumnFormula>
    </tableColumn>
    <tableColumn id="19" xr3:uid="{FEF3F41C-A7F6-4134-8006-6E5BC76444D9}" name="MES 17" totalsRowFunction="sum" dataDxfId="1486" totalsRowDxfId="1485"/>
    <tableColumn id="38" xr3:uid="{74E1E8C5-34FE-4B59-8060-9F953EDC34BC}" name="COSTO17" totalsRowFunction="sum" dataDxfId="1484" totalsRowDxfId="1483" dataCellStyle="Moneda">
      <calculatedColumnFormula array="1">IF(AJ35="X",_xlfn.XLOOKUP(Tabla4615[[#This Row],[Programa Rehabilitacion Pulmonar / Hipertensiòn]],Tabla1[SERVICIO],Tabla1[VALOR]*1),IF(AJ35&gt;=1,_xlfn.XLOOKUP(Tabla4615[[#This Row],[Programa Rehabilitacion Pulmonar / Hipertensiòn]],Tabla1[SERVICIO],Tabla1[VALOR]*AJ35),""))</calculatedColumnFormula>
    </tableColumn>
    <tableColumn id="20" xr3:uid="{1456DAE5-BA55-4AE0-B4F8-1A589A35D91C}" name="MES 18" totalsRowFunction="sum" dataDxfId="1482" totalsRowDxfId="1481"/>
    <tableColumn id="39" xr3:uid="{D48CE116-B9D7-40DC-9B88-B755FBDE8B6A}" name="COSTO18" totalsRowFunction="sum" dataDxfId="1480" totalsRowDxfId="1479" dataCellStyle="Moneda">
      <calculatedColumnFormula array="1">IF(AL35="X",_xlfn.XLOOKUP(Tabla4615[[#This Row],[Programa Rehabilitacion Pulmonar / Hipertensiòn]],Tabla1[SERVICIO],Tabla1[VALOR]*1),IF(AL35&gt;=1,_xlfn.XLOOKUP(Tabla4615[[#This Row],[Programa Rehabilitacion Pulmonar / Hipertensiòn]],Tabla1[SERVICIO],Tabla1[VALOR]*AL35),""))</calculatedColumnFormula>
    </tableColumn>
    <tableColumn id="40" xr3:uid="{E073719E-AB76-48A3-B30A-54CADBE90599}" name="COSTO19" totalsRowFunction="sum" dataDxfId="1478" totalsRowDxfId="1477"/>
    <tableColumn id="24" xr3:uid="{16EE6E07-A15B-496E-BEB3-EA5BBAC8FDAB}" name="TOTAL SERVICIOS" totalsRowFunction="sum" dataDxfId="1476" totalsRowDxfId="1475"/>
    <tableColumn id="41" xr3:uid="{33D0EED3-EC87-4ED8-8096-FEAF3017B066}" name="Modalidad" dataDxfId="1474" totalsRowDxfId="1473"/>
    <tableColumn id="42" xr3:uid="{57144122-1FC6-4142-B58F-308A588C6A42}" name="% de las personas que lo usaron" dataDxfId="1472" totalsRowDxfId="1471"/>
    <tableColumn id="43" xr3:uid="{3D75EDA0-DAD1-4411-AAEA-139E88A349D8}" name="VALOR COSTO" totalsRowFunction="sum" dataDxfId="1470" totalsRowDxfId="1469"/>
    <tableColumn id="45" xr3:uid="{F5C07AF7-3CD4-4DD0-B555-3B09B0929160}" name="RUTA" dataDxfId="1468" totalsRowDxfId="1467"/>
    <tableColumn id="46" xr3:uid="{FBAF11B7-F4C4-4188-9BA5-31F8A2BFE445}" name="DURACION" dataDxfId="1466" totalsRowDxfId="146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2008902-3F9D-44B3-80AF-49DF405F510F}" name="Tabla12332" displayName="Tabla12332" ref="A2:AH32" totalsRowCount="1" headerRowDxfId="1464" dataDxfId="1462" headerRowBorderDxfId="1463" tableBorderDxfId="1461" totalsRowBorderDxfId="1460">
  <tableColumns count="34">
    <tableColumn id="1" xr3:uid="{B958ED0C-BD77-449D-80F8-7B5F49F13042}" name="Servicios del Programa:" dataDxfId="1459" totalsRowDxfId="1458"/>
    <tableColumn id="2" xr3:uid="{2559F50E-DB2D-492B-8B5F-2A1C2273E676}" name="Programa de RHP / Ejercicio Cardiovascular" dataDxfId="1457" totalsRowDxfId="1456"/>
    <tableColumn id="32" xr3:uid="{A8BC4396-B1DE-4075-A45D-0FF3FE9DE5DB}" name="CATEGORIA" dataDxfId="1455" totalsRowDxfId="1454">
      <calculatedColumnFormula>_xlfn.XLOOKUP(Tabla12332[[#This Row],[Servicios del Programa:]],Tabla151[CODIGO],Tabla151[VALOR])</calculatedColumnFormula>
    </tableColumn>
    <tableColumn id="3" xr3:uid="{CD465609-B420-459F-BAE1-8085B9212543}" name="MES 1" totalsRowFunction="custom" dataDxfId="1453" totalsRowDxfId="1452" dataCellStyle="Millares">
      <totalsRowFormula>SUBTOTAL(109,Tabla1122433[MES 1])</totalsRowFormula>
    </tableColumn>
    <tableColumn id="15" xr3:uid="{D944680A-7BFF-4858-BD3B-4DB1CD7BE7DB}" name="COSTO" totalsRowFunction="sum" dataDxfId="1451" totalsRowDxfId="1450" dataCellStyle="Millares">
      <calculatedColumnFormula array="1">IF(D3="X",(_xlfn.XLOOKUP($B3,Tabla1[SERVICIO],Tabla1[VALOR])*1),IF(D3&gt;=1,_xlfn.XLOOKUP($B3,Tabla1[SERVICIO],Tabla1[VALOR]*D3),0))</calculatedColumnFormula>
    </tableColumn>
    <tableColumn id="4" xr3:uid="{66225B59-C8B4-4C08-A842-DF9AC4221010}" name="MES 2" totalsRowFunction="custom" dataDxfId="1449" totalsRowDxfId="1448" dataCellStyle="Millares">
      <totalsRowFormula>SUBTOTAL(109,Tabla1122433[MES 1])</totalsRowFormula>
    </tableColumn>
    <tableColumn id="16" xr3:uid="{88098151-EF80-4FF1-B11E-CB3148477F8E}" name="COSTO2" totalsRowFunction="sum" dataDxfId="1447" totalsRowDxfId="1446" dataCellStyle="Moneda">
      <calculatedColumnFormula array="1">IF(F3="X",(_xlfn.XLOOKUP($B3,Tabla1[SERVICIO],Tabla1[VALOR])*1),IF(F3&gt;=1,_xlfn.XLOOKUP($B3,Tabla1[SERVICIO],Tabla1[VALOR]*F3),0))</calculatedColumnFormula>
    </tableColumn>
    <tableColumn id="5" xr3:uid="{35403AFF-2E89-411F-A726-F9EDBD2082F9}" name="MES 3" totalsRowFunction="custom" dataDxfId="1445" totalsRowDxfId="1444" dataCellStyle="Millares">
      <totalsRowFormula>SUBTOTAL(109,Tabla1122433[MES 1])</totalsRowFormula>
    </tableColumn>
    <tableColumn id="17" xr3:uid="{C98B584F-56D6-4491-9079-38DC6B86119F}" name="COSTO3" totalsRowFunction="sum" dataDxfId="1443" totalsRowDxfId="1442" dataCellStyle="Moneda">
      <calculatedColumnFormula array="1">IF(H3="X",(_xlfn.XLOOKUP($B3,Tabla1[SERVICIO],Tabla1[VALOR])*1),IF(H3&gt;=1,_xlfn.XLOOKUP($B3,Tabla1[SERVICIO],Tabla1[VALOR]*H3),0))</calculatedColumnFormula>
    </tableColumn>
    <tableColumn id="6" xr3:uid="{378D0556-C93C-48DE-BB94-3F90EDB7FFD1}" name="MES 4" totalsRowFunction="custom" dataDxfId="1441" totalsRowDxfId="1440" dataCellStyle="Millares">
      <totalsRowFormula>SUBTOTAL(109,Tabla1122433[MES 1])</totalsRowFormula>
    </tableColumn>
    <tableColumn id="18" xr3:uid="{66F57A78-F123-4EF3-A24B-BF5C5B8C84D5}" name="COSTO4" totalsRowFunction="sum" dataDxfId="1439" totalsRowDxfId="1438" dataCellStyle="Moneda">
      <calculatedColumnFormula array="1">IF(J3="X",(_xlfn.XLOOKUP($B3,Tabla1[SERVICIO],Tabla1[VALOR])*1),IF(J3&gt;=1,_xlfn.XLOOKUP($B3,Tabla1[SERVICIO],Tabla1[VALOR]*J3),0))</calculatedColumnFormula>
    </tableColumn>
    <tableColumn id="7" xr3:uid="{5C14112F-3862-4F01-9650-0D93BCA7BDF2}" name="MES 5" totalsRowFunction="custom" dataDxfId="1437" totalsRowDxfId="1436" dataCellStyle="Millares">
      <totalsRowFormula>SUBTOTAL(109,Tabla1122433[MES 1])</totalsRowFormula>
    </tableColumn>
    <tableColumn id="19" xr3:uid="{BB2898EC-6B08-46D4-B9F9-816CE01D7A89}" name="COSTO5" totalsRowFunction="sum" dataDxfId="1435" totalsRowDxfId="1434" dataCellStyle="Moneda">
      <calculatedColumnFormula array="1">IF(L3="X",(_xlfn.XLOOKUP($B3,Tabla1[SERVICIO],Tabla1[VALOR])*1),IF(L3&gt;=1,_xlfn.XLOOKUP($B3,Tabla1[SERVICIO],Tabla1[VALOR]*L3),0))</calculatedColumnFormula>
    </tableColumn>
    <tableColumn id="8" xr3:uid="{0D85F459-2C51-4577-8521-3F14E0ED4AE1}" name="MES 6" totalsRowFunction="custom" dataDxfId="1433" totalsRowDxfId="1432" dataCellStyle="Millares">
      <totalsRowFormula>SUBTOTAL(109,Tabla1122433[MES 1])</totalsRowFormula>
    </tableColumn>
    <tableColumn id="20" xr3:uid="{263128BB-542B-46C4-94A8-19DC710EED54}" name="COSTO6" totalsRowFunction="sum" dataDxfId="1431" totalsRowDxfId="1430" dataCellStyle="Moneda">
      <calculatedColumnFormula array="1">IF(N3="X",(_xlfn.XLOOKUP($B3,Tabla1[SERVICIO],Tabla1[VALOR])*1),IF(N3&gt;=1,_xlfn.XLOOKUP($B3,Tabla1[SERVICIO],Tabla1[VALOR]*N3),0))</calculatedColumnFormula>
    </tableColumn>
    <tableColumn id="9" xr3:uid="{D5BBEBBF-5108-4A59-83CF-1A57E6145E67}" name="MES 7" totalsRowFunction="custom" dataDxfId="1429" totalsRowDxfId="1428" dataCellStyle="Millares">
      <totalsRowFormula>SUBTOTAL(109,Tabla1122433[MES 1])</totalsRowFormula>
    </tableColumn>
    <tableColumn id="21" xr3:uid="{7196F301-F299-4E67-8900-F9A557F4DB6C}" name="COSTO7" totalsRowFunction="sum" dataDxfId="1427" totalsRowDxfId="1426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B2FB0814-3C97-407D-B322-1F2EE21107EB}" name="MES 8" totalsRowFunction="custom" dataDxfId="1425" totalsRowDxfId="1424" dataCellStyle="Millares">
      <totalsRowFormula>SUBTOTAL(109,Tabla1122433[MES 1])</totalsRowFormula>
    </tableColumn>
    <tableColumn id="22" xr3:uid="{5D9FB8ED-EE83-411D-936C-5E9598D49AA9}" name="COSTO8" totalsRowFunction="sum" dataDxfId="1423" totalsRowDxfId="1422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CBA91046-6CAA-4085-9D03-D7159F990CF8}" name="MES 9" totalsRowFunction="custom" dataDxfId="1421" totalsRowDxfId="1420" dataCellStyle="Millares">
      <totalsRowFormula>SUBTOTAL(109,Tabla1122433[MES 1])</totalsRowFormula>
    </tableColumn>
    <tableColumn id="23" xr3:uid="{F68396E3-D7BF-4076-907D-8B2131D9E70D}" name="COSTO9" totalsRowFunction="sum" dataDxfId="1419" totalsRowDxfId="1418" dataCellStyle="Moneda">
      <calculatedColumnFormula array="1">IF(T3="X",(_xlfn.XLOOKUP($B3,Tabla1[SERVICIO],Tabla1[VALOR])*1),IF(T3&gt;=1,_xlfn.XLOOKUP($B3,Tabla1[SERVICIO],Tabla1[VALOR]*T3),0))</calculatedColumnFormula>
    </tableColumn>
    <tableColumn id="14" xr3:uid="{27F5C3F8-DE58-4363-BAED-A55E9A879A85}" name="MES 10" totalsRowFunction="custom" dataDxfId="1417" totalsRowDxfId="1416" dataCellStyle="Millares">
      <totalsRowFormula>SUBTOTAL(109,Tabla1122433[MES 1])</totalsRowFormula>
    </tableColumn>
    <tableColumn id="26" xr3:uid="{630BF759-D0FF-4A53-B152-975D04FBFE8C}" name="COSTO10" totalsRowFunction="sum" dataDxfId="1415" totalsRowDxfId="1414" dataCellStyle="Moneda">
      <calculatedColumnFormula array="1">IF(V3="X",(_xlfn.XLOOKUP($B3,Tabla1[SERVICIO],Tabla1[VALOR])*1),IF(V3&gt;=1,_xlfn.XLOOKUP($B3,Tabla1[SERVICIO],Tabla1[VALOR]*V3),0))</calculatedColumnFormula>
    </tableColumn>
    <tableColumn id="31" xr3:uid="{5B8DD1BB-49E3-45ED-A72C-2E7ACB201AA2}" name="MES 11" totalsRowFunction="custom" dataDxfId="1413" totalsRowDxfId="1412" dataCellStyle="Millares">
      <totalsRowFormula>SUBTOTAL(109,Tabla1122433[MES 1])</totalsRowFormula>
    </tableColumn>
    <tableColumn id="30" xr3:uid="{228F9339-07BF-46E5-A12B-5643F48FD3F0}" name="COSTO11" totalsRowFunction="custom" dataDxfId="1411" totalsRowDxfId="1410" dataCellStyle="Moneda">
      <calculatedColumnFormula array="1">IF(X3="X",(_xlfn.XLOOKUP($B3,Tabla1[SERVICIO],Tabla1[VALOR])*1),IF(X3&gt;=1,_xlfn.XLOOKUP($B3,Tabla1[SERVICIO],Tabla1[VALOR]*X3),0))</calculatedColumnFormula>
      <totalsRowFormula>SUBTOTAL(109,Tabla12332[COSTO10])</totalsRowFormula>
    </tableColumn>
    <tableColumn id="29" xr3:uid="{C35D2C67-598F-4373-84F1-E760DD35887A}" name="MES 12" totalsRowFunction="custom" dataDxfId="1409" totalsRowDxfId="1408" dataCellStyle="Millares">
      <totalsRowFormula>SUBTOTAL(109,Tabla1122433[MES 1])</totalsRowFormula>
    </tableColumn>
    <tableColumn id="25" xr3:uid="{4374D6FF-8F45-4C13-87E4-283F15EFD451}" name="COSTO12" totalsRowFunction="custom" dataDxfId="1407" totalsRowDxfId="1406" dataCellStyle="Moneda">
      <calculatedColumnFormula array="1">IF(Z3="X",(_xlfn.XLOOKUP($B3,Tabla1[SERVICIO],Tabla1[VALOR])*1),IF(Z3&gt;=1,_xlfn.XLOOKUP($B3,Tabla1[SERVICIO],Tabla1[VALOR]*Z3),0))</calculatedColumnFormula>
      <totalsRowFormula>SUBTOTAL(109,Tabla12332[COSTO10])</totalsRowFormula>
    </tableColumn>
    <tableColumn id="27" xr3:uid="{585DC375-02AD-4E79-8924-6BA2BD54317F}" name="TOTAL" totalsRowFunction="sum" dataDxfId="1405" totalsRowDxfId="1404">
      <calculatedColumnFormula>SUM(E3,G3,I3,K3+M3,O3,Q3,S3,U3,W3,Tabla12332[[#This Row],[COSTO11]],Tabla12332[[#This Row],[COSTO12]])</calculatedColumnFormula>
    </tableColumn>
    <tableColumn id="12" xr3:uid="{9037749D-306A-4AF5-9FA0-AB94ED7CE156}" name="TOTAL SERVICIOS" totalsRowFunction="sum" dataDxfId="1403" totalsRowDxfId="1402" dataCellStyle="Millares">
      <calculatedColumnFormula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calculatedColumnFormula>
    </tableColumn>
    <tableColumn id="28" xr3:uid="{1601FE7C-A3C1-411B-B775-7704A23E1BDB}" name="Columna1" dataDxfId="1401" totalsRowDxfId="1400"/>
    <tableColumn id="13" xr3:uid="{0B2C6580-9016-47D4-BC83-DAF06733B107}" name="% de las personas que lo usaron" dataDxfId="1399" totalsRowDxfId="1398"/>
    <tableColumn id="24" xr3:uid="{0C259533-1B8F-43C5-8C5B-FDF7E919E692}" name="VALOR COSTO" totalsRowFunction="sum" dataDxfId="1397" totalsRowDxfId="1396">
      <calculatedColumnFormula>+Tabla12332[[#This Row],[TOTAL]]*Tabla12332[[#This Row],[% de las personas que lo usaron]]</calculatedColumnFormula>
    </tableColumn>
    <tableColumn id="33" xr3:uid="{7D6AEBA9-91A8-496D-AA3B-A37CA9896981}" name="RUTA" totalsRowFunction="custom" dataDxfId="1395" totalsRowDxfId="1394">
      <totalsRowFormula>+Tabla12332[[#Totals],[VALOR COSTO]]/12</totalsRowFormula>
    </tableColumn>
    <tableColumn id="34" xr3:uid="{8700CF30-DA25-4C99-9BDB-E27735426821}" name="DURACION" dataDxfId="1393" totalsRowDxfId="139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320DB69-6A09-4C7A-9506-F01A6CF15B24}" name="Tabla1122433" displayName="Tabla1122433" ref="A35:AT65" totalsRowCount="1" headerRowDxfId="1391" dataDxfId="1389" headerRowBorderDxfId="1390" tableBorderDxfId="1388" totalsRowBorderDxfId="1387">
  <tableColumns count="46">
    <tableColumn id="1" xr3:uid="{6ADD230E-ACFD-4F49-8543-4AD7D4ED0502}" name="Servicios del Programa:" dataDxfId="1386" totalsRowDxfId="1385"/>
    <tableColumn id="2" xr3:uid="{38D560E6-F5DB-4FC5-8F79-0F6EFA07E65B}" name="Programa de RHP / Ejercicio Cardiovascular" dataDxfId="1384" totalsRowDxfId="1383"/>
    <tableColumn id="44" xr3:uid="{921B34CC-9DF3-464B-A4BE-A0EEA15CAFBA}" name="CATEGORIA" dataDxfId="1382" totalsRowDxfId="1381">
      <calculatedColumnFormula>_xlfn.XLOOKUP(Tabla1122433[[#This Row],[Servicios del Programa:]],Tabla151[CODIGO],Tabla151[VALOR])</calculatedColumnFormula>
    </tableColumn>
    <tableColumn id="3" xr3:uid="{DF135696-7595-41C5-B6DB-2408CE2F0537}" name="MES 1" totalsRowFunction="sum" dataDxfId="1380" totalsRowDxfId="1379" dataCellStyle="Millares"/>
    <tableColumn id="22" xr3:uid="{91DFD61F-C991-425F-91CA-96117FA6AE01}" name="MES 19" totalsRowFunction="sum" dataDxfId="1378" totalsRowDxfId="1377" dataCellStyle="Moneda">
      <calculatedColumnFormula array="1">IF(D36="X",(_xlfn.XLOOKUP($B36,Tabla1[SERVICIO],Tabla1[VALOR])*1),IF(D36&gt;=1,_xlfn.XLOOKUP($B36,Tabla1[SERVICIO],Tabla1[VALOR]*D36),0))</calculatedColumnFormula>
    </tableColumn>
    <tableColumn id="4" xr3:uid="{299D6707-A36B-44D8-95A9-E87280E8897E}" name="MES 2" totalsRowFunction="sum" dataDxfId="1376" totalsRowDxfId="1375" dataCellStyle="Millares"/>
    <tableColumn id="23" xr3:uid="{0AE42C09-E624-40EC-A001-93BBC73FACD9}" name="MES 22" totalsRowFunction="sum" dataDxfId="1374" totalsRowDxfId="1373" dataCellStyle="Moneda">
      <calculatedColumnFormula array="1">IF(F36="X",(_xlfn.XLOOKUP($B36,Tabla1[SERVICIO],Tabla1[VALOR])*1),IF(F36&gt;=1,_xlfn.XLOOKUP($B36,Tabla1[SERVICIO],Tabla1[VALOR]*F36),0))</calculatedColumnFormula>
    </tableColumn>
    <tableColumn id="5" xr3:uid="{584B4CAB-9841-4136-AFDF-D0FB54DA46AF}" name="MES 3" totalsRowFunction="sum" dataDxfId="1372" totalsRowDxfId="1371" dataCellStyle="Millares"/>
    <tableColumn id="24" xr3:uid="{89760636-0909-4B0E-8C43-3104687BBBE4}" name="MES 32" totalsRowFunction="sum" dataDxfId="1370" totalsRowDxfId="1369" dataCellStyle="Moneda">
      <calculatedColumnFormula array="1">IF(H36="X",(_xlfn.XLOOKUP($B36,Tabla1[SERVICIO],Tabla1[VALOR])*1),IF(H36&gt;=1,_xlfn.XLOOKUP($B36,Tabla1[SERVICIO],Tabla1[VALOR]*H36),0))</calculatedColumnFormula>
    </tableColumn>
    <tableColumn id="6" xr3:uid="{910C7A15-A0D2-45FC-98D7-901467BFC8C9}" name="MES 4" totalsRowFunction="sum" dataDxfId="1368" totalsRowDxfId="1367" dataCellStyle="Millares"/>
    <tableColumn id="25" xr3:uid="{19DF4F98-46FA-40CB-A8D7-E23C643D9276}" name="MES 42" totalsRowFunction="sum" dataDxfId="1366" totalsRowDxfId="1365" dataCellStyle="Moneda">
      <calculatedColumnFormula array="1">IF(J36="X",(_xlfn.XLOOKUP($B36,Tabla1[SERVICIO],Tabla1[VALOR])*1),IF(J36&gt;=1,_xlfn.XLOOKUP($B36,Tabla1[SERVICIO],Tabla1[VALOR]*J36),0))</calculatedColumnFormula>
    </tableColumn>
    <tableColumn id="7" xr3:uid="{F5D008E8-DDD0-46F1-B820-70E28CB111F5}" name="MES 5" totalsRowFunction="sum" dataDxfId="1364" totalsRowDxfId="1363" dataCellStyle="Millares"/>
    <tableColumn id="26" xr3:uid="{8B4C77E8-1809-4F61-92B2-CCACEBF8702D}" name="MES 52" totalsRowFunction="sum" dataDxfId="1362" totalsRowDxfId="1361" dataCellStyle="Moneda">
      <calculatedColumnFormula array="1">IF(L36="X",(_xlfn.XLOOKUP($B36,Tabla1[SERVICIO],Tabla1[VALOR])*1),IF(L36&gt;=1,_xlfn.XLOOKUP($B36,Tabla1[SERVICIO],Tabla1[VALOR]*L36),0))</calculatedColumnFormula>
    </tableColumn>
    <tableColumn id="8" xr3:uid="{527D9C3A-AE68-4D29-9AE8-C667D25B04A6}" name="MES 6" totalsRowFunction="sum" dataDxfId="1360" totalsRowDxfId="1359" dataCellStyle="Millares"/>
    <tableColumn id="27" xr3:uid="{F6E081E9-FAE3-45B5-99C4-2F154242A880}" name="MES 62" totalsRowFunction="sum" dataDxfId="1358" totalsRowDxfId="1357" dataCellStyle="Moneda">
      <calculatedColumnFormula array="1">IF(N36="X",(_xlfn.XLOOKUP($B36,Tabla1[SERVICIO],Tabla1[VALOR])*1),IF(N36&gt;=1,_xlfn.XLOOKUP($B36,Tabla1[SERVICIO],Tabla1[VALOR]*N36),0))</calculatedColumnFormula>
    </tableColumn>
    <tableColumn id="9" xr3:uid="{94A67D29-0092-4776-9878-D9DA72468E8C}" name="MES 7" totalsRowFunction="sum" dataDxfId="1356" totalsRowDxfId="1355" dataCellStyle="Millares"/>
    <tableColumn id="28" xr3:uid="{B8B36A77-0A4F-42F9-9C4D-410E79E0BF8E}" name="MES 72" totalsRowFunction="sum" dataDxfId="1354" totalsRowDxfId="1353" dataCellStyle="Moneda">
      <calculatedColumnFormula array="1">IF(P36="X",(_xlfn.XLOOKUP($B36,Tabla1[SERVICIO],Tabla1[VALOR])*1),IF(P36&gt;=1,_xlfn.XLOOKUP($B36,Tabla1[SERVICIO],Tabla1[VALOR]*P36),0))</calculatedColumnFormula>
    </tableColumn>
    <tableColumn id="10" xr3:uid="{E0618641-A49E-4AFF-A28C-31C9AD4EF203}" name="MES 8" totalsRowFunction="sum" dataDxfId="1352" totalsRowDxfId="1351" dataCellStyle="Millares"/>
    <tableColumn id="29" xr3:uid="{D9993BAF-740F-4012-BD66-51B95987E9B4}" name="MES 82" totalsRowFunction="sum" dataDxfId="1350" totalsRowDxfId="1349" dataCellStyle="Moneda">
      <calculatedColumnFormula array="1">IF(R36="X",(_xlfn.XLOOKUP($B36,Tabla1[SERVICIO],Tabla1[VALOR])*1),IF(R36&gt;=1,_xlfn.XLOOKUP($B36,Tabla1[SERVICIO],Tabla1[VALOR]*R36),0))</calculatedColumnFormula>
    </tableColumn>
    <tableColumn id="11" xr3:uid="{A32B6E8F-0F30-4F8E-BAC6-6CD00F714DD8}" name="MES 9" totalsRowFunction="sum" dataDxfId="1348" totalsRowDxfId="1347" dataCellStyle="Millares"/>
    <tableColumn id="30" xr3:uid="{06CFA49B-5C33-4569-9812-1369A0EC97B6}" name="MES 92" totalsRowFunction="sum" dataDxfId="1346" totalsRowDxfId="1345" dataCellStyle="Moneda">
      <calculatedColumnFormula array="1">IF(T36="X",(_xlfn.XLOOKUP($B36,Tabla1[SERVICIO],Tabla1[VALOR])*1),IF(T36&gt;=1,_xlfn.XLOOKUP($B36,Tabla1[SERVICIO],Tabla1[VALOR]*T36),0))</calculatedColumnFormula>
    </tableColumn>
    <tableColumn id="12" xr3:uid="{82534C97-264C-49B3-BBB7-53FE239B9E08}" name="MES 10" totalsRowFunction="sum" dataDxfId="1344" totalsRowDxfId="1343" dataCellStyle="Millares"/>
    <tableColumn id="31" xr3:uid="{D3B1C686-8754-47A8-8555-C95B65303A65}" name="MES 102" totalsRowFunction="sum" dataDxfId="1342" totalsRowDxfId="1341" dataCellStyle="Moneda">
      <calculatedColumnFormula array="1">IF(V36="X",(_xlfn.XLOOKUP($B36,Tabla1[SERVICIO],Tabla1[VALOR])*1),IF(V36&gt;=1,_xlfn.XLOOKUP($B36,Tabla1[SERVICIO],Tabla1[VALOR]*V36),0))</calculatedColumnFormula>
    </tableColumn>
    <tableColumn id="13" xr3:uid="{C97D3FC8-B456-40DB-87C9-834A038FD20D}" name="MES 11" totalsRowFunction="sum" dataDxfId="1340" totalsRowDxfId="1339" dataCellStyle="Millares"/>
    <tableColumn id="32" xr3:uid="{52B179FE-A899-415A-8DAB-E89C00025F0E}" name="MES 112" totalsRowFunction="sum" dataDxfId="1338" totalsRowDxfId="1337" dataCellStyle="Moneda">
      <calculatedColumnFormula array="1">IF(X36="X",(_xlfn.XLOOKUP($B36,Tabla1[SERVICIO],Tabla1[VALOR])*1),IF(X36&gt;=1,_xlfn.XLOOKUP($B36,Tabla1[SERVICIO],Tabla1[VALOR]*X36),0))</calculatedColumnFormula>
    </tableColumn>
    <tableColumn id="14" xr3:uid="{2CD94BE8-F8D1-4B13-880B-3E8A40E7E47C}" name="MES 12" totalsRowFunction="sum" dataDxfId="1336" totalsRowDxfId="1335" dataCellStyle="Millares"/>
    <tableColumn id="33" xr3:uid="{C80FE239-9915-419E-9890-D235CC27F239}" name="MES 122" totalsRowFunction="sum" dataDxfId="1334" totalsRowDxfId="1333" dataCellStyle="Moneda">
      <calculatedColumnFormula array="1">IF(Z36="X",(_xlfn.XLOOKUP($B36,Tabla1[SERVICIO],Tabla1[VALOR])*1),IF(Z36&gt;=1,_xlfn.XLOOKUP($B36,Tabla1[SERVICIO],Tabla1[VALOR]*Z36),0))</calculatedColumnFormula>
    </tableColumn>
    <tableColumn id="15" xr3:uid="{53885817-B00A-4526-9482-1AD1F3EE792D}" name="MES 13" totalsRowFunction="sum" dataDxfId="1332" totalsRowDxfId="1331" dataCellStyle="Millares"/>
    <tableColumn id="34" xr3:uid="{015532D1-1C61-45BF-B0C1-4061DF9723E3}" name="MES 132" totalsRowFunction="sum" dataDxfId="1330" totalsRowDxfId="1329" dataCellStyle="Moneda">
      <calculatedColumnFormula array="1">IF(AB36="X",(_xlfn.XLOOKUP($B36,Tabla1[SERVICIO],Tabla1[VALOR])*1),IF(AB36&gt;=1,_xlfn.XLOOKUP($B36,Tabla1[SERVICIO],Tabla1[VALOR]*AB36),0))</calculatedColumnFormula>
    </tableColumn>
    <tableColumn id="16" xr3:uid="{E7AD959B-BBE4-412A-A090-9DD65177BF8B}" name="MES 14" totalsRowFunction="sum" dataDxfId="1328" totalsRowDxfId="1327" dataCellStyle="Millares"/>
    <tableColumn id="35" xr3:uid="{EE4A5730-E897-4B91-A058-FB13E897BCAE}" name="MES 142" totalsRowFunction="sum" dataDxfId="1326" totalsRowDxfId="1325" dataCellStyle="Moneda">
      <calculatedColumnFormula array="1">IF(AD36="X",(_xlfn.XLOOKUP($B36,Tabla1[SERVICIO],Tabla1[VALOR])*1),IF(AD36&gt;=1,_xlfn.XLOOKUP($B36,Tabla1[SERVICIO],Tabla1[VALOR]*AD36),0))</calculatedColumnFormula>
    </tableColumn>
    <tableColumn id="17" xr3:uid="{3C8B76C4-9C74-4CC0-9941-2E77DE9DA57F}" name="MES 15" totalsRowFunction="sum" dataDxfId="1324" totalsRowDxfId="1323" dataCellStyle="Millares"/>
    <tableColumn id="36" xr3:uid="{C36A2376-57B3-4F55-966E-531A7015D83F}" name="MES 152" totalsRowFunction="sum" dataDxfId="1322" totalsRowDxfId="1321" dataCellStyle="Moneda">
      <calculatedColumnFormula array="1">IF(AF36="X",(_xlfn.XLOOKUP($B36,Tabla1[SERVICIO],Tabla1[VALOR])*1),IF(AF36&gt;=1,_xlfn.XLOOKUP($B36,Tabla1[SERVICIO],Tabla1[VALOR]*AF36),0))</calculatedColumnFormula>
    </tableColumn>
    <tableColumn id="18" xr3:uid="{76D4FA17-150D-4730-B0B0-6CCD24299345}" name="MES 16" totalsRowFunction="sum" dataDxfId="1320" totalsRowDxfId="1319" dataCellStyle="Millares"/>
    <tableColumn id="37" xr3:uid="{FC920C54-3FE6-490D-B223-C62F420C5480}" name="MES 162" totalsRowFunction="sum" dataDxfId="1318" totalsRowDxfId="1317" dataCellStyle="Moneda">
      <calculatedColumnFormula array="1">IF(AH36="X",(_xlfn.XLOOKUP($B36,Tabla1[SERVICIO],Tabla1[VALOR])*1),IF(AH36&gt;=1,_xlfn.XLOOKUP($B36,Tabla1[SERVICIO],Tabla1[VALOR]*AH36),0))</calculatedColumnFormula>
    </tableColumn>
    <tableColumn id="19" xr3:uid="{FF105C28-0331-4CEF-8982-A42D44D3E322}" name="MES 17" totalsRowFunction="sum" dataDxfId="1316" totalsRowDxfId="1315" dataCellStyle="Millares"/>
    <tableColumn id="38" xr3:uid="{2EC653AE-05A3-4380-8201-8767D5D9BC24}" name="MES 172" totalsRowFunction="sum" dataDxfId="1314" totalsRowDxfId="1313" dataCellStyle="Moneda">
      <calculatedColumnFormula array="1">IF(AJ36="X",(_xlfn.XLOOKUP($B36,Tabla1[SERVICIO],Tabla1[VALOR])*1),IF(AJ36&gt;=1,_xlfn.XLOOKUP($B36,Tabla1[SERVICIO],Tabla1[VALOR]*AJ36),0))</calculatedColumnFormula>
    </tableColumn>
    <tableColumn id="20" xr3:uid="{648AD1BC-44D8-4E1F-99C2-6EB6FAF2AFFA}" name="MES 18" totalsRowFunction="sum" dataDxfId="1312" totalsRowDxfId="1311" dataCellStyle="Millares"/>
    <tableColumn id="39" xr3:uid="{E01F952F-3C7C-4B3C-BC3E-FE0E9FF21420}" name="MES 1722" totalsRowFunction="sum" dataDxfId="1310" totalsRowDxfId="1309" dataCellStyle="Moneda">
      <calculatedColumnFormula array="1">IF(AL36="X",(_xlfn.XLOOKUP($B36,Tabla1[SERVICIO],Tabla1[VALOR])*1),IF(AL36&gt;=1,_xlfn.XLOOKUP($B36,Tabla1[SERVICIO],Tabla1[VALOR]*AL36),0))</calculatedColumnFormula>
    </tableColumn>
    <tableColumn id="40" xr3:uid="{B191A078-4BA5-4673-BFDD-C523AAA5285F}" name="TOTAL" totalsRowFunction="sum" dataDxfId="1308" totalsRowDxfId="1307">
      <calculatedColumnFormula>SUM(E36,G36,I36,K36,M36,O36,Q36,S36,U36,W36+Y36,AA36,AC36,AE36,AG36,AI36,AK36,AM36)</calculatedColumnFormula>
    </tableColumn>
    <tableColumn id="21" xr3:uid="{B6ED672B-6B82-42EF-83CE-7BA846DD50B6}" name="TOTAL SERVICIOS" totalsRowFunction="sum" dataDxfId="1306" totalsRowDxfId="1305">
      <calculatedColumnFormula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calculatedColumnFormula>
    </tableColumn>
    <tableColumn id="41" xr3:uid="{C0A115E4-DF94-4EA0-B47A-C294E4ED9B13}" name="Columna1" dataDxfId="1304" totalsRowDxfId="1303"/>
    <tableColumn id="42" xr3:uid="{AA67588B-9DE3-4E03-98BF-A7FDE0AC2099}" name="% de las personas que lo usaron" dataDxfId="1302" totalsRowDxfId="1301"/>
    <tableColumn id="43" xr3:uid="{DF77AC9B-BC27-406C-A963-3DA0F5D90F5A}" name="VALOR COSTO" totalsRowFunction="sum" dataDxfId="1300" totalsRowDxfId="1299"/>
    <tableColumn id="45" xr3:uid="{10BF7EFF-CEFA-4E4E-BC6E-F7E8F4769D51}" name="RUTA" dataDxfId="1298" totalsRowDxfId="1297"/>
    <tableColumn id="46" xr3:uid="{51EB8FC0-F28E-4E5C-9FFF-006D1F5162FD}" name="DURACION" dataDxfId="1296" totalsRowDxfId="1295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1C012CC-CBDD-4741-801D-29FF1DCABC04}" name="Tabla467834" displayName="Tabla467834" ref="A2:AH28" totalsRowCount="1" headerRowDxfId="1294" dataDxfId="1292" totalsRowDxfId="1290" headerRowBorderDxfId="1293" tableBorderDxfId="1291" totalsRowBorderDxfId="1289" totalsRowCellStyle="Moneda">
  <autoFilter ref="A2:AH27" xr:uid="{31C012CC-CBDD-4741-801D-29FF1DCABC04}"/>
  <tableColumns count="34">
    <tableColumn id="1" xr3:uid="{4780D695-0AB8-4A77-9286-3068AB81B7B1}" name="Servicios del Programa:" totalsRowLabel=" Total " dataDxfId="1288" totalsRowDxfId="1287"/>
    <tableColumn id="2" xr3:uid="{478B8268-5F9B-4448-8BF2-0373AB1D8967}" name="Programa Rehabilitacion Pulmonar / Trastornos del Sueño" dataDxfId="1286" totalsRowDxfId="1285"/>
    <tableColumn id="32" xr3:uid="{33017CEB-DC66-4824-91DE-B48DA21549EE}" name="CATEGORIA" dataDxfId="1284" totalsRowDxfId="1283">
      <calculatedColumnFormula>_xlfn.XLOOKUP(Tabla467834[[#This Row],[Servicios del Programa:]],Tabla151[CODIGO],Tabla151[VALOR])</calculatedColumnFormula>
    </tableColumn>
    <tableColumn id="3" xr3:uid="{A2199BFE-7CD7-47E7-BBDD-A88A37B55A29}" name="MES 1" totalsRowFunction="sum" dataDxfId="1282" totalsRowDxfId="1281"/>
    <tableColumn id="15" xr3:uid="{F4DBCC8D-BADF-4F48-B964-C517CEA8EF8E}" name="MES 13" totalsRowFunction="sum" dataDxfId="1280" totalsRowDxfId="1279">
      <calculatedColumnFormula array="1">IF(D3="X",(_xlfn.XLOOKUP($B3,Tabla1[SERVICIO],Tabla1[VALOR])*1),IF(D3&gt;=1,_xlfn.XLOOKUP($B3,Tabla1[SERVICIO],Tabla1[VALOR]*D3),0))</calculatedColumnFormula>
    </tableColumn>
    <tableColumn id="4" xr3:uid="{2FE5C8B1-6E05-4364-B203-73E0DCC3643A}" name="MES 2" totalsRowFunction="sum" dataDxfId="1278" totalsRowDxfId="1277"/>
    <tableColumn id="16" xr3:uid="{0D86E232-A5A4-4AEF-8A6D-68E1D3B6B56A}" name="MES 22" totalsRowFunction="sum" dataDxfId="1276" totalsRowDxfId="1275" dataCellStyle="Moneda">
      <calculatedColumnFormula array="1">IF(F3="X",(_xlfn.XLOOKUP($B3,Tabla1[SERVICIO],Tabla1[VALOR])*1),IF(F3&gt;=1,_xlfn.XLOOKUP($B3,Tabla1[SERVICIO],Tabla1[VALOR]*F3),0))</calculatedColumnFormula>
    </tableColumn>
    <tableColumn id="5" xr3:uid="{0D452B73-6953-4BC7-B29A-04F65E975754}" name="MES 3" totalsRowFunction="sum" dataDxfId="1274" totalsRowDxfId="1273"/>
    <tableColumn id="17" xr3:uid="{331BC6F3-8DAC-4667-93F7-C8D9A9E8A31B}" name="MES 32" totalsRowFunction="sum" dataDxfId="1272" totalsRowDxfId="1271" dataCellStyle="Moneda">
      <calculatedColumnFormula array="1">IF(H3="X",(_xlfn.XLOOKUP($B3,Tabla1[SERVICIO],Tabla1[VALOR])*1),IF(H3&gt;=1,_xlfn.XLOOKUP($B3,Tabla1[SERVICIO],Tabla1[VALOR]*H3),0))</calculatedColumnFormula>
    </tableColumn>
    <tableColumn id="6" xr3:uid="{A861B5B7-B8BC-4C04-8C85-CA212A099D14}" name="MES 4" totalsRowFunction="sum" dataDxfId="1270" totalsRowDxfId="1269"/>
    <tableColumn id="18" xr3:uid="{C9E25418-6B55-4305-80BF-791B4C99856B}" name="MES 42" totalsRowFunction="sum" dataDxfId="1268" totalsRowDxfId="1267" dataCellStyle="Moneda">
      <calculatedColumnFormula array="1">IF(J3="X",(_xlfn.XLOOKUP($B3,Tabla1[SERVICIO],Tabla1[VALOR])*1),IF(J3&gt;=1,_xlfn.XLOOKUP($B3,Tabla1[SERVICIO],Tabla1[VALOR]*J3),0))</calculatedColumnFormula>
    </tableColumn>
    <tableColumn id="7" xr3:uid="{CFAEB8A8-89A8-4D9C-9079-6E517D302656}" name="MES 5" totalsRowFunction="sum" dataDxfId="1266" totalsRowDxfId="1265"/>
    <tableColumn id="19" xr3:uid="{4D1B778D-2E7C-49E9-868A-974F9FF6A49B}" name="MES 52" totalsRowFunction="sum" dataDxfId="1264" totalsRowDxfId="1263" dataCellStyle="Moneda">
      <calculatedColumnFormula array="1">IF(L3="X",(_xlfn.XLOOKUP($B3,Tabla1[SERVICIO],Tabla1[VALOR])*1),IF(L3&gt;=1,_xlfn.XLOOKUP($B3,Tabla1[SERVICIO],Tabla1[VALOR]*L3),0))</calculatedColumnFormula>
    </tableColumn>
    <tableColumn id="8" xr3:uid="{7888E3AF-CAFD-4658-A881-53A712F0C022}" name="MES 6" totalsRowFunction="sum" dataDxfId="1262" totalsRowDxfId="1261"/>
    <tableColumn id="20" xr3:uid="{DC56ED3B-F1FE-4304-88B6-0E4E025D067E}" name="MES 62" totalsRowFunction="sum" dataDxfId="1260" totalsRowDxfId="1259" dataCellStyle="Moneda">
      <calculatedColumnFormula array="1">IF(N3="X",(_xlfn.XLOOKUP($B3,Tabla1[SERVICIO],Tabla1[VALOR])*1),IF(N3&gt;=1,_xlfn.XLOOKUP($B3,Tabla1[SERVICIO],Tabla1[VALOR]*N3),0))</calculatedColumnFormula>
    </tableColumn>
    <tableColumn id="9" xr3:uid="{987A5733-26CA-4D31-BF51-A602AE399FCE}" name="MES 7" totalsRowFunction="sum" dataDxfId="1258" totalsRowDxfId="1257"/>
    <tableColumn id="21" xr3:uid="{D0C99F21-4397-4386-8356-7D74A51B9E4F}" name="MES 72" totalsRowFunction="sum" dataDxfId="1256" totalsRowDxfId="1255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07D927EC-9EA1-4DF5-BB9D-D85B70EA57AB}" name="MES 8" totalsRowFunction="sum" dataDxfId="1254" totalsRowDxfId="1253"/>
    <tableColumn id="22" xr3:uid="{7ADB52B9-8AE1-4785-839A-1EEE6956AF3A}" name="MES 82" totalsRowFunction="sum" dataDxfId="1252" totalsRowDxfId="1251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8A09F0EE-7EFF-4F08-A5E7-25810E78A958}" name="MES 9" totalsRowFunction="sum" dataDxfId="1250" totalsRowDxfId="1249"/>
    <tableColumn id="23" xr3:uid="{C89B5E09-25F6-43D4-9922-B816F7433CAE}" name="MES 92" totalsRowFunction="sum" dataDxfId="1248" totalsRowDxfId="1247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503AAD75-CA3E-4369-A9B4-FDEA6545D68F}" name="MES 10" totalsRowFunction="sum" dataDxfId="1246" totalsRowDxfId="1245"/>
    <tableColumn id="24" xr3:uid="{F4F4C78D-8590-4464-B240-FBDD6BA27588}" name="MES 102" totalsRowFunction="sum" dataDxfId="1244" totalsRowDxfId="1243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244D8FD3-CFAC-475D-9C58-C59A885FDDA9}" name="MES 11" totalsRowFunction="sum" dataDxfId="1242" totalsRowDxfId="1241"/>
    <tableColumn id="25" xr3:uid="{84B09805-4377-4A82-925B-43E643A99DCC}" name="MES 112" totalsRowFunction="sum" dataDxfId="1240" totalsRowDxfId="1239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11AA9CA2-ACB1-42C9-BC7A-C1A62C03F876}" name="MES 12" totalsRowFunction="sum" dataDxfId="1238" totalsRowDxfId="1237"/>
    <tableColumn id="26" xr3:uid="{D1B3ECAB-70DE-48A0-934F-F106AC0B4E6D}" name="MES 1122" totalsRowFunction="sum" dataDxfId="1236" totalsRowDxfId="1235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CD68D6DE-EB8D-426A-92CD-0592263829F9}" name="TOTAL" totalsRowFunction="sum" dataDxfId="1234" totalsRowDxfId="1233"/>
    <tableColumn id="29" xr3:uid="{1973AD18-737A-443F-B01D-635297A84474}" name="Columna2" totalsRowFunction="sum" dataDxfId="1232" totalsRowDxfId="1231" dataCellStyle="Millares">
      <calculatedColumnFormula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calculatedColumnFormula>
    </tableColumn>
    <tableColumn id="28" xr3:uid="{EDDC65A5-2272-4D56-B3A3-DB3645D9AEF7}" name="Columna1" dataDxfId="1230" totalsRowDxfId="1229"/>
    <tableColumn id="30" xr3:uid="{BAD124E9-71FD-41B0-928C-4B9245EE36A6}" name="% de las personas que lo usaron" dataDxfId="1228" totalsRowDxfId="1227"/>
    <tableColumn id="31" xr3:uid="{5172BFEE-35A4-4DDC-9705-D0542D05D13B}" name="VALOR COSTO" totalsRowFunction="sum" dataDxfId="1226" totalsRowDxfId="1225">
      <calculatedColumnFormula>+Tabla467834[[#This Row],[TOTAL]]*Tabla467834[[#This Row],[% de las personas que lo usaron]]</calculatedColumnFormula>
    </tableColumn>
    <tableColumn id="33" xr3:uid="{08F9ACA9-CA39-4112-AAEC-DB1634B51A37}" name="RUTA" totalsRowFunction="custom" dataDxfId="1224" totalsRowDxfId="1223">
      <totalsRowFormula>+Tabla467834[[#Totals],[VALOR COSTO]]/12</totalsRowFormula>
    </tableColumn>
    <tableColumn id="34" xr3:uid="{8DA12EE6-C3B4-4299-8052-A46B6509339D}" name="DURACION" dataDxfId="1222" totalsRowDxfId="122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1131C13-9DB5-46E5-95A4-7A76029D7388}" name="Tabla46781635" displayName="Tabla46781635" ref="A31:AT57" totalsRowCount="1" headerRowDxfId="1220" dataDxfId="1218" totalsRowDxfId="1216" headerRowBorderDxfId="1219" tableBorderDxfId="1217" totalsRowBorderDxfId="1215" totalsRowCellStyle="Moneda">
  <tableColumns count="46">
    <tableColumn id="1" xr3:uid="{24F4F0BE-D272-4A69-8D46-8E9A8F75C05E}" name="Servicios del Programa:" totalsRowLabel="Total" dataDxfId="1214" totalsRowDxfId="1213"/>
    <tableColumn id="2" xr3:uid="{41021784-67FE-434F-89A6-8E7DA2E89838}" name="Programa Rehabilitacion Pulmonar / Trastornos del Sueño" dataDxfId="1212" totalsRowDxfId="1211"/>
    <tableColumn id="44" xr3:uid="{3D4C36A0-3163-4614-8E07-4143738D9CA5}" name="CATEGORIA" dataDxfId="1210" totalsRowDxfId="1209">
      <calculatedColumnFormula>_xlfn.XLOOKUP(Tabla46781635[[#This Row],[Servicios del Programa:]],Tabla151[CODIGO],Tabla151[VALOR])</calculatedColumnFormula>
    </tableColumn>
    <tableColumn id="3" xr3:uid="{9E88167B-5E74-49BD-93A1-1CFDD9075F56}" name="MES 1" totalsRowFunction="sum" dataDxfId="1208" totalsRowDxfId="1207"/>
    <tableColumn id="21" xr3:uid="{CA8ABA4D-B47B-47E1-B879-D8C49AB83772}" name="MES 19" totalsRowFunction="sum" dataDxfId="1206" totalsRowDxfId="1205" dataCellStyle="Moneda"/>
    <tableColumn id="4" xr3:uid="{BE2373AF-4E27-4BF7-8B2B-1EBCD21D1876}" name="MES 2" totalsRowFunction="sum" dataDxfId="1204" totalsRowDxfId="1203"/>
    <tableColumn id="22" xr3:uid="{4152B634-E155-46EB-B676-297A0BF3C522}" name="MES 22" totalsRowFunction="sum" dataDxfId="1202" totalsRowDxfId="1201" dataCellStyle="Moneda"/>
    <tableColumn id="5" xr3:uid="{89BFF2DC-82D7-470E-970D-D5A82F9FF85F}" name="MES 3" totalsRowFunction="sum" dataDxfId="1200" totalsRowDxfId="1199"/>
    <tableColumn id="23" xr3:uid="{96A69C7E-3060-4DC6-8780-C18B847AF5B8}" name="MES 32" totalsRowFunction="sum" dataDxfId="1198" totalsRowDxfId="1197" dataCellStyle="Moneda"/>
    <tableColumn id="6" xr3:uid="{7AA9BD0E-88E2-4AD1-B0B4-02B9D40FA305}" name="MES 4" totalsRowFunction="sum" dataDxfId="1196" totalsRowDxfId="1195"/>
    <tableColumn id="24" xr3:uid="{8FA81978-0F72-4BCB-A13F-748FFDEFD6E3}" name="MES 42" totalsRowFunction="sum" dataDxfId="1194" totalsRowDxfId="1193" dataCellStyle="Moneda"/>
    <tableColumn id="7" xr3:uid="{E260CF42-7954-4A67-AB4B-FFDABA43A727}" name="MES 5" totalsRowFunction="sum" dataDxfId="1192" totalsRowDxfId="1191"/>
    <tableColumn id="25" xr3:uid="{F82C6632-D69A-4E22-B56C-1D017EB58DE2}" name="MES 52" totalsRowFunction="sum" dataDxfId="1190" totalsRowDxfId="1189" dataCellStyle="Moneda"/>
    <tableColumn id="8" xr3:uid="{A965E8C1-6FB7-4370-80C0-D901F937A79E}" name="MES 6" totalsRowFunction="sum" dataDxfId="1188" totalsRowDxfId="1187"/>
    <tableColumn id="26" xr3:uid="{24133054-0E1C-43EC-8417-8078D21CF769}" name="MES 62" totalsRowFunction="sum" dataDxfId="1186" totalsRowDxfId="1185" dataCellStyle="Moneda"/>
    <tableColumn id="9" xr3:uid="{2FB3E9E7-791C-478E-9B01-8743ABAA993F}" name="MES 7" totalsRowFunction="sum" dataDxfId="1184" totalsRowDxfId="1183"/>
    <tableColumn id="27" xr3:uid="{59B68FA8-DEF6-4723-8BBC-F79E3725CF83}" name="MES 72" totalsRowFunction="sum" dataDxfId="1182" totalsRowDxfId="1181" dataCellStyle="Moneda"/>
    <tableColumn id="10" xr3:uid="{4C654BCF-615E-4C27-B58F-0C441CA1DCCE}" name="MES 8" totalsRowFunction="sum" dataDxfId="1180" totalsRowDxfId="1179"/>
    <tableColumn id="28" xr3:uid="{34C725B1-3D8C-4C9D-84A7-1A59C89EBED4}" name="MES 82" totalsRowFunction="sum" dataDxfId="1178" totalsRowDxfId="1177" dataCellStyle="Moneda"/>
    <tableColumn id="11" xr3:uid="{5D0DD9DA-1516-41BE-AE40-36A9B1132CC3}" name="MES 9" totalsRowFunction="sum" dataDxfId="1176" totalsRowDxfId="1175"/>
    <tableColumn id="29" xr3:uid="{D5758D98-83DD-4CFE-8FD2-739A0D210B1D}" name="MES 92" totalsRowFunction="sum" dataDxfId="1174" totalsRowDxfId="1173" dataCellStyle="Moneda"/>
    <tableColumn id="12" xr3:uid="{F6399BE0-20DF-454B-8572-1D3987EC3945}" name="MES 10" totalsRowFunction="sum" dataDxfId="1172" totalsRowDxfId="1171"/>
    <tableColumn id="30" xr3:uid="{0D946CB7-DD6F-4959-BCD9-CF6814A3C0B9}" name="MES 102" totalsRowFunction="sum" dataDxfId="1170" totalsRowDxfId="1169" dataCellStyle="Moneda"/>
    <tableColumn id="13" xr3:uid="{D70C9862-CF11-4F61-BF35-8671B00F9DFF}" name="MES 11" totalsRowFunction="sum" dataDxfId="1168" totalsRowDxfId="1167"/>
    <tableColumn id="31" xr3:uid="{20DF950E-D614-453D-A750-98E3500D4561}" name="MES 112" totalsRowFunction="sum" dataDxfId="1166" totalsRowDxfId="1165" dataCellStyle="Moneda"/>
    <tableColumn id="14" xr3:uid="{7D7F1343-1C75-4B9B-9B97-C9666BA4DC76}" name="MES 12" totalsRowFunction="sum" dataDxfId="1164" totalsRowDxfId="1163"/>
    <tableColumn id="32" xr3:uid="{1782F669-DECF-4370-BB32-5367101C8BE1}" name="MES 122" totalsRowFunction="sum" dataDxfId="1162" totalsRowDxfId="1161" dataCellStyle="Moneda"/>
    <tableColumn id="15" xr3:uid="{0DA6B074-9E2F-4B8E-A9F5-7305201A1E75}" name="MES 13" totalsRowFunction="sum" dataDxfId="1160" totalsRowDxfId="1159"/>
    <tableColumn id="33" xr3:uid="{0BA26A86-39C0-43CA-9F2F-286EF04B122D}" name="MES 132" totalsRowFunction="sum" dataDxfId="1158" totalsRowDxfId="1157" dataCellStyle="Moneda"/>
    <tableColumn id="16" xr3:uid="{7C845B9C-90B1-4F50-92D8-2862ACA6B5E3}" name="MES 14" totalsRowFunction="sum" dataDxfId="1156" totalsRowDxfId="1155"/>
    <tableColumn id="34" xr3:uid="{AB76DD75-CDDF-44F7-BF66-5D215D41CFEF}" name="MES 142" totalsRowFunction="sum" dataDxfId="1154" totalsRowDxfId="1153" dataCellStyle="Moneda"/>
    <tableColumn id="17" xr3:uid="{F0B5D3B5-E718-4D70-B38D-CCE48D84543F}" name="MES 15" totalsRowFunction="sum" dataDxfId="1152" totalsRowDxfId="1151"/>
    <tableColumn id="35" xr3:uid="{B07C3DFC-8610-4E76-A86A-56DDCF0B7336}" name="MES 152" totalsRowFunction="sum" dataDxfId="1150" totalsRowDxfId="1149" dataCellStyle="Moneda"/>
    <tableColumn id="18" xr3:uid="{FCB188BB-747C-48BA-A8EF-3C649E04E4ED}" name="MES 16" totalsRowFunction="sum" dataDxfId="1148" totalsRowDxfId="1147"/>
    <tableColumn id="36" xr3:uid="{54F69E45-D21D-440E-99E4-18102531D649}" name="MES 162" totalsRowFunction="sum" dataDxfId="1146" totalsRowDxfId="1145" dataCellStyle="Moneda"/>
    <tableColumn id="19" xr3:uid="{DA21D03E-2BFF-45A0-8682-B18977464463}" name="MES 17" totalsRowFunction="sum" dataDxfId="1144" totalsRowDxfId="1143"/>
    <tableColumn id="37" xr3:uid="{2FDDE529-8E9F-485B-8C5C-2B304753809F}" name="MES 172" totalsRowFunction="sum" dataDxfId="1142" totalsRowDxfId="1141" dataCellStyle="Moneda"/>
    <tableColumn id="20" xr3:uid="{1131E69D-A50D-4CCF-9417-10879E2BC826}" name="MES 18" totalsRowFunction="sum" dataDxfId="1140" totalsRowDxfId="1139"/>
    <tableColumn id="38" xr3:uid="{F29C314D-AB59-46E1-8FAA-145B07224493}" name="MES 1722" totalsRowFunction="sum" dataDxfId="1138" totalsRowDxfId="1137" dataCellStyle="Moneda"/>
    <tableColumn id="39" xr3:uid="{23EBBA45-B251-40B7-A478-57C0FBCCCD2C}" name="TOTAL" totalsRowFunction="sum" dataDxfId="1136" totalsRowDxfId="1135">
      <calculatedColumnFormula>SUM(E32,G32,I32,K32,M32,O32,Q32,S32,U32,W32+Y32,AA32,AC32,AE32,AG32,AI32,AK32,AM32)</calculatedColumnFormula>
    </tableColumn>
    <tableColumn id="40" xr3:uid="{72699878-6BC9-41B6-A38D-85DB4533BD05}" name="Columna2" totalsRowFunction="custom" dataDxfId="1134" totalsRowDxfId="1133" dataCellStyle="Millares">
      <calculatedColumnFormula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calculatedColumnFormula>
      <totalsRowFormula>SUBTOTAL(109,Tabla467834[Columna2])</totalsRowFormula>
    </tableColumn>
    <tableColumn id="41" xr3:uid="{85414F71-C12A-4033-B1E5-93D3BCE1B6D9}" name="Columna1" dataDxfId="1132" totalsRowDxfId="1131"/>
    <tableColumn id="42" xr3:uid="{C2511DAE-58F0-4672-9D22-737A3AA8C3F2}" name="% de las personas que lo usaron" dataDxfId="1130" totalsRowDxfId="1129" dataCellStyle="Porcentaje"/>
    <tableColumn id="43" xr3:uid="{031853EA-4ABA-4B4E-826F-DC7252D4BEEE}" name="VALOR COSTO" totalsRowFunction="sum" dataDxfId="1128" totalsRowDxfId="1127" dataCellStyle="Moneda"/>
    <tableColumn id="45" xr3:uid="{6DC1E2AB-4300-4185-A631-4F55F64864A5}" name="RUTA" dataDxfId="1126" totalsRowDxfId="1125"/>
    <tableColumn id="46" xr3:uid="{977DE930-1846-41DE-AC60-A1681C781D14}" name="DURACION" dataDxfId="1124" totalsRowDxfId="1123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E47E265-84E6-406D-8BC3-FE97E2103740}" name="Tabla336" displayName="Tabla336" ref="A2:AH28" totalsRowCount="1" headerRowDxfId="1122" dataDxfId="1120" totalsRowDxfId="1118" headerRowBorderDxfId="1121" tableBorderDxfId="1119" totalsRowBorderDxfId="1117">
  <autoFilter ref="A2:AH27" xr:uid="{5E47E265-84E6-406D-8BC3-FE97E2103740}"/>
  <tableColumns count="34">
    <tableColumn id="1" xr3:uid="{7758625E-64DC-4406-9E6E-82A7F6A30D9E}" name="Servicios del Programa:" dataDxfId="1116" totalsRowDxfId="1115"/>
    <tableColumn id="2" xr3:uid="{780439D3-CC23-4455-9207-0ECCD77966F6}" name="Programa Rehabilitacion Pulmonar / Epoc" dataDxfId="1114" totalsRowDxfId="1113"/>
    <tableColumn id="29" xr3:uid="{75E65840-7184-45CE-BEE9-4EDB45B23D10}" name="CATEGORIA" dataDxfId="1112" totalsRowDxfId="1111">
      <calculatedColumnFormula>_xlfn.XLOOKUP(Tabla336[[#This Row],[Servicios del Programa:]],Tabla151[CODIGO],Tabla151[VALOR])</calculatedColumnFormula>
    </tableColumn>
    <tableColumn id="3" xr3:uid="{FBEE12A6-D9C1-45AE-9E6C-0EBE09D9FA44}" name="MES 1" totalsRowFunction="sum" dataDxfId="1110" totalsRowDxfId="1109"/>
    <tableColumn id="16" xr3:uid="{6AE47BCD-2D9C-41FF-B181-3FD4E9ACBBB6}" name="MES 13" totalsRowFunction="sum" dataDxfId="1108" totalsRowDxfId="1107">
      <calculatedColumnFormula array="1">IF(D3="X",(_xlfn.XLOOKUP($B3,Tabla1[SERVICIO],Tabla1[VALOR])*1),IF(D3&gt;=1,_xlfn.XLOOKUP($B3,Tabla1[SERVICIO],Tabla1[VALOR]*D3),0))</calculatedColumnFormula>
    </tableColumn>
    <tableColumn id="4" xr3:uid="{B82FB517-86DA-4592-B1B7-177C74A8B27F}" name="MES 2" totalsRowFunction="sum" dataDxfId="1106" totalsRowDxfId="1105"/>
    <tableColumn id="17" xr3:uid="{DAB8137F-C528-41C8-B887-84E0316C16C7}" name="MES 22" totalsRowFunction="sum" dataDxfId="1104" totalsRowDxfId="1103" dataCellStyle="Moneda">
      <calculatedColumnFormula array="1">IF(F3="X",(_xlfn.XLOOKUP($B3,Tabla1[SERVICIO],Tabla1[VALOR])*1),IF(F3&gt;=1,_xlfn.XLOOKUP($B3,Tabla1[SERVICIO],Tabla1[VALOR]*F3),0))</calculatedColumnFormula>
    </tableColumn>
    <tableColumn id="5" xr3:uid="{825D43FF-DFF6-4034-B84B-6BE4025356D8}" name="MES 3" totalsRowFunction="sum" dataDxfId="1102" totalsRowDxfId="1101"/>
    <tableColumn id="18" xr3:uid="{A078833A-1CB9-41E5-8618-06F2C775D936}" name="MES 32" totalsRowFunction="sum" dataDxfId="1100" totalsRowDxfId="1099" dataCellStyle="Moneda">
      <calculatedColumnFormula array="1">IF(H3="X",(_xlfn.XLOOKUP($B3,Tabla1[SERVICIO],Tabla1[VALOR])*1),IF(H3&gt;=1,_xlfn.XLOOKUP($B3,Tabla1[SERVICIO],Tabla1[VALOR]*H3),0))</calculatedColumnFormula>
    </tableColumn>
    <tableColumn id="6" xr3:uid="{1630FFF3-59FB-4748-AD04-37E07961D98B}" name="MES 4" totalsRowFunction="sum" dataDxfId="1098" totalsRowDxfId="1097"/>
    <tableColumn id="19" xr3:uid="{0DA12550-DF64-4FBE-A809-83083F10F03F}" name="MES 42" totalsRowFunction="sum" dataDxfId="1096" totalsRowDxfId="1095" dataCellStyle="Moneda">
      <calculatedColumnFormula array="1">IF(J3="X",(_xlfn.XLOOKUP($B3,Tabla1[SERVICIO],Tabla1[VALOR])*1),IF(J3&gt;=1,_xlfn.XLOOKUP($B3,Tabla1[SERVICIO],Tabla1[VALOR]*J3),0))</calculatedColumnFormula>
    </tableColumn>
    <tableColumn id="7" xr3:uid="{0E4DD99F-8EEA-4CDD-B8DF-903C62BA6895}" name="MES 5" totalsRowFunction="sum" dataDxfId="1094" totalsRowDxfId="1093"/>
    <tableColumn id="20" xr3:uid="{7920A55D-AA38-4CAB-A3BF-349075227010}" name="MES 52" totalsRowFunction="sum" dataDxfId="1092" totalsRowDxfId="1091" dataCellStyle="Moneda">
      <calculatedColumnFormula array="1">IF(L3="X",(_xlfn.XLOOKUP($B3,Tabla1[SERVICIO],Tabla1[VALOR])*1),IF(L3&gt;=1,_xlfn.XLOOKUP($B3,Tabla1[SERVICIO],Tabla1[VALOR]*L3),0))</calculatedColumnFormula>
    </tableColumn>
    <tableColumn id="8" xr3:uid="{E9AE669B-F3AB-4F50-AB48-61D2460D5566}" name="MES 6" totalsRowFunction="sum" dataDxfId="1090" totalsRowDxfId="1089"/>
    <tableColumn id="21" xr3:uid="{DE749160-0022-4B07-901A-A3F753C60A47}" name="MES 62" totalsRowFunction="sum" dataDxfId="1088" totalsRowDxfId="1087" dataCellStyle="Moneda">
      <calculatedColumnFormula array="1">IF(N3="X",(_xlfn.XLOOKUP($B3,Tabla1[SERVICIO],Tabla1[VALOR])*1),IF(N3&gt;=1,_xlfn.XLOOKUP($B3,Tabla1[SERVICIO],Tabla1[VALOR]*N3),0))</calculatedColumnFormula>
    </tableColumn>
    <tableColumn id="9" xr3:uid="{B08BA5D8-6EA8-4D4A-84E0-DC8425102BCB}" name="MES 7" totalsRowFunction="sum" dataDxfId="1086" totalsRowDxfId="1085"/>
    <tableColumn id="22" xr3:uid="{28AC32DD-49E4-424A-9D0E-DCEA73B6601D}" name="MES 72" totalsRowFunction="sum" dataDxfId="1084" totalsRowDxfId="1083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798433FD-66DE-49FF-9F48-095305C234DB}" name="MES 8" totalsRowFunction="sum" dataDxfId="1082" totalsRowDxfId="1081"/>
    <tableColumn id="23" xr3:uid="{FFD6E334-C336-4653-A0AA-55984E007DE2}" name="MES 82" totalsRowFunction="sum" dataDxfId="1080" totalsRowDxfId="1079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44D22802-9434-4DFE-8F1B-516B1C616163}" name="MES 9" totalsRowFunction="sum" dataDxfId="1078" totalsRowDxfId="1077"/>
    <tableColumn id="24" xr3:uid="{2CC75145-90A6-45A0-890F-EF2AAB208B2E}" name="MES 92" totalsRowFunction="sum" dataDxfId="1076" totalsRowDxfId="1075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B0A6FB62-C8E0-48AB-BCD6-EC39A2F7C050}" name="MES 10" totalsRowFunction="sum" dataDxfId="1074" totalsRowDxfId="1073"/>
    <tableColumn id="25" xr3:uid="{98965DDE-ACD3-406E-B229-8B4F3D4B3C45}" name="MES 102" totalsRowFunction="sum" dataDxfId="1072" totalsRowDxfId="1071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A7EDB067-9512-4B37-B97C-B892EA8DEEF2}" name="MES 11" totalsRowFunction="sum" dataDxfId="1070" totalsRowDxfId="1069"/>
    <tableColumn id="26" xr3:uid="{78F3CB4B-8F82-4CEE-B981-8BBC198C4B9B}" name="MES 112" totalsRowFunction="sum" dataDxfId="1068" totalsRowDxfId="1067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36EFD1A6-B5FD-43EA-AE3F-1EF3F402B638}" name="MES 12" totalsRowFunction="sum" dataDxfId="1066" totalsRowDxfId="1065"/>
    <tableColumn id="27" xr3:uid="{3172ACDD-C388-4F4D-9652-17B694BA1891}" name="MES 1122" totalsRowFunction="sum" dataDxfId="1064" totalsRowDxfId="1063" dataCellStyle="Moneda">
      <calculatedColumnFormula array="1">IF(Z3="X",(_xlfn.XLOOKUP($B3,Tabla1[SERVICIO],Tabla1[VALOR])*1),IF(Z3&gt;=1,_xlfn.XLOOKUP($B3,Tabla1[SERVICIO],Tabla1[VALOR]*Z3),0))</calculatedColumnFormula>
    </tableColumn>
    <tableColumn id="28" xr3:uid="{F98A3907-7C70-41ED-9818-B24CF579FA41}" name="TOTAL" totalsRowFunction="sum" dataDxfId="1062" totalsRowDxfId="1061">
      <calculatedColumnFormula>SUM(E3,G3,I3,K3+M3,O3,Q3,S3,U3,W3,Y3,AA3)</calculatedColumnFormula>
    </tableColumn>
    <tableColumn id="30" xr3:uid="{9BB0A14E-8A89-4088-8E08-5BB2E337D195}" name="TOTAL SERVICIOS" totalsRowFunction="sum" dataDxfId="1060" totalsRowDxfId="1059">
      <calculatedColumnFormula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calculatedColumnFormula>
    </tableColumn>
    <tableColumn id="15" xr3:uid="{023B2764-BDA7-4D46-A5EE-AF980A0F7A04}" name="Columna1" dataDxfId="1058" totalsRowDxfId="1057"/>
    <tableColumn id="31" xr3:uid="{E8B6361D-DBDB-41BE-AAED-3DBFD9A87AEC}" name="% de las personas que lo usaron" dataDxfId="1056" totalsRowDxfId="1055" dataCellStyle="Porcentaje"/>
    <tableColumn id="32" xr3:uid="{81179907-23FA-4FE2-A2A2-552BB4A032A3}" name="VALOR COSTO" totalsRowFunction="sum" dataDxfId="1054" totalsRowDxfId="1053" dataCellStyle="Moneda">
      <calculatedColumnFormula>+Tabla336[[#This Row],[TOTAL]]*Tabla336[[#This Row],[% de las personas que lo usaron]]</calculatedColumnFormula>
    </tableColumn>
    <tableColumn id="33" xr3:uid="{3467729D-877D-446F-B27C-4EBB13A53D8C}" name="RUTA" dataDxfId="1052" totalsRowDxfId="1051"/>
    <tableColumn id="34" xr3:uid="{CE463BB5-0E5E-4CDC-AE39-958A29FA1FE1}" name="DURACION" dataDxfId="1050" totalsRowDxfId="1049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9C9248A-7C1C-4DA2-8A6A-94F13EF2C508}" name="Tabla31737" displayName="Tabla31737" ref="A32:AT58" totalsRowCount="1" headerRowDxfId="1048" dataDxfId="1046" totalsRowDxfId="1044" headerRowBorderDxfId="1047" tableBorderDxfId="1045" totalsRowBorderDxfId="1043">
  <tableColumns count="46">
    <tableColumn id="1" xr3:uid="{E705FFFA-89F0-496D-A2D4-496CDBACF9FD}" name="Servicios del Programa:" dataDxfId="1042" totalsRowDxfId="1041"/>
    <tableColumn id="2" xr3:uid="{02FCCE29-1010-401C-9FAE-9EA8D4FC6D43}" name="Programa Rehabilitacion Pulmonar / Epoc" dataDxfId="1040" totalsRowDxfId="1039"/>
    <tableColumn id="44" xr3:uid="{195F5EDC-293E-4592-9176-61A15B439A8D}" name="CATEGORIA" dataDxfId="1038" totalsRowDxfId="1037">
      <calculatedColumnFormula>_xlfn.XLOOKUP(Tabla31737[[#This Row],[Servicios del Programa:]],Tabla151[CODIGO],Tabla151[VALOR])</calculatedColumnFormula>
    </tableColumn>
    <tableColumn id="3" xr3:uid="{01B12532-3BCC-4646-93F9-3DEF115D6AB3}" name="MES 1" dataDxfId="1036" totalsRowDxfId="1035"/>
    <tableColumn id="21" xr3:uid="{FB652D23-EF91-4C9B-9D37-B43AFC1EA96D}" name="MES 19" totalsRowFunction="sum" dataDxfId="1034" totalsRowDxfId="1033" dataCellStyle="Moneda">
      <calculatedColumnFormula array="1">IF(D33="X",(_xlfn.XLOOKUP($B33,Tabla1[SERVICIO],Tabla1[VALOR])*1),IF(D33&gt;=1,_xlfn.XLOOKUP($B33,Tabla1[SERVICIO],Tabla1[VALOR]*D33),0))</calculatedColumnFormula>
    </tableColumn>
    <tableColumn id="4" xr3:uid="{ADC6CCEC-82A6-4FE9-851B-3C6095FD1424}" name="MES 2" dataDxfId="1032" totalsRowDxfId="1031"/>
    <tableColumn id="22" xr3:uid="{665EFF37-A95E-4556-AAB9-7A29E8E86947}" name="MES 22" totalsRowFunction="sum" dataDxfId="1030" totalsRowDxfId="1029" dataCellStyle="Moneda">
      <calculatedColumnFormula array="1">IF(F33="X",(_xlfn.XLOOKUP($B33,Tabla1[SERVICIO],Tabla1[VALOR])*1),IF(F33&gt;=1,_xlfn.XLOOKUP($B33,Tabla1[SERVICIO],Tabla1[VALOR]*F33),0))</calculatedColumnFormula>
    </tableColumn>
    <tableColumn id="5" xr3:uid="{7DBAB970-9795-42E5-A80D-FC11E98645CE}" name="MES 3" dataDxfId="1028" totalsRowDxfId="1027"/>
    <tableColumn id="23" xr3:uid="{5139758E-0FAA-4C61-9093-106FE19E2D64}" name="MES 32" totalsRowFunction="sum" dataDxfId="1026" totalsRowDxfId="1025" dataCellStyle="Moneda">
      <calculatedColumnFormula array="1">IF(H33="X",(_xlfn.XLOOKUP($B33,Tabla1[SERVICIO],Tabla1[VALOR])*1),IF(H33&gt;=1,_xlfn.XLOOKUP($B33,Tabla1[SERVICIO],Tabla1[VALOR]*H33),0))</calculatedColumnFormula>
    </tableColumn>
    <tableColumn id="6" xr3:uid="{56C76B3E-0EAD-47BB-AEB0-F479A1379ECC}" name="MES 4" dataDxfId="1024" totalsRowDxfId="1023"/>
    <tableColumn id="24" xr3:uid="{240622FD-A6D2-41BB-A5F0-9F4C3E9CBA07}" name="MES 42" totalsRowFunction="sum" dataDxfId="1022" totalsRowDxfId="1021" dataCellStyle="Moneda">
      <calculatedColumnFormula array="1">IF(J33="X",(_xlfn.XLOOKUP($B33,Tabla1[SERVICIO],Tabla1[VALOR])*1),IF(J33&gt;=1,_xlfn.XLOOKUP($B33,Tabla1[SERVICIO],Tabla1[VALOR]*J33),0))</calculatedColumnFormula>
    </tableColumn>
    <tableColumn id="7" xr3:uid="{2A91662A-481A-453C-850A-CC7B36FF7B68}" name="MES 5" dataDxfId="1020" totalsRowDxfId="1019"/>
    <tableColumn id="25" xr3:uid="{69CA09A3-A741-4185-8BF4-333583550B1C}" name="MES 52" totalsRowFunction="sum" dataDxfId="1018" totalsRowDxfId="1017" dataCellStyle="Moneda">
      <calculatedColumnFormula array="1">IF(L33="X",(_xlfn.XLOOKUP($B33,Tabla1[SERVICIO],Tabla1[VALOR])*1),IF(L33&gt;=1,_xlfn.XLOOKUP($B33,Tabla1[SERVICIO],Tabla1[VALOR]*L33),0))</calculatedColumnFormula>
    </tableColumn>
    <tableColumn id="8" xr3:uid="{1F76383B-344D-4AB8-B035-6067957253FA}" name="MES 6" dataDxfId="1016" totalsRowDxfId="1015"/>
    <tableColumn id="26" xr3:uid="{51F84140-7C86-4F32-A609-625C9D0B25AC}" name="MES 62" totalsRowFunction="sum" dataDxfId="1014" totalsRowDxfId="1013" dataCellStyle="Moneda">
      <calculatedColumnFormula array="1">IF(N33="X",(_xlfn.XLOOKUP($B33,Tabla1[SERVICIO],Tabla1[VALOR])*1),IF(N33&gt;=1,_xlfn.XLOOKUP($B33,Tabla1[SERVICIO],Tabla1[VALOR]*N33),0))</calculatedColumnFormula>
    </tableColumn>
    <tableColumn id="9" xr3:uid="{E56472BD-E77A-4248-BA7A-418C395D26FA}" name="MES 7" dataDxfId="1012" totalsRowDxfId="1011"/>
    <tableColumn id="27" xr3:uid="{EB61E854-8705-495A-9D9D-3953D2E0E781}" name="MES 72" totalsRowFunction="sum" dataDxfId="1010" totalsRowDxfId="1009" dataCellStyle="Moneda">
      <calculatedColumnFormula array="1">IF(P33="X",(_xlfn.XLOOKUP($B33,Tabla1[SERVICIO],Tabla1[VALOR])*1),IF(P33&gt;=1,_xlfn.XLOOKUP($B33,Tabla1[SERVICIO],Tabla1[VALOR]*P33),0))</calculatedColumnFormula>
    </tableColumn>
    <tableColumn id="10" xr3:uid="{5E69161A-8EA9-45C3-A7BF-C991A671502C}" name="MES 8" dataDxfId="1008" totalsRowDxfId="1007"/>
    <tableColumn id="28" xr3:uid="{678EC4DA-5F61-4189-AE3C-244BEAD6C046}" name="MES 82" totalsRowFunction="sum" dataDxfId="1006" totalsRowDxfId="1005" dataCellStyle="Moneda">
      <calculatedColumnFormula array="1">IF(R33="X",(_xlfn.XLOOKUP($B33,Tabla1[SERVICIO],Tabla1[VALOR])*1),IF(R33&gt;=1,_xlfn.XLOOKUP($B33,Tabla1[SERVICIO],Tabla1[VALOR]*R33),0))</calculatedColumnFormula>
    </tableColumn>
    <tableColumn id="11" xr3:uid="{D1A588FD-0914-4B41-867E-A26EFAA5201F}" name="MES 9" dataDxfId="1004" totalsRowDxfId="1003"/>
    <tableColumn id="29" xr3:uid="{1894E113-33E7-478A-B608-21527DD0387A}" name="MES 92" totalsRowFunction="sum" dataDxfId="1002" totalsRowDxfId="1001" dataCellStyle="Moneda">
      <calculatedColumnFormula array="1">IF(T33="X",(_xlfn.XLOOKUP($B33,Tabla1[SERVICIO],Tabla1[VALOR])*1),IF(T33&gt;=1,_xlfn.XLOOKUP($B33,Tabla1[SERVICIO],Tabla1[VALOR]*T33),0))</calculatedColumnFormula>
    </tableColumn>
    <tableColumn id="12" xr3:uid="{6755AB1A-DB2C-418F-A152-6281D0312BA6}" name="MES 10" dataDxfId="1000" totalsRowDxfId="999"/>
    <tableColumn id="30" xr3:uid="{B40F9492-16B2-4C38-BDCF-01D27CE15096}" name="MES 102" totalsRowFunction="sum" dataDxfId="998" totalsRowDxfId="997" dataCellStyle="Moneda">
      <calculatedColumnFormula array="1">IF(V33="X",(_xlfn.XLOOKUP($B33,Tabla1[SERVICIO],Tabla1[VALOR])*1),IF(V33&gt;=1,_xlfn.XLOOKUP($B33,Tabla1[SERVICIO],Tabla1[VALOR]*V33),0))</calculatedColumnFormula>
    </tableColumn>
    <tableColumn id="13" xr3:uid="{AADF7324-86D9-45A7-88E1-7BA513A73EC8}" name="MES 11" dataDxfId="996" totalsRowDxfId="995"/>
    <tableColumn id="31" xr3:uid="{20228A6F-D68C-4F20-8BC4-AD0C0F578399}" name="MES 112" totalsRowFunction="sum" dataDxfId="994" totalsRowDxfId="993" dataCellStyle="Moneda">
      <calculatedColumnFormula array="1">IF(X33="X",(_xlfn.XLOOKUP($B33,Tabla1[SERVICIO],Tabla1[VALOR])*1),IF(X33&gt;=1,_xlfn.XLOOKUP($B33,Tabla1[SERVICIO],Tabla1[VALOR]*X33),0))</calculatedColumnFormula>
    </tableColumn>
    <tableColumn id="14" xr3:uid="{9D31B255-DC0F-479E-9309-DC98D3A84B0D}" name="MES 12" dataDxfId="992" totalsRowDxfId="991"/>
    <tableColumn id="32" xr3:uid="{30EE18C0-6A87-4DCB-AAFB-3E704D8B9821}" name="MES 122" totalsRowFunction="sum" dataDxfId="990" totalsRowDxfId="989" dataCellStyle="Moneda">
      <calculatedColumnFormula array="1">IF(Z33="X",(_xlfn.XLOOKUP($B33,Tabla1[SERVICIO],Tabla1[VALOR])*1),IF(Z33&gt;=1,_xlfn.XLOOKUP($B33,Tabla1[SERVICIO],Tabla1[VALOR]*Z33),0))</calculatedColumnFormula>
    </tableColumn>
    <tableColumn id="15" xr3:uid="{059EE344-6F47-4049-B1A0-B5F5CA7DCC37}" name="MES 13" dataDxfId="988" totalsRowDxfId="987"/>
    <tableColumn id="33" xr3:uid="{EE6CDEB5-EE87-4567-9D3B-F7D5C6294B7F}" name="MES 132" totalsRowFunction="sum" dataDxfId="986" totalsRowDxfId="985" dataCellStyle="Moneda">
      <calculatedColumnFormula array="1">IF(AB33="X",(_xlfn.XLOOKUP($B33,Tabla1[SERVICIO],Tabla1[VALOR])*1),IF(AB33&gt;=1,_xlfn.XLOOKUP($B33,Tabla1[SERVICIO],Tabla1[VALOR]*AB33),0))</calculatedColumnFormula>
    </tableColumn>
    <tableColumn id="16" xr3:uid="{585D53F0-C142-4750-B970-47F70B80E1D1}" name="MES 14" dataDxfId="984" totalsRowDxfId="983"/>
    <tableColumn id="34" xr3:uid="{304F11FE-6D1A-4AD3-8123-7C403D21560F}" name="MES 142" totalsRowFunction="sum" dataDxfId="982" totalsRowDxfId="981" dataCellStyle="Moneda">
      <calculatedColumnFormula array="1">IF(AD33="X",(_xlfn.XLOOKUP($B33,Tabla1[SERVICIO],Tabla1[VALOR])*1),IF(AD33&gt;=1,_xlfn.XLOOKUP($B33,Tabla1[SERVICIO],Tabla1[VALOR]*AD33),0))</calculatedColumnFormula>
    </tableColumn>
    <tableColumn id="17" xr3:uid="{F60783DC-4E22-4A60-8F81-4AD57FAE4196}" name="MES 15" dataDxfId="980" totalsRowDxfId="979"/>
    <tableColumn id="35" xr3:uid="{F0161E6E-8BC2-4CCD-9686-A91A2A0196F0}" name="MES 152" totalsRowFunction="sum" dataDxfId="978" totalsRowDxfId="977" dataCellStyle="Moneda">
      <calculatedColumnFormula array="1">IF(AF33="X",(_xlfn.XLOOKUP($B33,Tabla1[SERVICIO],Tabla1[VALOR])*1),IF(AF33&gt;=1,_xlfn.XLOOKUP($B33,Tabla1[SERVICIO],Tabla1[VALOR]*AF33),0))</calculatedColumnFormula>
    </tableColumn>
    <tableColumn id="18" xr3:uid="{A588091B-EFA7-4B11-A0DE-6A67F3FBAA2A}" name="MES 16" dataDxfId="976" totalsRowDxfId="975"/>
    <tableColumn id="36" xr3:uid="{0FD53FB7-5A84-439E-BA6B-638B1C622193}" name="MES 162" totalsRowFunction="sum" dataDxfId="974" totalsRowDxfId="973" dataCellStyle="Moneda">
      <calculatedColumnFormula array="1">IF(AH33="X",(_xlfn.XLOOKUP($B33,Tabla1[SERVICIO],Tabla1[VALOR])*1),IF(AH33&gt;=1,_xlfn.XLOOKUP($B33,Tabla1[SERVICIO],Tabla1[VALOR]*AH33),0))</calculatedColumnFormula>
    </tableColumn>
    <tableColumn id="19" xr3:uid="{BD8F9B90-A54C-4797-8714-811C66CB8F4B}" name="MES 17" dataDxfId="972" totalsRowDxfId="971"/>
    <tableColumn id="37" xr3:uid="{93EC26FA-C1CB-4002-A448-CD749FC4FCD8}" name="MES 172" totalsRowFunction="sum" dataDxfId="970" totalsRowDxfId="969" dataCellStyle="Moneda">
      <calculatedColumnFormula array="1">IF(AJ33="X",(_xlfn.XLOOKUP($B33,Tabla1[SERVICIO],Tabla1[VALOR])*1),IF(AJ33&gt;=1,_xlfn.XLOOKUP($B33,Tabla1[SERVICIO],Tabla1[VALOR]*AJ33),0))</calculatedColumnFormula>
    </tableColumn>
    <tableColumn id="20" xr3:uid="{D722CC80-A015-4485-8C1E-A70CEBEF415C}" name="MES 18" dataDxfId="968" totalsRowDxfId="967"/>
    <tableColumn id="38" xr3:uid="{F39B9F1E-5980-4659-A378-3DB0730A5B54}" name="MES 1722" totalsRowFunction="sum" dataDxfId="966" totalsRowDxfId="965" dataCellStyle="Moneda">
      <calculatedColumnFormula array="1">IF(AL33="X",(_xlfn.XLOOKUP($B33,Tabla1[SERVICIO],Tabla1[VALOR])*1),IF(AL33&gt;=1,_xlfn.XLOOKUP($B33,Tabla1[SERVICIO],Tabla1[VALOR]*AL33),0))</calculatedColumnFormula>
    </tableColumn>
    <tableColumn id="39" xr3:uid="{495497D2-382B-46EC-B5F0-93ED8FC6E5A9}" name="TOTAL" totalsRowFunction="sum" dataDxfId="964" totalsRowDxfId="963">
      <calculatedColumnFormula>SUM(E33,G33,I33,K33,M33,O33,Q33,S33,U33,W33+Y33,AA33,AC33,AE33,AG33,AI33,AK33,AM33)</calculatedColumnFormula>
    </tableColumn>
    <tableColumn id="40" xr3:uid="{C169FB9B-BDFF-4922-B402-42211698A873}" name="TOTAL SERVICIOS" totalsRowFunction="sum" dataDxfId="962" totalsRowDxfId="961" dataCellStyle="Millares">
      <calculatedColumnFormula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calculatedColumnFormula>
    </tableColumn>
    <tableColumn id="41" xr3:uid="{CF5BB335-CA86-41FD-B580-CF63225893A2}" name="Columna1" dataDxfId="960" totalsRowDxfId="959"/>
    <tableColumn id="42" xr3:uid="{917D2DB5-D5F6-49D9-964E-95A967538C27}" name="% de las personas que lo usaron" dataDxfId="958" totalsRowDxfId="957" dataCellStyle="Porcentaje"/>
    <tableColumn id="43" xr3:uid="{5A2E2947-B5A0-46AC-840B-A7D8E965AE7E}" name="VALOR COSTO" totalsRowFunction="sum" dataDxfId="956" totalsRowDxfId="955" dataCellStyle="Moneda">
      <calculatedColumnFormula>+Tabla31737[[#This Row],[TOTAL]]*Tabla31737[[#This Row],[% de las personas que lo usaron]]</calculatedColumnFormula>
    </tableColumn>
    <tableColumn id="45" xr3:uid="{21A3B8FE-1166-480F-AF31-AFEF42E7CFE6}" name="RUTA" dataDxfId="954" totalsRowDxfId="953"/>
    <tableColumn id="46" xr3:uid="{1B22FE25-CEEC-4D2F-82EB-7B2E65B1B0DE}" name="DURACION" dataDxfId="952" totalsRowDxfId="951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D31B668-5EE9-4461-8234-B0E077421279}" name="Tabla238" displayName="Tabla238" ref="A2:AF29" totalsRowCount="1" headerRowDxfId="950" dataDxfId="948" totalsRowDxfId="946" headerRowBorderDxfId="949" tableBorderDxfId="947" totalsRowBorderDxfId="945" totalsRowCellStyle="Moneda">
  <autoFilter ref="A2:AF28" xr:uid="{5D31B668-5EE9-4461-8234-B0E077421279}"/>
  <tableColumns count="32">
    <tableColumn id="1" xr3:uid="{BE61C51B-C60F-4B75-BE55-2804701AA8B3}" name="Servicios del Programa:" totalsRowDxfId="944"/>
    <tableColumn id="2" xr3:uid="{8EFF8DB9-5242-4EFD-898A-D74B0D57CC72}" name="Programa de RHP /Cesacion TabAquica" totalsRowDxfId="943"/>
    <tableColumn id="32" xr3:uid="{4D5C3243-7895-4A82-9BCB-55EDB0AB9F9E}" name="CATEGORIA" dataDxfId="942" totalsRowDxfId="941">
      <calculatedColumnFormula>_xlfn.XLOOKUP(Tabla238[[#This Row],[Servicios del Programa:]],Tabla151[CODIGO],Tabla151[VALOR])</calculatedColumnFormula>
    </tableColumn>
    <tableColumn id="3" xr3:uid="{91CCEC7C-0841-4335-942B-E17DC7D6E914}" name="MES 1" totalsRowFunction="sum" totalsRowDxfId="940"/>
    <tableColumn id="15" xr3:uid="{6053D927-72C0-452C-83EB-58524F1F64EA}" name="MES 13" totalsRowFunction="sum" totalsRowDxfId="939">
      <calculatedColumnFormula array="1">IF(D3="X",(_xlfn.XLOOKUP($B3,Tabla1[SERVICIO],Tabla1[VALOR])*1),IF(D3&gt;=1,_xlfn.XLOOKUP($B3,Tabla1[SERVICIO],Tabla1[VALOR]*D3),0))</calculatedColumnFormula>
    </tableColumn>
    <tableColumn id="4" xr3:uid="{F280EC5D-AA51-49C7-9D9D-41BABAA8BB5C}" name="MES 2" totalsRowFunction="sum" totalsRowDxfId="938"/>
    <tableColumn id="16" xr3:uid="{B3429EE3-FAE9-48B7-9215-1BEAD28E26D8}" name="MES 22" totalsRowFunction="sum" totalsRowDxfId="937" dataCellStyle="Moneda">
      <calculatedColumnFormula array="1">IF(F3="X",(_xlfn.XLOOKUP($B3,Tabla1[SERVICIO],Tabla1[VALOR])*1),IF(F3&gt;=1,_xlfn.XLOOKUP($B3,Tabla1[SERVICIO],Tabla1[VALOR]*F3),0))</calculatedColumnFormula>
    </tableColumn>
    <tableColumn id="5" xr3:uid="{2B207F05-4563-44B8-8D50-9E63BF2F7812}" name="MES 3" totalsRowFunction="sum" totalsRowDxfId="936"/>
    <tableColumn id="17" xr3:uid="{F0F3FA8C-949B-4E05-B2F0-2098E1D22D5B}" name="MES 32" totalsRowFunction="sum" totalsRowDxfId="935" dataCellStyle="Moneda">
      <calculatedColumnFormula array="1">IF(H3="X",(_xlfn.XLOOKUP($B3,Tabla1[SERVICIO],Tabla1[VALOR])*1),IF(H3&gt;=1,_xlfn.XLOOKUP($B3,Tabla1[SERVICIO],Tabla1[VALOR]*H3),0))</calculatedColumnFormula>
    </tableColumn>
    <tableColumn id="6" xr3:uid="{29E2D0FB-2C86-45BA-816C-D16F3FF03E5A}" name="MES 4" totalsRowFunction="sum" totalsRowDxfId="934"/>
    <tableColumn id="18" xr3:uid="{38BC2305-489F-40DC-9A72-AB04CDDC6DE5}" name="MES 42" totalsRowFunction="sum" totalsRowDxfId="933" dataCellStyle="Moneda">
      <calculatedColumnFormula array="1">IF(J3="X",(_xlfn.XLOOKUP($B3,Tabla1[SERVICIO],Tabla1[VALOR])*1),IF(J3&gt;=1,_xlfn.XLOOKUP($B3,Tabla1[SERVICIO],Tabla1[VALOR]*J3),0))</calculatedColumnFormula>
    </tableColumn>
    <tableColumn id="7" xr3:uid="{3E7F88EC-574B-454E-8781-12162DC27210}" name="MES 5" totalsRowFunction="sum" totalsRowDxfId="932"/>
    <tableColumn id="19" xr3:uid="{9858FB6E-70B4-45F7-BA9B-4853BED9E172}" name="MES 52" totalsRowFunction="sum" totalsRowDxfId="931" dataCellStyle="Moneda">
      <calculatedColumnFormula array="1">IF(L3="X",(_xlfn.XLOOKUP($B3,Tabla1[SERVICIO],Tabla1[VALOR])*1),IF(L3&gt;=1,_xlfn.XLOOKUP($B3,Tabla1[SERVICIO],Tabla1[VALOR]*L3),0))</calculatedColumnFormula>
    </tableColumn>
    <tableColumn id="8" xr3:uid="{8A287C69-6623-430A-9C13-E15AF4EE69C3}" name="MES 6" totalsRowFunction="sum" totalsRowDxfId="930"/>
    <tableColumn id="20" xr3:uid="{F826192A-06E8-47C0-8B4A-87C8BB5C10A3}" name="MES 62" totalsRowFunction="sum" totalsRowDxfId="929" dataCellStyle="Moneda">
      <calculatedColumnFormula array="1">IF(N3="X",(_xlfn.XLOOKUP($B3,Tabla1[SERVICIO],Tabla1[VALOR])*1),IF(N3&gt;=1,_xlfn.XLOOKUP($B3,Tabla1[SERVICIO],Tabla1[VALOR]*N3),0))</calculatedColumnFormula>
    </tableColumn>
    <tableColumn id="9" xr3:uid="{21928922-E97D-4199-9A0C-BE1B070AFCF6}" name="MES 7" totalsRowFunction="sum" totalsRowDxfId="928"/>
    <tableColumn id="21" xr3:uid="{A9A73ACF-5734-4072-8602-E9E6B941378A}" name="MES 72" totalsRowFunction="sum" totalsRowDxfId="927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D1851545-4C78-4D9C-BD9D-50D54A7DF793}" name="MES 8" totalsRowFunction="sum" totalsRowDxfId="926"/>
    <tableColumn id="22" xr3:uid="{3B3A491A-3EB6-4F0F-A1BB-0E4EAB901341}" name="MES 82" totalsRowFunction="sum" totalsRowDxfId="925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69C606B6-B125-4B43-9905-D57A6ABADC94}" name="MES 9" totalsRowFunction="sum" totalsRowDxfId="924"/>
    <tableColumn id="23" xr3:uid="{00F349FA-BCF9-45A2-95D2-52A8313E2327}" name="MES 92" totalsRowFunction="sum" totalsRowDxfId="923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7695E2CE-05B1-48B5-AD14-CE2A9517852E}" name="MES 10" totalsRowFunction="sum" totalsRowDxfId="922"/>
    <tableColumn id="24" xr3:uid="{0D07003A-087B-47CD-A11A-088433FEC273}" name="MES 102" totalsRowFunction="sum" totalsRowDxfId="921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8820DC6E-A0CE-4084-BE7D-92CEF7E428EC}" name="MES 11" totalsRowFunction="sum" totalsRowDxfId="920"/>
    <tableColumn id="25" xr3:uid="{D0914A0D-CDD1-4576-914C-7B2A3FB46E63}" name="MES 112" totalsRowFunction="sum" totalsRowDxfId="919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4EB05347-6CB5-4840-9E67-6A592DF61EFC}" name="MES 12" totalsRowFunction="sum" totalsRowDxfId="918"/>
    <tableColumn id="26" xr3:uid="{56EDFBDE-8021-4C9D-889C-7DAC5F65175B}" name="MES 1122" totalsRowFunction="sum" totalsRowDxfId="917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625A2EEA-71EF-45A3-9414-EC4D27BA4DA1}" name="TOTAL" totalsRowFunction="sum" totalsRowDxfId="916">
      <calculatedColumnFormula>SUM(E3,G3,I3,K3+M3,O3,Q3,S3,U3,W3,Y3,AA3)</calculatedColumnFormula>
    </tableColumn>
    <tableColumn id="29" xr3:uid="{75DEA52B-9307-4A22-A43F-C6E0A1541B9A}" name="TOTAL SERVICIOS" totalsRowFunction="sum" totalsRowDxfId="915">
      <calculatedColumnFormula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calculatedColumnFormula>
    </tableColumn>
    <tableColumn id="28" xr3:uid="{7FEE42B7-70FD-4F43-BF32-1C10D0696322}" name="Columna1" totalsRowDxfId="914"/>
    <tableColumn id="30" xr3:uid="{054310B2-C45E-437F-B55C-BE8ABD57B3A7}" name="% de las personas que lo usaron" totalsRowDxfId="913"/>
    <tableColumn id="31" xr3:uid="{C927C0B2-2727-42F3-95A9-D2EC25BDCFDD}" name="VALOR COSTO" totalsRowFunction="sum" totalsRowDxfId="91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78A40F5-D6BF-47D3-8671-380E4AE0D2A8}" name="Tabla21839" displayName="Tabla21839" ref="A32:AT59" totalsRowCount="1" headerRowDxfId="911" dataDxfId="909" totalsRowDxfId="907" headerRowBorderDxfId="910" tableBorderDxfId="908" totalsRowBorderDxfId="906">
  <tableColumns count="46">
    <tableColumn id="1" xr3:uid="{57D07F91-41D6-49A5-8A56-1B1BC2A9F75E}" name="Servicios del Programa:" dataDxfId="905" totalsRowDxfId="904"/>
    <tableColumn id="2" xr3:uid="{6DA8B028-E1AC-4E5D-B1C7-5DE97B29AD3A}" name="Programa de RHP /Cesacion TabAquica" dataDxfId="903" totalsRowDxfId="902"/>
    <tableColumn id="44" xr3:uid="{21EBDA77-C2F0-4050-ADEE-CEB869B8056E}" name="CATEGORIA" dataDxfId="901" totalsRowDxfId="900">
      <calculatedColumnFormula>_xlfn.XLOOKUP(Tabla21839[[#This Row],[Servicios del Programa:]],Tabla151[CODIGO],Tabla151[VALOR])</calculatedColumnFormula>
    </tableColumn>
    <tableColumn id="3" xr3:uid="{91C35148-5CCF-4720-9A4F-A741E405F813}" name="MES 1" totalsRowFunction="sum" dataDxfId="899" totalsRowDxfId="898"/>
    <tableColumn id="21" xr3:uid="{250CB9A2-ED0B-4F97-AD14-E83F763D4F06}" name="MES 19" totalsRowFunction="sum" dataDxfId="897" totalsRowDxfId="896" dataCellStyle="Moneda">
      <calculatedColumnFormula array="1">IF(D33="X",(_xlfn.XLOOKUP($B33,Tabla1[SERVICIO],Tabla1[VALOR])*1),IF(D33&gt;=1,_xlfn.XLOOKUP($B33,Tabla1[SERVICIO],Tabla1[VALOR]*D33),0))</calculatedColumnFormula>
    </tableColumn>
    <tableColumn id="4" xr3:uid="{14DF4252-5D94-451C-A1E9-30C54C4B1D3D}" name="MES 2" totalsRowFunction="sum" dataDxfId="895" totalsRowDxfId="894"/>
    <tableColumn id="22" xr3:uid="{8261F79A-79E3-4A31-9BBA-3863B5EC21CE}" name="MES 22" totalsRowFunction="sum" dataDxfId="893" totalsRowDxfId="892" dataCellStyle="Moneda">
      <calculatedColumnFormula array="1">IF(F33="X",(_xlfn.XLOOKUP($B33,Tabla1[SERVICIO],Tabla1[VALOR])*1),IF(F33&gt;=1,_xlfn.XLOOKUP($B33,Tabla1[SERVICIO],Tabla1[VALOR]*F33),0))</calculatedColumnFormula>
    </tableColumn>
    <tableColumn id="5" xr3:uid="{570644A1-5678-4BE5-8D0F-1F77BB16DC4E}" name="MES 3" totalsRowFunction="sum" dataDxfId="891" totalsRowDxfId="890"/>
    <tableColumn id="23" xr3:uid="{F3B937AF-2EDB-4D64-A501-92EC59F12E0A}" name="MES 32" totalsRowFunction="sum" dataDxfId="889" totalsRowDxfId="888" dataCellStyle="Moneda">
      <calculatedColumnFormula array="1">IF(H33="X",(_xlfn.XLOOKUP($B33,Tabla1[SERVICIO],Tabla1[VALOR])*1),IF(H33&gt;=1,_xlfn.XLOOKUP($B33,Tabla1[SERVICIO],Tabla1[VALOR]*H33),0))</calculatedColumnFormula>
    </tableColumn>
    <tableColumn id="6" xr3:uid="{DCEF09DD-7380-4580-B50D-50D52CA89122}" name="MES 4" totalsRowFunction="sum" dataDxfId="887" totalsRowDxfId="886"/>
    <tableColumn id="24" xr3:uid="{1F9F5EA8-81C8-4FB9-B69E-8350C676D936}" name="MES 42" totalsRowFunction="sum" dataDxfId="885" totalsRowDxfId="884" dataCellStyle="Moneda">
      <calculatedColumnFormula array="1">IF(J33="X",(_xlfn.XLOOKUP($B33,Tabla1[SERVICIO],Tabla1[VALOR])*1),IF(J33&gt;=1,_xlfn.XLOOKUP($B33,Tabla1[SERVICIO],Tabla1[VALOR]*J33),0))</calculatedColumnFormula>
    </tableColumn>
    <tableColumn id="7" xr3:uid="{A6908AC8-B3BA-46AD-BC9E-8FB2D286A698}" name="MES 5" totalsRowFunction="sum" dataDxfId="883" totalsRowDxfId="882"/>
    <tableColumn id="25" xr3:uid="{3389D979-EDAF-4628-A479-17F4FF33CF27}" name="MES 52" totalsRowFunction="sum" dataDxfId="881" totalsRowDxfId="880" dataCellStyle="Moneda">
      <calculatedColumnFormula array="1">IF(L33="X",(_xlfn.XLOOKUP($B33,Tabla1[SERVICIO],Tabla1[VALOR])*1),IF(L33&gt;=1,_xlfn.XLOOKUP($B33,Tabla1[SERVICIO],Tabla1[VALOR]*L33),0))</calculatedColumnFormula>
    </tableColumn>
    <tableColumn id="8" xr3:uid="{F0B2BFFA-A72B-44F1-8430-1C67B8FB3C6D}" name="MES 6" totalsRowFunction="sum" dataDxfId="879" totalsRowDxfId="878"/>
    <tableColumn id="26" xr3:uid="{1E041199-CDE2-42C4-9E70-DB9B3E58A62F}" name="MES 62" totalsRowFunction="sum" dataDxfId="877" totalsRowDxfId="876" dataCellStyle="Moneda">
      <calculatedColumnFormula array="1">IF(N33="X",(_xlfn.XLOOKUP($B33,Tabla1[SERVICIO],Tabla1[VALOR])*1),IF(N33&gt;=1,_xlfn.XLOOKUP($B33,Tabla1[SERVICIO],Tabla1[VALOR]*N33),0))</calculatedColumnFormula>
    </tableColumn>
    <tableColumn id="9" xr3:uid="{B71712B9-C445-4B9A-A1B4-906081456E03}" name="MES 7" totalsRowFunction="sum" dataDxfId="875" totalsRowDxfId="874"/>
    <tableColumn id="27" xr3:uid="{95733CE9-6E2E-4F29-8A24-426EE2622F2C}" name="MES 72" totalsRowFunction="sum" dataDxfId="873" totalsRowDxfId="872" dataCellStyle="Moneda">
      <calculatedColumnFormula array="1">IF(P33="X",(_xlfn.XLOOKUP($B33,Tabla1[SERVICIO],Tabla1[VALOR])*1),IF(P33&gt;=1,_xlfn.XLOOKUP($B33,Tabla1[SERVICIO],Tabla1[VALOR]*P33),0))</calculatedColumnFormula>
    </tableColumn>
    <tableColumn id="10" xr3:uid="{C41796CF-C23D-4399-84A4-CA0B74E999DB}" name="MES 8" totalsRowFunction="sum" dataDxfId="871" totalsRowDxfId="870"/>
    <tableColumn id="28" xr3:uid="{4E939490-1342-46BD-8C22-DBAD0C9A6E22}" name="MES 82" totalsRowFunction="sum" dataDxfId="869" totalsRowDxfId="868" dataCellStyle="Moneda">
      <calculatedColumnFormula array="1">IF(R33="X",(_xlfn.XLOOKUP($B33,Tabla1[SERVICIO],Tabla1[VALOR])*1),IF(R33&gt;=1,_xlfn.XLOOKUP($B33,Tabla1[SERVICIO],Tabla1[VALOR]*R33),0))</calculatedColumnFormula>
    </tableColumn>
    <tableColumn id="11" xr3:uid="{52F46CEF-5A9F-4B76-9A05-2E60F5A16858}" name="MES 9" totalsRowFunction="sum" dataDxfId="867" totalsRowDxfId="866"/>
    <tableColumn id="29" xr3:uid="{390CB707-6189-4D41-8EB5-999958061FEA}" name="MES 92" totalsRowFunction="sum" dataDxfId="865" totalsRowDxfId="864" dataCellStyle="Moneda">
      <calculatedColumnFormula array="1">IF(T33="X",(_xlfn.XLOOKUP($B33,Tabla1[SERVICIO],Tabla1[VALOR])*1),IF(T33&gt;=1,_xlfn.XLOOKUP($B33,Tabla1[SERVICIO],Tabla1[VALOR]*T33),0))</calculatedColumnFormula>
    </tableColumn>
    <tableColumn id="12" xr3:uid="{AC705209-1111-43DF-952D-8DD3B1656457}" name="MES 10" totalsRowFunction="sum" dataDxfId="863" totalsRowDxfId="862"/>
    <tableColumn id="30" xr3:uid="{5B2E9758-2C4B-4634-BC58-B1D0FAD8EC33}" name="MES 102" totalsRowFunction="sum" dataDxfId="861" totalsRowDxfId="860" dataCellStyle="Moneda">
      <calculatedColumnFormula array="1">IF(V33="X",(_xlfn.XLOOKUP($B33,Tabla1[SERVICIO],Tabla1[VALOR])*1),IF(V33&gt;=1,_xlfn.XLOOKUP($B33,Tabla1[SERVICIO],Tabla1[VALOR]*V33),0))</calculatedColumnFormula>
    </tableColumn>
    <tableColumn id="13" xr3:uid="{1AB36E65-6EF3-482A-A395-AACD201234B1}" name="MES 11" totalsRowFunction="sum" dataDxfId="859" totalsRowDxfId="858"/>
    <tableColumn id="31" xr3:uid="{A52BB41A-0C6C-4062-B5ED-67357BC501D6}" name="MES 112" totalsRowFunction="sum" dataDxfId="857" totalsRowDxfId="856" dataCellStyle="Moneda">
      <calculatedColumnFormula array="1">IF(X33="X",(_xlfn.XLOOKUP($B33,Tabla1[SERVICIO],Tabla1[VALOR])*1),IF(X33&gt;=1,_xlfn.XLOOKUP($B33,Tabla1[SERVICIO],Tabla1[VALOR]*X33),0))</calculatedColumnFormula>
    </tableColumn>
    <tableColumn id="14" xr3:uid="{4D79FD9B-3916-4690-8C33-2275F34FEE48}" name="MES 12" totalsRowFunction="sum" dataDxfId="855" totalsRowDxfId="854"/>
    <tableColumn id="32" xr3:uid="{B5F63139-4660-459A-A21B-6DBA4A855F05}" name="MES 122" totalsRowFunction="sum" dataDxfId="853" totalsRowDxfId="852" dataCellStyle="Moneda">
      <calculatedColumnFormula array="1">IF(Z33="X",(_xlfn.XLOOKUP($B33,Tabla1[SERVICIO],Tabla1[VALOR])*1),IF(Z33&gt;=1,_xlfn.XLOOKUP($B33,Tabla1[SERVICIO],Tabla1[VALOR]*Z33),0))</calculatedColumnFormula>
    </tableColumn>
    <tableColumn id="15" xr3:uid="{AFB3EBB6-89D4-46C2-9E56-28D1C6653C20}" name="MES 13" totalsRowFunction="sum" dataDxfId="851" totalsRowDxfId="850"/>
    <tableColumn id="33" xr3:uid="{2A48B09A-5593-445C-ACE1-B0DFD8A7C89B}" name="MES 132" totalsRowFunction="sum" dataDxfId="849" totalsRowDxfId="848" dataCellStyle="Moneda">
      <calculatedColumnFormula array="1">IF(AB33="X",(_xlfn.XLOOKUP($B33,Tabla1[SERVICIO],Tabla1[VALOR])*1),IF(AB33&gt;=1,_xlfn.XLOOKUP($B33,Tabla1[SERVICIO],Tabla1[VALOR]*AB33),0))</calculatedColumnFormula>
    </tableColumn>
    <tableColumn id="16" xr3:uid="{D0316FD8-6485-4960-A85F-7882C2E29D37}" name="MES 14" totalsRowFunction="sum" dataDxfId="847" totalsRowDxfId="846"/>
    <tableColumn id="34" xr3:uid="{175FACC1-7202-4ED2-B5C2-A73A9C6FA85A}" name="MES 142" totalsRowFunction="sum" dataDxfId="845" totalsRowDxfId="844" dataCellStyle="Moneda">
      <calculatedColumnFormula array="1">IF(AD33="X",(_xlfn.XLOOKUP($B33,Tabla1[SERVICIO],Tabla1[VALOR])*1),IF(AD33&gt;=1,_xlfn.XLOOKUP($B33,Tabla1[SERVICIO],Tabla1[VALOR]*AD33),0))</calculatedColumnFormula>
    </tableColumn>
    <tableColumn id="17" xr3:uid="{A39DAB6A-014B-491A-A948-37F39E3E6B60}" name="MES 15" totalsRowFunction="sum" dataDxfId="843" totalsRowDxfId="842"/>
    <tableColumn id="35" xr3:uid="{636DC0B1-6140-4CAF-AB02-218306096085}" name="MES 152" totalsRowFunction="sum" dataDxfId="841" totalsRowDxfId="840" dataCellStyle="Moneda">
      <calculatedColumnFormula array="1">IF(AF33="X",(_xlfn.XLOOKUP($B33,Tabla1[SERVICIO],Tabla1[VALOR])*1),IF(AF33&gt;=1,_xlfn.XLOOKUP($B33,Tabla1[SERVICIO],Tabla1[VALOR]*AF33),0))</calculatedColumnFormula>
    </tableColumn>
    <tableColumn id="18" xr3:uid="{85EEE2C3-CC41-48F8-912A-116096250A76}" name="MES 16" totalsRowFunction="sum" dataDxfId="839" totalsRowDxfId="838"/>
    <tableColumn id="36" xr3:uid="{C62A61A0-F2F0-43C9-A526-676C4591497F}" name="MES 162" totalsRowFunction="sum" dataDxfId="837" totalsRowDxfId="836" dataCellStyle="Moneda">
      <calculatedColumnFormula array="1">IF(AH33="X",(_xlfn.XLOOKUP($B33,Tabla1[SERVICIO],Tabla1[VALOR])*1),IF(AH33&gt;=1,_xlfn.XLOOKUP($B33,Tabla1[SERVICIO],Tabla1[VALOR]*AH33),0))</calculatedColumnFormula>
    </tableColumn>
    <tableColumn id="19" xr3:uid="{8F2FD9FA-A0CB-4B43-9CA3-450C9C4E5712}" name="MES 17" totalsRowFunction="sum" dataDxfId="835" totalsRowDxfId="834"/>
    <tableColumn id="37" xr3:uid="{CEBBFF1E-0C76-42CC-8E5F-D121463C516E}" name="MES 172" totalsRowFunction="sum" dataDxfId="833" totalsRowDxfId="832" dataCellStyle="Moneda">
      <calculatedColumnFormula array="1">IF(AJ33="X",(_xlfn.XLOOKUP($B33,Tabla1[SERVICIO],Tabla1[VALOR])*1),IF(AJ33&gt;=1,_xlfn.XLOOKUP($B33,Tabla1[SERVICIO],Tabla1[VALOR]*AJ33),0))</calculatedColumnFormula>
    </tableColumn>
    <tableColumn id="20" xr3:uid="{1C3A124F-CD95-4184-A30F-AF796E711605}" name="MES 18" totalsRowFunction="sum" dataDxfId="831" totalsRowDxfId="830"/>
    <tableColumn id="38" xr3:uid="{440B1386-C7D2-4278-B04B-708F23BA92A8}" name="MES 1722" totalsRowFunction="sum" dataDxfId="829" totalsRowDxfId="828" dataCellStyle="Moneda">
      <calculatedColumnFormula array="1">IF(AL33="X",(_xlfn.XLOOKUP($B33,Tabla1[SERVICIO],Tabla1[VALOR])*1),IF(AL33&gt;=1,_xlfn.XLOOKUP($B33,Tabla1[SERVICIO],Tabla1[VALOR]*AL33),0))</calculatedColumnFormula>
    </tableColumn>
    <tableColumn id="39" xr3:uid="{8EA6F803-59A8-4F24-AD96-B216F410E857}" name="TOTAL" totalsRowFunction="sum" dataDxfId="827" totalsRowDxfId="826">
      <calculatedColumnFormula>SUM(E33,G33,I33,K33,M33,O33,Q33,S33,U33,W33+Y33,AA33,AC33,AE33,AG33,AI33,AK33,AM33)</calculatedColumnFormula>
    </tableColumn>
    <tableColumn id="40" xr3:uid="{E2F443DC-E86C-459B-8570-37EF360297EB}" name="TOTAL SERVICIOS" totalsRowFunction="sum" dataDxfId="825" totalsRowDxfId="824" dataCellStyle="Millares">
      <calculatedColumnFormula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calculatedColumnFormula>
    </tableColumn>
    <tableColumn id="41" xr3:uid="{FD6BC57B-C860-4D57-B110-D3CDF98488CB}" name="Columna1" dataDxfId="823" totalsRowDxfId="822"/>
    <tableColumn id="42" xr3:uid="{DDDCFC6E-BF18-4E3C-BBDC-047A784DABA7}" name="% de las personas que lo usaron" dataDxfId="821" totalsRowDxfId="820" dataCellStyle="Porcentaje"/>
    <tableColumn id="43" xr3:uid="{D87295D9-B819-4A58-A511-8E870E789B19}" name="VALOR COSTO" totalsRowFunction="sum" dataDxfId="819" totalsRowDxfId="818" dataCellStyle="Moneda"/>
    <tableColumn id="45" xr3:uid="{E86CDAA5-F821-4FA0-ABB1-4E9B5D4C6F72}" name="RUTA" dataDxfId="817" totalsRowDxfId="816"/>
    <tableColumn id="46" xr3:uid="{D7AF5E98-486B-42AA-A1E5-2FC71B7D9041}" name="DURACION" dataDxfId="815" totalsRowDxfId="814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E078489-0EFD-40F1-A091-FB3306342A8F}" name="Tabla46740" displayName="Tabla46740" ref="A2:AH30" totalsRowCount="1" headerRowDxfId="813" dataDxfId="811" headerRowBorderDxfId="812" tableBorderDxfId="810" totalsRowBorderDxfId="809">
  <tableColumns count="34">
    <tableColumn id="1" xr3:uid="{36664B93-442E-4771-A0AA-3FC401E4229B}" name="Servicios del Programa:" dataDxfId="808" totalsRowDxfId="807"/>
    <tableColumn id="2" xr3:uid="{54787F41-2A2B-4FB6-AF49-511221C58401}" name="Programa Rehabilitacion Pulmonar / Disnea" totalsRowLabel="TOTAL" dataDxfId="806" totalsRowDxfId="805"/>
    <tableColumn id="32" xr3:uid="{49C33E7C-C600-4784-A63A-5BAC96BF0723}" name="CATEGORIA" dataDxfId="804" totalsRowDxfId="803">
      <calculatedColumnFormula>_xlfn.XLOOKUP(Tabla46740[[#This Row],[Servicios del Programa:]],Tabla151[CODIGO],Tabla151[VALOR])</calculatedColumnFormula>
    </tableColumn>
    <tableColumn id="3" xr3:uid="{AAF84C24-7308-43AE-AD0D-CC45984DC8A9}" name="MES 1" totalsRowFunction="sum" dataDxfId="802" totalsRowDxfId="801"/>
    <tableColumn id="16" xr3:uid="{E9DDA777-1AC9-437C-82F3-3C037709C0ED}" name="MES 13" totalsRowFunction="sum" dataDxfId="800" totalsRowDxfId="799"/>
    <tableColumn id="4" xr3:uid="{3B425EE2-51FD-4A95-ACD2-5936E35A4941}" name="MES 2" totalsRowFunction="sum" dataDxfId="798" totalsRowDxfId="797"/>
    <tableColumn id="17" xr3:uid="{91ED5866-1AC9-42A6-95C1-03C18A5F29F5}" name="MES 22" totalsRowFunction="sum" dataDxfId="796" totalsRowDxfId="795" dataCellStyle="Moneda">
      <calculatedColumnFormula array="1">IF(F3="X",(_xlfn.XLOOKUP($B3,Tabla1[SERVICIO],Tabla1[VALOR])*1),IF(F3&gt;=1,_xlfn.XLOOKUP($B3,Tabla1[SERVICIO],Tabla1[VALOR]*F3),0))</calculatedColumnFormula>
    </tableColumn>
    <tableColumn id="5" xr3:uid="{5260A1C8-9968-49A9-91CB-A0DDD111D4AD}" name="MES 3" totalsRowFunction="sum" dataDxfId="794" totalsRowDxfId="793"/>
    <tableColumn id="18" xr3:uid="{FE36B12A-C91E-4E1C-9F7E-1E9591736513}" name="MES 32" totalsRowFunction="sum" dataDxfId="792" totalsRowDxfId="791" dataCellStyle="Moneda">
      <calculatedColumnFormula array="1">IF(H3="X",(_xlfn.XLOOKUP($B3,Tabla1[SERVICIO],Tabla1[VALOR])*1),IF(H3&gt;=1,_xlfn.XLOOKUP($B3,Tabla1[SERVICIO],Tabla1[VALOR]*H3),0))</calculatedColumnFormula>
    </tableColumn>
    <tableColumn id="6" xr3:uid="{8C870750-E091-4B31-AA17-4605ACE5D3C1}" name="MES 4" totalsRowFunction="sum" dataDxfId="790" totalsRowDxfId="789"/>
    <tableColumn id="19" xr3:uid="{B0A3D5A7-8453-4715-BC5D-87D64E2CA538}" name="MES 42" totalsRowFunction="sum" dataDxfId="788" totalsRowDxfId="787" dataCellStyle="Moneda">
      <calculatedColumnFormula array="1">IF(J3="X",(_xlfn.XLOOKUP($B3,Tabla1[SERVICIO],Tabla1[VALOR])*1),IF(J3&gt;=1,_xlfn.XLOOKUP($B3,Tabla1[SERVICIO],Tabla1[VALOR]*J3),0))</calculatedColumnFormula>
    </tableColumn>
    <tableColumn id="7" xr3:uid="{088A72D6-4065-457B-9116-F70EE3D31909}" name="MES 5" totalsRowFunction="sum" dataDxfId="786" totalsRowDxfId="785"/>
    <tableColumn id="20" xr3:uid="{19CF36B0-485B-4CBC-B8A3-CEA5EF230D10}" name="MES 52" totalsRowFunction="sum" dataDxfId="784" totalsRowDxfId="783" dataCellStyle="Moneda">
      <calculatedColumnFormula array="1">IF(L3="X",(_xlfn.XLOOKUP($B3,Tabla1[SERVICIO],Tabla1[VALOR])*1),IF(L3&gt;=1,_xlfn.XLOOKUP($B3,Tabla1[SERVICIO],Tabla1[VALOR]*L3),0))</calculatedColumnFormula>
    </tableColumn>
    <tableColumn id="8" xr3:uid="{44C265B9-F1CE-4D64-884F-61B8E2E7994D}" name="MES 6" totalsRowFunction="sum" dataDxfId="782" totalsRowDxfId="781"/>
    <tableColumn id="21" xr3:uid="{47692927-7A84-4F7A-8CFD-6B42FDFB3C9C}" name="MES 62" totalsRowFunction="sum" dataDxfId="780" totalsRowDxfId="779" dataCellStyle="Moneda">
      <calculatedColumnFormula array="1">IF(N3="X",(_xlfn.XLOOKUP($B3,Tabla1[SERVICIO],Tabla1[VALOR])*1),IF(N3&gt;=1,_xlfn.XLOOKUP($B3,Tabla1[SERVICIO],Tabla1[VALOR]*N3),0))</calculatedColumnFormula>
    </tableColumn>
    <tableColumn id="9" xr3:uid="{48B6F188-FA4C-4537-ADFE-81C47680BF6C}" name="MES 7" totalsRowFunction="sum" dataDxfId="778" totalsRowDxfId="777"/>
    <tableColumn id="22" xr3:uid="{2BDEB300-C1D6-4138-9F1F-4F5AC3D95A4C}" name="MES 72" totalsRowFunction="sum" dataDxfId="776" totalsRowDxfId="775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238325A7-E701-42E7-8C1C-31CB0D0A42E0}" name="MES 8" totalsRowFunction="sum" dataDxfId="774" totalsRowDxfId="773"/>
    <tableColumn id="23" xr3:uid="{0F6D3F45-41D2-4BC7-93D7-859F3E0FC2DD}" name="MES 82" totalsRowFunction="sum" dataDxfId="772" totalsRowDxfId="771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3EC291A7-39F7-4F65-B06D-062A4E5C96C2}" name="MES 9" totalsRowFunction="sum" dataDxfId="770" totalsRowDxfId="769"/>
    <tableColumn id="24" xr3:uid="{530E81D1-6750-435E-973F-965568B62F68}" name="MES 92" totalsRowFunction="sum" dataDxfId="768" totalsRowDxfId="767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04125843-108D-45EE-ADA1-ACFE8B474D8A}" name="MES 10" totalsRowFunction="sum" dataDxfId="766" totalsRowDxfId="765"/>
    <tableColumn id="25" xr3:uid="{B4AB9591-BAB7-4179-8DCC-59C798F22B52}" name="MES 102" totalsRowFunction="sum" dataDxfId="764" totalsRowDxfId="763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D6942A34-D295-422B-A161-916CFBBAAAF1}" name="MES 11" totalsRowFunction="sum" dataDxfId="762" totalsRowDxfId="761"/>
    <tableColumn id="26" xr3:uid="{1CFC01E7-1626-4B18-B689-084573D2DFAA}" name="MES 112" totalsRowFunction="sum" dataDxfId="760" totalsRowDxfId="759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B8BAC40A-9B69-45E8-ABB4-C14E94A025CF}" name="MES 12" totalsRowFunction="sum" dataDxfId="758" totalsRowDxfId="757"/>
    <tableColumn id="27" xr3:uid="{97D137BE-E954-4858-B504-F83BAEE725C6}" name="MES 122" totalsRowFunction="sum" dataDxfId="756" totalsRowDxfId="755">
      <calculatedColumnFormula array="1">IF(Z3="X",(_xlfn.XLOOKUP($B3,Tabla1[SERVICIO],Tabla1[VALOR])*1),IF(Z3&gt;=1,_xlfn.XLOOKUP($B3,Tabla1[SERVICIO],Tabla1[VALOR]*Z3),0))</calculatedColumnFormula>
    </tableColumn>
    <tableColumn id="28" xr3:uid="{D9BA2FED-6C36-483A-9FAA-9D6EA1EB2310}" name="TOTAL" totalsRowFunction="sum" dataDxfId="754" totalsRowDxfId="753">
      <calculatedColumnFormula>SUM(E3,G3,I3,K3+M3,O3,Q3,S3,U3,W3,Y3,AA3)</calculatedColumnFormula>
    </tableColumn>
    <tableColumn id="31" xr3:uid="{61083DA0-5259-490B-A25D-70760927F47F}" name="TOTAL SERVICIOS" totalsRowFunction="sum" dataDxfId="752" totalsRowDxfId="751"/>
    <tableColumn id="15" xr3:uid="{C4E6808A-A8FD-4621-A33E-199BD331DE3D}" name="Columna1" dataDxfId="750"/>
    <tableColumn id="29" xr3:uid="{F2C77E5D-0521-47C8-832D-CA9681CAAA7E}" name="% de las personas que lo usaron" dataDxfId="749"/>
    <tableColumn id="30" xr3:uid="{3A70D009-FF8C-427D-A1C8-ED68A9AD35A8}" name="VALOR COSTO" totalsRowFunction="sum" dataDxfId="748" totalsRowDxfId="747">
      <calculatedColumnFormula>+Tabla46740[[#This Row],[TOTAL]]*Tabla46740[[#This Row],[% de las personas que lo usaron]]</calculatedColumnFormula>
    </tableColumn>
    <tableColumn id="33" xr3:uid="{E92078A4-AD89-4E2E-9D0A-674236B3CB6D}" name="RUTA" totalsRowFunction="custom" dataDxfId="746" totalsRowDxfId="745">
      <totalsRowFormula>+AF30/12</totalsRowFormula>
    </tableColumn>
    <tableColumn id="34" xr3:uid="{882868FC-4367-4277-BE79-CEFB82EC26BE}" name="DURACION" dataDxfId="744" totalsRowDxfId="743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11DDA19-B414-40C4-95A3-5A580D551766}" name="Tabla4671941" displayName="Tabla4671941" ref="A33:AT61" totalsRowCount="1" headerRowDxfId="742" dataDxfId="740" headerRowBorderDxfId="741" tableBorderDxfId="739" totalsRowBorderDxfId="738">
  <tableColumns count="46">
    <tableColumn id="1" xr3:uid="{90A02F8E-4F7D-4E6F-8100-C78DA32FB571}" name="Servicios del Programa:" dataDxfId="737" totalsRowDxfId="736"/>
    <tableColumn id="2" xr3:uid="{9EDAA074-AF75-496A-9EAB-C88CE33DA7C3}" name="Programa Rehabilitacion Pulmonar / Disnea" totalsRowLabel="TOTAL" dataDxfId="735" totalsRowDxfId="734"/>
    <tableColumn id="44" xr3:uid="{DC8C8B05-77BC-4D19-8794-CFE755C1D7F0}" name="CATEGORIA" dataDxfId="733" totalsRowDxfId="732">
      <calculatedColumnFormula>_xlfn.XLOOKUP(Tabla4671941[[#This Row],[Servicios del Programa:]],Tabla151[CODIGO],Tabla151[VALOR])</calculatedColumnFormula>
    </tableColumn>
    <tableColumn id="3" xr3:uid="{123BA175-6D8A-410F-932A-29351E4ADA60}" name="MES 1" totalsRowFunction="sum" dataDxfId="731" totalsRowDxfId="730"/>
    <tableColumn id="21" xr3:uid="{4E8F9438-2E23-4251-917E-F013AA1615F5}" name="MES 19" totalsRowFunction="sum" dataDxfId="729" totalsRowDxfId="728" dataCellStyle="Moneda"/>
    <tableColumn id="4" xr3:uid="{7F36B783-5295-48F5-BB17-83B0FA160131}" name="MES 2" totalsRowFunction="sum" dataDxfId="727" totalsRowDxfId="726"/>
    <tableColumn id="22" xr3:uid="{EF4172A8-7783-48B9-B5B4-6C6020944A1D}" name="MES 22" totalsRowFunction="sum" dataDxfId="725" totalsRowDxfId="724" dataCellStyle="Moneda">
      <calculatedColumnFormula array="1">IF(F34="X",(_xlfn.XLOOKUP($B34,Tabla1[SERVICIO],Tabla1[VALOR])*1),IF(F34&gt;=1,_xlfn.XLOOKUP($B34,Tabla1[SERVICIO],Tabla1[VALOR]*F34),0))</calculatedColumnFormula>
    </tableColumn>
    <tableColumn id="5" xr3:uid="{83341D2A-92C8-4EAC-9FF8-BD4920DE3346}" name="MES 3" totalsRowFunction="sum" dataDxfId="723" totalsRowDxfId="722"/>
    <tableColumn id="23" xr3:uid="{FA1EFB64-F831-456D-91FC-7D9049E1F6DF}" name="MES 32" totalsRowFunction="sum" dataDxfId="721" totalsRowDxfId="720" dataCellStyle="Moneda">
      <calculatedColumnFormula array="1">IF(H34="X",(_xlfn.XLOOKUP($B34,Tabla1[SERVICIO],Tabla1[VALOR])*1),IF(H34&gt;=1,_xlfn.XLOOKUP($B34,Tabla1[SERVICIO],Tabla1[VALOR]*H34),0))</calculatedColumnFormula>
    </tableColumn>
    <tableColumn id="6" xr3:uid="{22C07E20-BBD8-4AB0-BD89-5D3EABB526A7}" name="MES 4" totalsRowFunction="sum" dataDxfId="719" totalsRowDxfId="718"/>
    <tableColumn id="24" xr3:uid="{6F897026-B5CF-46FA-A80F-0DA667587EF4}" name="MES 42" totalsRowFunction="sum" dataDxfId="717" totalsRowDxfId="716" dataCellStyle="Moneda">
      <calculatedColumnFormula array="1">IF(J34="X",(_xlfn.XLOOKUP($B34,Tabla1[SERVICIO],Tabla1[VALOR])*1),IF(J34&gt;=1,_xlfn.XLOOKUP($B34,Tabla1[SERVICIO],Tabla1[VALOR]*J34),0))</calculatedColumnFormula>
    </tableColumn>
    <tableColumn id="7" xr3:uid="{0927C993-3B84-40F9-979F-3FABBFA1931A}" name="MES 5" totalsRowFunction="sum" dataDxfId="715" totalsRowDxfId="714"/>
    <tableColumn id="25" xr3:uid="{4B93900E-2D13-427B-8104-A196DEB7B8D1}" name="MES 52" totalsRowFunction="sum" dataDxfId="713" totalsRowDxfId="712" dataCellStyle="Moneda">
      <calculatedColumnFormula array="1">IF(L34="X",(_xlfn.XLOOKUP($B34,Tabla1[SERVICIO],Tabla1[VALOR])*1),IF(L34&gt;=1,_xlfn.XLOOKUP($B34,Tabla1[SERVICIO],Tabla1[VALOR]*L34),0))</calculatedColumnFormula>
    </tableColumn>
    <tableColumn id="8" xr3:uid="{D8303202-5979-475E-BF75-D7140AD04823}" name="MES 6" totalsRowFunction="sum" dataDxfId="711" totalsRowDxfId="710"/>
    <tableColumn id="26" xr3:uid="{DCF26D8F-2716-460F-B86F-9415A86DE83B}" name="MES 62" totalsRowFunction="sum" dataDxfId="709" totalsRowDxfId="708" dataCellStyle="Moneda">
      <calculatedColumnFormula array="1">IF(N34="X",(_xlfn.XLOOKUP($B34,Tabla1[SERVICIO],Tabla1[VALOR])*1),IF(N34&gt;=1,_xlfn.XLOOKUP($B34,Tabla1[SERVICIO],Tabla1[VALOR]*N34),0))</calculatedColumnFormula>
    </tableColumn>
    <tableColumn id="9" xr3:uid="{2626EF16-2F0A-4548-AB0D-70336F161F6C}" name="MES 7" totalsRowFunction="sum" dataDxfId="707" totalsRowDxfId="706"/>
    <tableColumn id="27" xr3:uid="{3859AEE2-935D-4D02-BAF1-41F94A66E691}" name="MES 72" totalsRowFunction="sum" dataDxfId="705" totalsRowDxfId="704" dataCellStyle="Moneda">
      <calculatedColumnFormula array="1">IF(P34="X",(_xlfn.XLOOKUP($B34,Tabla1[SERVICIO],Tabla1[VALOR])*1),IF(P34&gt;=1,_xlfn.XLOOKUP($B34,Tabla1[SERVICIO],Tabla1[VALOR]*P34),0))</calculatedColumnFormula>
    </tableColumn>
    <tableColumn id="10" xr3:uid="{5378C490-3862-4570-B4D6-ACF87EA5EEF8}" name="MES 8" totalsRowFunction="sum" dataDxfId="703" totalsRowDxfId="702"/>
    <tableColumn id="28" xr3:uid="{648DAC6A-071F-4D27-97B7-1A1259F88499}" name="MES 82" totalsRowFunction="sum" dataDxfId="701" totalsRowDxfId="700" dataCellStyle="Moneda">
      <calculatedColumnFormula array="1">IF(R34="X",(_xlfn.XLOOKUP($B34,Tabla1[SERVICIO],Tabla1[VALOR])*1),IF(R34&gt;=1,_xlfn.XLOOKUP($B34,Tabla1[SERVICIO],Tabla1[VALOR]*R34),0))</calculatedColumnFormula>
    </tableColumn>
    <tableColumn id="11" xr3:uid="{E6D8EEB3-259E-4B53-BA79-891665DBA686}" name="MES 9" totalsRowFunction="sum" dataDxfId="699" totalsRowDxfId="698"/>
    <tableColumn id="29" xr3:uid="{FE14DF31-99C1-46B1-9DB1-C3FD7D568852}" name="MES 92" totalsRowFunction="sum" dataDxfId="697" totalsRowDxfId="696" dataCellStyle="Moneda">
      <calculatedColumnFormula array="1">IF(T34="X",(_xlfn.XLOOKUP($B34,Tabla1[SERVICIO],Tabla1[VALOR])*1),IF(T34&gt;=1,_xlfn.XLOOKUP($B34,Tabla1[SERVICIO],Tabla1[VALOR]*T34),0))</calculatedColumnFormula>
    </tableColumn>
    <tableColumn id="12" xr3:uid="{9852443C-57BC-408C-BE94-25720B6B9DB1}" name="MES 10" totalsRowFunction="sum" dataDxfId="695" totalsRowDxfId="694"/>
    <tableColumn id="30" xr3:uid="{BE439B1B-C34B-4B03-B213-C571ABEDAED5}" name="MES 102" totalsRowFunction="sum" dataDxfId="693" totalsRowDxfId="692" dataCellStyle="Moneda">
      <calculatedColumnFormula array="1">IF(V34="X",(_xlfn.XLOOKUP($B34,Tabla1[SERVICIO],Tabla1[VALOR])*1),IF(V34&gt;=1,_xlfn.XLOOKUP($B34,Tabla1[SERVICIO],Tabla1[VALOR]*V34),0))</calculatedColumnFormula>
    </tableColumn>
    <tableColumn id="13" xr3:uid="{2743DC46-4C1D-4B26-B3D4-0A8ED12B1E03}" name="MES 11" totalsRowFunction="sum" dataDxfId="691" totalsRowDxfId="690"/>
    <tableColumn id="31" xr3:uid="{FE403E0F-D0F8-4399-9C2D-803D2B5ED789}" name="MES 112" totalsRowFunction="sum" dataDxfId="689" totalsRowDxfId="688" dataCellStyle="Moneda">
      <calculatedColumnFormula array="1">IF(X34="X",(_xlfn.XLOOKUP($B34,Tabla1[SERVICIO],Tabla1[VALOR])*1),IF(X34&gt;=1,_xlfn.XLOOKUP($B34,Tabla1[SERVICIO],Tabla1[VALOR]*X34),0))</calculatedColumnFormula>
    </tableColumn>
    <tableColumn id="14" xr3:uid="{99C31340-71F2-4030-A354-421EA1F21F00}" name="MES 12" totalsRowFunction="sum" dataDxfId="687" totalsRowDxfId="686"/>
    <tableColumn id="32" xr3:uid="{B8406D76-569E-4838-8D59-5F3C07D4F6CB}" name="MES 122" totalsRowFunction="sum" dataDxfId="685" totalsRowDxfId="684" dataCellStyle="Moneda">
      <calculatedColumnFormula array="1">IF(Z34="X",(_xlfn.XLOOKUP($B34,Tabla1[SERVICIO],Tabla1[VALOR])*1),IF(Z34&gt;=1,_xlfn.XLOOKUP($B34,Tabla1[SERVICIO],Tabla1[VALOR]*Z34),0))</calculatedColumnFormula>
    </tableColumn>
    <tableColumn id="15" xr3:uid="{C475D8C5-0874-47E9-A319-7274B6FDCFE3}" name="MES 13" totalsRowFunction="sum" dataDxfId="683" totalsRowDxfId="682"/>
    <tableColumn id="33" xr3:uid="{696648B2-EE64-4B8B-A5FC-701F768FD88C}" name="MES 132" totalsRowFunction="sum" dataDxfId="681" totalsRowDxfId="680" dataCellStyle="Moneda">
      <calculatedColumnFormula array="1">IF(AB34="X",(_xlfn.XLOOKUP($B34,Tabla1[SERVICIO],Tabla1[VALOR])*1),IF(AB34&gt;=1,_xlfn.XLOOKUP($B34,Tabla1[SERVICIO],Tabla1[VALOR]*AB34),0))</calculatedColumnFormula>
    </tableColumn>
    <tableColumn id="16" xr3:uid="{2FACC3A0-1279-49A4-A721-267B517CCD3E}" name="MES 14" totalsRowFunction="sum" dataDxfId="679" totalsRowDxfId="678"/>
    <tableColumn id="34" xr3:uid="{265EE45B-A6D6-45F7-AF8B-3771358E200E}" name="MES 142" totalsRowFunction="sum" dataDxfId="677" totalsRowDxfId="676" dataCellStyle="Moneda">
      <calculatedColumnFormula array="1">IF(AD34="X",(_xlfn.XLOOKUP($B34,Tabla1[SERVICIO],Tabla1[VALOR])*1),IF(AD34&gt;=1,_xlfn.XLOOKUP($B34,Tabla1[SERVICIO],Tabla1[VALOR]*AD34),0))</calculatedColumnFormula>
    </tableColumn>
    <tableColumn id="17" xr3:uid="{C6D3FFCB-294B-48CB-B613-8CAB59214D64}" name="MES 15" totalsRowFunction="sum" dataDxfId="675" totalsRowDxfId="674"/>
    <tableColumn id="35" xr3:uid="{E3604E04-EBC1-478A-BFE3-B9B7FFDAFA60}" name="MES 152" totalsRowFunction="sum" dataDxfId="673" totalsRowDxfId="672" dataCellStyle="Moneda">
      <calculatedColumnFormula array="1">IF(AF34="X",(_xlfn.XLOOKUP($B34,Tabla1[SERVICIO],Tabla1[VALOR])*1),IF(AF34&gt;=1,_xlfn.XLOOKUP($B34,Tabla1[SERVICIO],Tabla1[VALOR]*AF34),0))</calculatedColumnFormula>
    </tableColumn>
    <tableColumn id="18" xr3:uid="{8832551E-EEFF-4B1A-BF20-AFF68F188844}" name="MES 16" totalsRowFunction="sum" dataDxfId="671" totalsRowDxfId="670"/>
    <tableColumn id="36" xr3:uid="{108F84AA-234A-445D-AEF0-DC567C940CB7}" name="MES 162" totalsRowFunction="sum" dataDxfId="669" totalsRowDxfId="668" dataCellStyle="Moneda">
      <calculatedColumnFormula array="1">IF(AH34="X",(_xlfn.XLOOKUP($B34,Tabla1[SERVICIO],Tabla1[VALOR])*1),IF(AH34&gt;=1,_xlfn.XLOOKUP($B34,Tabla1[SERVICIO],Tabla1[VALOR]*AH34),0))</calculatedColumnFormula>
    </tableColumn>
    <tableColumn id="19" xr3:uid="{4BCAE579-67AB-45B2-BC26-13A1424DDB9A}" name="MES 17" totalsRowFunction="sum" dataDxfId="667" totalsRowDxfId="666"/>
    <tableColumn id="37" xr3:uid="{DB02E05E-E383-40CC-A4B8-3CA46E6AFE2D}" name="MES 172" totalsRowFunction="sum" dataDxfId="665" totalsRowDxfId="664" dataCellStyle="Moneda">
      <calculatedColumnFormula array="1">IF(AJ34="X",(_xlfn.XLOOKUP($B34,Tabla1[SERVICIO],Tabla1[VALOR])*1),IF(AJ34&gt;=1,_xlfn.XLOOKUP($B34,Tabla1[SERVICIO],Tabla1[VALOR]*AJ34),0))</calculatedColumnFormula>
    </tableColumn>
    <tableColumn id="20" xr3:uid="{14BEEC5E-AC8E-44BF-A45A-116C2199D788}" name="MES 18" totalsRowFunction="sum" dataDxfId="663" totalsRowDxfId="662"/>
    <tableColumn id="38" xr3:uid="{6CD394E5-5707-4D40-90BB-79BA66C606B1}" name="MES 1722" totalsRowFunction="sum" dataDxfId="661" totalsRowDxfId="660" dataCellStyle="Moneda">
      <calculatedColumnFormula array="1">IF(AL34="X",(_xlfn.XLOOKUP($B34,Tabla1[SERVICIO],Tabla1[VALOR])*1),IF(AL34&gt;=1,_xlfn.XLOOKUP($B34,Tabla1[SERVICIO],Tabla1[VALOR]*AL34),0))</calculatedColumnFormula>
    </tableColumn>
    <tableColumn id="39" xr3:uid="{93B818E6-B4D2-4FF8-9E65-60A695B44897}" name="TOTAL" totalsRowFunction="sum" dataDxfId="659" totalsRowDxfId="658">
      <calculatedColumnFormula>SUM(E34,G34,I34,K34,M34,O34,Q34,S34,U34,W34+Y34,AA34,AC34,AE34,AG34,AI34,AK34,AM34)</calculatedColumnFormula>
    </tableColumn>
    <tableColumn id="40" xr3:uid="{5AF1BF46-9334-4DE9-9481-508624DBD376}" name="TOTAL SERVICIOS" totalsRowFunction="custom" dataDxfId="657" totalsRowDxfId="656" dataCellStyle="Millares">
      <totalsRowFormula>SUBTOTAL(109,Tabla46740[TOTAL SERVICIOS])</totalsRowFormula>
    </tableColumn>
    <tableColumn id="41" xr3:uid="{1126210F-94F4-4DDC-A9B4-BBD8B2A6AFAF}" name="Columna1" dataDxfId="655" totalsRowDxfId="654"/>
    <tableColumn id="42" xr3:uid="{09217703-B9B6-4EAC-8AAF-1573274AFC9D}" name="% de las personas que lo usaron" dataDxfId="653" totalsRowDxfId="652" dataCellStyle="Porcentaje"/>
    <tableColumn id="43" xr3:uid="{D0FAA1A1-BBC2-4E70-86B0-5A3455807422}" name="VALOR COSTO" totalsRowFunction="sum" dataDxfId="651" totalsRowDxfId="650" dataCellStyle="Moneda">
      <calculatedColumnFormula>+Tabla4671941[[#This Row],[TOTAL]]*Tabla4671941[[#This Row],[% de las personas que lo usaron]]</calculatedColumnFormula>
    </tableColumn>
    <tableColumn id="45" xr3:uid="{1FF59E9F-E2DB-4577-A627-923AAF65F26E}" name="RUTA" dataDxfId="649" totalsRowDxfId="648"/>
    <tableColumn id="46" xr3:uid="{196EFABC-5F19-4B91-A181-C6553DA78F00}" name="DURACION" dataDxfId="647" totalsRowDxfId="646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E6B2F30-D75E-4154-BFEE-F56F98FB5E8B}" name="Tabla4678942" displayName="Tabla4678942" ref="A2:AF31" totalsRowCount="1" headerRowDxfId="645" dataDxfId="643" headerRowBorderDxfId="644" tableBorderDxfId="642" totalsRowBorderDxfId="641">
  <autoFilter ref="A2:AF30" xr:uid="{8E6B2F30-D75E-4154-BFEE-F56F98FB5E8B}"/>
  <tableColumns count="32">
    <tableColumn id="1" xr3:uid="{2759D7EC-82DE-4A99-81A2-E56EB7691FFE}" name="Servicios del Programa:" dataDxfId="640" totalsRowDxfId="639"/>
    <tableColumn id="2" xr3:uid="{A69744E0-7B49-4EDD-A11F-38200052C48B}" name="Programa Rehabilitacion Pulmonar / Nodulo Pulmonar" totalsRowLabel="TOTAL" dataDxfId="638" totalsRowDxfId="637"/>
    <tableColumn id="32" xr3:uid="{45F4AEA2-F9DE-4320-AFE7-5E6157C26F8C}" name="CATEGORIA" dataDxfId="636" totalsRowDxfId="635">
      <calculatedColumnFormula>_xlfn.XLOOKUP(Tabla4678942[[#This Row],[Servicios del Programa:]],Tabla151[CODIGO],Tabla151[VALOR])</calculatedColumnFormula>
    </tableColumn>
    <tableColumn id="3" xr3:uid="{516B0F82-7A0E-4AD4-90BA-582814CB7404}" name="MES 1" totalsRowFunction="sum" dataDxfId="634" totalsRowDxfId="633"/>
    <tableColumn id="15" xr3:uid="{D9B2A66A-3337-4BED-B9C6-9C091D426AB7}" name="MES 13" totalsRowFunction="sum" dataDxfId="632" totalsRowDxfId="631">
      <calculatedColumnFormula array="1">IF(D3="X",(_xlfn.XLOOKUP($B3,Tabla1[SERVICIO],Tabla1[VALOR])*1),IF(D3&gt;=1,_xlfn.XLOOKUP($B3,Tabla1[SERVICIO],Tabla1[VALOR]*D3),0))</calculatedColumnFormula>
    </tableColumn>
    <tableColumn id="4" xr3:uid="{E1E10757-F942-4109-802A-49343C05D0A9}" name="MES 2" totalsRowFunction="sum" dataDxfId="630" totalsRowDxfId="629" dataCellStyle="Millares"/>
    <tableColumn id="16" xr3:uid="{6FE92DFB-281D-42A1-B1EC-D061572E0711}" name="MES 22" totalsRowFunction="sum" dataDxfId="628" totalsRowDxfId="627" dataCellStyle="Moneda">
      <calculatedColumnFormula array="1">IF(F3="X",(_xlfn.XLOOKUP($B3,Tabla1[SERVICIO],Tabla1[VALOR])*1),IF(F3&gt;=1,_xlfn.XLOOKUP($B3,Tabla1[SERVICIO],Tabla1[VALOR]*F3),0))</calculatedColumnFormula>
    </tableColumn>
    <tableColumn id="5" xr3:uid="{AE849F70-9991-4A98-82D8-9F8B121514B1}" name="MES 3" totalsRowFunction="sum" dataDxfId="626" totalsRowDxfId="625" dataCellStyle="Millares"/>
    <tableColumn id="17" xr3:uid="{D34261C8-8936-4D25-B48B-E01A17F99D91}" name="MES 32" totalsRowFunction="sum" dataDxfId="624" totalsRowDxfId="623" dataCellStyle="Moneda">
      <calculatedColumnFormula array="1">IF(H3="X",(_xlfn.XLOOKUP($B3,Tabla1[SERVICIO],Tabla1[VALOR])*1),IF(H3&gt;=1,_xlfn.XLOOKUP($B3,Tabla1[SERVICIO],Tabla1[VALOR]*H3),0))</calculatedColumnFormula>
    </tableColumn>
    <tableColumn id="6" xr3:uid="{6CCC0FDF-1424-40AE-8902-9EC45A3894D8}" name="MES 4" totalsRowFunction="sum" dataDxfId="622" totalsRowDxfId="621" dataCellStyle="Millares"/>
    <tableColumn id="18" xr3:uid="{CDAE737A-981A-4E2D-AF14-120C1CAFF244}" name="MES 42" totalsRowFunction="sum" dataDxfId="620" totalsRowDxfId="619" dataCellStyle="Moneda">
      <calculatedColumnFormula array="1">IF(J3="X",(_xlfn.XLOOKUP($B3,Tabla1[SERVICIO],Tabla1[VALOR])*1),IF(J3&gt;=1,_xlfn.XLOOKUP($B3,Tabla1[SERVICIO],Tabla1[VALOR]*J3),0))</calculatedColumnFormula>
    </tableColumn>
    <tableColumn id="7" xr3:uid="{764C0F91-A49F-405E-9F8A-9E677A3EB4DD}" name="MES 5" totalsRowFunction="sum" dataDxfId="618" totalsRowDxfId="617" dataCellStyle="Millares"/>
    <tableColumn id="19" xr3:uid="{22B130CB-FBF7-49F8-96B7-B4E43FA36FFB}" name="MES 52" totalsRowFunction="sum" dataDxfId="616" totalsRowDxfId="615" dataCellStyle="Moneda">
      <calculatedColumnFormula array="1">IF(L3="X",(_xlfn.XLOOKUP($B3,Tabla1[SERVICIO],Tabla1[VALOR])*1),IF(L3&gt;=1,_xlfn.XLOOKUP($B3,Tabla1[SERVICIO],Tabla1[VALOR]*L3),0))</calculatedColumnFormula>
    </tableColumn>
    <tableColumn id="8" xr3:uid="{8FB0FE31-954D-443E-9CBA-AF795B38A4BA}" name="MES 6" totalsRowFunction="sum" dataDxfId="614" totalsRowDxfId="613" dataCellStyle="Millares"/>
    <tableColumn id="20" xr3:uid="{0DC4D5C9-F22F-4EB6-AF21-2670AC28CCCA}" name="MES 62" totalsRowFunction="sum" dataDxfId="612" totalsRowDxfId="611" dataCellStyle="Moneda">
      <calculatedColumnFormula array="1">IF(N3="X",(_xlfn.XLOOKUP($B3,Tabla1[SERVICIO],Tabla1[VALOR])*1),IF(N3&gt;=1,_xlfn.XLOOKUP($B3,Tabla1[SERVICIO],Tabla1[VALOR]*N3),0))</calculatedColumnFormula>
    </tableColumn>
    <tableColumn id="9" xr3:uid="{6BB02FF8-9AE1-4089-8BD9-FD2CC106DBDC}" name="MES 7" totalsRowFunction="sum" dataDxfId="610" totalsRowDxfId="609" dataCellStyle="Millares"/>
    <tableColumn id="21" xr3:uid="{273C5DAF-4FB0-492D-B4C0-45DEBDC99163}" name="MES 72" totalsRowFunction="sum" dataDxfId="608" totalsRowDxfId="607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A79AA849-DF83-49A3-A649-145CE3D24B8F}" name="MES 8" totalsRowFunction="sum" dataDxfId="606" totalsRowDxfId="605" dataCellStyle="Millares"/>
    <tableColumn id="22" xr3:uid="{331AE8C7-A90B-403F-83BC-F370D004B09D}" name="MES 82" totalsRowFunction="sum" dataDxfId="604" totalsRowDxfId="603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F087BBA9-16A8-4B5E-881D-835EAD84D4ED}" name="MES 9" totalsRowFunction="sum" dataDxfId="602" totalsRowDxfId="601" dataCellStyle="Millares"/>
    <tableColumn id="23" xr3:uid="{02B6E910-FCD2-4096-8530-F33D19ACC613}" name="MES 92" totalsRowFunction="sum" dataDxfId="600" totalsRowDxfId="599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93C467BF-5BF2-424A-8745-AEC6C4F5993C}" name="MES 10" totalsRowFunction="sum" dataDxfId="598" totalsRowDxfId="597" dataCellStyle="Millares"/>
    <tableColumn id="24" xr3:uid="{533A72B9-A769-4353-AF67-39081C5B2A76}" name="MES 102" totalsRowFunction="sum" dataDxfId="596" totalsRowDxfId="595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75B5A92B-4DDB-4873-B12D-837D01CD0D49}" name="MES 11" totalsRowFunction="sum" dataDxfId="594" totalsRowDxfId="593" dataCellStyle="Millares"/>
    <tableColumn id="25" xr3:uid="{C5BE1E20-2504-4D16-B650-58BE61E39252}" name="MES 112" totalsRowFunction="sum" dataDxfId="592" totalsRowDxfId="591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29CA1CDB-A71A-4B05-9450-060BC07AA15B}" name="MES 12" totalsRowFunction="sum" dataDxfId="590" totalsRowDxfId="589" dataCellStyle="Millares"/>
    <tableColumn id="26" xr3:uid="{7641B031-44EF-4D43-BD82-7BD7A595BF4A}" name="MES 1122" totalsRowFunction="sum" dataDxfId="588" totalsRowDxfId="587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109EDD67-DB19-4FFE-8814-9365BD2BA549}" name="TOTAL" totalsRowFunction="sum" dataDxfId="586" totalsRowDxfId="585" dataCellStyle="Moneda">
      <calculatedColumnFormula>SUM(E3,G3,I3,K3+M3,O3,Q3,S3,U3,W3,Y3,AA3)</calculatedColumnFormula>
    </tableColumn>
    <tableColumn id="29" xr3:uid="{5F9387C1-6484-4376-B7A3-55593506E6CA}" name="TOTAL SERVICIOS" totalsRowFunction="sum" dataDxfId="584" totalsRowDxfId="583">
      <calculatedColumnFormula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calculatedColumnFormula>
    </tableColumn>
    <tableColumn id="28" xr3:uid="{8F4D0BB0-F7D6-4BB2-AC82-AB159A7F6DD3}" name="Columna1" dataDxfId="582" totalsRowDxfId="581"/>
    <tableColumn id="30" xr3:uid="{49CC1A0B-6F8C-49EA-BC89-78BE8CF2C260}" name="% de las personas que lo usaron" dataDxfId="580" totalsRowDxfId="579" dataCellStyle="Porcentaje"/>
    <tableColumn id="31" xr3:uid="{605C5420-68B2-4B30-85DF-1E01455E6C5C}" name="VALOR COSTO" totalsRowFunction="sum" dataDxfId="578" totalsRowDxfId="577" dataCellStyle="Moneda">
      <calculatedColumnFormula>+Tabla4678942[[#This Row],[TOTAL]]*Tabla4678942[[#This Row],[% de las personas que lo usaron]]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2CED5D5-5B41-45DC-A779-3517194A70DE}" name="Tabla467892043" displayName="Tabla467892043" ref="A34:AT63" totalsRowCount="1" headerRowDxfId="576" dataDxfId="574" totalsRowDxfId="572" headerRowBorderDxfId="575" tableBorderDxfId="573" totalsRowBorderDxfId="571" totalsRowCellStyle="Moneda">
  <tableColumns count="46">
    <tableColumn id="1" xr3:uid="{54DFF05E-7499-47B1-8760-04DD390975E0}" name="Servicios del Programa:" dataDxfId="570" totalsRowDxfId="569"/>
    <tableColumn id="2" xr3:uid="{8446B2CB-8A37-4E0D-85A1-04BCA65D7A3C}" name="Programa Rehabilitacion Pulmonar / Nodulo Pulmonar" dataDxfId="568" totalsRowDxfId="567"/>
    <tableColumn id="44" xr3:uid="{E213895C-628E-41EF-A2D5-89B554DADFD4}" name="CATEGORIA" dataDxfId="566" totalsRowDxfId="565">
      <calculatedColumnFormula>_xlfn.XLOOKUP(Tabla467892043[[#This Row],[Servicios del Programa:]],Tabla151[CODIGO],Tabla151[VALOR])</calculatedColumnFormula>
    </tableColumn>
    <tableColumn id="3" xr3:uid="{DE62F7D7-333D-4202-9D19-88235204B144}" name="MES 1" totalsRowFunction="sum" dataDxfId="564" totalsRowDxfId="563"/>
    <tableColumn id="21" xr3:uid="{A65ED951-24D5-4700-BAEA-443A6B46A395}" name="MES 19" totalsRowFunction="sum" dataDxfId="562" totalsRowDxfId="561" dataCellStyle="Moneda">
      <calculatedColumnFormula array="1">IF(D35="X",(_xlfn.XLOOKUP($B35,Tabla1[SERVICIO],Tabla1[VALOR])*1),IF(D35&gt;=1,_xlfn.XLOOKUP($B35,Tabla1[SERVICIO],Tabla1[VALOR]*D35),0))</calculatedColumnFormula>
    </tableColumn>
    <tableColumn id="4" xr3:uid="{1BA555BA-38CB-4BC9-BF4E-70553EEB1E95}" name="MES 2" totalsRowFunction="sum" dataDxfId="560" totalsRowDxfId="559" dataCellStyle="Millares"/>
    <tableColumn id="22" xr3:uid="{36EFDA71-A512-4D27-81E5-2118705DD726}" name="MES 22" totalsRowFunction="sum" dataDxfId="558" totalsRowDxfId="557" dataCellStyle="Moneda">
      <calculatedColumnFormula array="1">IF(F35="X",(_xlfn.XLOOKUP($B35,Tabla1[SERVICIO],Tabla1[VALOR])*1),IF(F35&gt;=1,_xlfn.XLOOKUP($B35,Tabla1[SERVICIO],Tabla1[VALOR]*F35),0))</calculatedColumnFormula>
    </tableColumn>
    <tableColumn id="5" xr3:uid="{C06D7759-31A5-4AEC-8BF5-9FA94ED6287D}" name="MES 3" totalsRowFunction="sum" dataDxfId="556" totalsRowDxfId="555" dataCellStyle="Millares"/>
    <tableColumn id="23" xr3:uid="{2BCC9D88-1F0E-4526-8D78-4EF246957C64}" name="MES 32" totalsRowFunction="sum" dataDxfId="554" totalsRowDxfId="553" dataCellStyle="Moneda"/>
    <tableColumn id="6" xr3:uid="{5DE52C47-50A6-4A61-A399-E817E95373A7}" name="MES 4" totalsRowFunction="sum" dataDxfId="552" totalsRowDxfId="551" dataCellStyle="Millares"/>
    <tableColumn id="24" xr3:uid="{15E6B7C6-6C8A-453A-A828-CB3662ED26F2}" name="MES 42" totalsRowFunction="sum" dataDxfId="550" totalsRowDxfId="549" dataCellStyle="Moneda">
      <calculatedColumnFormula array="1">IF(J35="X",(_xlfn.XLOOKUP($B35,Tabla1[SERVICIO],Tabla1[VALOR])*1),IF(J35&gt;=1,_xlfn.XLOOKUP($B35,Tabla1[SERVICIO],Tabla1[VALOR]*J35),0))</calculatedColumnFormula>
    </tableColumn>
    <tableColumn id="7" xr3:uid="{EB5E9F66-5FD4-4207-89A3-577F40BA16BF}" name="MES 5" totalsRowFunction="sum" dataDxfId="548" totalsRowDxfId="547" dataCellStyle="Millares"/>
    <tableColumn id="25" xr3:uid="{593A2ABF-26FD-4B93-AB88-200FCF3A1A33}" name="MES 52" totalsRowFunction="sum" dataDxfId="546" totalsRowDxfId="545" dataCellStyle="Moneda">
      <calculatedColumnFormula array="1">IF(L35="X",(_xlfn.XLOOKUP($B35,Tabla1[SERVICIO],Tabla1[VALOR])*1),IF(L35&gt;=1,_xlfn.XLOOKUP($B35,Tabla1[SERVICIO],Tabla1[VALOR]*L35),0))</calculatedColumnFormula>
    </tableColumn>
    <tableColumn id="8" xr3:uid="{A42FE758-6229-4A51-9CB1-1DA349273107}" name="MES 6" totalsRowFunction="sum" dataDxfId="544" totalsRowDxfId="543" dataCellStyle="Millares"/>
    <tableColumn id="26" xr3:uid="{4AAF8118-1739-4099-AFC1-5F2C15AD89CC}" name="MES 62" totalsRowFunction="sum" dataDxfId="542" totalsRowDxfId="541" dataCellStyle="Moneda">
      <calculatedColumnFormula array="1">IF(N35="X",(_xlfn.XLOOKUP($B35,Tabla1[SERVICIO],Tabla1[VALOR])*1),IF(N35&gt;=1,_xlfn.XLOOKUP($B35,Tabla1[SERVICIO],Tabla1[VALOR]*N35),0))</calculatedColumnFormula>
    </tableColumn>
    <tableColumn id="9" xr3:uid="{E7C54009-7895-4681-926F-DC8C7659C1FB}" name="MES 7" totalsRowFunction="sum" dataDxfId="540" totalsRowDxfId="539" dataCellStyle="Millares"/>
    <tableColumn id="27" xr3:uid="{32AD409C-2A38-4F6A-B7B4-5621A12A8504}" name="MES 72" totalsRowFunction="sum" dataDxfId="538" totalsRowDxfId="537" dataCellStyle="Moneda">
      <calculatedColumnFormula array="1">IF(P35="X",(_xlfn.XLOOKUP($B35,Tabla1[SERVICIO],Tabla1[VALOR])*1),IF(P35&gt;=1,_xlfn.XLOOKUP($B35,Tabla1[SERVICIO],Tabla1[VALOR]*P35),0))</calculatedColumnFormula>
    </tableColumn>
    <tableColumn id="10" xr3:uid="{1AB40F17-0CC7-49B9-8383-730E8C7593C5}" name="MES 8" totalsRowFunction="sum" dataDxfId="536" totalsRowDxfId="535" dataCellStyle="Millares"/>
    <tableColumn id="28" xr3:uid="{370CE90F-34F8-465F-B648-1622A862C80C}" name="MES 82" totalsRowFunction="sum" dataDxfId="534" totalsRowDxfId="533" dataCellStyle="Moneda">
      <calculatedColumnFormula array="1">IF(R35="X",(_xlfn.XLOOKUP($B35,Tabla1[SERVICIO],Tabla1[VALOR])*1),IF(R35&gt;=1,_xlfn.XLOOKUP($B35,Tabla1[SERVICIO],Tabla1[VALOR]*R35),0))</calculatedColumnFormula>
    </tableColumn>
    <tableColumn id="11" xr3:uid="{977FDD31-AEFA-4574-9BCA-C974127422A8}" name="MES 9" totalsRowFunction="sum" dataDxfId="532" totalsRowDxfId="531" dataCellStyle="Millares"/>
    <tableColumn id="29" xr3:uid="{4B54E0CE-5739-4D86-B3C7-0C1BDF1E408F}" name="MES 92" totalsRowFunction="sum" dataDxfId="530" totalsRowDxfId="529" dataCellStyle="Moneda">
      <calculatedColumnFormula array="1">IF(T35="X",(_xlfn.XLOOKUP($B35,Tabla1[SERVICIO],Tabla1[VALOR])*1),IF(T35&gt;=1,_xlfn.XLOOKUP($B35,Tabla1[SERVICIO],Tabla1[VALOR]*T35),0))</calculatedColumnFormula>
    </tableColumn>
    <tableColumn id="12" xr3:uid="{7C1B8F89-6988-40E8-9D36-3D46AFAD1CFD}" name="MES 10" totalsRowFunction="sum" dataDxfId="528" totalsRowDxfId="527" dataCellStyle="Millares"/>
    <tableColumn id="30" xr3:uid="{283660BD-212D-48FA-A2D1-F3A2EC78519D}" name="MES 102" totalsRowFunction="sum" dataDxfId="526" totalsRowDxfId="525" dataCellStyle="Moneda">
      <calculatedColumnFormula array="1">IF(V35="X",(_xlfn.XLOOKUP($B35,Tabla1[SERVICIO],Tabla1[VALOR])*1),IF(V35&gt;=1,_xlfn.XLOOKUP($B35,Tabla1[SERVICIO],Tabla1[VALOR]*V35),0))</calculatedColumnFormula>
    </tableColumn>
    <tableColumn id="13" xr3:uid="{8CB24FCE-7CF8-499D-B273-07F2F63277CD}" name="MES 11" totalsRowFunction="sum" dataDxfId="524" totalsRowDxfId="523" dataCellStyle="Millares"/>
    <tableColumn id="31" xr3:uid="{CA469AE8-D42E-4879-92A5-447EF8E09AA5}" name="MES 112" totalsRowFunction="sum" dataDxfId="522" totalsRowDxfId="521" dataCellStyle="Moneda">
      <calculatedColumnFormula array="1">IF(X35="X",(_xlfn.XLOOKUP($B35,Tabla1[SERVICIO],Tabla1[VALOR])*1),IF(X35&gt;=1,_xlfn.XLOOKUP($B35,Tabla1[SERVICIO],Tabla1[VALOR]*X35),0))</calculatedColumnFormula>
    </tableColumn>
    <tableColumn id="14" xr3:uid="{2FACA9A4-98AB-450F-BFB6-9DC6B9E8AEB2}" name="MES 12" totalsRowFunction="sum" dataDxfId="520" totalsRowDxfId="519" dataCellStyle="Millares"/>
    <tableColumn id="32" xr3:uid="{5C53BDD5-44F3-4D4F-92A3-20CBE73A6184}" name="MES 122" totalsRowFunction="sum" dataDxfId="518" totalsRowDxfId="517" dataCellStyle="Moneda">
      <calculatedColumnFormula array="1">IF(Z35="X",(_xlfn.XLOOKUP($B35,Tabla1[SERVICIO],Tabla1[VALOR])*1),IF(Z35&gt;=1,_xlfn.XLOOKUP($B35,Tabla1[SERVICIO],Tabla1[VALOR]*Z35),0))</calculatedColumnFormula>
    </tableColumn>
    <tableColumn id="15" xr3:uid="{D3822A6C-D26E-4E8B-AB3B-FB0B6785CA9D}" name="MES 13" totalsRowFunction="sum" dataDxfId="516" totalsRowDxfId="515"/>
    <tableColumn id="33" xr3:uid="{7EECC0A6-2A90-48E8-B53F-371701AA5F2C}" name="MES 132" totalsRowFunction="sum" dataDxfId="514" totalsRowDxfId="513" dataCellStyle="Moneda">
      <calculatedColumnFormula array="1">IF(AB35="X",(_xlfn.XLOOKUP($B35,Tabla1[SERVICIO],Tabla1[VALOR])*1),IF(AB35&gt;=1,_xlfn.XLOOKUP($B35,Tabla1[SERVICIO],Tabla1[VALOR]*AB35),0))</calculatedColumnFormula>
    </tableColumn>
    <tableColumn id="16" xr3:uid="{D99441E9-1195-430D-9173-09B77F3A3CFE}" name="MES 14" totalsRowFunction="sum" dataDxfId="512" totalsRowDxfId="511"/>
    <tableColumn id="34" xr3:uid="{D16BD782-B476-4182-90A0-C3601E45DF04}" name="MES 142" totalsRowFunction="sum" dataDxfId="510" totalsRowDxfId="509" dataCellStyle="Moneda">
      <calculatedColumnFormula array="1">IF(AD35="X",(_xlfn.XLOOKUP($B35,Tabla1[SERVICIO],Tabla1[VALOR])*1),IF(AD35&gt;=1,_xlfn.XLOOKUP($B35,Tabla1[SERVICIO],Tabla1[VALOR]*AD35),0))</calculatedColumnFormula>
    </tableColumn>
    <tableColumn id="17" xr3:uid="{AEE201B5-F2BE-49C8-9C47-F6F381D6DC31}" name="MES 15" totalsRowFunction="sum" dataDxfId="508" totalsRowDxfId="507"/>
    <tableColumn id="35" xr3:uid="{81F5F54E-87B3-4D78-81C6-A0A68849487E}" name="MES 152" totalsRowFunction="sum" dataDxfId="506" totalsRowDxfId="505" dataCellStyle="Moneda">
      <calculatedColumnFormula array="1">IF(AF35="X",(_xlfn.XLOOKUP($B35,Tabla1[SERVICIO],Tabla1[VALOR])*1),IF(AF35&gt;=1,_xlfn.XLOOKUP($B35,Tabla1[SERVICIO],Tabla1[VALOR]*AF35),0))</calculatedColumnFormula>
    </tableColumn>
    <tableColumn id="18" xr3:uid="{5C75CBEC-806D-49EA-908D-A448DA62B534}" name="MES 16" totalsRowFunction="sum" dataDxfId="504" totalsRowDxfId="503"/>
    <tableColumn id="36" xr3:uid="{71E9D996-CDCB-430F-9BBE-F45C3330B444}" name="MES 162" totalsRowFunction="sum" dataDxfId="502" totalsRowDxfId="501" dataCellStyle="Moneda">
      <calculatedColumnFormula array="1">IF(AH35="X",(_xlfn.XLOOKUP($B35,Tabla1[SERVICIO],Tabla1[VALOR])*1),IF(AH35&gt;=1,_xlfn.XLOOKUP($B35,Tabla1[SERVICIO],Tabla1[VALOR]*AH35),0))</calculatedColumnFormula>
    </tableColumn>
    <tableColumn id="19" xr3:uid="{D6947A90-1C1E-4F9C-850F-EC288DECD0CE}" name="MES 17" totalsRowFunction="sum" dataDxfId="500" totalsRowDxfId="499"/>
    <tableColumn id="37" xr3:uid="{27E0BC32-ED49-4120-AEAF-1FD915A11FC7}" name="MES 172" totalsRowFunction="sum" dataDxfId="498" totalsRowDxfId="497" dataCellStyle="Moneda">
      <calculatedColumnFormula array="1">IF(AJ35="X",(_xlfn.XLOOKUP($B35,Tabla1[SERVICIO],Tabla1[VALOR])*1),IF(AJ35&gt;=1,_xlfn.XLOOKUP($B35,Tabla1[SERVICIO],Tabla1[VALOR]*AJ35),0))</calculatedColumnFormula>
    </tableColumn>
    <tableColumn id="20" xr3:uid="{7D23C27E-BCFC-4C9C-8D75-10204C91A2C1}" name="MES 18" totalsRowFunction="sum" dataDxfId="496" totalsRowDxfId="495"/>
    <tableColumn id="38" xr3:uid="{D03A8874-9C31-4E90-BB13-26DFEF3E4002}" name="MES 1722" totalsRowFunction="sum" dataDxfId="494" totalsRowDxfId="493" dataCellStyle="Moneda">
      <calculatedColumnFormula array="1">IF(AL35="X",(_xlfn.XLOOKUP($B35,Tabla1[SERVICIO],Tabla1[VALOR])*1),IF(AL35&gt;=1,_xlfn.XLOOKUP($B35,Tabla1[SERVICIO],Tabla1[VALOR]*AL35),0))</calculatedColumnFormula>
    </tableColumn>
    <tableColumn id="39" xr3:uid="{5A24BC17-7222-4147-A0DD-52114F075B99}" name="TOTAL" totalsRowFunction="sum" dataDxfId="492" totalsRowDxfId="491">
      <calculatedColumnFormula>SUM(E35,G35,I35,K35,M35,O35,Q35,S35,U35,W35+Y35,AA35,AC35,AE35,AG35,AI35,AK35,AM35)</calculatedColumnFormula>
    </tableColumn>
    <tableColumn id="40" xr3:uid="{E49BE3E9-90BC-4917-A5A4-814F17612704}" name="TOTAL SERVICIOS" totalsRowFunction="sum" dataDxfId="490" totalsRowDxfId="489" dataCellStyle="Millares">
      <calculatedColumnFormula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calculatedColumnFormula>
    </tableColumn>
    <tableColumn id="41" xr3:uid="{F0D79176-508F-4CCE-85E4-F1BA66D429B7}" name="Columna1" dataDxfId="488" totalsRowDxfId="487"/>
    <tableColumn id="42" xr3:uid="{20B3C5BF-01B8-446D-A131-030E2174B4FC}" name="% de las personas que lo usaron" dataDxfId="486" totalsRowDxfId="485" dataCellStyle="Porcentaje"/>
    <tableColumn id="43" xr3:uid="{178F0A64-C659-4915-AB79-1ABD7B8A110B}" name="VALOR COSTO" totalsRowFunction="sum" dataDxfId="484" totalsRowDxfId="483" dataCellStyle="Moneda">
      <calculatedColumnFormula>+Tabla467892043[[#This Row],[TOTAL]]*Tabla467892043[[#This Row],[% de las personas que lo usaron]]</calculatedColumnFormula>
    </tableColumn>
    <tableColumn id="45" xr3:uid="{D3DB2CE6-0156-49C6-B975-FFB26D290C25}" name="RUTA" dataDxfId="482" totalsRowDxfId="481"/>
    <tableColumn id="46" xr3:uid="{44C323BD-1760-4B0A-AFF4-AF9E39132253}" name="DURACION" dataDxfId="480" totalsRowDxfId="479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2D3DE9A-71C3-4780-9A07-C185C7E5D9D4}" name="Tabla467891044" displayName="Tabla467891044" ref="A2:AH29" totalsRowCount="1" headerRowDxfId="478" dataDxfId="476" headerRowBorderDxfId="477" tableBorderDxfId="475" totalsRowBorderDxfId="474">
  <autoFilter ref="A2:AH28" xr:uid="{82D3DE9A-71C3-4780-9A07-C185C7E5D9D4}"/>
  <tableColumns count="34">
    <tableColumn id="1" xr3:uid="{A51EBA30-DC96-4DC7-9F51-1BD611CB1B3E}" name="Servicios del Programa:" dataDxfId="473" totalsRowDxfId="472"/>
    <tableColumn id="2" xr3:uid="{9EA4DBB5-4CBD-4402-837C-8B593E9C99B0}" name="Programa Rehabilitacion Pulmonar / Epic" dataDxfId="471" totalsRowDxfId="470"/>
    <tableColumn id="32" xr3:uid="{10D7CFD8-AAAB-4E0C-ACE9-B610C85D56A0}" name="CATEGORIA" dataDxfId="469" totalsRowDxfId="468">
      <calculatedColumnFormula>_xlfn.XLOOKUP(Tabla4678942[[#This Row],[Servicios del Programa:]],Tabla151[CODIGO],Tabla151[VALOR])</calculatedColumnFormula>
    </tableColumn>
    <tableColumn id="3" xr3:uid="{BEE6583F-D8AB-4C2B-A375-EAFD883FD19C}" name="MES 1" totalsRowFunction="sum" dataDxfId="467" totalsRowDxfId="466"/>
    <tableColumn id="15" xr3:uid="{69C7BDBA-4F1F-4123-800B-EC6387DB661D}" name="MES 13" totalsRowFunction="sum" dataDxfId="465" totalsRowDxfId="464">
      <calculatedColumnFormula array="1">IF(D3="X",(_xlfn.XLOOKUP($B3,Tabla1[SERVICIO],Tabla1[VALOR])*1),IF(D3&gt;=1,_xlfn.XLOOKUP($B3,Tabla1[SERVICIO],Tabla1[VALOR]*D3),0))</calculatedColumnFormula>
    </tableColumn>
    <tableColumn id="4" xr3:uid="{707A58C5-FFFB-466C-AA5E-FC8E3EFC70EF}" name="MES 2" totalsRowFunction="sum" dataDxfId="463" totalsRowDxfId="462"/>
    <tableColumn id="16" xr3:uid="{C410AB90-AC89-4614-A12E-50A65A9B477C}" name="MES 22" totalsRowFunction="sum" dataDxfId="461" totalsRowDxfId="460" dataCellStyle="Moneda">
      <calculatedColumnFormula array="1">IF(F3="X",(_xlfn.XLOOKUP($B3,Tabla1[SERVICIO],Tabla1[VALOR])*1),IF(F3&gt;=1,_xlfn.XLOOKUP($B3,Tabla1[SERVICIO],Tabla1[VALOR]*F3),0))</calculatedColumnFormula>
    </tableColumn>
    <tableColumn id="5" xr3:uid="{9D06ADC7-9AFF-4ED8-B142-279B594AA5EB}" name="MES 3" totalsRowFunction="sum" dataDxfId="459" totalsRowDxfId="458"/>
    <tableColumn id="17" xr3:uid="{151D3A5B-C336-472C-A43C-2FE30303A61A}" name="MES 32" totalsRowFunction="sum" dataDxfId="457" totalsRowDxfId="456" dataCellStyle="Moneda">
      <calculatedColumnFormula array="1">IF(H3="X",(_xlfn.XLOOKUP($B3,Tabla1[SERVICIO],Tabla1[VALOR])*1),IF(H3&gt;=1,_xlfn.XLOOKUP($B3,Tabla1[SERVICIO],Tabla1[VALOR]*H3),0))</calculatedColumnFormula>
    </tableColumn>
    <tableColumn id="6" xr3:uid="{C9F8C1DD-2B3B-4133-B50E-FB7A06B1AFAA}" name="MES 4" totalsRowFunction="sum" dataDxfId="455" totalsRowDxfId="454"/>
    <tableColumn id="18" xr3:uid="{C941E5BA-9BB9-41D0-87B8-3348225FA12D}" name="MES 42" totalsRowFunction="sum" dataDxfId="453" totalsRowDxfId="452" dataCellStyle="Moneda">
      <calculatedColumnFormula array="1">IF(J3="X",(_xlfn.XLOOKUP($B3,Tabla1[SERVICIO],Tabla1[VALOR])*1),IF(J3&gt;=1,_xlfn.XLOOKUP($B3,Tabla1[SERVICIO],Tabla1[VALOR]*J3),0))</calculatedColumnFormula>
    </tableColumn>
    <tableColumn id="7" xr3:uid="{57B0189E-4BCB-4C69-B176-78BF170F9655}" name="MES 5" totalsRowFunction="sum" dataDxfId="451" totalsRowDxfId="450"/>
    <tableColumn id="19" xr3:uid="{52F0A9C2-C1BF-417E-8F40-EF212C061246}" name="MES 52" totalsRowFunction="sum" dataDxfId="449" totalsRowDxfId="448" dataCellStyle="Moneda">
      <calculatedColumnFormula array="1">IF(L3="X",(_xlfn.XLOOKUP($B3,Tabla1[SERVICIO],Tabla1[VALOR])*1),IF(L3&gt;=1,_xlfn.XLOOKUP($B3,Tabla1[SERVICIO],Tabla1[VALOR]*L3),0))</calculatedColumnFormula>
    </tableColumn>
    <tableColumn id="8" xr3:uid="{384BFE10-F94B-460A-9A26-5D3A08090A8F}" name="MES 6" totalsRowFunction="sum" dataDxfId="447" totalsRowDxfId="446"/>
    <tableColumn id="20" xr3:uid="{34750250-80D7-4E26-B651-BE5262A6726F}" name="MES 62" totalsRowFunction="sum" dataDxfId="445" totalsRowDxfId="444" dataCellStyle="Moneda">
      <calculatedColumnFormula array="1">IF(N3="X",(_xlfn.XLOOKUP($B3,Tabla1[SERVICIO],Tabla1[VALOR])*1),IF(N3&gt;=1,_xlfn.XLOOKUP($B3,Tabla1[SERVICIO],Tabla1[VALOR]*N3),0))</calculatedColumnFormula>
    </tableColumn>
    <tableColumn id="9" xr3:uid="{D90664FF-4C82-4AA7-899F-47C1548A4CB8}" name="MES 7" totalsRowFunction="sum" dataDxfId="443" totalsRowDxfId="442"/>
    <tableColumn id="21" xr3:uid="{4EB9E448-5E78-4159-B860-8B2C36C86F84}" name="MES 72" totalsRowFunction="sum" dataDxfId="441" totalsRowDxfId="440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190B6685-70DD-49B1-80E2-A0934BE88B48}" name="MES 8" totalsRowFunction="sum" dataDxfId="439" totalsRowDxfId="438"/>
    <tableColumn id="22" xr3:uid="{0F5DE774-7B1D-466D-B889-D00383583C0A}" name="MES 82" totalsRowFunction="sum" dataDxfId="437" totalsRowDxfId="436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FB92AF70-5A49-43BD-91F1-104085719742}" name="MES 9" totalsRowFunction="sum" dataDxfId="435" totalsRowDxfId="434"/>
    <tableColumn id="23" xr3:uid="{35265DAE-CF2F-4C46-9AE6-D33F46E56991}" name="MES 92" totalsRowFunction="sum" dataDxfId="433" totalsRowDxfId="432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33533797-6427-45E1-90C0-E30C20FE2634}" name="MES 10" totalsRowFunction="sum" dataDxfId="431" totalsRowDxfId="430"/>
    <tableColumn id="24" xr3:uid="{787B713B-EC08-4182-9EEE-EB7BD4CC2F10}" name="MES 102" totalsRowFunction="sum" dataDxfId="429" totalsRowDxfId="428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2045C6B1-C0B1-41B6-954A-6CE9C5B631F8}" name="MES 11" totalsRowFunction="sum" dataDxfId="427" totalsRowDxfId="426"/>
    <tableColumn id="25" xr3:uid="{B9C03FC1-448E-4F45-9B2E-2D78201D509D}" name="MES 112" totalsRowFunction="sum" dataDxfId="425" totalsRowDxfId="424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8B472B6A-EADD-47B5-9D09-83215CC688D5}" name="MES 12" totalsRowFunction="sum" dataDxfId="423" totalsRowDxfId="422"/>
    <tableColumn id="26" xr3:uid="{D3AE6500-948C-4D35-8F62-EF63CEF550EF}" name="MES 1122" totalsRowFunction="sum" dataDxfId="421" totalsRowDxfId="420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9C5A9C14-7233-480D-BECB-12CF1100D301}" name="TOTAL" totalsRowFunction="sum" dataDxfId="419" totalsRowDxfId="418">
      <calculatedColumnFormula>SUM(E3,G3,I3,K3+M3,O3,Q3,S3,U3,W3,Y3,AA3)</calculatedColumnFormula>
    </tableColumn>
    <tableColumn id="29" xr3:uid="{BE70FA20-52F2-4E10-B952-4EC83E2D7A90}" name="TOTAL SERVICIOS" totalsRowFunction="sum" dataDxfId="417" totalsRowDxfId="416" dataCellStyle="Millares">
      <calculatedColumnFormula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calculatedColumnFormula>
    </tableColumn>
    <tableColumn id="28" xr3:uid="{8F6F8571-D44F-4F9E-A921-5C21D89BB650}" name="Columna1" dataDxfId="415" totalsRowDxfId="414"/>
    <tableColumn id="30" xr3:uid="{42E4CA16-DD89-412D-A6A3-DCF075449D33}" name="% de las personas que lo usaron" dataDxfId="413" totalsRowDxfId="412"/>
    <tableColumn id="31" xr3:uid="{FC16F8CA-EC6D-4494-B55A-AB57462A36AA}" name="VALOR COSTO" totalsRowFunction="sum" dataDxfId="411" totalsRowDxfId="410">
      <calculatedColumnFormula>+Tabla467891044[[#This Row],[TOTAL]]*Tabla467891044[[#This Row],[% de las personas que lo usaron]]</calculatedColumnFormula>
    </tableColumn>
    <tableColumn id="33" xr3:uid="{0C30FB81-0064-455A-86B1-DFA8DDDC7705}" name="RUTA" dataDxfId="409" totalsRowDxfId="408"/>
    <tableColumn id="34" xr3:uid="{7E5DC1B4-A969-4589-88AB-63D536304220}" name="DURACION" dataDxfId="407" totalsRowDxfId="406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57F8319-0CCB-4764-A7AA-C0DA8FA79D42}" name="Tabla3172145" displayName="Tabla3172145" ref="A33:AT60" totalsRowCount="1" headerRowDxfId="405" dataDxfId="403" headerRowBorderDxfId="404" tableBorderDxfId="402" totalsRowBorderDxfId="401">
  <tableColumns count="46">
    <tableColumn id="1" xr3:uid="{1E780822-B549-42A6-8FB5-709FC9F917B9}" name="Servicios del Programa:" dataDxfId="400" totalsRowDxfId="399"/>
    <tableColumn id="2" xr3:uid="{936597F0-7CAD-4AA1-BB0E-9AA1EC260821}" name="Programa Rehabilitacion Pulmonar / Epoc" dataDxfId="398" totalsRowDxfId="397"/>
    <tableColumn id="44" xr3:uid="{FB027B29-3118-459A-975D-E021EEBDE921}" name="CATEGORIA" dataDxfId="396" totalsRowDxfId="395">
      <calculatedColumnFormula>_xlfn.XLOOKUP(Tabla3172145[[#This Row],[Servicios del Programa:]],Tabla151[CODIGO],Tabla151[VALOR])</calculatedColumnFormula>
    </tableColumn>
    <tableColumn id="3" xr3:uid="{8A024D9C-8185-47BD-8767-0659E7B063EB}" name="MES 1" totalsRowFunction="sum" dataDxfId="394" totalsRowDxfId="393"/>
    <tableColumn id="21" xr3:uid="{397E7AF3-9157-4CDD-8C52-06AD42B37046}" name="MES 19" totalsRowFunction="sum" dataDxfId="392" totalsRowDxfId="391" dataCellStyle="Moneda">
      <calculatedColumnFormula array="1">IF(D34="X",(_xlfn.XLOOKUP($B34,Tabla1[SERVICIO],Tabla1[VALOR])*1),IF(D34&gt;=1,_xlfn.XLOOKUP($B34,Tabla1[SERVICIO],Tabla1[VALOR]*D34),0))</calculatedColumnFormula>
    </tableColumn>
    <tableColumn id="4" xr3:uid="{6DFE4791-BB76-48C2-A1B4-7C56A0A54062}" name="MES 2" totalsRowFunction="sum" dataDxfId="390" totalsRowDxfId="389"/>
    <tableColumn id="22" xr3:uid="{80B8C78A-EF8F-464B-92AA-3CCD90BFF83D}" name="MES 22" totalsRowFunction="sum" dataDxfId="388" totalsRowDxfId="387" dataCellStyle="Moneda">
      <calculatedColumnFormula array="1">IF(F34="X",(_xlfn.XLOOKUP($B34,Tabla1[SERVICIO],Tabla1[VALOR])*1),IF(F34&gt;=1,_xlfn.XLOOKUP($B34,Tabla1[SERVICIO],Tabla1[VALOR]*F34),0))</calculatedColumnFormula>
    </tableColumn>
    <tableColumn id="5" xr3:uid="{1D9EA7B7-B28B-46AE-B4CF-1069EA4BB833}" name="MES 3" totalsRowFunction="sum" dataDxfId="386" totalsRowDxfId="385"/>
    <tableColumn id="23" xr3:uid="{FEB7731C-5292-4323-B7FA-8CA447099989}" name="MES 32" totalsRowFunction="sum" dataDxfId="384" totalsRowDxfId="383" dataCellStyle="Moneda">
      <calculatedColumnFormula array="1">IF(H34="X",(_xlfn.XLOOKUP($B34,Tabla1[SERVICIO],Tabla1[VALOR])*1),IF(H34&gt;=1,_xlfn.XLOOKUP($B34,Tabla1[SERVICIO],Tabla1[VALOR]*H34),0))</calculatedColumnFormula>
    </tableColumn>
    <tableColumn id="6" xr3:uid="{D0E89532-B4C0-4354-82E2-B25C22BCA193}" name="MES 4" totalsRowFunction="sum" dataDxfId="382" totalsRowDxfId="381"/>
    <tableColumn id="24" xr3:uid="{838D292C-84F9-4545-86BF-82A9B45F2F1D}" name="MES 42" totalsRowFunction="sum" dataDxfId="380" totalsRowDxfId="379" dataCellStyle="Moneda">
      <calculatedColumnFormula array="1">IF(J34="X",(_xlfn.XLOOKUP($B34,Tabla1[SERVICIO],Tabla1[VALOR])*1),IF(J34&gt;=1,_xlfn.XLOOKUP($B34,Tabla1[SERVICIO],Tabla1[VALOR]*J34),0))</calculatedColumnFormula>
    </tableColumn>
    <tableColumn id="7" xr3:uid="{A08D823A-07CD-4040-82D8-031C26799B37}" name="MES 5" totalsRowFunction="sum" dataDxfId="378" totalsRowDxfId="377"/>
    <tableColumn id="25" xr3:uid="{1FD87A65-73C8-4333-8159-373689AE9F77}" name="MES 52" totalsRowFunction="sum" dataDxfId="376" totalsRowDxfId="375" dataCellStyle="Moneda">
      <calculatedColumnFormula array="1">IF(L34="X",(_xlfn.XLOOKUP($B34,Tabla1[SERVICIO],Tabla1[VALOR])*1),IF(L34&gt;=1,_xlfn.XLOOKUP($B34,Tabla1[SERVICIO],Tabla1[VALOR]*L34),0))</calculatedColumnFormula>
    </tableColumn>
    <tableColumn id="8" xr3:uid="{9771F973-7017-440A-A21C-12B9A23E4B30}" name="MES 6" totalsRowFunction="sum" dataDxfId="374" totalsRowDxfId="373"/>
    <tableColumn id="26" xr3:uid="{B0E1BDA2-E121-496E-9007-1B30DE603D02}" name="MES 62" totalsRowFunction="sum" dataDxfId="372" totalsRowDxfId="371" dataCellStyle="Moneda">
      <calculatedColumnFormula array="1">IF(N34="X",(_xlfn.XLOOKUP($B34,Tabla1[SERVICIO],Tabla1[VALOR])*1),IF(N34&gt;=1,_xlfn.XLOOKUP($B34,Tabla1[SERVICIO],Tabla1[VALOR]*N34),0))</calculatedColumnFormula>
    </tableColumn>
    <tableColumn id="9" xr3:uid="{9FCAE423-E658-4006-A9C2-B0C56F5CFA80}" name="MES 7" totalsRowFunction="sum" dataDxfId="370" totalsRowDxfId="369"/>
    <tableColumn id="27" xr3:uid="{E9083FB4-A35F-490C-98A5-084814541AD9}" name="MES 72" totalsRowFunction="sum" dataDxfId="368" totalsRowDxfId="367" dataCellStyle="Moneda">
      <calculatedColumnFormula array="1">IF(P34="X",(_xlfn.XLOOKUP($B34,Tabla1[SERVICIO],Tabla1[VALOR])*1),IF(P34&gt;=1,_xlfn.XLOOKUP($B34,Tabla1[SERVICIO],Tabla1[VALOR]*P34),0))</calculatedColumnFormula>
    </tableColumn>
    <tableColumn id="10" xr3:uid="{8FF48BBC-DB73-4A2A-AC7C-3F2A7016EF0F}" name="MES 8" totalsRowFunction="sum" dataDxfId="366" totalsRowDxfId="365"/>
    <tableColumn id="28" xr3:uid="{7CE2652E-6DDE-4A82-8531-66C257DCCF21}" name="MES 82" totalsRowFunction="sum" dataDxfId="364" totalsRowDxfId="363" dataCellStyle="Moneda">
      <calculatedColumnFormula array="1">IF(R34="X",(_xlfn.XLOOKUP($B34,Tabla1[SERVICIO],Tabla1[VALOR])*1),IF(R34&gt;=1,_xlfn.XLOOKUP($B34,Tabla1[SERVICIO],Tabla1[VALOR]*R34),0))</calculatedColumnFormula>
    </tableColumn>
    <tableColumn id="11" xr3:uid="{F72A3406-6CA5-403B-80C8-4247E6B685A2}" name="MES 9" totalsRowFunction="sum" dataDxfId="362" totalsRowDxfId="361"/>
    <tableColumn id="29" xr3:uid="{1AFF282A-871C-4817-97A0-FEAEEA2B9138}" name="MES 92" totalsRowFunction="sum" dataDxfId="360" totalsRowDxfId="359" dataCellStyle="Moneda">
      <calculatedColumnFormula array="1">IF(T34="X",(_xlfn.XLOOKUP($B34,Tabla1[SERVICIO],Tabla1[VALOR])*1),IF(T34&gt;=1,_xlfn.XLOOKUP($B34,Tabla1[SERVICIO],Tabla1[VALOR]*T34),0))</calculatedColumnFormula>
    </tableColumn>
    <tableColumn id="12" xr3:uid="{BC22A55B-1616-4EF0-9198-70D5A10C0CF6}" name="MES 10" totalsRowFunction="sum" dataDxfId="358" totalsRowDxfId="357"/>
    <tableColumn id="30" xr3:uid="{38484280-C9C6-43E0-ABFA-53642400AEB7}" name="MES 102" totalsRowFunction="sum" dataDxfId="356" totalsRowDxfId="355" dataCellStyle="Moneda">
      <calculatedColumnFormula array="1">IF(V34="X",(_xlfn.XLOOKUP($B34,Tabla1[SERVICIO],Tabla1[VALOR])*1),IF(V34&gt;=1,_xlfn.XLOOKUP($B34,Tabla1[SERVICIO],Tabla1[VALOR]*V34),0))</calculatedColumnFormula>
    </tableColumn>
    <tableColumn id="13" xr3:uid="{08627623-58C1-4774-B019-5BDE53B5CB47}" name="MES 11" totalsRowFunction="sum" dataDxfId="354" totalsRowDxfId="353"/>
    <tableColumn id="31" xr3:uid="{BBEFEC54-E738-4B3F-A34B-961483FB2102}" name="MES 112" totalsRowFunction="sum" dataDxfId="352" totalsRowDxfId="351" dataCellStyle="Moneda">
      <calculatedColumnFormula array="1">IF(X34="X",(_xlfn.XLOOKUP($B34,Tabla1[SERVICIO],Tabla1[VALOR])*1),IF(X34&gt;=1,_xlfn.XLOOKUP($B34,Tabla1[SERVICIO],Tabla1[VALOR]*X34),0))</calculatedColumnFormula>
    </tableColumn>
    <tableColumn id="14" xr3:uid="{F3DF80F1-F30D-416D-8A9D-16A58D9620C2}" name="MES 12" totalsRowFunction="sum" dataDxfId="350" totalsRowDxfId="349"/>
    <tableColumn id="32" xr3:uid="{B9671C7E-D9E9-4FBF-9E7E-80F79B77730A}" name="MES 122" totalsRowFunction="sum" dataDxfId="348" totalsRowDxfId="347" dataCellStyle="Moneda">
      <calculatedColumnFormula array="1">IF(Z34="X",(_xlfn.XLOOKUP($B34,Tabla1[SERVICIO],Tabla1[VALOR])*1),IF(Z34&gt;=1,_xlfn.XLOOKUP($B34,Tabla1[SERVICIO],Tabla1[VALOR]*Z34),0))</calculatedColumnFormula>
    </tableColumn>
    <tableColumn id="15" xr3:uid="{1422EF6E-EE57-458C-9FC6-ADA5F9279411}" name="MES 13" totalsRowFunction="sum" dataDxfId="346" totalsRowDxfId="345"/>
    <tableColumn id="33" xr3:uid="{A589DB01-D4E2-4E34-B847-FC39E3F9DC98}" name="MES 132" totalsRowFunction="sum" dataDxfId="344" totalsRowDxfId="343" dataCellStyle="Moneda">
      <calculatedColumnFormula array="1">IF(AB34="X",(_xlfn.XLOOKUP($B34,Tabla1[SERVICIO],Tabla1[VALOR])*1),IF(AB34&gt;=1,_xlfn.XLOOKUP($B34,Tabla1[SERVICIO],Tabla1[VALOR]*AB34),0))</calculatedColumnFormula>
    </tableColumn>
    <tableColumn id="16" xr3:uid="{93F632EE-A608-4A9B-B9F4-23202A3ED4C7}" name="MES 14" totalsRowFunction="sum" dataDxfId="342" totalsRowDxfId="341"/>
    <tableColumn id="34" xr3:uid="{21D5075A-04F7-4D6A-AE18-F8153DFF51CC}" name="MES 142" totalsRowFunction="sum" dataDxfId="340" totalsRowDxfId="339" dataCellStyle="Moneda">
      <calculatedColumnFormula array="1">IF(AD34="X",(_xlfn.XLOOKUP($B34,Tabla1[SERVICIO],Tabla1[VALOR])*1),IF(AD34&gt;=1,_xlfn.XLOOKUP($B34,Tabla1[SERVICIO],Tabla1[VALOR]*AD34),0))</calculatedColumnFormula>
    </tableColumn>
    <tableColumn id="17" xr3:uid="{CDF83860-6C05-48FC-96F2-A054A4376C28}" name="MES 15" totalsRowFunction="sum" dataDxfId="338" totalsRowDxfId="337"/>
    <tableColumn id="35" xr3:uid="{E32F50CF-9A28-4F46-8BB6-971A5EB09315}" name="MES 152" totalsRowFunction="sum" dataDxfId="336" totalsRowDxfId="335" dataCellStyle="Moneda">
      <calculatedColumnFormula array="1">IF(AF34="X",(_xlfn.XLOOKUP($B34,Tabla1[SERVICIO],Tabla1[VALOR])*1),IF(AF34&gt;=1,_xlfn.XLOOKUP($B34,Tabla1[SERVICIO],Tabla1[VALOR]*AF34),0))</calculatedColumnFormula>
    </tableColumn>
    <tableColumn id="18" xr3:uid="{38910B68-68D2-4CD1-BB2F-9A7DA968D0BD}" name="MES 16" totalsRowFunction="sum" dataDxfId="334" totalsRowDxfId="333"/>
    <tableColumn id="36" xr3:uid="{85B30D95-6301-4837-B9EE-3651EB757367}" name="MES 162" totalsRowFunction="sum" dataDxfId="332" totalsRowDxfId="331" dataCellStyle="Moneda">
      <calculatedColumnFormula array="1">IF(AH34="X",(_xlfn.XLOOKUP($B34,Tabla1[SERVICIO],Tabla1[VALOR])*1),IF(AH34&gt;=1,_xlfn.XLOOKUP($B34,Tabla1[SERVICIO],Tabla1[VALOR]*AH34),0))</calculatedColumnFormula>
    </tableColumn>
    <tableColumn id="19" xr3:uid="{EBA2F079-F137-48BF-BDE8-A0C948CE23D5}" name="MES 17" totalsRowFunction="sum" dataDxfId="330" totalsRowDxfId="329"/>
    <tableColumn id="37" xr3:uid="{8F6E15B1-5A6A-42D8-B266-9888EDD91B37}" name="MES 172" totalsRowFunction="sum" dataDxfId="328" totalsRowDxfId="327" dataCellStyle="Moneda">
      <calculatedColumnFormula array="1">IF(AJ34="X",(_xlfn.XLOOKUP($B34,Tabla1[SERVICIO],Tabla1[VALOR])*1),IF(AJ34&gt;=1,_xlfn.XLOOKUP($B34,Tabla1[SERVICIO],Tabla1[VALOR]*AJ34),0))</calculatedColumnFormula>
    </tableColumn>
    <tableColumn id="20" xr3:uid="{80F5AF82-1162-49B1-AC35-8B232D092438}" name="MES 18" totalsRowFunction="sum" dataDxfId="326" totalsRowDxfId="325"/>
    <tableColumn id="38" xr3:uid="{50BDCEC4-C35D-40E1-974F-BCD1C20DE300}" name="MES 1722" totalsRowFunction="sum" dataDxfId="324" totalsRowDxfId="323" dataCellStyle="Moneda">
      <calculatedColumnFormula array="1">IF(AL34="X",(_xlfn.XLOOKUP($B34,Tabla1[SERVICIO],Tabla1[VALOR])*1),IF(AL34&gt;=1,_xlfn.XLOOKUP($B34,Tabla1[SERVICIO],Tabla1[VALOR]*AL34),0))</calculatedColumnFormula>
    </tableColumn>
    <tableColumn id="39" xr3:uid="{6BC690E6-4D73-44C8-BC3C-AFFA51777E4F}" name="TOTAL" totalsRowFunction="sum" dataDxfId="322" totalsRowDxfId="321">
      <calculatedColumnFormula>SUM(E34,G34,I34,K34,M34,O34,Q34,S34,U34,W34+Y34,AA34,AC34,AE34,AG34,AI34,AK34,AM34)</calculatedColumnFormula>
    </tableColumn>
    <tableColumn id="40" xr3:uid="{138FD567-725C-4124-AF1A-E46C608A95FA}" name="TOTAL SERVICIOS" totalsRowFunction="sum" dataDxfId="320" totalsRowDxfId="319" dataCellStyle="Millares"/>
    <tableColumn id="41" xr3:uid="{D70FC81D-F51A-4FD6-AFD9-E239F53D1142}" name="Columna1" dataDxfId="318" totalsRowDxfId="317"/>
    <tableColumn id="42" xr3:uid="{7946AC09-2295-4AA7-ACE4-1F0B0138F06E}" name="% de las personas que lo usaron" dataDxfId="316" totalsRowDxfId="315" dataCellStyle="Porcentaje"/>
    <tableColumn id="43" xr3:uid="{58050915-4995-4913-A7DB-649496194EAE}" name="VALOR COSTO" totalsRowFunction="sum" dataDxfId="314" totalsRowDxfId="313" dataCellStyle="Moneda">
      <calculatedColumnFormula>+Tabla3172145[[#This Row],[TOTAL]]*Tabla3172145[[#This Row],[% de las personas que lo usaron]]</calculatedColumnFormula>
    </tableColumn>
    <tableColumn id="45" xr3:uid="{D9C5B6A8-75C9-4284-BC13-B0D6D2367A53}" name="RUTA" dataDxfId="312" totalsRowDxfId="311"/>
    <tableColumn id="46" xr3:uid="{415ACF3A-B713-48DA-A5E4-468964D99763}" name="DURACION" dataDxfId="310" totalsRowDxfId="30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4FA5C80-D766-4728-B2B4-3A97090B636B}" name="Tabla46789101146" displayName="Tabla46789101146" ref="A2:AH26" totalsRowCount="1" headerRowDxfId="308" dataDxfId="306" headerRowBorderDxfId="307" tableBorderDxfId="305" totalsRowBorderDxfId="304">
  <tableColumns count="34">
    <tableColumn id="1" xr3:uid="{0934CE76-7B69-4329-9C24-7283964A6C3F}" name="Servicios del Programa:" dataDxfId="303" totalsRowDxfId="218"/>
    <tableColumn id="2" xr3:uid="{6DA40DBF-8ADE-41B0-87FD-9FE8674B9E88}" name="Programa Rehabilitacion Pulmonar / Cuidado Respiratorio" totalsRowLabel="TOTAL" dataDxfId="302" totalsRowDxfId="217"/>
    <tableColumn id="32" xr3:uid="{3E8E8239-256E-4AE0-B822-AFAC42880E34}" name="CATEGORIA" dataDxfId="301" totalsRowDxfId="216">
      <calculatedColumnFormula>_xlfn.XLOOKUP(Tabla46789101146[[#This Row],[Servicios del Programa:]],Tabla151[CODIGO],Tabla151[VALOR])</calculatedColumnFormula>
    </tableColumn>
    <tableColumn id="3" xr3:uid="{A354C141-6B52-4C64-8449-5F3D418A35E8}" name="MES 1" totalsRowFunction="custom" dataDxfId="300" totalsRowDxfId="215">
      <totalsRowFormula>SUBTOTAL(109,D3:D25)</totalsRowFormula>
    </tableColumn>
    <tableColumn id="15" xr3:uid="{7B361FD2-2ACF-4788-88C1-A63D18EA4145}" name="MES 13" totalsRowFunction="custom" dataDxfId="299" totalsRowDxfId="214" dataCellStyle="Moneda">
      <calculatedColumnFormula array="1">IF(D3="X",(_xlfn.XLOOKUP($B3,Tabla1[SERVICIO],Tabla1[VALOR])*1),IF(D3&gt;=1,_xlfn.XLOOKUP($B3,Tabla1[SERVICIO],Tabla1[VALOR]*D3),0))</calculatedColumnFormula>
      <totalsRowFormula>SUBTOTAL(109,E3:E25)</totalsRowFormula>
    </tableColumn>
    <tableColumn id="4" xr3:uid="{05FBCAC3-17D2-4D85-9FF6-A6CE9EEAAEB7}" name="MES 2" totalsRowFunction="custom" dataDxfId="298" totalsRowDxfId="213">
      <totalsRowFormula>SUBTOTAL(109,F3:F25)</totalsRowFormula>
    </tableColumn>
    <tableColumn id="16" xr3:uid="{AE3128F2-76BC-484E-92A2-6C1A1D8CC00E}" name="MES 22" totalsRowFunction="custom" dataDxfId="297" totalsRowDxfId="212" dataCellStyle="Moneda">
      <calculatedColumnFormula array="1">IF(F3="X",(_xlfn.XLOOKUP($B3,Tabla1[SERVICIO],Tabla1[VALOR])*1),IF(F3&gt;=1,_xlfn.XLOOKUP($B3,Tabla1[SERVICIO],Tabla1[VALOR]*F3),0))</calculatedColumnFormula>
      <totalsRowFormula>SUBTOTAL(109,G3:G25)</totalsRowFormula>
    </tableColumn>
    <tableColumn id="5" xr3:uid="{4FB66B3A-69A6-44E5-947E-A19A4ADF1200}" name="MES 3" totalsRowFunction="custom" dataDxfId="296" totalsRowDxfId="211">
      <totalsRowFormula>SUBTOTAL(109,H3:H25)</totalsRowFormula>
    </tableColumn>
    <tableColumn id="17" xr3:uid="{9980BE2C-5D6F-4A19-9B58-C6573B2147B6}" name="MES 32" totalsRowFunction="custom" dataDxfId="295" totalsRowDxfId="210" dataCellStyle="Moneda">
      <calculatedColumnFormula array="1">IF(H3="X",(_xlfn.XLOOKUP($B3,Tabla1[SERVICIO],Tabla1[VALOR])*1),IF(H3&gt;=1,_xlfn.XLOOKUP($B3,Tabla1[SERVICIO],Tabla1[VALOR]*H3),0))</calculatedColumnFormula>
      <totalsRowFormula>SUBTOTAL(109,I3:I25)</totalsRowFormula>
    </tableColumn>
    <tableColumn id="6" xr3:uid="{72141247-2E04-4C6A-AD0C-35F62545EF44}" name="MES 4" totalsRowFunction="custom" dataDxfId="294" totalsRowDxfId="209">
      <totalsRowFormula>SUBTOTAL(109,J3:J25)</totalsRowFormula>
    </tableColumn>
    <tableColumn id="18" xr3:uid="{0F90B8D1-0992-4CEF-97B0-8CE7EAD17FBB}" name="MES 42" totalsRowFunction="custom" dataDxfId="293" totalsRowDxfId="208" dataCellStyle="Moneda">
      <calculatedColumnFormula array="1">IF(J3="X",(_xlfn.XLOOKUP($B3,Tabla1[SERVICIO],Tabla1[VALOR])*1),IF(J3&gt;=1,_xlfn.XLOOKUP($B3,Tabla1[SERVICIO],Tabla1[VALOR]*J3),0))</calculatedColumnFormula>
      <totalsRowFormula>SUBTOTAL(109,K3:K25)</totalsRowFormula>
    </tableColumn>
    <tableColumn id="7" xr3:uid="{7E87DAED-35EA-43F1-BA03-F30EDEDF67D8}" name="MES 5" totalsRowFunction="custom" dataDxfId="292" totalsRowDxfId="207">
      <totalsRowFormula>SUBTOTAL(109,L3:L25)</totalsRowFormula>
    </tableColumn>
    <tableColumn id="19" xr3:uid="{D6F03B14-9BAC-403C-9976-0F40588D7EBF}" name="MES 52" totalsRowFunction="custom" dataDxfId="291" totalsRowDxfId="206" dataCellStyle="Moneda">
      <calculatedColumnFormula array="1">IF(L3="X",(_xlfn.XLOOKUP($B3,Tabla1[SERVICIO],Tabla1[VALOR])*1),IF(L3&gt;=1,_xlfn.XLOOKUP($B3,Tabla1[SERVICIO],Tabla1[VALOR]*L3),0))</calculatedColumnFormula>
      <totalsRowFormula>SUBTOTAL(109,M3:M25)</totalsRowFormula>
    </tableColumn>
    <tableColumn id="8" xr3:uid="{57B146EE-5C97-4B97-B7F2-58B61B86E250}" name="MES 6" totalsRowFunction="custom" dataDxfId="290" totalsRowDxfId="205">
      <totalsRowFormula>SUBTOTAL(109,N3:N25)</totalsRowFormula>
    </tableColumn>
    <tableColumn id="20" xr3:uid="{ACBDEC3F-BA1E-4680-B273-EB57E57CE245}" name="MES 62" totalsRowFunction="custom" dataDxfId="289" totalsRowDxfId="204" dataCellStyle="Moneda">
      <calculatedColumnFormula array="1">IF(N3="X",(_xlfn.XLOOKUP($B3,Tabla1[SERVICIO],Tabla1[VALOR])*1),IF(N3&gt;=1,_xlfn.XLOOKUP($B3,Tabla1[SERVICIO],Tabla1[VALOR]*N3),0))</calculatedColumnFormula>
      <totalsRowFormula>SUBTOTAL(109,O3:O25)</totalsRowFormula>
    </tableColumn>
    <tableColumn id="9" xr3:uid="{6935EBA4-5088-46D8-9989-64351B4818BD}" name="MES 7" totalsRowFunction="custom" dataDxfId="288" totalsRowDxfId="203">
      <totalsRowFormula>SUBTOTAL(109,P3:P25)</totalsRowFormula>
    </tableColumn>
    <tableColumn id="21" xr3:uid="{931411C0-114E-40D8-8D1A-DF5A16F96A6B}" name="MES 72" totalsRowFunction="custom" dataDxfId="287" totalsRowDxfId="202" dataCellStyle="Moneda">
      <calculatedColumnFormula array="1">IF(P3="X",(_xlfn.XLOOKUP($B3,Tabla1[SERVICIO],Tabla1[VALOR])*1),IF(P3&gt;=1,_xlfn.XLOOKUP($B3,Tabla1[SERVICIO],Tabla1[VALOR]*P3),0))</calculatedColumnFormula>
      <totalsRowFormula>SUBTOTAL(109,Q3:Q25)</totalsRowFormula>
    </tableColumn>
    <tableColumn id="10" xr3:uid="{F61289C9-2885-4101-A4AF-7DA54004EFD3}" name="MES 8" totalsRowFunction="custom" dataDxfId="286" totalsRowDxfId="201">
      <totalsRowFormula>SUBTOTAL(109,R3:R25)</totalsRowFormula>
    </tableColumn>
    <tableColumn id="22" xr3:uid="{C03F6F93-CCBC-4B58-BEC4-4FEBB2185166}" name="MES 82" totalsRowFunction="custom" dataDxfId="285" totalsRowDxfId="200" dataCellStyle="Moneda">
      <calculatedColumnFormula array="1">IF(R3="X",(_xlfn.XLOOKUP($B3,Tabla1[SERVICIO],Tabla1[VALOR])*1),IF(R3&gt;=1,_xlfn.XLOOKUP($B3,Tabla1[SERVICIO],Tabla1[VALOR]*R3),0))</calculatedColumnFormula>
      <totalsRowFormula>SUBTOTAL(109,S3:S25)</totalsRowFormula>
    </tableColumn>
    <tableColumn id="11" xr3:uid="{ADF1B2F4-E328-4EB8-8871-C4127CD1ED8E}" name="MES 9" totalsRowFunction="custom" dataDxfId="284" totalsRowDxfId="199">
      <totalsRowFormula>SUBTOTAL(109,T3:T25)</totalsRowFormula>
    </tableColumn>
    <tableColumn id="23" xr3:uid="{9182F4E4-F642-4331-8E81-10DA89A4FF01}" name="MES 92" totalsRowFunction="custom" dataDxfId="283" totalsRowDxfId="198" dataCellStyle="Moneda">
      <calculatedColumnFormula array="1">IF(T3="X",(_xlfn.XLOOKUP($B3,Tabla1[SERVICIO],Tabla1[VALOR])*1),IF(T3&gt;=1,_xlfn.XLOOKUP($B3,Tabla1[SERVICIO],Tabla1[VALOR]*T3),0))</calculatedColumnFormula>
      <totalsRowFormula>SUBTOTAL(109,U3:U25)</totalsRowFormula>
    </tableColumn>
    <tableColumn id="12" xr3:uid="{DAC4B000-394E-4A11-B422-7F7AA723FC21}" name="MES 10" totalsRowFunction="custom" dataDxfId="282" totalsRowDxfId="197">
      <totalsRowFormula>SUBTOTAL(109,V3:V25)</totalsRowFormula>
    </tableColumn>
    <tableColumn id="24" xr3:uid="{A9945CBD-742A-4AAC-BD79-E4FF3A3E6324}" name="MES 102" totalsRowFunction="custom" dataDxfId="281" totalsRowDxfId="196" dataCellStyle="Moneda">
      <calculatedColumnFormula array="1">IF(V3="X",(_xlfn.XLOOKUP($B3,Tabla1[SERVICIO],Tabla1[VALOR])*1),IF(V3&gt;=1,_xlfn.XLOOKUP($B3,Tabla1[SERVICIO],Tabla1[VALOR]*V3),0))</calculatedColumnFormula>
      <totalsRowFormula>SUBTOTAL(109,W3:W25)</totalsRowFormula>
    </tableColumn>
    <tableColumn id="13" xr3:uid="{216DACC5-F795-4244-A4C0-6C9342A3EA28}" name="MES 11" totalsRowFunction="custom" dataDxfId="280" totalsRowDxfId="195">
      <totalsRowFormula>SUBTOTAL(109,X3:X25)</totalsRowFormula>
    </tableColumn>
    <tableColumn id="25" xr3:uid="{D5EC7308-19D9-4ECD-9F91-033011398A32}" name="MES 112" totalsRowFunction="custom" dataDxfId="279" totalsRowDxfId="194" dataCellStyle="Moneda">
      <calculatedColumnFormula array="1">IF(X3="X",(_xlfn.XLOOKUP($B3,Tabla1[SERVICIO],Tabla1[VALOR])*1),IF(X3&gt;=1,_xlfn.XLOOKUP($B3,Tabla1[SERVICIO],Tabla1[VALOR]*X3),0))</calculatedColumnFormula>
      <totalsRowFormula>SUBTOTAL(109,Y3:Y25)</totalsRowFormula>
    </tableColumn>
    <tableColumn id="14" xr3:uid="{232F2CD3-8020-496E-B979-73CFCDF2A093}" name="MES 12" totalsRowFunction="custom" dataDxfId="278" totalsRowDxfId="193">
      <totalsRowFormula>SUBTOTAL(109,Z3:Z25)</totalsRowFormula>
    </tableColumn>
    <tableColumn id="26" xr3:uid="{9373C17A-DC41-4ADB-BD76-61E5433C55E0}" name="MES 1122" totalsRowFunction="custom" dataDxfId="277" totalsRowDxfId="192" dataCellStyle="Moneda">
      <calculatedColumnFormula array="1">IF(Z3="X",(_xlfn.XLOOKUP($B3,Tabla1[SERVICIO],Tabla1[VALOR])*1),IF(Z3&gt;=1,_xlfn.XLOOKUP($B3,Tabla1[SERVICIO],Tabla1[VALOR]*Z3),0))</calculatedColumnFormula>
      <totalsRowFormula>SUBTOTAL(109,AA3:AA25)</totalsRowFormula>
    </tableColumn>
    <tableColumn id="27" xr3:uid="{F384AA5B-0CA9-4308-8F43-539804B46E67}" name="TOTAL" totalsRowFunction="sum" dataDxfId="276" totalsRowDxfId="191">
      <calculatedColumnFormula>SUM(E3,G3,I3,K3+M3,O3,Q3,S3,U3,W3,Y3,AA3)</calculatedColumnFormula>
    </tableColumn>
    <tableColumn id="29" xr3:uid="{17E3F84B-167B-4EEC-8DE6-CA2D6B3D7B3F}" name="TOTAL SERVICIOS" totalsRowFunction="sum" dataDxfId="275" totalsRowDxfId="190">
      <calculatedColumnFormula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calculatedColumnFormula>
    </tableColumn>
    <tableColumn id="28" xr3:uid="{97888224-E8D4-4079-85E2-DD8FDEF1DBD4}" name="Columna1" dataDxfId="274" totalsRowDxfId="189"/>
    <tableColumn id="30" xr3:uid="{69848A5E-CFA0-4193-96EF-A41E7524F3EC}" name="% de las personas que lo usaron" dataDxfId="273" totalsRowDxfId="188" dataCellStyle="Porcentaje"/>
    <tableColumn id="31" xr3:uid="{56D0EEE4-14EC-44B6-A985-9F2E281FCCC4}" name="VALOR COSTO" totalsRowFunction="sum" dataDxfId="272" totalsRowDxfId="187">
      <calculatedColumnFormula>+Tabla467891044[[#This Row],[TOTAL]]*Tabla467891044[[#This Row],[% de las personas que lo usaron]]</calculatedColumnFormula>
    </tableColumn>
    <tableColumn id="33" xr3:uid="{F499B647-275C-4315-8319-E933523837DB}" name="RUTA" dataDxfId="271" totalsRowDxfId="186"/>
    <tableColumn id="34" xr3:uid="{17174725-E7DD-4312-B560-FBD037B9A860}" name="DURACION" dataDxfId="270" totalsRowDxfId="185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E85F34E-0530-4A52-9B66-F92849B5D8C3}" name="Tabla4678910112247" displayName="Tabla4678910112247" ref="A31:AT55" totalsRowCount="1" headerRowDxfId="269" dataDxfId="267" headerRowBorderDxfId="268" tableBorderDxfId="266" totalsRowBorderDxfId="265">
  <tableColumns count="46">
    <tableColumn id="1" xr3:uid="{D2AA699B-D2C3-4021-95B2-E1DDBC9A4CF7}" name="Servicios del Programa:" dataDxfId="264" totalsRowDxfId="184"/>
    <tableColumn id="2" xr3:uid="{897A9F30-8C17-4B0A-B4E7-D543B936195A}" name="Programa Rehabilitacion Pulmonar / Cuidado Respiratorio" dataDxfId="263" totalsRowDxfId="183"/>
    <tableColumn id="44" xr3:uid="{B6287646-ADFF-4204-906C-EF6FCA0A6352}" name="CATEGORIA" dataDxfId="262" totalsRowDxfId="182">
      <calculatedColumnFormula>_xlfn.XLOOKUP(Tabla4678910112247[[#This Row],[Servicios del Programa:]],Tabla151[CODIGO],Tabla151[VALOR])</calculatedColumnFormula>
    </tableColumn>
    <tableColumn id="3" xr3:uid="{F655A839-E039-4818-BA68-BE81418421CE}" name="MES 1" dataDxfId="261" totalsRowDxfId="181"/>
    <tableColumn id="21" xr3:uid="{8E5CFCAB-E01A-47BD-B65B-A8DBAE8849B8}" name="MES 19" totalsRowFunction="sum" dataDxfId="260" totalsRowDxfId="180" dataCellStyle="Moneda">
      <calculatedColumnFormula array="1">IF(D32="X",(_xlfn.XLOOKUP($B32,Tabla1[SERVICIO],Tabla1[VALOR])*1),IF(D32&gt;=1,_xlfn.XLOOKUP($B32,Tabla1[SERVICIO],Tabla1[VALOR]*D32),0))</calculatedColumnFormula>
    </tableColumn>
    <tableColumn id="4" xr3:uid="{2AEDE01A-80EA-457E-BD27-15166B3C4F7C}" name="MES 2" dataDxfId="259" totalsRowDxfId="179"/>
    <tableColumn id="22" xr3:uid="{B7738DA1-40C1-42F6-97CA-CA31965AFE08}" name="MES 22" totalsRowFunction="sum" dataDxfId="258" totalsRowDxfId="178" dataCellStyle="Moneda">
      <calculatedColumnFormula array="1">IF(F32="X",(_xlfn.XLOOKUP($B32,Tabla1[SERVICIO],Tabla1[VALOR])*1),IF(F32&gt;=1,_xlfn.XLOOKUP($B32,Tabla1[SERVICIO],Tabla1[VALOR]*F32),0))</calculatedColumnFormula>
    </tableColumn>
    <tableColumn id="5" xr3:uid="{0A83FCF1-50DE-46EF-9D0D-E8656180A121}" name="MES 3" dataDxfId="257" totalsRowDxfId="177"/>
    <tableColumn id="23" xr3:uid="{3ECD5990-C87D-41F3-81E2-5952FBAE38C5}" name="MES 32" totalsRowFunction="sum" dataDxfId="256" totalsRowDxfId="176" dataCellStyle="Moneda">
      <calculatedColumnFormula array="1">IF(H32="X",(_xlfn.XLOOKUP($B32,Tabla1[SERVICIO],Tabla1[VALOR])*1),IF(H32&gt;=1,_xlfn.XLOOKUP($B32,Tabla1[SERVICIO],Tabla1[VALOR]*H32),0))</calculatedColumnFormula>
    </tableColumn>
    <tableColumn id="6" xr3:uid="{92C14143-26F9-4792-BCC8-8383FC8E532D}" name="MES 4" dataDxfId="255" totalsRowDxfId="175"/>
    <tableColumn id="24" xr3:uid="{08980901-66E7-4976-A08D-663192469E61}" name="MES 42" totalsRowFunction="sum" dataDxfId="254" totalsRowDxfId="174" dataCellStyle="Moneda">
      <calculatedColumnFormula array="1">IF(J32="X",(_xlfn.XLOOKUP($B32,Tabla1[SERVICIO],Tabla1[VALOR])*1),IF(J32&gt;=1,_xlfn.XLOOKUP($B32,Tabla1[SERVICIO],Tabla1[VALOR]*J32),0))</calculatedColumnFormula>
    </tableColumn>
    <tableColumn id="7" xr3:uid="{C208CA1C-5756-446D-B1D3-98CAD887E883}" name="MES 5" dataDxfId="253" totalsRowDxfId="173"/>
    <tableColumn id="25" xr3:uid="{2BD2E83A-2CBE-470B-9DD4-B75B95E8A6BD}" name="MES 52" totalsRowFunction="sum" dataDxfId="252" totalsRowDxfId="172" dataCellStyle="Moneda">
      <calculatedColumnFormula array="1">IF(L32="X",(_xlfn.XLOOKUP($B32,Tabla1[SERVICIO],Tabla1[VALOR])*1),IF(L32&gt;=1,_xlfn.XLOOKUP($B32,Tabla1[SERVICIO],Tabla1[VALOR]*L32),0))</calculatedColumnFormula>
    </tableColumn>
    <tableColumn id="8" xr3:uid="{5BB88C2B-AB8E-4684-A619-0A8E8006FACB}" name="MES 6" dataDxfId="251" totalsRowDxfId="171"/>
    <tableColumn id="26" xr3:uid="{17FFFB3A-4D86-4923-AB25-325B7810E432}" name="MES 62" totalsRowFunction="sum" dataDxfId="250" totalsRowDxfId="170" dataCellStyle="Moneda">
      <calculatedColumnFormula array="1">IF(N32="X",(_xlfn.XLOOKUP($B32,Tabla1[SERVICIO],Tabla1[VALOR])*1),IF(N32&gt;=1,_xlfn.XLOOKUP($B32,Tabla1[SERVICIO],Tabla1[VALOR]*N32),0))</calculatedColumnFormula>
    </tableColumn>
    <tableColumn id="9" xr3:uid="{022DA846-5336-466A-9CEE-12ACF8131BFC}" name="MES 7" dataDxfId="249" totalsRowDxfId="169"/>
    <tableColumn id="27" xr3:uid="{7D48743F-1421-4DEC-B851-00AAC478D81D}" name="MES 72" totalsRowFunction="sum" dataDxfId="248" totalsRowDxfId="168" dataCellStyle="Moneda">
      <calculatedColumnFormula array="1">IF(P32="X",(_xlfn.XLOOKUP($B32,Tabla1[SERVICIO],Tabla1[VALOR])*1),IF(P32&gt;=1,_xlfn.XLOOKUP($B32,Tabla1[SERVICIO],Tabla1[VALOR]*P32),0))</calculatedColumnFormula>
    </tableColumn>
    <tableColumn id="10" xr3:uid="{75520E63-A465-41E0-A8E3-DDC2EE26D55D}" name="MES 8" dataDxfId="247" totalsRowDxfId="167"/>
    <tableColumn id="28" xr3:uid="{9A68361C-DDF9-4FD6-ADA5-189BD18CD8CD}" name="MES 82" totalsRowFunction="sum" dataDxfId="246" totalsRowDxfId="166" dataCellStyle="Moneda">
      <calculatedColumnFormula array="1">IF(R32="X",(_xlfn.XLOOKUP($B32,Tabla1[SERVICIO],Tabla1[VALOR])*1),IF(R32&gt;=1,_xlfn.XLOOKUP($B32,Tabla1[SERVICIO],Tabla1[VALOR]*R32),0))</calculatedColumnFormula>
    </tableColumn>
    <tableColumn id="11" xr3:uid="{415CB805-EB74-4824-843F-13E8101D3E85}" name="MES 9" dataDxfId="245" totalsRowDxfId="165"/>
    <tableColumn id="29" xr3:uid="{60D554E5-C454-437D-BC53-F7755B93281A}" name="MES 92" totalsRowFunction="sum" dataDxfId="244" totalsRowDxfId="164" dataCellStyle="Moneda">
      <calculatedColumnFormula array="1">IF(T32="X",(_xlfn.XLOOKUP($B32,Tabla1[SERVICIO],Tabla1[VALOR])*1),IF(T32&gt;=1,_xlfn.XLOOKUP($B32,Tabla1[SERVICIO],Tabla1[VALOR]*T32),0))</calculatedColumnFormula>
    </tableColumn>
    <tableColumn id="12" xr3:uid="{7046BE44-2474-433F-9C12-12975F4F1ABD}" name="MES 10" dataDxfId="243" totalsRowDxfId="163"/>
    <tableColumn id="30" xr3:uid="{CE6AC533-F578-4FAC-B301-D6BE2BBE7CEF}" name="MES 102" totalsRowFunction="sum" dataDxfId="242" totalsRowDxfId="162" dataCellStyle="Moneda">
      <calculatedColumnFormula array="1">IF(V32="X",(_xlfn.XLOOKUP($B32,Tabla1[SERVICIO],Tabla1[VALOR])*1),IF(V32&gt;=1,_xlfn.XLOOKUP($B32,Tabla1[SERVICIO],Tabla1[VALOR]*V32),0))</calculatedColumnFormula>
    </tableColumn>
    <tableColumn id="13" xr3:uid="{50AB4018-2938-471B-8C1A-D8BCC61F1615}" name="MES 11" dataDxfId="241" totalsRowDxfId="161"/>
    <tableColumn id="31" xr3:uid="{7A50FE5E-58C9-489D-8F09-8FF3C727A5CE}" name="MES 112" totalsRowFunction="sum" dataDxfId="240" totalsRowDxfId="160" dataCellStyle="Moneda">
      <calculatedColumnFormula array="1">IF(X32="X",(_xlfn.XLOOKUP($B32,Tabla1[SERVICIO],Tabla1[VALOR])*1),IF(X32&gt;=1,_xlfn.XLOOKUP($B32,Tabla1[SERVICIO],Tabla1[VALOR]*X32),0))</calculatedColumnFormula>
    </tableColumn>
    <tableColumn id="14" xr3:uid="{ADD278A2-5ACA-412E-BF3E-867722CDE626}" name="MES 12" dataDxfId="239" totalsRowDxfId="159"/>
    <tableColumn id="32" xr3:uid="{F547675B-C25C-4F42-94D2-1581A8C5F9E5}" name="MES 122" totalsRowFunction="sum" dataDxfId="238" totalsRowDxfId="158" dataCellStyle="Moneda">
      <calculatedColumnFormula array="1">IF(Z32="X",(_xlfn.XLOOKUP($B32,Tabla1[SERVICIO],Tabla1[VALOR])*1),IF(Z32&gt;=1,_xlfn.XLOOKUP($B32,Tabla1[SERVICIO],Tabla1[VALOR]*Z32),0))</calculatedColumnFormula>
    </tableColumn>
    <tableColumn id="15" xr3:uid="{B8AD356D-6FC5-4BB1-A970-CEB4791A0C2F}" name="MES 13" dataDxfId="237" totalsRowDxfId="157"/>
    <tableColumn id="33" xr3:uid="{5777D832-1467-462E-8678-56C3C60F9896}" name="MES 132" totalsRowFunction="sum" dataDxfId="236" totalsRowDxfId="156" dataCellStyle="Moneda">
      <calculatedColumnFormula array="1">IF(AB32="X",(_xlfn.XLOOKUP($B32,Tabla1[SERVICIO],Tabla1[VALOR])*1),IF(AB32&gt;=1,_xlfn.XLOOKUP($B32,Tabla1[SERVICIO],Tabla1[VALOR]*AB32),0))</calculatedColumnFormula>
    </tableColumn>
    <tableColumn id="16" xr3:uid="{237ADCA5-4200-4125-8673-C0236BD4305A}" name="MES 14" dataDxfId="235" totalsRowDxfId="155"/>
    <tableColumn id="34" xr3:uid="{4F2F24AA-8CB2-497A-8C64-103EB434B2B5}" name="MES 142" totalsRowFunction="sum" dataDxfId="234" totalsRowDxfId="154" dataCellStyle="Moneda">
      <calculatedColumnFormula array="1">IF(AD32="X",(_xlfn.XLOOKUP($B32,Tabla1[SERVICIO],Tabla1[VALOR])*1),IF(AD32&gt;=1,_xlfn.XLOOKUP($B32,Tabla1[SERVICIO],Tabla1[VALOR]*AD32),0))</calculatedColumnFormula>
    </tableColumn>
    <tableColumn id="17" xr3:uid="{B00E3D61-7180-4E34-A6F5-2841859A7DB3}" name="MES 15" dataDxfId="233" totalsRowDxfId="153"/>
    <tableColumn id="35" xr3:uid="{D30E4B38-6395-4185-9B4E-F1D4995B1F25}" name="MES 152" totalsRowFunction="sum" dataDxfId="232" totalsRowDxfId="152" dataCellStyle="Moneda">
      <calculatedColumnFormula array="1">IF(AF32="X",(_xlfn.XLOOKUP($B32,Tabla1[SERVICIO],Tabla1[VALOR])*1),IF(AF32&gt;=1,_xlfn.XLOOKUP($B32,Tabla1[SERVICIO],Tabla1[VALOR]*AF32),0))</calculatedColumnFormula>
    </tableColumn>
    <tableColumn id="18" xr3:uid="{D4680C8C-06B7-4F00-A022-CD42CDA926AD}" name="MES 16" dataDxfId="231" totalsRowDxfId="151"/>
    <tableColumn id="36" xr3:uid="{EE3E642E-72F7-49B6-80F9-775A65A40F2F}" name="MES 162" totalsRowFunction="sum" dataDxfId="230" totalsRowDxfId="150" dataCellStyle="Moneda">
      <calculatedColumnFormula array="1">IF(AH32="X",(_xlfn.XLOOKUP($B32,Tabla1[SERVICIO],Tabla1[VALOR])*1),IF(AH32&gt;=1,_xlfn.XLOOKUP($B32,Tabla1[SERVICIO],Tabla1[VALOR]*AH32),0))</calculatedColumnFormula>
    </tableColumn>
    <tableColumn id="19" xr3:uid="{10DDDB90-4583-474C-8176-C894493F76D7}" name="MES 17" dataDxfId="229" totalsRowDxfId="149"/>
    <tableColumn id="37" xr3:uid="{0D01942F-63AE-4EAA-96A6-1F9E0F3B23E6}" name="MES 172" totalsRowFunction="sum" dataDxfId="228" totalsRowDxfId="148" dataCellStyle="Moneda">
      <calculatedColumnFormula array="1">IF(AJ32="X",(_xlfn.XLOOKUP($B32,Tabla1[SERVICIO],Tabla1[VALOR])*1),IF(AJ32&gt;=1,_xlfn.XLOOKUP($B32,Tabla1[SERVICIO],Tabla1[VALOR]*AJ32),0))</calculatedColumnFormula>
    </tableColumn>
    <tableColumn id="20" xr3:uid="{5B7E7E99-0818-44BE-AD3D-B698D42FF123}" name="MES 18" dataDxfId="227" totalsRowDxfId="147"/>
    <tableColumn id="38" xr3:uid="{3EAC221F-9A8C-4A72-B36F-D5A90E74701C}" name="MES 1722" totalsRowFunction="sum" dataDxfId="226" totalsRowDxfId="146" dataCellStyle="Moneda">
      <calculatedColumnFormula array="1">IF(AL32="X",(_xlfn.XLOOKUP($B32,Tabla1[SERVICIO],Tabla1[VALOR])*1),IF(AL32&gt;=1,_xlfn.XLOOKUP($B32,Tabla1[SERVICIO],Tabla1[VALOR]*AL32),0))</calculatedColumnFormula>
    </tableColumn>
    <tableColumn id="39" xr3:uid="{DD172DA7-D6DE-4BC4-B39A-A021B5C59BCB}" name="MES 1723" totalsRowFunction="sum" dataDxfId="225" totalsRowDxfId="145">
      <calculatedColumnFormula>SUM(E32,G32,I32,K32,M32,O32,Q32,S32,U32,W32+Y32,AA32,AC32,AE32,AG32,AI32,AK32,AM32)</calculatedColumnFormula>
    </tableColumn>
    <tableColumn id="40" xr3:uid="{CF9C56A5-E1F1-4A68-A319-ED11A3828D9D}" name="TOTAL SERVICIOS" totalsRowFunction="sum" dataDxfId="224" totalsRowDxfId="144" dataCellStyle="Millares">
      <calculatedColumnFormula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calculatedColumnFormula>
    </tableColumn>
    <tableColumn id="41" xr3:uid="{9A719FE8-7A63-47AE-965C-0332EBE00F19}" name="Columna1" dataDxfId="223" totalsRowDxfId="143"/>
    <tableColumn id="42" xr3:uid="{CF531C9F-ED04-4191-B0CA-B0A0668F073D}" name="% de las personas que lo usaron" dataDxfId="222" totalsRowDxfId="142" dataCellStyle="Porcentaje"/>
    <tableColumn id="43" xr3:uid="{C577557E-C348-46F5-BDB9-98EBBBF86C7E}" name="VALOR COSTO" totalsRowFunction="sum" dataDxfId="221" totalsRowDxfId="141" dataCellStyle="Moneda">
      <calculatedColumnFormula>+Tabla4678910112247[[#This Row],[MES 1723]]*Tabla4678910112247[[#This Row],[% de las personas que lo usaron]]</calculatedColumnFormula>
    </tableColumn>
    <tableColumn id="45" xr3:uid="{19806086-E057-45BF-BAA2-A44D5DD824D5}" name="RUTA" dataDxfId="220" totalsRowDxfId="140"/>
    <tableColumn id="46" xr3:uid="{BA9995ED-48C6-4191-9606-29DF0763FF20}" name="DURACION" dataDxfId="219" totalsRowDxfId="1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6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E76891-FD28-4EB2-AA1F-9C923CD76F3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702b89f-7bc4-4ffc-a2ee-35efc26f96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3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40F5-2F81-4FB4-9D90-927B5C64955E}">
  <dimension ref="A1:U48"/>
  <sheetViews>
    <sheetView workbookViewId="0">
      <selection sqref="A1:U1"/>
    </sheetView>
    <sheetView workbookViewId="1">
      <selection sqref="A1:U1"/>
    </sheetView>
  </sheetViews>
  <sheetFormatPr baseColWidth="10" defaultRowHeight="16.5" x14ac:dyDescent="0.3"/>
  <cols>
    <col min="1" max="21" width="12.140625" style="93" customWidth="1"/>
    <col min="22" max="16384" width="11.42578125" style="93"/>
  </cols>
  <sheetData>
    <row r="1" spans="1:21" ht="30" customHeight="1" x14ac:dyDescent="0.35">
      <c r="A1" s="432" t="s">
        <v>390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</row>
    <row r="2" spans="1:21" ht="20.100000000000001" customHeight="1" thickBot="1" x14ac:dyDescent="0.35">
      <c r="A2" s="434" t="s">
        <v>391</v>
      </c>
      <c r="B2" s="435"/>
      <c r="C2" s="436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</row>
    <row r="3" spans="1:21" ht="24" customHeight="1" thickTop="1" x14ac:dyDescent="0.3">
      <c r="A3" s="341"/>
      <c r="B3" s="342" t="s">
        <v>392</v>
      </c>
      <c r="C3" s="437" t="s">
        <v>334</v>
      </c>
      <c r="D3" s="438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3"/>
      <c r="Q3" s="439" t="s">
        <v>336</v>
      </c>
      <c r="R3" s="438"/>
      <c r="S3" s="344"/>
      <c r="T3" s="439" t="s">
        <v>337</v>
      </c>
      <c r="U3" s="438"/>
    </row>
    <row r="4" spans="1:21" x14ac:dyDescent="0.3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</row>
    <row r="5" spans="1:21" ht="21.95" customHeight="1" thickBot="1" x14ac:dyDescent="0.35">
      <c r="A5" s="429" t="s">
        <v>393</v>
      </c>
      <c r="B5" s="430"/>
      <c r="C5" s="430"/>
      <c r="D5" s="430"/>
      <c r="E5" s="430"/>
      <c r="F5" s="430"/>
      <c r="G5" s="430"/>
      <c r="H5" s="429" t="str">
        <f>"2   ANATOMÍA DEL COSTO – "&amp;$C$3</f>
        <v>2   ANATOMÍA DEL COSTO – Cuidado Respiratorio</v>
      </c>
      <c r="I5" s="430"/>
      <c r="J5" s="430"/>
      <c r="K5" s="430"/>
      <c r="L5" s="430"/>
      <c r="M5" s="430"/>
      <c r="N5" s="430"/>
      <c r="O5" s="429" t="str">
        <f>"3   PARETO DE COSTOS – "&amp;$C$3</f>
        <v>3   PARETO DE COSTOS – Cuidado Respiratorio</v>
      </c>
      <c r="P5" s="430"/>
      <c r="Q5" s="430"/>
      <c r="R5" s="430"/>
      <c r="S5" s="430"/>
      <c r="T5" s="430"/>
      <c r="U5" s="431"/>
    </row>
    <row r="6" spans="1:21" x14ac:dyDescent="0.3">
      <c r="A6" s="345"/>
      <c r="B6" s="346"/>
      <c r="C6" s="346"/>
      <c r="D6" s="346"/>
      <c r="E6" s="346"/>
      <c r="F6" s="346"/>
      <c r="G6" s="346"/>
      <c r="H6" s="345"/>
      <c r="I6" s="346"/>
      <c r="J6" s="346"/>
      <c r="K6" s="346"/>
      <c r="L6" s="346"/>
      <c r="M6" s="346"/>
      <c r="N6" s="346"/>
      <c r="O6" s="345"/>
      <c r="P6" s="346"/>
      <c r="Q6" s="346"/>
      <c r="R6" s="346"/>
      <c r="S6" s="346"/>
      <c r="T6" s="346"/>
      <c r="U6" s="347"/>
    </row>
    <row r="7" spans="1:21" x14ac:dyDescent="0.3">
      <c r="A7" s="345"/>
      <c r="B7" s="346"/>
      <c r="C7" s="346"/>
      <c r="D7" s="346"/>
      <c r="E7" s="346"/>
      <c r="F7" s="346"/>
      <c r="G7" s="346"/>
      <c r="H7" s="345"/>
      <c r="I7" s="346"/>
      <c r="J7" s="346"/>
      <c r="K7" s="346"/>
      <c r="L7" s="346"/>
      <c r="M7" s="346"/>
      <c r="N7" s="346"/>
      <c r="O7" s="345"/>
      <c r="P7" s="346"/>
      <c r="Q7" s="346"/>
      <c r="R7" s="346"/>
      <c r="S7" s="346"/>
      <c r="T7" s="346"/>
      <c r="U7" s="347"/>
    </row>
    <row r="8" spans="1:21" x14ac:dyDescent="0.3">
      <c r="A8" s="345"/>
      <c r="B8" s="346"/>
      <c r="C8" s="346"/>
      <c r="D8" s="346"/>
      <c r="E8" s="346"/>
      <c r="F8" s="346"/>
      <c r="G8" s="346"/>
      <c r="H8" s="345"/>
      <c r="I8" s="346"/>
      <c r="J8" s="346"/>
      <c r="K8" s="346"/>
      <c r="L8" s="346"/>
      <c r="M8" s="346"/>
      <c r="N8" s="346"/>
      <c r="O8" s="345"/>
      <c r="P8" s="346"/>
      <c r="Q8" s="346"/>
      <c r="R8" s="346"/>
      <c r="S8" s="346"/>
      <c r="T8" s="346"/>
      <c r="U8" s="347"/>
    </row>
    <row r="9" spans="1:21" x14ac:dyDescent="0.3">
      <c r="A9" s="345"/>
      <c r="B9" s="346"/>
      <c r="C9" s="346"/>
      <c r="D9" s="346"/>
      <c r="E9" s="346"/>
      <c r="F9" s="346"/>
      <c r="G9" s="346"/>
      <c r="H9" s="345"/>
      <c r="I9" s="346"/>
      <c r="J9" s="346"/>
      <c r="K9" s="346"/>
      <c r="L9" s="346"/>
      <c r="M9" s="346"/>
      <c r="N9" s="346"/>
      <c r="O9" s="345"/>
      <c r="P9" s="346"/>
      <c r="Q9" s="346"/>
      <c r="R9" s="346"/>
      <c r="S9" s="346"/>
      <c r="T9" s="346"/>
      <c r="U9" s="347"/>
    </row>
    <row r="10" spans="1:21" x14ac:dyDescent="0.3">
      <c r="A10" s="345"/>
      <c r="B10" s="346"/>
      <c r="C10" s="346"/>
      <c r="D10" s="346"/>
      <c r="E10" s="346"/>
      <c r="F10" s="346"/>
      <c r="G10" s="346"/>
      <c r="H10" s="345"/>
      <c r="I10" s="346"/>
      <c r="J10" s="346"/>
      <c r="K10" s="346"/>
      <c r="L10" s="346"/>
      <c r="M10" s="346"/>
      <c r="N10" s="346"/>
      <c r="O10" s="345"/>
      <c r="P10" s="346"/>
      <c r="Q10" s="346"/>
      <c r="R10" s="346"/>
      <c r="S10" s="346"/>
      <c r="T10" s="346"/>
      <c r="U10" s="347"/>
    </row>
    <row r="11" spans="1:21" x14ac:dyDescent="0.3">
      <c r="A11" s="345"/>
      <c r="B11" s="346"/>
      <c r="C11" s="346"/>
      <c r="D11" s="346"/>
      <c r="E11" s="346"/>
      <c r="F11" s="346"/>
      <c r="G11" s="346"/>
      <c r="H11" s="345"/>
      <c r="I11" s="346"/>
      <c r="J11" s="346"/>
      <c r="K11" s="346"/>
      <c r="L11" s="346"/>
      <c r="M11" s="346"/>
      <c r="N11" s="346"/>
      <c r="O11" s="345"/>
      <c r="P11" s="346"/>
      <c r="Q11" s="346"/>
      <c r="R11" s="346"/>
      <c r="S11" s="346"/>
      <c r="T11" s="346"/>
      <c r="U11" s="347"/>
    </row>
    <row r="12" spans="1:21" x14ac:dyDescent="0.3">
      <c r="A12" s="345"/>
      <c r="B12" s="346"/>
      <c r="C12" s="346"/>
      <c r="D12" s="346"/>
      <c r="E12" s="346"/>
      <c r="F12" s="346"/>
      <c r="G12" s="346"/>
      <c r="H12" s="345"/>
      <c r="I12" s="346"/>
      <c r="J12" s="346"/>
      <c r="K12" s="346"/>
      <c r="L12" s="346"/>
      <c r="M12" s="346"/>
      <c r="N12" s="346"/>
      <c r="O12" s="345"/>
      <c r="P12" s="346"/>
      <c r="Q12" s="346"/>
      <c r="R12" s="346"/>
      <c r="S12" s="346"/>
      <c r="T12" s="346"/>
      <c r="U12" s="347"/>
    </row>
    <row r="13" spans="1:21" x14ac:dyDescent="0.3">
      <c r="A13" s="345"/>
      <c r="B13" s="346"/>
      <c r="C13" s="346"/>
      <c r="D13" s="346"/>
      <c r="E13" s="346"/>
      <c r="F13" s="346"/>
      <c r="G13" s="346"/>
      <c r="H13" s="345"/>
      <c r="I13" s="346"/>
      <c r="J13" s="346"/>
      <c r="K13" s="346"/>
      <c r="L13" s="346"/>
      <c r="M13" s="346"/>
      <c r="N13" s="346"/>
      <c r="O13" s="345"/>
      <c r="P13" s="346"/>
      <c r="Q13" s="346"/>
      <c r="R13" s="346"/>
      <c r="S13" s="346"/>
      <c r="T13" s="346"/>
      <c r="U13" s="347"/>
    </row>
    <row r="14" spans="1:21" x14ac:dyDescent="0.3">
      <c r="A14" s="345"/>
      <c r="B14" s="346"/>
      <c r="C14" s="346"/>
      <c r="D14" s="346"/>
      <c r="E14" s="346"/>
      <c r="F14" s="346"/>
      <c r="G14" s="346"/>
      <c r="H14" s="345"/>
      <c r="I14" s="346"/>
      <c r="J14" s="346"/>
      <c r="K14" s="346"/>
      <c r="L14" s="346"/>
      <c r="M14" s="346"/>
      <c r="N14" s="346"/>
      <c r="O14" s="345"/>
      <c r="P14" s="346"/>
      <c r="Q14" s="346"/>
      <c r="R14" s="346"/>
      <c r="S14" s="346"/>
      <c r="T14" s="346"/>
      <c r="U14" s="347"/>
    </row>
    <row r="15" spans="1:21" x14ac:dyDescent="0.3">
      <c r="A15" s="345"/>
      <c r="B15" s="346"/>
      <c r="C15" s="346"/>
      <c r="D15" s="346"/>
      <c r="E15" s="346"/>
      <c r="F15" s="346"/>
      <c r="G15" s="346"/>
      <c r="H15" s="345"/>
      <c r="I15" s="346"/>
      <c r="J15" s="346"/>
      <c r="K15" s="346"/>
      <c r="L15" s="346"/>
      <c r="M15" s="346"/>
      <c r="N15" s="346"/>
      <c r="O15" s="345"/>
      <c r="P15" s="346"/>
      <c r="Q15" s="346"/>
      <c r="R15" s="346"/>
      <c r="S15" s="346"/>
      <c r="T15" s="346"/>
      <c r="U15" s="347"/>
    </row>
    <row r="16" spans="1:21" x14ac:dyDescent="0.3">
      <c r="A16" s="345"/>
      <c r="B16" s="346"/>
      <c r="C16" s="346"/>
      <c r="D16" s="346"/>
      <c r="E16" s="346"/>
      <c r="F16" s="346"/>
      <c r="G16" s="346"/>
      <c r="H16" s="345"/>
      <c r="I16" s="346"/>
      <c r="J16" s="346"/>
      <c r="K16" s="346"/>
      <c r="L16" s="346"/>
      <c r="M16" s="346"/>
      <c r="N16" s="346"/>
      <c r="O16" s="345"/>
      <c r="P16" s="346"/>
      <c r="Q16" s="346"/>
      <c r="R16" s="346"/>
      <c r="S16" s="346"/>
      <c r="T16" s="346"/>
      <c r="U16" s="347"/>
    </row>
    <row r="17" spans="1:21" x14ac:dyDescent="0.3">
      <c r="A17" s="345"/>
      <c r="B17" s="346"/>
      <c r="C17" s="346"/>
      <c r="D17" s="346"/>
      <c r="E17" s="346"/>
      <c r="F17" s="346"/>
      <c r="G17" s="346"/>
      <c r="H17" s="345"/>
      <c r="I17" s="346"/>
      <c r="J17" s="346"/>
      <c r="K17" s="346"/>
      <c r="L17" s="346"/>
      <c r="M17" s="346"/>
      <c r="N17" s="346"/>
      <c r="O17" s="345"/>
      <c r="P17" s="346"/>
      <c r="Q17" s="346"/>
      <c r="R17" s="346"/>
      <c r="S17" s="346"/>
      <c r="T17" s="346"/>
      <c r="U17" s="347"/>
    </row>
    <row r="18" spans="1:21" x14ac:dyDescent="0.3">
      <c r="A18" s="345"/>
      <c r="B18" s="346"/>
      <c r="C18" s="346"/>
      <c r="D18" s="346"/>
      <c r="E18" s="346"/>
      <c r="F18" s="346"/>
      <c r="G18" s="346"/>
      <c r="H18" s="345"/>
      <c r="I18" s="346"/>
      <c r="J18" s="346"/>
      <c r="K18" s="346"/>
      <c r="L18" s="346"/>
      <c r="M18" s="346"/>
      <c r="N18" s="346"/>
      <c r="O18" s="345"/>
      <c r="P18" s="346"/>
      <c r="Q18" s="346"/>
      <c r="R18" s="346"/>
      <c r="S18" s="346"/>
      <c r="T18" s="346"/>
      <c r="U18" s="347"/>
    </row>
    <row r="19" spans="1:21" x14ac:dyDescent="0.3">
      <c r="A19" s="345"/>
      <c r="B19" s="346"/>
      <c r="C19" s="346"/>
      <c r="D19" s="346"/>
      <c r="E19" s="346"/>
      <c r="F19" s="346"/>
      <c r="G19" s="346"/>
      <c r="H19" s="345"/>
      <c r="I19" s="346"/>
      <c r="J19" s="346"/>
      <c r="K19" s="346"/>
      <c r="L19" s="346"/>
      <c r="M19" s="346"/>
      <c r="N19" s="346"/>
      <c r="O19" s="345"/>
      <c r="P19" s="346"/>
      <c r="Q19" s="346"/>
      <c r="R19" s="346"/>
      <c r="S19" s="346"/>
      <c r="T19" s="346"/>
      <c r="U19" s="347"/>
    </row>
    <row r="20" spans="1:21" x14ac:dyDescent="0.3">
      <c r="A20" s="345"/>
      <c r="B20" s="346"/>
      <c r="C20" s="346"/>
      <c r="D20" s="346"/>
      <c r="E20" s="346"/>
      <c r="F20" s="346"/>
      <c r="G20" s="346"/>
      <c r="H20" s="345"/>
      <c r="I20" s="346"/>
      <c r="J20" s="346"/>
      <c r="K20" s="346"/>
      <c r="L20" s="346"/>
      <c r="M20" s="346"/>
      <c r="N20" s="346"/>
      <c r="O20" s="345"/>
      <c r="P20" s="346"/>
      <c r="Q20" s="346"/>
      <c r="R20" s="346"/>
      <c r="S20" s="346"/>
      <c r="T20" s="346"/>
      <c r="U20" s="347"/>
    </row>
    <row r="21" spans="1:21" x14ac:dyDescent="0.3">
      <c r="A21" s="345"/>
      <c r="B21" s="346"/>
      <c r="C21" s="346"/>
      <c r="D21" s="346"/>
      <c r="E21" s="346"/>
      <c r="F21" s="346"/>
      <c r="G21" s="346"/>
      <c r="H21" s="345"/>
      <c r="I21" s="346"/>
      <c r="J21" s="346"/>
      <c r="K21" s="346"/>
      <c r="L21" s="346"/>
      <c r="M21" s="346"/>
      <c r="N21" s="346"/>
      <c r="O21" s="345"/>
      <c r="P21" s="346"/>
      <c r="Q21" s="346"/>
      <c r="R21" s="346"/>
      <c r="S21" s="346"/>
      <c r="T21" s="346"/>
      <c r="U21" s="347"/>
    </row>
    <row r="22" spans="1:21" x14ac:dyDescent="0.3">
      <c r="A22" s="345"/>
      <c r="B22" s="346"/>
      <c r="C22" s="346"/>
      <c r="D22" s="346"/>
      <c r="E22" s="346"/>
      <c r="F22" s="346"/>
      <c r="G22" s="346"/>
      <c r="H22" s="345"/>
      <c r="I22" s="346"/>
      <c r="J22" s="346"/>
      <c r="K22" s="346"/>
      <c r="L22" s="346"/>
      <c r="M22" s="346"/>
      <c r="N22" s="346"/>
      <c r="O22" s="345"/>
      <c r="P22" s="346"/>
      <c r="Q22" s="346"/>
      <c r="R22" s="346"/>
      <c r="S22" s="346"/>
      <c r="T22" s="346"/>
      <c r="U22" s="347"/>
    </row>
    <row r="23" spans="1:21" ht="15" customHeight="1" x14ac:dyDescent="0.3">
      <c r="A23" s="448" t="str">
        <f>"Los 3 programas de mayor costo concentran "&amp;TEXT(Calculos!I22,"0%")&amp;" del total (Normal)."</f>
        <v>Los 3 programas de mayor costo concentran 43% del total (Normal).</v>
      </c>
      <c r="B23" s="449"/>
      <c r="C23" s="449"/>
      <c r="D23" s="449"/>
      <c r="E23" s="449"/>
      <c r="F23" s="449"/>
      <c r="G23" s="449"/>
      <c r="H23" s="448" t="str">
        <f>"El "&amp;TEXT(Calculos!I24,"0%")&amp;" del costo de "&amp;$C$3&amp;" se concentra en "&amp;Calculos!I23&amp;"."</f>
        <v>El 41% del costo de Cuidado Respiratorio se concentra en Consultas.</v>
      </c>
      <c r="I23" s="449"/>
      <c r="J23" s="449"/>
      <c r="K23" s="449"/>
      <c r="L23" s="449"/>
      <c r="M23" s="449"/>
      <c r="N23" s="449"/>
      <c r="O23" s="448" t="str">
        <f>"Las 2 categorías principales explican "&amp;TEXT(Calculos!I25,"0%")&amp;" del costo."</f>
        <v>Las 2 categorías principales explican 73% del costo.</v>
      </c>
      <c r="P23" s="449"/>
      <c r="Q23" s="449"/>
      <c r="R23" s="449"/>
      <c r="S23" s="449"/>
      <c r="T23" s="449"/>
      <c r="U23" s="451"/>
    </row>
    <row r="24" spans="1:21" ht="15" customHeight="1" x14ac:dyDescent="0.3">
      <c r="A24" s="450"/>
      <c r="B24" s="449"/>
      <c r="C24" s="449"/>
      <c r="D24" s="449"/>
      <c r="E24" s="449"/>
      <c r="F24" s="449"/>
      <c r="G24" s="449"/>
      <c r="H24" s="450"/>
      <c r="I24" s="449"/>
      <c r="J24" s="449"/>
      <c r="K24" s="449"/>
      <c r="L24" s="449"/>
      <c r="M24" s="449"/>
      <c r="N24" s="449"/>
      <c r="O24" s="450"/>
      <c r="P24" s="449"/>
      <c r="Q24" s="449"/>
      <c r="R24" s="449"/>
      <c r="S24" s="449"/>
      <c r="T24" s="449"/>
      <c r="U24" s="451"/>
    </row>
    <row r="25" spans="1:21" ht="21.95" customHeight="1" thickBot="1" x14ac:dyDescent="0.35">
      <c r="A25" s="429" t="str">
        <f>"4   ESTRUCTURA DE SERVICIOS – "&amp;$C$3</f>
        <v>4   ESTRUCTURA DE SERVICIOS – Cuidado Respiratorio</v>
      </c>
      <c r="B25" s="430"/>
      <c r="C25" s="430"/>
      <c r="D25" s="430"/>
      <c r="E25" s="430"/>
      <c r="F25" s="430"/>
      <c r="G25" s="430"/>
      <c r="H25" s="429" t="s">
        <v>394</v>
      </c>
      <c r="I25" s="430"/>
      <c r="J25" s="430"/>
      <c r="K25" s="430"/>
      <c r="L25" s="430"/>
      <c r="M25" s="430"/>
      <c r="N25" s="430"/>
      <c r="O25" s="429" t="s">
        <v>395</v>
      </c>
      <c r="P25" s="430"/>
      <c r="Q25" s="430"/>
      <c r="R25" s="430"/>
      <c r="S25" s="430"/>
      <c r="T25" s="430"/>
      <c r="U25" s="431"/>
    </row>
    <row r="26" spans="1:21" ht="26.1" customHeight="1" x14ac:dyDescent="0.3">
      <c r="A26" s="455" t="s">
        <v>369</v>
      </c>
      <c r="B26" s="456"/>
      <c r="C26" s="456"/>
      <c r="D26" s="348" t="s">
        <v>404</v>
      </c>
      <c r="E26" s="457" t="s">
        <v>387</v>
      </c>
      <c r="F26" s="456"/>
      <c r="G26" s="349" t="s">
        <v>396</v>
      </c>
      <c r="H26" s="440" t="s">
        <v>377</v>
      </c>
      <c r="I26" s="441"/>
      <c r="J26" s="442" t="s">
        <v>378</v>
      </c>
      <c r="K26" s="441"/>
      <c r="L26" s="443" t="s">
        <v>379</v>
      </c>
      <c r="M26" s="441"/>
      <c r="N26" s="350" t="s">
        <v>380</v>
      </c>
      <c r="O26" s="346"/>
      <c r="P26" s="346"/>
      <c r="Q26" s="346"/>
      <c r="R26" s="346"/>
      <c r="S26" s="346"/>
      <c r="T26" s="346"/>
      <c r="U26" s="347"/>
    </row>
    <row r="27" spans="1:21" ht="26.1" customHeight="1" x14ac:dyDescent="0.3">
      <c r="A27" s="446" t="str">
        <f>Calculos!H8</f>
        <v>Consultas</v>
      </c>
      <c r="B27" s="446"/>
      <c r="C27" s="446"/>
      <c r="D27" s="351">
        <f>SUMIFS(BASE12MESES!$AC:$AC,BASE12MESES!$AG:$AG,Calculos!$I$4,BASE12MESES!$C:$C,Calculos!H8)</f>
        <v>17</v>
      </c>
      <c r="E27" s="458">
        <f>Calculos!I8</f>
        <v>273505.03790114046</v>
      </c>
      <c r="F27" s="446"/>
      <c r="G27" s="352">
        <f>Calculos!K8</f>
        <v>0.40578445099381444</v>
      </c>
      <c r="H27" s="444" t="str">
        <f>Calculos!H17</f>
        <v>Costo total por paciente</v>
      </c>
      <c r="I27" s="444"/>
      <c r="J27" s="445">
        <f>Calculos!I17</f>
        <v>674015.56967324426</v>
      </c>
      <c r="K27" s="446"/>
      <c r="L27" s="445">
        <f>Calculos!J17</f>
        <v>1007999.3968776469</v>
      </c>
      <c r="M27" s="446"/>
      <c r="N27" s="353">
        <f>Calculos!K17</f>
        <v>0.4955135196154512</v>
      </c>
      <c r="O27" s="346"/>
      <c r="P27" s="346"/>
      <c r="Q27" s="346"/>
      <c r="R27" s="346"/>
      <c r="S27" s="346"/>
      <c r="T27" s="346"/>
      <c r="U27" s="347"/>
    </row>
    <row r="28" spans="1:21" ht="26.1" customHeight="1" x14ac:dyDescent="0.3">
      <c r="A28" s="446" t="str">
        <f>Calculos!H9</f>
        <v>Diagnosticos</v>
      </c>
      <c r="B28" s="446"/>
      <c r="C28" s="446"/>
      <c r="D28" s="351">
        <f>SUMIFS(BASE12MESES!$AC:$AC,BASE12MESES!$AG:$AG,Calculos!$I$4,BASE12MESES!$C:$C,Calculos!H9)</f>
        <v>2</v>
      </c>
      <c r="E28" s="458">
        <f>Calculos!I9</f>
        <v>21589.01624042014</v>
      </c>
      <c r="F28" s="446"/>
      <c r="G28" s="352">
        <f>Calculos!K9</f>
        <v>3.2030441449425677E-2</v>
      </c>
      <c r="H28" s="444" t="str">
        <f>Calculos!H18</f>
        <v>Número total de servicios</v>
      </c>
      <c r="I28" s="444"/>
      <c r="J28" s="447">
        <f>Calculos!I18</f>
        <v>47</v>
      </c>
      <c r="K28" s="446"/>
      <c r="L28" s="447">
        <f>Calculos!J18</f>
        <v>59</v>
      </c>
      <c r="M28" s="446"/>
      <c r="N28" s="353">
        <f>Calculos!K18</f>
        <v>0.25531914893617019</v>
      </c>
      <c r="O28" s="346"/>
      <c r="P28" s="346"/>
      <c r="Q28" s="346"/>
      <c r="R28" s="346"/>
      <c r="S28" s="346"/>
      <c r="T28" s="346"/>
      <c r="U28" s="347"/>
    </row>
    <row r="29" spans="1:21" ht="26.1" customHeight="1" x14ac:dyDescent="0.3">
      <c r="A29" s="446" t="str">
        <f>Calculos!H10</f>
        <v>Terapias</v>
      </c>
      <c r="B29" s="446"/>
      <c r="C29" s="446"/>
      <c r="D29" s="351">
        <f>SUMIFS(BASE12MESES!$AC:$AC,BASE12MESES!$AG:$AG,Calculos!$I$4,BASE12MESES!$C:$C,Calculos!H10)</f>
        <v>2</v>
      </c>
      <c r="E29" s="458">
        <f>Calculos!I10</f>
        <v>4921.1722168236038</v>
      </c>
      <c r="F29" s="446"/>
      <c r="G29" s="352">
        <f>Calculos!K10</f>
        <v>7.3012737958105889E-3</v>
      </c>
      <c r="H29" s="444" t="str">
        <f>Calculos!H19</f>
        <v>Costo promedio mensual</v>
      </c>
      <c r="I29" s="444"/>
      <c r="J29" s="445">
        <f>Calculos!I19</f>
        <v>56167.964139437019</v>
      </c>
      <c r="K29" s="446"/>
      <c r="L29" s="445">
        <f>Calculos!J19</f>
        <v>55999.966493202606</v>
      </c>
      <c r="M29" s="446"/>
      <c r="N29" s="353">
        <f>Calculos!K19</f>
        <v>-2.9909869230324722E-3</v>
      </c>
      <c r="O29" s="346"/>
      <c r="P29" s="346"/>
      <c r="Q29" s="346"/>
      <c r="R29" s="346"/>
      <c r="S29" s="346"/>
      <c r="T29" s="346"/>
      <c r="U29" s="347"/>
    </row>
    <row r="30" spans="1:21" ht="26.1" customHeight="1" x14ac:dyDescent="0.3">
      <c r="A30" s="446" t="str">
        <f>Calculos!H11</f>
        <v>Educacion</v>
      </c>
      <c r="B30" s="446"/>
      <c r="C30" s="446"/>
      <c r="D30" s="351">
        <f>SUMIFS(BASE12MESES!$AC:$AC,BASE12MESES!$AG:$AG,Calculos!$I$4,BASE12MESES!$C:$C,Calculos!H11)</f>
        <v>12</v>
      </c>
      <c r="E30" s="458">
        <f>Calculos!I11</f>
        <v>152921.05970663566</v>
      </c>
      <c r="F30" s="446"/>
      <c r="G30" s="352">
        <f>Calculos!K11</f>
        <v>0.22688060422813411</v>
      </c>
      <c r="H30" s="444" t="str">
        <f>Calculos!H20</f>
        <v>Costo promedio por servicio</v>
      </c>
      <c r="I30" s="444"/>
      <c r="J30" s="445">
        <f>Calculos!I20</f>
        <v>14340.756801558389</v>
      </c>
      <c r="K30" s="446"/>
      <c r="L30" s="445">
        <f>Calculos!J20</f>
        <v>17084.735540299102</v>
      </c>
      <c r="M30" s="446"/>
      <c r="N30" s="353">
        <f>Calculos!K20</f>
        <v>0.19134127833773237</v>
      </c>
      <c r="O30" s="346"/>
      <c r="P30" s="346"/>
      <c r="Q30" s="346"/>
      <c r="R30" s="346"/>
      <c r="S30" s="346"/>
      <c r="T30" s="346"/>
      <c r="U30" s="347"/>
    </row>
    <row r="31" spans="1:21" ht="20.100000000000001" customHeight="1" x14ac:dyDescent="0.3">
      <c r="A31" s="446" t="str">
        <f>Calculos!H12</f>
        <v>Gestion y seguimiento</v>
      </c>
      <c r="B31" s="446"/>
      <c r="C31" s="446"/>
      <c r="D31" s="351">
        <f>SUMIFS(BASE12MESES!$AC:$AC,BASE12MESES!$AG:$AG,Calculos!$I$4,BASE12MESES!$C:$C,Calculos!H12)</f>
        <v>14</v>
      </c>
      <c r="E31" s="458">
        <f>Calculos!I12</f>
        <v>221079.28360822436</v>
      </c>
      <c r="F31" s="446"/>
      <c r="G31" s="354">
        <f>Calculos!K12</f>
        <v>0.3280032295328153</v>
      </c>
      <c r="H31" s="346"/>
      <c r="I31" s="346"/>
      <c r="J31" s="346"/>
      <c r="K31" s="346"/>
      <c r="L31" s="346"/>
      <c r="M31" s="346"/>
      <c r="N31" s="346"/>
      <c r="O31" s="345"/>
      <c r="P31" s="346"/>
      <c r="Q31" s="346"/>
      <c r="R31" s="346"/>
      <c r="S31" s="346"/>
      <c r="T31" s="346"/>
      <c r="U31" s="347"/>
    </row>
    <row r="32" spans="1:21" ht="20.100000000000001" customHeight="1" x14ac:dyDescent="0.3">
      <c r="A32" s="459" t="s">
        <v>247</v>
      </c>
      <c r="B32" s="459"/>
      <c r="C32" s="459"/>
      <c r="D32" s="355">
        <f>SUM(D27:D31)</f>
        <v>47</v>
      </c>
      <c r="E32" s="460">
        <f>SUM(Calculos!I8:I12)</f>
        <v>674015.56967324414</v>
      </c>
      <c r="F32" s="459"/>
      <c r="G32" s="356">
        <f>SUM(G27:G31)</f>
        <v>1</v>
      </c>
      <c r="H32" s="452" t="str">
        <f>"Ecopetrol varía el costo por paciente en "&amp;TEXT(Calculos!K17,"+0%;-0%")&amp;" frente a la ruta Normal (18 vs 12 meses)."</f>
        <v>Ecopetrol varía el costo por paciente en +50% frente a la ruta Normal (18 vs 12 meses).</v>
      </c>
      <c r="I32" s="449"/>
      <c r="J32" s="449"/>
      <c r="K32" s="449"/>
      <c r="L32" s="449"/>
      <c r="M32" s="449"/>
      <c r="N32" s="449"/>
      <c r="O32" s="345"/>
      <c r="P32" s="346"/>
      <c r="Q32" s="346"/>
      <c r="R32" s="346"/>
      <c r="S32" s="346"/>
      <c r="T32" s="346"/>
      <c r="U32" s="347"/>
    </row>
    <row r="33" spans="1:21" ht="15" customHeight="1" thickBot="1" x14ac:dyDescent="0.35">
      <c r="A33" s="341"/>
      <c r="B33" s="341"/>
      <c r="C33" s="341"/>
      <c r="D33" s="341"/>
      <c r="E33" s="341"/>
      <c r="F33" s="341"/>
      <c r="G33" s="341"/>
      <c r="H33" s="453"/>
      <c r="I33" s="454"/>
      <c r="J33" s="454"/>
      <c r="K33" s="454"/>
      <c r="L33" s="454"/>
      <c r="M33" s="454"/>
      <c r="N33" s="454"/>
      <c r="O33" s="345"/>
      <c r="P33" s="346"/>
      <c r="Q33" s="346"/>
      <c r="R33" s="346"/>
      <c r="S33" s="346"/>
      <c r="T33" s="346"/>
      <c r="U33" s="347"/>
    </row>
    <row r="34" spans="1:21" x14ac:dyDescent="0.3">
      <c r="A34" s="341"/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5"/>
      <c r="P34" s="346"/>
      <c r="Q34" s="346"/>
      <c r="R34" s="346"/>
      <c r="S34" s="346"/>
      <c r="T34" s="346"/>
      <c r="U34" s="347"/>
    </row>
    <row r="35" spans="1:21" x14ac:dyDescent="0.3">
      <c r="A35" s="341"/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5"/>
      <c r="P35" s="346"/>
      <c r="Q35" s="346"/>
      <c r="R35" s="346"/>
      <c r="S35" s="346"/>
      <c r="T35" s="346"/>
      <c r="U35" s="347"/>
    </row>
    <row r="36" spans="1:21" x14ac:dyDescent="0.3">
      <c r="A36" s="341"/>
      <c r="B36" s="341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5"/>
      <c r="P36" s="346"/>
      <c r="Q36" s="346"/>
      <c r="R36" s="346"/>
      <c r="S36" s="346"/>
      <c r="T36" s="346"/>
      <c r="U36" s="347"/>
    </row>
    <row r="37" spans="1:21" x14ac:dyDescent="0.3">
      <c r="A37" s="341"/>
      <c r="B37" s="3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5"/>
      <c r="P37" s="346"/>
      <c r="Q37" s="346"/>
      <c r="R37" s="346"/>
      <c r="S37" s="346"/>
      <c r="T37" s="346"/>
      <c r="U37" s="347"/>
    </row>
    <row r="38" spans="1:21" x14ac:dyDescent="0.3">
      <c r="A38" s="341"/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5"/>
      <c r="P38" s="346"/>
      <c r="Q38" s="346"/>
      <c r="R38" s="346"/>
      <c r="S38" s="346"/>
      <c r="T38" s="346"/>
      <c r="U38" s="347"/>
    </row>
    <row r="39" spans="1:21" x14ac:dyDescent="0.3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45"/>
      <c r="P39" s="346"/>
      <c r="Q39" s="346"/>
      <c r="R39" s="346"/>
      <c r="S39" s="346"/>
      <c r="T39" s="346"/>
      <c r="U39" s="347"/>
    </row>
    <row r="40" spans="1:21" x14ac:dyDescent="0.3">
      <c r="A40" s="341"/>
      <c r="B40" s="341"/>
      <c r="C40" s="341"/>
      <c r="D40" s="341"/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45"/>
      <c r="P40" s="346"/>
      <c r="Q40" s="346"/>
      <c r="R40" s="346"/>
      <c r="S40" s="346"/>
      <c r="T40" s="346"/>
      <c r="U40" s="347"/>
    </row>
    <row r="41" spans="1:21" x14ac:dyDescent="0.3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45"/>
      <c r="P41" s="346"/>
      <c r="Q41" s="346"/>
      <c r="R41" s="346"/>
      <c r="S41" s="346"/>
      <c r="T41" s="346"/>
      <c r="U41" s="347"/>
    </row>
    <row r="42" spans="1:21" x14ac:dyDescent="0.3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5"/>
      <c r="P42" s="346"/>
      <c r="Q42" s="346"/>
      <c r="R42" s="346"/>
      <c r="S42" s="346"/>
      <c r="T42" s="346"/>
      <c r="U42" s="347"/>
    </row>
    <row r="43" spans="1:21" x14ac:dyDescent="0.3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5"/>
      <c r="P43" s="346"/>
      <c r="Q43" s="346"/>
      <c r="R43" s="346"/>
      <c r="S43" s="346"/>
      <c r="T43" s="346"/>
      <c r="U43" s="347"/>
    </row>
    <row r="44" spans="1:21" ht="17.25" thickBot="1" x14ac:dyDescent="0.3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57"/>
      <c r="P44" s="358"/>
      <c r="Q44" s="358"/>
      <c r="R44" s="358"/>
      <c r="S44" s="358"/>
      <c r="T44" s="358"/>
      <c r="U44" s="359"/>
    </row>
    <row r="45" spans="1:21" x14ac:dyDescent="0.3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</row>
    <row r="46" spans="1:21" ht="26.1" customHeight="1" x14ac:dyDescent="0.3">
      <c r="A46" s="461" t="s">
        <v>405</v>
      </c>
      <c r="B46" s="438"/>
      <c r="C46" s="438"/>
      <c r="D46" s="438"/>
      <c r="E46" s="438"/>
      <c r="F46" s="438"/>
      <c r="G46" s="438"/>
      <c r="H46" s="438"/>
      <c r="I46" s="438"/>
      <c r="J46" s="438"/>
      <c r="K46" s="438"/>
      <c r="L46" s="438"/>
      <c r="M46" s="438"/>
      <c r="N46" s="438"/>
      <c r="O46" s="438"/>
      <c r="P46" s="438"/>
      <c r="Q46" s="438"/>
      <c r="R46" s="438"/>
      <c r="S46" s="438"/>
      <c r="T46" s="438"/>
      <c r="U46" s="438"/>
    </row>
    <row r="47" spans="1:21" x14ac:dyDescent="0.3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</row>
    <row r="48" spans="1:21" x14ac:dyDescent="0.3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</row>
  </sheetData>
  <mergeCells count="45">
    <mergeCell ref="A32:C32"/>
    <mergeCell ref="E32:F32"/>
    <mergeCell ref="A46:U46"/>
    <mergeCell ref="A29:C29"/>
    <mergeCell ref="E29:F29"/>
    <mergeCell ref="A30:C30"/>
    <mergeCell ref="E30:F30"/>
    <mergeCell ref="A31:C31"/>
    <mergeCell ref="E31:F31"/>
    <mergeCell ref="A23:G24"/>
    <mergeCell ref="H23:N24"/>
    <mergeCell ref="O23:U24"/>
    <mergeCell ref="H32:N33"/>
    <mergeCell ref="A26:C26"/>
    <mergeCell ref="E26:F26"/>
    <mergeCell ref="A27:C27"/>
    <mergeCell ref="E27:F27"/>
    <mergeCell ref="A28:C28"/>
    <mergeCell ref="E28:F28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A25:G25"/>
    <mergeCell ref="H25:N25"/>
    <mergeCell ref="O25:U25"/>
    <mergeCell ref="H26:I26"/>
    <mergeCell ref="J26:K26"/>
    <mergeCell ref="L26:M26"/>
    <mergeCell ref="A5:G5"/>
    <mergeCell ref="H5:N5"/>
    <mergeCell ref="O5:U5"/>
    <mergeCell ref="A1:U1"/>
    <mergeCell ref="A2:U2"/>
    <mergeCell ref="C3:D3"/>
    <mergeCell ref="Q3:R3"/>
    <mergeCell ref="T3:U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001684-D03C-457C-9A61-8653F4253CB1}">
          <x14:formula1>
            <xm:f>Calculos!$B$5:$B$14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83A1-7078-428D-BB7D-86F3C8E9851D}">
  <sheetPr codeName="Hoja1"/>
  <dimension ref="A1:M63"/>
  <sheetViews>
    <sheetView zoomScale="55" zoomScaleNormal="55" workbookViewId="0">
      <selection activeCell="J43" sqref="J43"/>
    </sheetView>
    <sheetView topLeftCell="B1" zoomScale="70" zoomScaleNormal="70" workbookViewId="1">
      <selection activeCell="L51" sqref="L51"/>
    </sheetView>
  </sheetViews>
  <sheetFormatPr baseColWidth="10" defaultRowHeight="15" x14ac:dyDescent="0.25"/>
  <cols>
    <col min="1" max="1" width="74.85546875" style="4" customWidth="1"/>
    <col min="2" max="2" width="17.85546875" style="4" customWidth="1"/>
    <col min="3" max="3" width="23.7109375" style="26" customWidth="1"/>
    <col min="4" max="4" width="11.42578125" style="4"/>
    <col min="5" max="5" width="15" style="4" customWidth="1"/>
    <col min="6" max="6" width="18.140625" style="4" bestFit="1" customWidth="1"/>
    <col min="7" max="7" width="28.7109375" style="4" bestFit="1" customWidth="1"/>
    <col min="8" max="8" width="11.140625" style="4" customWidth="1"/>
    <col min="9" max="9" width="56.140625" style="4" customWidth="1"/>
    <col min="10" max="10" width="79" style="4" customWidth="1"/>
    <col min="11" max="11" width="7.42578125" style="4" bestFit="1" customWidth="1"/>
    <col min="12" max="12" width="75.5703125" style="4" customWidth="1"/>
    <col min="13" max="13" width="16.42578125" style="42" bestFit="1" customWidth="1"/>
    <col min="14" max="16384" width="11.42578125" style="4"/>
  </cols>
  <sheetData>
    <row r="1" spans="1:13" ht="30" customHeight="1" x14ac:dyDescent="0.25">
      <c r="A1" s="462" t="s">
        <v>112</v>
      </c>
      <c r="B1" s="462"/>
      <c r="C1" s="462"/>
      <c r="E1" s="463" t="s">
        <v>156</v>
      </c>
      <c r="F1" s="463"/>
      <c r="G1" s="463"/>
      <c r="H1" s="463"/>
      <c r="I1" s="463"/>
      <c r="J1" s="463"/>
      <c r="K1" s="463"/>
      <c r="L1" s="463"/>
      <c r="M1" s="464"/>
    </row>
    <row r="2" spans="1:13" x14ac:dyDescent="0.25">
      <c r="A2" s="27" t="s">
        <v>106</v>
      </c>
      <c r="B2" s="28" t="s">
        <v>107</v>
      </c>
      <c r="C2" s="29" t="s">
        <v>120</v>
      </c>
      <c r="E2" s="48" t="s">
        <v>144</v>
      </c>
      <c r="F2" s="48" t="s">
        <v>145</v>
      </c>
      <c r="G2" s="48" t="s">
        <v>146</v>
      </c>
      <c r="H2" s="48" t="s">
        <v>187</v>
      </c>
      <c r="I2" s="48" t="s">
        <v>188</v>
      </c>
      <c r="J2" s="48" t="s">
        <v>189</v>
      </c>
      <c r="K2" s="48" t="s">
        <v>147</v>
      </c>
      <c r="L2" s="48" t="s">
        <v>151</v>
      </c>
      <c r="M2" s="49" t="s">
        <v>152</v>
      </c>
    </row>
    <row r="3" spans="1:13" ht="16.5" x14ac:dyDescent="0.3">
      <c r="A3" s="8" t="s">
        <v>12</v>
      </c>
      <c r="B3" s="30">
        <v>6486</v>
      </c>
      <c r="C3" s="35" t="s">
        <v>119</v>
      </c>
      <c r="E3" s="38" t="s">
        <v>148</v>
      </c>
      <c r="F3" s="39" t="s">
        <v>153</v>
      </c>
      <c r="G3" s="40" t="s">
        <v>150</v>
      </c>
      <c r="H3" s="39">
        <v>890201</v>
      </c>
      <c r="I3" s="407" t="s">
        <v>178</v>
      </c>
      <c r="J3" s="41" t="str">
        <f t="shared" ref="J3:J22" si="0">_xlfn.CONCAT(E3,"-",F3,"-",G3,"-",I3)</f>
        <v>BUCARAMANGA_AREA_METR-SEDE EL PRADO-PROGRAMAS INTEGRALES-CONSULTA PRIMERA VEZ MEDICINA GENERAL</v>
      </c>
      <c r="K3" s="8" t="s">
        <v>34</v>
      </c>
      <c r="L3" s="55" t="s">
        <v>35</v>
      </c>
      <c r="M3" s="47">
        <f>_xlfn.XLOOKUP(J3,[1]!Tabla1[CONCAT DETALLE],[1]!Tabla1[COSTO ACTUAL])</f>
        <v>24009.730401318589</v>
      </c>
    </row>
    <row r="4" spans="1:13" ht="16.5" x14ac:dyDescent="0.3">
      <c r="A4" s="8" t="s">
        <v>26</v>
      </c>
      <c r="B4" s="30">
        <v>76840</v>
      </c>
      <c r="C4" s="36">
        <v>131250</v>
      </c>
      <c r="E4" s="38" t="s">
        <v>148</v>
      </c>
      <c r="F4" s="39" t="s">
        <v>153</v>
      </c>
      <c r="G4" s="40" t="s">
        <v>150</v>
      </c>
      <c r="H4" s="39">
        <v>890206</v>
      </c>
      <c r="I4" s="407" t="s">
        <v>173</v>
      </c>
      <c r="J4" s="41" t="str">
        <f t="shared" si="0"/>
        <v>BUCARAMANGA_AREA_METR-SEDE EL PRADO-PROGRAMAS INTEGRALES-NUTRICION PRIMERA VEZ</v>
      </c>
      <c r="K4" s="8" t="s">
        <v>3</v>
      </c>
      <c r="L4" s="55" t="s">
        <v>4</v>
      </c>
      <c r="M4" s="47">
        <f>_xlfn.XLOOKUP(J4,[1]!Tabla1[CONCAT DETALLE],[1]!Tabla1[COSTO ACTUAL])</f>
        <v>20406.13276336317</v>
      </c>
    </row>
    <row r="5" spans="1:13" ht="16.5" x14ac:dyDescent="0.3">
      <c r="A5" s="8" t="s">
        <v>85</v>
      </c>
      <c r="B5" s="31">
        <v>74241</v>
      </c>
      <c r="C5" s="36">
        <v>68685</v>
      </c>
      <c r="E5" s="38" t="s">
        <v>148</v>
      </c>
      <c r="F5" s="39" t="s">
        <v>153</v>
      </c>
      <c r="G5" s="40" t="s">
        <v>150</v>
      </c>
      <c r="H5" s="39">
        <v>890208</v>
      </c>
      <c r="I5" s="407" t="s">
        <v>175</v>
      </c>
      <c r="J5" s="41" t="str">
        <f t="shared" si="0"/>
        <v>BUCARAMANGA_AREA_METR-SEDE EL PRADO-PROGRAMAS INTEGRALES-PSICOLOGIA PRIMERA VEZ</v>
      </c>
      <c r="K5" s="8" t="s">
        <v>5</v>
      </c>
      <c r="L5" s="55" t="s">
        <v>6</v>
      </c>
      <c r="M5" s="47">
        <f>_xlfn.XLOOKUP(J5,[1]!Tabla1[CONCAT DETALLE],[1]!Tabla1[COSTO ACTUAL])</f>
        <v>18768.367820181349</v>
      </c>
    </row>
    <row r="6" spans="1:13" ht="16.5" x14ac:dyDescent="0.3">
      <c r="A6" s="8" t="s">
        <v>108</v>
      </c>
      <c r="B6" s="30">
        <v>20860</v>
      </c>
      <c r="C6" s="36">
        <v>15000</v>
      </c>
      <c r="E6" s="38" t="s">
        <v>148</v>
      </c>
      <c r="F6" s="39" t="s">
        <v>153</v>
      </c>
      <c r="G6" s="40" t="s">
        <v>150</v>
      </c>
      <c r="H6" s="39">
        <v>890211</v>
      </c>
      <c r="I6" s="407" t="s">
        <v>180</v>
      </c>
      <c r="J6" s="41" t="str">
        <f t="shared" si="0"/>
        <v>BUCARAMANGA_AREA_METR-SEDE EL PRADO-PROGRAMAS INTEGRALES-FISIOTERAPIA PRIMERA VEZ</v>
      </c>
      <c r="K6" s="37" t="s">
        <v>74</v>
      </c>
      <c r="L6" s="408" t="s">
        <v>75</v>
      </c>
      <c r="M6" s="47">
        <f>_xlfn.XLOOKUP(J6,[1]!Tabla1[CONCAT DETALLE],[1]!Tabla1[COSTO ACTUAL])</f>
        <v>19368.008636848015</v>
      </c>
    </row>
    <row r="7" spans="1:13" ht="16.5" x14ac:dyDescent="0.3">
      <c r="A7" s="8" t="s">
        <v>87</v>
      </c>
      <c r="B7" s="30">
        <v>66667</v>
      </c>
      <c r="C7" s="36">
        <v>65000</v>
      </c>
      <c r="E7" s="38" t="s">
        <v>148</v>
      </c>
      <c r="F7" s="39" t="s">
        <v>153</v>
      </c>
      <c r="G7" s="40" t="s">
        <v>150</v>
      </c>
      <c r="H7" s="39">
        <v>890301</v>
      </c>
      <c r="I7" s="407" t="s">
        <v>177</v>
      </c>
      <c r="J7" s="41" t="str">
        <f t="shared" si="0"/>
        <v>BUCARAMANGA_AREA_METR-SEDE EL PRADO-PROGRAMAS INTEGRALES-CONSULTA CONTROL MEDICINA GENERAL</v>
      </c>
      <c r="K7" s="37" t="s">
        <v>32</v>
      </c>
      <c r="L7" s="408" t="s">
        <v>33</v>
      </c>
      <c r="M7" s="47">
        <f>_xlfn.XLOOKUP(J7,[1]!Tabla1[CONCAT DETALLE],[1]!Tabla1[COSTO ACTUAL])</f>
        <v>24009.730401318589</v>
      </c>
    </row>
    <row r="8" spans="1:13" ht="16.5" x14ac:dyDescent="0.3">
      <c r="A8" s="8" t="s">
        <v>97</v>
      </c>
      <c r="B8" s="30">
        <v>50000</v>
      </c>
      <c r="C8" s="36">
        <v>90000</v>
      </c>
      <c r="E8" s="38" t="s">
        <v>148</v>
      </c>
      <c r="F8" s="39" t="s">
        <v>153</v>
      </c>
      <c r="G8" s="40" t="s">
        <v>150</v>
      </c>
      <c r="H8" s="39">
        <v>890301</v>
      </c>
      <c r="I8" s="407" t="s">
        <v>177</v>
      </c>
      <c r="J8" s="41" t="str">
        <f t="shared" si="0"/>
        <v>BUCARAMANGA_AREA_METR-SEDE EL PRADO-PROGRAMAS INTEGRALES-CONSULTA CONTROL MEDICINA GENERAL</v>
      </c>
      <c r="K8" s="37" t="s">
        <v>32</v>
      </c>
      <c r="L8" s="408" t="s">
        <v>33</v>
      </c>
      <c r="M8" s="47">
        <f>_xlfn.XLOOKUP(J8,[1]!Tabla1[CONCAT DETALLE],[1]!Tabla1[COSTO ACTUAL])</f>
        <v>24009.730401318589</v>
      </c>
    </row>
    <row r="9" spans="1:13" ht="16.5" x14ac:dyDescent="0.3">
      <c r="A9" s="8" t="s">
        <v>10</v>
      </c>
      <c r="B9" s="30">
        <v>35000</v>
      </c>
      <c r="C9" s="35" t="s">
        <v>119</v>
      </c>
      <c r="E9" s="38" t="s">
        <v>148</v>
      </c>
      <c r="F9" s="39" t="s">
        <v>153</v>
      </c>
      <c r="G9" s="40" t="s">
        <v>150</v>
      </c>
      <c r="H9" s="39">
        <v>890301</v>
      </c>
      <c r="I9" s="407" t="s">
        <v>177</v>
      </c>
      <c r="J9" s="41" t="str">
        <f t="shared" si="0"/>
        <v>BUCARAMANGA_AREA_METR-SEDE EL PRADO-PROGRAMAS INTEGRALES-CONSULTA CONTROL MEDICINA GENERAL</v>
      </c>
      <c r="K9" s="37" t="s">
        <v>32</v>
      </c>
      <c r="L9" s="408" t="s">
        <v>143</v>
      </c>
      <c r="M9" s="47">
        <f>_xlfn.XLOOKUP(J9,[1]!Tabla1[CONCAT DETALLE],[1]!Tabla1[COSTO ACTUAL])</f>
        <v>24009.730401318589</v>
      </c>
    </row>
    <row r="10" spans="1:13" ht="16.5" x14ac:dyDescent="0.3">
      <c r="A10" s="8" t="s">
        <v>22</v>
      </c>
      <c r="B10" s="30">
        <v>50000</v>
      </c>
      <c r="C10" s="36">
        <v>50000</v>
      </c>
      <c r="E10" s="38" t="s">
        <v>148</v>
      </c>
      <c r="F10" s="39" t="s">
        <v>153</v>
      </c>
      <c r="G10" s="40" t="s">
        <v>150</v>
      </c>
      <c r="H10" s="39">
        <v>890305</v>
      </c>
      <c r="I10" s="407" t="s">
        <v>134</v>
      </c>
      <c r="J10" s="41" t="str">
        <f t="shared" si="0"/>
        <v>BUCARAMANGA_AREA_METR-SEDE EL PRADO-PROGRAMAS INTEGRALES-ENFERMERIA PRIMERA VEZ</v>
      </c>
      <c r="K10" s="8">
        <v>890305</v>
      </c>
      <c r="L10" s="55" t="s">
        <v>123</v>
      </c>
      <c r="M10" s="409">
        <f>_xlfn.XLOOKUP(J10,[1]!Tabla1[CONCAT DETALLE],[1]!Tabla1[COSTO ACTUAL])</f>
        <v>21014.396674037816</v>
      </c>
    </row>
    <row r="11" spans="1:13" ht="16.5" x14ac:dyDescent="0.3">
      <c r="A11" s="8" t="s">
        <v>49</v>
      </c>
      <c r="B11" s="30">
        <v>64700</v>
      </c>
      <c r="C11" s="36">
        <v>90000</v>
      </c>
      <c r="E11" s="38" t="s">
        <v>148</v>
      </c>
      <c r="F11" s="39" t="s">
        <v>153</v>
      </c>
      <c r="G11" s="40" t="s">
        <v>150</v>
      </c>
      <c r="H11" s="39">
        <v>890305</v>
      </c>
      <c r="I11" s="407" t="s">
        <v>179</v>
      </c>
      <c r="J11" s="41" t="str">
        <f>_xlfn.CONCAT(E11,"-",F11,"-",G11,"-",I11)</f>
        <v>BUCARAMANGA_AREA_METR-SEDE EL PRADO-PROGRAMAS INTEGRALES-ENFERMERIA CONTROL</v>
      </c>
      <c r="K11" s="37" t="s">
        <v>1</v>
      </c>
      <c r="L11" s="408" t="s">
        <v>2</v>
      </c>
      <c r="M11" s="409">
        <f>_xlfn.XLOOKUP(J11,[1]!Tabla1[CONCAT DETALLE],[1]!Tabla1[COSTO ACTUAL])</f>
        <v>21014.39667403782</v>
      </c>
    </row>
    <row r="12" spans="1:13" ht="16.5" x14ac:dyDescent="0.3">
      <c r="A12" s="8" t="s">
        <v>190</v>
      </c>
      <c r="B12" s="30">
        <v>64700</v>
      </c>
      <c r="C12" s="35" t="s">
        <v>119</v>
      </c>
      <c r="E12" s="38" t="s">
        <v>148</v>
      </c>
      <c r="F12" s="39" t="s">
        <v>153</v>
      </c>
      <c r="G12" s="40" t="s">
        <v>150</v>
      </c>
      <c r="H12" s="39">
        <v>890306</v>
      </c>
      <c r="I12" s="407" t="s">
        <v>174</v>
      </c>
      <c r="J12" s="41" t="str">
        <f t="shared" si="0"/>
        <v>BUCARAMANGA_AREA_METR-SEDE EL PRADO-PROGRAMAS INTEGRALES-NUTRICION CONTROL</v>
      </c>
      <c r="K12" s="8" t="s">
        <v>15</v>
      </c>
      <c r="L12" s="55" t="s">
        <v>16</v>
      </c>
      <c r="M12" s="47">
        <f>_xlfn.XLOOKUP(J12,[1]!Tabla1[CONCAT DETALLE],[1]!Tabla1[COSTO ACTUAL])</f>
        <v>22052.520800552971</v>
      </c>
    </row>
    <row r="13" spans="1:13" ht="16.5" x14ac:dyDescent="0.3">
      <c r="A13" s="8" t="s">
        <v>191</v>
      </c>
      <c r="B13" s="30">
        <v>64700</v>
      </c>
      <c r="C13" s="35" t="s">
        <v>119</v>
      </c>
      <c r="E13" s="38" t="s">
        <v>148</v>
      </c>
      <c r="F13" s="39" t="s">
        <v>153</v>
      </c>
      <c r="G13" s="40" t="s">
        <v>150</v>
      </c>
      <c r="H13" s="39">
        <v>890308</v>
      </c>
      <c r="I13" s="407" t="s">
        <v>176</v>
      </c>
      <c r="J13" s="41" t="str">
        <f t="shared" si="0"/>
        <v>BUCARAMANGA_AREA_METR-SEDE EL PRADO-PROGRAMAS INTEGRALES-PSICOLOGIA CONTROL</v>
      </c>
      <c r="K13" s="8" t="s">
        <v>17</v>
      </c>
      <c r="L13" s="55" t="s">
        <v>18</v>
      </c>
      <c r="M13" s="47">
        <f>_xlfn.XLOOKUP(J13,[1]!Tabla1[CONCAT DETALLE],[1]!Tabla1[COSTO ACTUAL])</f>
        <v>20414.75585737115</v>
      </c>
    </row>
    <row r="14" spans="1:13" ht="16.5" x14ac:dyDescent="0.3">
      <c r="A14" s="8" t="s">
        <v>93</v>
      </c>
      <c r="B14" s="30">
        <v>66667</v>
      </c>
      <c r="C14" s="36">
        <v>65000</v>
      </c>
      <c r="E14" s="38" t="s">
        <v>148</v>
      </c>
      <c r="F14" s="39" t="s">
        <v>153</v>
      </c>
      <c r="G14" s="40" t="s">
        <v>150</v>
      </c>
      <c r="H14" s="39" t="s">
        <v>13</v>
      </c>
      <c r="I14" s="407" t="s">
        <v>14</v>
      </c>
      <c r="J14" s="41" t="str">
        <f t="shared" si="0"/>
        <v>BUCARAMANGA_AREA_METR-SEDE EL PRADO-PROGRAMAS INTEGRALES-INGRESO PROGRAMAS INTEGRALES</v>
      </c>
      <c r="K14" s="8" t="s">
        <v>13</v>
      </c>
      <c r="L14" s="55" t="s">
        <v>14</v>
      </c>
      <c r="M14" s="47">
        <f>_xlfn.XLOOKUP(J14,[1]!Tabla1[CONCAT DETALLE],[1]!Tabla1[COSTO ACTUAL])</f>
        <v>20552.755657371155</v>
      </c>
    </row>
    <row r="15" spans="1:13" ht="16.5" hidden="1" x14ac:dyDescent="0.3">
      <c r="A15" s="8" t="s">
        <v>95</v>
      </c>
      <c r="B15" s="30">
        <v>50000</v>
      </c>
      <c r="C15" s="36">
        <v>90000</v>
      </c>
      <c r="E15" s="38" t="s">
        <v>148</v>
      </c>
      <c r="F15" s="39" t="s">
        <v>149</v>
      </c>
      <c r="G15" s="404" t="s">
        <v>157</v>
      </c>
      <c r="H15" s="39" t="s">
        <v>19</v>
      </c>
      <c r="I15" s="41" t="s">
        <v>129</v>
      </c>
      <c r="J15" s="41" t="str">
        <f t="shared" si="0"/>
        <v>BUCARAMANGA_AREA_METR-SEDE FOSUNAB-SERVICIO MEDICO-CONSULTA PRIMERA VEZ NEUMOLOGIA ADULTO</v>
      </c>
      <c r="K15" s="8" t="s">
        <v>19</v>
      </c>
      <c r="L15" s="8" t="s">
        <v>20</v>
      </c>
      <c r="M15" s="47">
        <f>_xlfn.XLOOKUP(J15,[1]!Tabla1[CONCAT DETALLE],[1]!Tabla1[COSTO ACTUAL])</f>
        <v>67398.098568534639</v>
      </c>
    </row>
    <row r="16" spans="1:13" ht="16.5" hidden="1" x14ac:dyDescent="0.3">
      <c r="A16" s="8" t="s">
        <v>8</v>
      </c>
      <c r="B16" s="30">
        <v>35000</v>
      </c>
      <c r="C16" s="35" t="s">
        <v>119</v>
      </c>
      <c r="E16" s="38" t="s">
        <v>148</v>
      </c>
      <c r="F16" s="39" t="s">
        <v>149</v>
      </c>
      <c r="G16" s="404" t="s">
        <v>157</v>
      </c>
      <c r="H16" s="39" t="s">
        <v>21</v>
      </c>
      <c r="I16" s="41" t="s">
        <v>126</v>
      </c>
      <c r="J16" s="41" t="str">
        <f t="shared" si="0"/>
        <v>BUCARAMANGA_AREA_METR-SEDE FOSUNAB-SERVICIO MEDICO-CONSULTA CONTROL NEUMOLOGIA ADULTO</v>
      </c>
      <c r="K16" s="8" t="s">
        <v>21</v>
      </c>
      <c r="L16" s="8" t="s">
        <v>221</v>
      </c>
      <c r="M16" s="47">
        <f>_xlfn.XLOOKUP(J16,[1]!Tabla1[CONCAT DETALLE],[1]!Tabla1[COSTO ACTUAL])</f>
        <v>67398.098568534639</v>
      </c>
    </row>
    <row r="17" spans="1:13" ht="16.5" hidden="1" x14ac:dyDescent="0.3">
      <c r="A17" s="8" t="s">
        <v>20</v>
      </c>
      <c r="B17" s="30">
        <v>50000</v>
      </c>
      <c r="C17" s="36">
        <v>50000</v>
      </c>
      <c r="E17" s="38" t="s">
        <v>148</v>
      </c>
      <c r="F17" s="39" t="s">
        <v>149</v>
      </c>
      <c r="G17" s="404" t="s">
        <v>157</v>
      </c>
      <c r="H17" s="39" t="s">
        <v>46</v>
      </c>
      <c r="I17" s="41" t="s">
        <v>130</v>
      </c>
      <c r="J17" s="41" t="str">
        <f t="shared" si="0"/>
        <v>BUCARAMANGA_AREA_METR-SEDE FOSUNAB-SERVICIO MEDICO-CONSULTA PRIMERA VEZ NEUMOLOGIA PEDIATRICA</v>
      </c>
      <c r="K17" s="8" t="s">
        <v>46</v>
      </c>
      <c r="L17" s="8" t="s">
        <v>47</v>
      </c>
      <c r="M17" s="47">
        <f>_xlfn.XLOOKUP(J17,[1]!Tabla1[CONCAT DETALLE],[1]!Tabla1[COSTO ACTUAL])</f>
        <v>83398.098568534639</v>
      </c>
    </row>
    <row r="18" spans="1:13" ht="16.5" hidden="1" x14ac:dyDescent="0.3">
      <c r="A18" s="8" t="s">
        <v>47</v>
      </c>
      <c r="B18" s="30">
        <v>64700</v>
      </c>
      <c r="C18" s="36">
        <v>90000</v>
      </c>
      <c r="E18" s="38" t="s">
        <v>148</v>
      </c>
      <c r="F18" s="39" t="s">
        <v>149</v>
      </c>
      <c r="G18" s="404" t="s">
        <v>157</v>
      </c>
      <c r="H18" s="39" t="s">
        <v>48</v>
      </c>
      <c r="I18" s="41" t="s">
        <v>127</v>
      </c>
      <c r="J18" s="41" t="str">
        <f t="shared" si="0"/>
        <v>BUCARAMANGA_AREA_METR-SEDE FOSUNAB-SERVICIO MEDICO-CONSULTA CONTROL NEUMOLOGIA PEDIATRICA</v>
      </c>
      <c r="K18" s="8" t="s">
        <v>48</v>
      </c>
      <c r="L18" s="8" t="s">
        <v>222</v>
      </c>
      <c r="M18" s="47">
        <f>_xlfn.XLOOKUP(J18,[1]!Tabla1[CONCAT DETALLE],[1]!Tabla1[COSTO ACTUAL])</f>
        <v>77398.098568534639</v>
      </c>
    </row>
    <row r="19" spans="1:13" ht="16.5" hidden="1" x14ac:dyDescent="0.3">
      <c r="A19" s="8" t="s">
        <v>39</v>
      </c>
      <c r="B19" s="30">
        <v>50000</v>
      </c>
      <c r="C19" s="35" t="s">
        <v>119</v>
      </c>
      <c r="E19" s="38" t="s">
        <v>148</v>
      </c>
      <c r="F19" s="39" t="s">
        <v>149</v>
      </c>
      <c r="G19" s="404" t="s">
        <v>158</v>
      </c>
      <c r="H19" s="39">
        <v>893805</v>
      </c>
      <c r="I19" s="41" t="s">
        <v>132</v>
      </c>
      <c r="J19" s="41" t="str">
        <f t="shared" si="0"/>
        <v>BUCARAMANGA_AREA_METR-SEDE FOSUNAB-LABORATORIO PULMONAR-ESPIROMETRIA PRE Y POST BRONCODILATADORES</v>
      </c>
      <c r="K19" s="8" t="s">
        <v>27</v>
      </c>
      <c r="L19" s="8" t="s">
        <v>28</v>
      </c>
      <c r="M19" s="47">
        <f>_xlfn.XLOOKUP(J19,[1]!Tabla1[CONCAT DETALLE],[1]!Tabla1[COSTO ACTUAL])</f>
        <v>43480.816890660324</v>
      </c>
    </row>
    <row r="20" spans="1:13" ht="16.5" hidden="1" x14ac:dyDescent="0.3">
      <c r="A20" s="8" t="s">
        <v>41</v>
      </c>
      <c r="B20" s="30">
        <v>3215</v>
      </c>
      <c r="C20" s="35" t="s">
        <v>119</v>
      </c>
      <c r="E20" s="38" t="s">
        <v>148</v>
      </c>
      <c r="F20" s="39" t="s">
        <v>149</v>
      </c>
      <c r="G20" s="404" t="s">
        <v>158</v>
      </c>
      <c r="H20" s="39">
        <v>893805</v>
      </c>
      <c r="I20" s="41" t="s">
        <v>132</v>
      </c>
      <c r="J20" s="41" t="str">
        <f t="shared" si="0"/>
        <v>BUCARAMANGA_AREA_METR-SEDE FOSUNAB-LABORATORIO PULMONAR-ESPIROMETRIA PRE Y POST BRONCODILATADORES</v>
      </c>
      <c r="K20" s="8" t="s">
        <v>27</v>
      </c>
      <c r="L20" s="8" t="s">
        <v>223</v>
      </c>
      <c r="M20" s="47">
        <f>_xlfn.XLOOKUP(J20,[1]!Tabla1[CONCAT DETALLE],[1]!Tabla1[COSTO ACTUAL])</f>
        <v>43480.816890660324</v>
      </c>
    </row>
    <row r="21" spans="1:13" ht="16.5" x14ac:dyDescent="0.3">
      <c r="A21" s="8" t="s">
        <v>192</v>
      </c>
      <c r="B21" s="30">
        <v>9241</v>
      </c>
      <c r="C21" s="35" t="s">
        <v>119</v>
      </c>
      <c r="E21" s="38" t="s">
        <v>148</v>
      </c>
      <c r="F21" s="39" t="s">
        <v>153</v>
      </c>
      <c r="G21" s="40" t="s">
        <v>150</v>
      </c>
      <c r="H21" s="39" t="s">
        <v>23</v>
      </c>
      <c r="I21" s="407" t="s">
        <v>133</v>
      </c>
      <c r="J21" s="41" t="str">
        <f t="shared" si="0"/>
        <v>BUCARAMANGA_AREA_METR-SEDE EL PRADO-PROGRAMAS INTEGRALES-REHABILITACION INGRESO</v>
      </c>
      <c r="K21" s="8" t="s">
        <v>23</v>
      </c>
      <c r="L21" s="55" t="s">
        <v>24</v>
      </c>
      <c r="M21" s="47">
        <f>_xlfn.XLOOKUP(J21,[1]!Tabla1[CONCAT DETALLE],[1]!Tabla1[COSTO ACTUAL])</f>
        <v>31881.451880098426</v>
      </c>
    </row>
    <row r="22" spans="1:13" ht="16.5" x14ac:dyDescent="0.3">
      <c r="A22" s="8" t="s">
        <v>45</v>
      </c>
      <c r="B22" s="30">
        <v>20860</v>
      </c>
      <c r="C22" s="36">
        <v>15000</v>
      </c>
      <c r="E22" s="38" t="s">
        <v>148</v>
      </c>
      <c r="F22" s="39" t="s">
        <v>153</v>
      </c>
      <c r="G22" s="40" t="s">
        <v>150</v>
      </c>
      <c r="H22" s="39" t="s">
        <v>23</v>
      </c>
      <c r="I22" s="407" t="s">
        <v>420</v>
      </c>
      <c r="J22" s="41" t="str">
        <f t="shared" si="0"/>
        <v>BUCARAMANGA_AREA_METR-SEDE EL PRADO-PROGRAMAS INTEGRALES-REHABILITACION CONTROL</v>
      </c>
      <c r="K22" s="8" t="s">
        <v>36</v>
      </c>
      <c r="L22" s="55" t="s">
        <v>136</v>
      </c>
      <c r="M22" s="47">
        <v>8780.1198666664495</v>
      </c>
    </row>
    <row r="23" spans="1:13" ht="16.5" hidden="1" x14ac:dyDescent="0.3">
      <c r="A23" s="8" t="s">
        <v>193</v>
      </c>
      <c r="B23" s="30">
        <v>5130</v>
      </c>
      <c r="C23" s="35" t="s">
        <v>119</v>
      </c>
      <c r="E23" s="38" t="s">
        <v>148</v>
      </c>
      <c r="F23" s="39" t="s">
        <v>149</v>
      </c>
      <c r="G23" s="404" t="s">
        <v>161</v>
      </c>
      <c r="H23" s="39"/>
      <c r="I23" s="41" t="s">
        <v>162</v>
      </c>
      <c r="J23" s="41" t="str">
        <f t="shared" ref="J23:J63" si="1">_xlfn.CONCAT(E23,"-",F23,"-",G23,"-",I23)</f>
        <v>BUCARAMANGA_AREA_METR-SEDE FOSUNAB-CLINICA DE ALERGIAS-CONSULTA CONTROL ALERGOLOGIA</v>
      </c>
      <c r="K23" s="8" t="s">
        <v>86</v>
      </c>
      <c r="L23" s="8" t="s">
        <v>225</v>
      </c>
      <c r="M23" s="47">
        <f>_xlfn.XLOOKUP(J23,[1]!Tabla1[CONCAT DETALLE],[1]!Tabla1[COSTO ACTUAL])</f>
        <v>85060.59895480916</v>
      </c>
    </row>
    <row r="24" spans="1:13" ht="16.5" hidden="1" x14ac:dyDescent="0.3">
      <c r="A24" s="8" t="s">
        <v>31</v>
      </c>
      <c r="B24" s="30">
        <v>6429</v>
      </c>
      <c r="C24" s="35" t="s">
        <v>119</v>
      </c>
      <c r="E24" s="38" t="s">
        <v>148</v>
      </c>
      <c r="F24" s="39" t="s">
        <v>149</v>
      </c>
      <c r="G24" s="404" t="s">
        <v>161</v>
      </c>
      <c r="H24" s="39"/>
      <c r="I24" s="41" t="s">
        <v>163</v>
      </c>
      <c r="J24" s="41" t="str">
        <f t="shared" si="1"/>
        <v>BUCARAMANGA_AREA_METR-SEDE FOSUNAB-CLINICA DE ALERGIAS-CONSULTA PRIMERA VEZ ALERGOLOGIA</v>
      </c>
      <c r="K24" s="8" t="s">
        <v>92</v>
      </c>
      <c r="L24" s="8" t="s">
        <v>93</v>
      </c>
      <c r="M24" s="47">
        <f>_xlfn.XLOOKUP(J24,[1]!Tabla1[CONCAT DETALLE],[1]!Tabla1[COSTO ACTUAL])</f>
        <v>85060.59895480916</v>
      </c>
    </row>
    <row r="25" spans="1:13" ht="16.5" hidden="1" x14ac:dyDescent="0.3">
      <c r="A25" s="8" t="s">
        <v>2</v>
      </c>
      <c r="B25" s="30">
        <v>10166</v>
      </c>
      <c r="C25" s="35" t="s">
        <v>119</v>
      </c>
      <c r="E25" s="38" t="s">
        <v>148</v>
      </c>
      <c r="F25" s="39" t="s">
        <v>149</v>
      </c>
      <c r="G25" s="404" t="s">
        <v>161</v>
      </c>
      <c r="H25" s="39"/>
      <c r="I25" s="41" t="s">
        <v>164</v>
      </c>
      <c r="J25" s="41" t="str">
        <f t="shared" si="1"/>
        <v>BUCARAMANGA_AREA_METR-SEDE FOSUNAB-CLINICA DE ALERGIAS-Prick Test</v>
      </c>
      <c r="K25" s="8" t="s">
        <v>88</v>
      </c>
      <c r="L25" s="8" t="s">
        <v>89</v>
      </c>
      <c r="M25" s="47">
        <f>_xlfn.XLOOKUP(J25,[1]!Tabla1[CONCAT DETALLE],[1]!Tabla1[COSTO ACTUAL])</f>
        <v>76461.626557187497</v>
      </c>
    </row>
    <row r="26" spans="1:13" ht="16.5" hidden="1" x14ac:dyDescent="0.3">
      <c r="A26" s="8" t="s">
        <v>28</v>
      </c>
      <c r="B26" s="30">
        <v>49381</v>
      </c>
      <c r="C26" s="36">
        <v>41996</v>
      </c>
      <c r="E26" s="38" t="s">
        <v>148</v>
      </c>
      <c r="F26" s="39" t="s">
        <v>149</v>
      </c>
      <c r="G26" s="404" t="s">
        <v>158</v>
      </c>
      <c r="H26" s="39" t="s">
        <v>81</v>
      </c>
      <c r="I26" s="41" t="s">
        <v>278</v>
      </c>
      <c r="J26" s="41" t="str">
        <f t="shared" si="1"/>
        <v>BUCARAMANGA_AREA_METR-SEDE FOSUNAB-LABORATORIO PULMONAR-FRACCIóN EXHALADA DE óxido NíTRICO (FeNo)</v>
      </c>
      <c r="K26" s="8" t="s">
        <v>81</v>
      </c>
      <c r="L26" s="8" t="s">
        <v>279</v>
      </c>
      <c r="M26" s="47">
        <f>_xlfn.XLOOKUP(J26,[1]!Tabla1[CONCAT DETALLE],[1]!Tabla1[COSTO ACTUAL])</f>
        <v>37683.908143651206</v>
      </c>
    </row>
    <row r="27" spans="1:13" ht="16.5" hidden="1" x14ac:dyDescent="0.3">
      <c r="A27" s="8" t="s">
        <v>77</v>
      </c>
      <c r="B27" s="30">
        <v>25943</v>
      </c>
      <c r="C27" s="35" t="s">
        <v>119</v>
      </c>
      <c r="E27" s="38" t="s">
        <v>148</v>
      </c>
      <c r="F27" s="39" t="s">
        <v>149</v>
      </c>
      <c r="G27" s="404" t="s">
        <v>158</v>
      </c>
      <c r="H27" s="39" t="s">
        <v>82</v>
      </c>
      <c r="I27" s="41" t="s">
        <v>165</v>
      </c>
      <c r="J27" s="41" t="str">
        <f t="shared" si="1"/>
        <v>BUCARAMANGA_AREA_METR-SEDE FOSUNAB-LABORATORIO PULMONAR-VOLUMENES PULMONARES POR PLETISMOGRAFIA PRE Y POST BRONCODILATADORES</v>
      </c>
      <c r="K27" s="8" t="s">
        <v>82</v>
      </c>
      <c r="L27" s="8" t="s">
        <v>83</v>
      </c>
      <c r="M27" s="47">
        <f>_xlfn.XLOOKUP(J27,[1]!Tabla1[CONCAT DETALLE],[1]!Tabla1[COSTO ACTUAL])</f>
        <v>65169.207262455195</v>
      </c>
    </row>
    <row r="28" spans="1:13" ht="16.5" hidden="1" x14ac:dyDescent="0.3">
      <c r="A28" s="8" t="s">
        <v>75</v>
      </c>
      <c r="B28" s="30">
        <v>25943</v>
      </c>
      <c r="C28" s="35" t="s">
        <v>119</v>
      </c>
      <c r="E28" s="38" t="s">
        <v>148</v>
      </c>
      <c r="F28" s="39" t="s">
        <v>149</v>
      </c>
      <c r="G28" s="404" t="s">
        <v>158</v>
      </c>
      <c r="H28" s="39">
        <v>893815</v>
      </c>
      <c r="I28" s="41" t="s">
        <v>280</v>
      </c>
      <c r="J28" s="41" t="str">
        <f t="shared" si="1"/>
        <v>BUCARAMANGA_AREA_METR-SEDE FOSUNAB-LABORATORIO PULMONAR-PRUEBA DE BRONCOPROVOCACIÓN ESPECÍFICA (ALERGENO) O INESPECÍFICA</v>
      </c>
      <c r="K28" s="8" t="s">
        <v>90</v>
      </c>
      <c r="L28" s="8" t="s">
        <v>91</v>
      </c>
      <c r="M28" s="47">
        <f>_xlfn.XLOOKUP(J28,[1]!Tabla1[CONCAT DETALLE],[1]!Tabla1[COSTO ACTUAL])</f>
        <v>232601.87077978876</v>
      </c>
    </row>
    <row r="29" spans="1:13" ht="16.5" hidden="1" x14ac:dyDescent="0.3">
      <c r="A29" s="8" t="s">
        <v>279</v>
      </c>
      <c r="B29" s="30">
        <v>199445</v>
      </c>
      <c r="C29" s="36">
        <v>180000</v>
      </c>
      <c r="E29" s="38" t="s">
        <v>148</v>
      </c>
      <c r="F29" s="39" t="s">
        <v>149</v>
      </c>
      <c r="G29" s="404" t="s">
        <v>158</v>
      </c>
      <c r="H29" s="39" t="s">
        <v>50</v>
      </c>
      <c r="I29" s="41" t="s">
        <v>166</v>
      </c>
      <c r="J29" s="41" t="str">
        <f t="shared" si="1"/>
        <v>BUCARAMANGA_AREA_METR-SEDE FOSUNAB-LABORATORIO PULMONAR-OSCILOMETRIA DE IMPULSO</v>
      </c>
      <c r="K29" s="8" t="s">
        <v>50</v>
      </c>
      <c r="L29" s="8" t="s">
        <v>142</v>
      </c>
      <c r="M29" s="47">
        <f>_xlfn.XLOOKUP(J29,[1]!Tabla1[CONCAT DETALLE],[1]!Tabla1[COSTO ACTUAL])</f>
        <v>67391.281653480837</v>
      </c>
    </row>
    <row r="30" spans="1:13" ht="16.5" hidden="1" x14ac:dyDescent="0.3">
      <c r="A30" s="8" t="s">
        <v>194</v>
      </c>
      <c r="B30" s="30">
        <v>9241</v>
      </c>
      <c r="C30" s="35" t="s">
        <v>119</v>
      </c>
      <c r="E30" s="38" t="s">
        <v>148</v>
      </c>
      <c r="F30" s="39" t="s">
        <v>149</v>
      </c>
      <c r="G30" s="404" t="s">
        <v>158</v>
      </c>
      <c r="H30" s="39" t="s">
        <v>84</v>
      </c>
      <c r="I30" s="41" t="s">
        <v>167</v>
      </c>
      <c r="J30" s="41" t="str">
        <f t="shared" si="1"/>
        <v>BUCARAMANGA_AREA_METR-SEDE FOSUNAB-LABORATORIO PULMONAR-CAPACIDAD DE DIFUSION CON MONOXIDO DE CARBONO</v>
      </c>
      <c r="K30" s="8" t="s">
        <v>84</v>
      </c>
      <c r="L30" s="8" t="s">
        <v>85</v>
      </c>
      <c r="M30" s="47">
        <f>_xlfn.XLOOKUP(J30,[1]!Tabla1[CONCAT DETALLE],[1]!Tabla1[COSTO ACTUAL])</f>
        <v>68748.387080831264</v>
      </c>
    </row>
    <row r="31" spans="1:13" ht="16.5" x14ac:dyDescent="0.3">
      <c r="A31" s="8" t="s">
        <v>14</v>
      </c>
      <c r="B31" s="30">
        <v>6429</v>
      </c>
      <c r="C31" s="35" t="s">
        <v>119</v>
      </c>
      <c r="E31" s="38" t="s">
        <v>148</v>
      </c>
      <c r="F31" s="39" t="s">
        <v>153</v>
      </c>
      <c r="G31" s="40" t="s">
        <v>150</v>
      </c>
      <c r="H31" s="39" t="s">
        <v>7</v>
      </c>
      <c r="I31" s="407" t="s">
        <v>128</v>
      </c>
      <c r="J31" s="41" t="str">
        <f t="shared" si="1"/>
        <v>BUCARAMANGA_AREA_METR-SEDE EL PRADO-PROGRAMAS INTEGRALES-CONSULTA PRIMERA VEZ MEDICINA INTERNA</v>
      </c>
      <c r="K31" s="8" t="s">
        <v>7</v>
      </c>
      <c r="L31" s="55" t="s">
        <v>8</v>
      </c>
      <c r="M31" s="47">
        <f>_xlfn.XLOOKUP(J31,[1]!Tabla1[CONCAT DETALLE],[1]!Tabla1[COSTO ACTUAL])</f>
        <v>55794.181771015559</v>
      </c>
    </row>
    <row r="32" spans="1:13" ht="16.5" x14ac:dyDescent="0.3">
      <c r="A32" s="8" t="s">
        <v>16</v>
      </c>
      <c r="B32" s="30">
        <v>10608</v>
      </c>
      <c r="C32" s="35" t="s">
        <v>119</v>
      </c>
      <c r="E32" s="38" t="s">
        <v>148</v>
      </c>
      <c r="F32" s="39" t="s">
        <v>153</v>
      </c>
      <c r="G32" s="40" t="s">
        <v>150</v>
      </c>
      <c r="H32" s="39" t="s">
        <v>7</v>
      </c>
      <c r="I32" s="407" t="s">
        <v>128</v>
      </c>
      <c r="J32" s="41" t="str">
        <f t="shared" si="1"/>
        <v>BUCARAMANGA_AREA_METR-SEDE EL PRADO-PROGRAMAS INTEGRALES-CONSULTA PRIMERA VEZ MEDICINA INTERNA</v>
      </c>
      <c r="K32" s="8" t="s">
        <v>7</v>
      </c>
      <c r="L32" s="55" t="s">
        <v>8</v>
      </c>
      <c r="M32" s="47">
        <f>_xlfn.XLOOKUP(J32,[1]!Tabla1[CONCAT DETALLE],[1]!Tabla1[COSTO ACTUAL])</f>
        <v>55794.181771015559</v>
      </c>
    </row>
    <row r="33" spans="1:13" ht="16.5" x14ac:dyDescent="0.3">
      <c r="A33" s="8" t="s">
        <v>4</v>
      </c>
      <c r="B33" s="30">
        <v>10608</v>
      </c>
      <c r="C33" s="35" t="s">
        <v>119</v>
      </c>
      <c r="E33" s="38" t="s">
        <v>148</v>
      </c>
      <c r="F33" s="39" t="s">
        <v>153</v>
      </c>
      <c r="G33" s="40" t="s">
        <v>150</v>
      </c>
      <c r="H33" s="39" t="s">
        <v>9</v>
      </c>
      <c r="I33" s="407" t="s">
        <v>135</v>
      </c>
      <c r="J33" s="41" t="str">
        <f t="shared" si="1"/>
        <v>BUCARAMANGA_AREA_METR-SEDE EL PRADO-PROGRAMAS INTEGRALES-CONSULTA CONTROL MEDICINA INTERNA</v>
      </c>
      <c r="K33" s="8" t="s">
        <v>9</v>
      </c>
      <c r="L33" s="55" t="s">
        <v>220</v>
      </c>
      <c r="M33" s="47">
        <f>_xlfn.XLOOKUP(J33,[1]!Tabla1[CONCAT DETALLE],[1]!Tabla1[COSTO ACTUAL])</f>
        <v>55794.181771015559</v>
      </c>
    </row>
    <row r="34" spans="1:13" ht="16.5" x14ac:dyDescent="0.3">
      <c r="A34" s="8" t="s">
        <v>51</v>
      </c>
      <c r="B34" s="30">
        <v>146900</v>
      </c>
      <c r="C34" s="36">
        <v>265200</v>
      </c>
      <c r="E34" s="38" t="s">
        <v>148</v>
      </c>
      <c r="F34" s="39" t="s">
        <v>153</v>
      </c>
      <c r="G34" s="40" t="s">
        <v>150</v>
      </c>
      <c r="H34" s="39" t="s">
        <v>30</v>
      </c>
      <c r="I34" s="407" t="s">
        <v>31</v>
      </c>
      <c r="J34" s="41" t="str">
        <f t="shared" si="1"/>
        <v>BUCARAMANGA_AREA_METR-SEDE EL PRADO-PROGRAMAS INTEGRALES-EGRESO PROGRAMAS INTEGRALES</v>
      </c>
      <c r="K34" s="8" t="s">
        <v>30</v>
      </c>
      <c r="L34" s="55" t="s">
        <v>31</v>
      </c>
      <c r="M34" s="47">
        <f>_xlfn.XLOOKUP(J34,[1]!Tabla1[CONCAT DETALLE],[1]!Tabla1[COSTO ACTUAL])</f>
        <v>12908.291642219636</v>
      </c>
    </row>
    <row r="35" spans="1:13" ht="16.5" x14ac:dyDescent="0.3">
      <c r="A35" s="8" t="s">
        <v>195</v>
      </c>
      <c r="B35" s="30">
        <v>60000</v>
      </c>
      <c r="C35" s="36">
        <v>320000</v>
      </c>
      <c r="E35" s="38" t="s">
        <v>148</v>
      </c>
      <c r="F35" s="39" t="s">
        <v>153</v>
      </c>
      <c r="G35" s="40" t="s">
        <v>150</v>
      </c>
      <c r="H35" s="39" t="s">
        <v>11</v>
      </c>
      <c r="I35" s="407" t="s">
        <v>124</v>
      </c>
      <c r="J35" s="41" t="str">
        <f t="shared" si="1"/>
        <v>BUCARAMANGA_AREA_METR-SEDE EL PRADO-PROGRAMAS INTEGRALES-ACTIVIDAD EDUCATIVA</v>
      </c>
      <c r="K35" s="8" t="s">
        <v>11</v>
      </c>
      <c r="L35" s="55" t="s">
        <v>12</v>
      </c>
      <c r="M35" s="409">
        <f>_xlfn.XLOOKUP(J35,[1]!Tabla1[CONCAT DETALLE],[1]!Tabla1[COSTO ACTUAL])</f>
        <v>12743.421642219637</v>
      </c>
    </row>
    <row r="36" spans="1:13" ht="16.5" hidden="1" x14ac:dyDescent="0.3">
      <c r="A36" s="8" t="s">
        <v>89</v>
      </c>
      <c r="B36" s="30">
        <v>130685</v>
      </c>
      <c r="C36" s="36">
        <v>195000</v>
      </c>
      <c r="E36" s="38" t="s">
        <v>148</v>
      </c>
      <c r="F36" s="39" t="s">
        <v>168</v>
      </c>
      <c r="G36" s="404" t="s">
        <v>169</v>
      </c>
      <c r="H36" s="39" t="s">
        <v>42</v>
      </c>
      <c r="I36" s="41" t="s">
        <v>170</v>
      </c>
      <c r="J36" s="41" t="str">
        <f t="shared" si="1"/>
        <v>BUCARAMANGA_AREA_METR-SEDE CABECERA-TERAPIA RESPIRATORIA-PRIMERA VEZ TERAPIA RESPIRATORIA2</v>
      </c>
      <c r="K36" s="8" t="s">
        <v>42</v>
      </c>
      <c r="L36" s="8" t="s">
        <v>228</v>
      </c>
      <c r="M36" s="47">
        <f>_xlfn.XLOOKUP(J36,[1]!Tabla1[CONCAT DETALLE],[1]!Tabla1[COSTO ACTUAL])</f>
        <v>31714.220952863223</v>
      </c>
    </row>
    <row r="37" spans="1:13" ht="16.5" hidden="1" x14ac:dyDescent="0.3">
      <c r="A37" s="8" t="s">
        <v>43</v>
      </c>
      <c r="B37" s="30">
        <v>20860</v>
      </c>
      <c r="C37" s="36">
        <v>15000</v>
      </c>
      <c r="E37" s="38" t="s">
        <v>148</v>
      </c>
      <c r="F37" s="39" t="s">
        <v>168</v>
      </c>
      <c r="G37" s="404" t="s">
        <v>169</v>
      </c>
      <c r="H37" s="39" t="s">
        <v>171</v>
      </c>
      <c r="I37" s="41" t="s">
        <v>172</v>
      </c>
      <c r="J37" s="41" t="str">
        <f t="shared" si="1"/>
        <v>BUCARAMANGA_AREA_METR-SEDE CABECERA-TERAPIA RESPIRATORIA-CIERRE TERAPIA RESPIRATORIA2</v>
      </c>
      <c r="K37" s="8" t="s">
        <v>44</v>
      </c>
      <c r="L37" s="8" t="s">
        <v>229</v>
      </c>
      <c r="M37" s="47">
        <f>_xlfn.XLOOKUP(J37,[1]!Tabla1[CONCAT DETALLE],[1]!Tabla1[COSTO ACTUAL])</f>
        <v>31714.220952863223</v>
      </c>
    </row>
    <row r="38" spans="1:13" ht="16.5" x14ac:dyDescent="0.3">
      <c r="A38" s="8" t="s">
        <v>99</v>
      </c>
      <c r="B38" s="30">
        <v>10166</v>
      </c>
      <c r="C38" s="35" t="s">
        <v>119</v>
      </c>
      <c r="E38" s="38" t="s">
        <v>148</v>
      </c>
      <c r="F38" s="39" t="s">
        <v>153</v>
      </c>
      <c r="G38" s="40" t="s">
        <v>150</v>
      </c>
      <c r="H38" s="39" t="s">
        <v>11</v>
      </c>
      <c r="I38" s="407" t="s">
        <v>124</v>
      </c>
      <c r="J38" s="41" t="str">
        <f t="shared" si="1"/>
        <v>BUCARAMANGA_AREA_METR-SEDE EL PRADO-PROGRAMAS INTEGRALES-ACTIVIDAD EDUCATIVA</v>
      </c>
      <c r="K38" s="8" t="s">
        <v>11</v>
      </c>
      <c r="L38" s="55" t="s">
        <v>138</v>
      </c>
      <c r="M38" s="409">
        <f>_xlfn.XLOOKUP(J38,[1]!Tabla1[CONCAT DETALLE],[1]!Tabla1[COSTO ACTUAL])</f>
        <v>12743.421642219637</v>
      </c>
    </row>
    <row r="39" spans="1:13" ht="16.5" x14ac:dyDescent="0.3">
      <c r="A39" s="8" t="s">
        <v>105</v>
      </c>
      <c r="B39" s="30">
        <v>10166</v>
      </c>
      <c r="C39" s="35" t="s">
        <v>119</v>
      </c>
      <c r="E39" s="38" t="s">
        <v>148</v>
      </c>
      <c r="F39" s="39" t="s">
        <v>153</v>
      </c>
      <c r="G39" s="40" t="s">
        <v>150</v>
      </c>
      <c r="H39" s="39" t="s">
        <v>40</v>
      </c>
      <c r="I39" s="407" t="s">
        <v>131</v>
      </c>
      <c r="J39" s="41" t="str">
        <f t="shared" si="1"/>
        <v>BUCARAMANGA_AREA_METR-SEDE EL PRADO-PROGRAMAS INTEGRALES-CONTACTO DE SEGUIMIENTO Y/O TELEFONICO</v>
      </c>
      <c r="K39" s="8" t="s">
        <v>40</v>
      </c>
      <c r="L39" s="55" t="s">
        <v>41</v>
      </c>
      <c r="M39" s="47">
        <f>_xlfn.XLOOKUP(J39,[1]!Tabla1[CONCAT DETALLE],[1]!Tabla1[COSTO ACTUAL])</f>
        <v>15634.853025719462</v>
      </c>
    </row>
    <row r="40" spans="1:13" ht="16.5" x14ac:dyDescent="0.3">
      <c r="A40" s="32" t="s">
        <v>198</v>
      </c>
      <c r="B40" s="30">
        <v>10166</v>
      </c>
      <c r="C40" s="35" t="s">
        <v>119</v>
      </c>
      <c r="E40" s="38" t="s">
        <v>148</v>
      </c>
      <c r="F40" s="39" t="s">
        <v>149</v>
      </c>
      <c r="G40" s="40" t="s">
        <v>150</v>
      </c>
      <c r="H40" s="39" t="s">
        <v>94</v>
      </c>
      <c r="I40" s="407" t="s">
        <v>159</v>
      </c>
      <c r="J40" s="41" t="str">
        <f t="shared" si="1"/>
        <v>BUCARAMANGA_AREA_METR-SEDE FOSUNAB-PROGRAMAS INTEGRALES-CONSULTA PRIMERA VEZ CARDIOLOGIA</v>
      </c>
      <c r="K40" s="8" t="s">
        <v>94</v>
      </c>
      <c r="L40" s="55" t="s">
        <v>95</v>
      </c>
      <c r="M40" s="47">
        <f>_xlfn.XLOOKUP(J40,[1]!Tabla1[CONCAT DETALLE],[1]!Tabla1[COSTO ACTUAL])</f>
        <v>58766.154033233033</v>
      </c>
    </row>
    <row r="41" spans="1:13" ht="16.5" x14ac:dyDescent="0.3">
      <c r="A41" s="25" t="s">
        <v>109</v>
      </c>
      <c r="B41" s="30">
        <v>47620</v>
      </c>
      <c r="C41" s="35" t="s">
        <v>119</v>
      </c>
      <c r="E41" s="38" t="s">
        <v>148</v>
      </c>
      <c r="F41" s="39" t="s">
        <v>149</v>
      </c>
      <c r="G41" s="40" t="s">
        <v>150</v>
      </c>
      <c r="H41" s="39" t="s">
        <v>96</v>
      </c>
      <c r="I41" s="407" t="s">
        <v>160</v>
      </c>
      <c r="J41" s="41" t="str">
        <f t="shared" si="1"/>
        <v>BUCARAMANGA_AREA_METR-SEDE FOSUNAB-PROGRAMAS INTEGRALES-CONSULTA CONTROL CARDIOLOGIA</v>
      </c>
      <c r="K41" s="8" t="s">
        <v>96</v>
      </c>
      <c r="L41" s="55" t="s">
        <v>224</v>
      </c>
      <c r="M41" s="47">
        <f>_xlfn.XLOOKUP(J41,[1]!Tabla1[CONCAT DETALLE],[1]!Tabla1[COSTO ACTUAL])</f>
        <v>58766.154033233033</v>
      </c>
    </row>
    <row r="42" spans="1:13" ht="16.5" x14ac:dyDescent="0.3">
      <c r="A42" s="8" t="s">
        <v>110</v>
      </c>
      <c r="B42" s="30">
        <v>47620</v>
      </c>
      <c r="C42" s="35" t="s">
        <v>119</v>
      </c>
      <c r="E42" s="38" t="s">
        <v>148</v>
      </c>
      <c r="F42" s="39" t="s">
        <v>149</v>
      </c>
      <c r="G42" s="40" t="s">
        <v>150</v>
      </c>
      <c r="H42" s="39" t="s">
        <v>25</v>
      </c>
      <c r="I42" s="407" t="s">
        <v>125</v>
      </c>
      <c r="J42" s="41" t="str">
        <f>_xlfn.CONCAT(E42,"-",F42,"-",G42,"-",I42)</f>
        <v>BUCARAMANGA_AREA_METR-SEDE FOSUNAB-PROGRAMAS INTEGRALES-CAMINATA 6 MINUTOS</v>
      </c>
      <c r="K42" s="8" t="s">
        <v>25</v>
      </c>
      <c r="L42" s="55" t="s">
        <v>26</v>
      </c>
      <c r="M42" s="47">
        <f>_xlfn.XLOOKUP(J42,[1]!Tabla1[CONCAT DETALLE],[1]!Tabla1[COSTO ACTUAL])</f>
        <v>19392.627189167735</v>
      </c>
    </row>
    <row r="43" spans="1:13" ht="16.5" x14ac:dyDescent="0.3">
      <c r="A43" s="8" t="s">
        <v>18</v>
      </c>
      <c r="B43" s="30">
        <v>10166</v>
      </c>
      <c r="C43" s="35" t="s">
        <v>119</v>
      </c>
      <c r="E43" s="38" t="s">
        <v>148</v>
      </c>
      <c r="F43" s="39" t="s">
        <v>149</v>
      </c>
      <c r="G43" s="40" t="s">
        <v>150</v>
      </c>
      <c r="H43" s="39" t="s">
        <v>25</v>
      </c>
      <c r="I43" s="407" t="s">
        <v>125</v>
      </c>
      <c r="J43" s="41" t="str">
        <f t="shared" si="1"/>
        <v>BUCARAMANGA_AREA_METR-SEDE FOSUNAB-PROGRAMAS INTEGRALES-CAMINATA 6 MINUTOS</v>
      </c>
      <c r="K43" s="8" t="s">
        <v>25</v>
      </c>
      <c r="L43" s="55" t="s">
        <v>226</v>
      </c>
      <c r="M43" s="47">
        <f>_xlfn.XLOOKUP(J43,[1]!Tabla1[CONCAT DETALLE],[1]!Tabla1[COSTO ACTUAL])</f>
        <v>19392.627189167735</v>
      </c>
    </row>
    <row r="44" spans="1:13" ht="16.5" x14ac:dyDescent="0.3">
      <c r="A44" s="8" t="s">
        <v>6</v>
      </c>
      <c r="B44" s="30">
        <v>10166</v>
      </c>
      <c r="C44" s="35" t="s">
        <v>119</v>
      </c>
      <c r="E44" s="38" t="s">
        <v>148</v>
      </c>
      <c r="F44" s="39" t="s">
        <v>153</v>
      </c>
      <c r="G44" s="40" t="s">
        <v>150</v>
      </c>
      <c r="H44" s="39" t="s">
        <v>29</v>
      </c>
      <c r="I44" s="407" t="s">
        <v>282</v>
      </c>
      <c r="J44" s="41" t="str">
        <f t="shared" si="1"/>
        <v>BUCARAMANGA_AREA_METR-SEDE EL PRADO-PROGRAMAS INTEGRALES-REHABILITACIÓN EGRESO</v>
      </c>
      <c r="K44" s="8" t="s">
        <v>29</v>
      </c>
      <c r="L44" s="55" t="s">
        <v>196</v>
      </c>
      <c r="M44" s="47">
        <f>_xlfn.XLOOKUP(J44,[1]!Tabla1[CONCAT DETALLE],[1]!Tabla1[COSTO ACTUAL])</f>
        <v>31881.451880098426</v>
      </c>
    </row>
    <row r="45" spans="1:13" ht="16.5" x14ac:dyDescent="0.3">
      <c r="A45" s="8" t="s">
        <v>37</v>
      </c>
      <c r="B45" s="30">
        <v>6429</v>
      </c>
      <c r="C45" s="35" t="s">
        <v>119</v>
      </c>
      <c r="E45" s="38" t="s">
        <v>148</v>
      </c>
      <c r="F45" s="39" t="s">
        <v>149</v>
      </c>
      <c r="G45" s="40" t="s">
        <v>150</v>
      </c>
      <c r="H45" s="39" t="s">
        <v>52</v>
      </c>
      <c r="I45" s="407" t="s">
        <v>285</v>
      </c>
      <c r="J45" s="41" t="str">
        <f t="shared" si="1"/>
        <v>BUCARAMANGA_AREA_METR-SEDE FOSUNAB-PROGRAMAS INTEGRALES-CONSULTA ESPECIALIZADA PRIMERA VEZ REHABILITACIÓN</v>
      </c>
      <c r="K45" s="8" t="s">
        <v>52</v>
      </c>
      <c r="L45" s="55" t="s">
        <v>191</v>
      </c>
      <c r="M45" s="47">
        <f>_xlfn.XLOOKUP(J45,[1]!Tabla1[CONCAT DETALLE],[1]!Tabla1[COSTO ACTUAL])</f>
        <v>26897.079640267821</v>
      </c>
    </row>
    <row r="46" spans="1:13" ht="16.5" x14ac:dyDescent="0.3">
      <c r="A46" s="8" t="s">
        <v>196</v>
      </c>
      <c r="B46" s="30">
        <v>25943</v>
      </c>
      <c r="C46" s="35" t="s">
        <v>119</v>
      </c>
      <c r="E46" s="38" t="s">
        <v>148</v>
      </c>
      <c r="F46" s="39" t="s">
        <v>149</v>
      </c>
      <c r="G46" s="40" t="s">
        <v>150</v>
      </c>
      <c r="H46" s="39" t="s">
        <v>52</v>
      </c>
      <c r="I46" s="407" t="s">
        <v>285</v>
      </c>
      <c r="J46" s="41" t="str">
        <f t="shared" si="1"/>
        <v>BUCARAMANGA_AREA_METR-SEDE FOSUNAB-PROGRAMAS INTEGRALES-CONSULTA ESPECIALIZADA PRIMERA VEZ REHABILITACIÓN</v>
      </c>
      <c r="K46" s="25" t="s">
        <v>52</v>
      </c>
      <c r="L46" s="406" t="s">
        <v>191</v>
      </c>
      <c r="M46" s="47">
        <f>_xlfn.XLOOKUP(J46,[1]!Tabla1[CONCAT DETALLE],[1]!Tabla1[COSTO ACTUAL])</f>
        <v>26897.079640267821</v>
      </c>
    </row>
    <row r="47" spans="1:13" ht="16.5" x14ac:dyDescent="0.3">
      <c r="A47" s="8" t="s">
        <v>24</v>
      </c>
      <c r="B47" s="30">
        <v>25943</v>
      </c>
      <c r="C47" s="35" t="s">
        <v>119</v>
      </c>
      <c r="E47" s="38" t="s">
        <v>148</v>
      </c>
      <c r="F47" s="39" t="s">
        <v>149</v>
      </c>
      <c r="G47" s="40" t="s">
        <v>150</v>
      </c>
      <c r="H47" s="39" t="s">
        <v>53</v>
      </c>
      <c r="I47" s="407" t="s">
        <v>286</v>
      </c>
      <c r="J47" s="41" t="str">
        <f t="shared" si="1"/>
        <v>BUCARAMANGA_AREA_METR-SEDE FOSUNAB-PROGRAMAS INTEGRALES-CONSULTA ESPECIALIZADA CONTROL REHABILITACIÓN</v>
      </c>
      <c r="K47" s="8" t="s">
        <v>53</v>
      </c>
      <c r="L47" s="55" t="s">
        <v>190</v>
      </c>
      <c r="M47" s="47">
        <f>_xlfn.XLOOKUP(J47,[1]!Tabla1[CONCAT DETALLE],[1]!Tabla1[COSTO ACTUAL])</f>
        <v>26897.079640267817</v>
      </c>
    </row>
    <row r="48" spans="1:13" ht="16.5" x14ac:dyDescent="0.3">
      <c r="A48" s="8" t="s">
        <v>83</v>
      </c>
      <c r="B48" s="30">
        <v>52771</v>
      </c>
      <c r="C48" s="36">
        <v>84509</v>
      </c>
      <c r="E48" s="38" t="s">
        <v>148</v>
      </c>
      <c r="F48" s="39" t="s">
        <v>149</v>
      </c>
      <c r="G48" s="40" t="s">
        <v>150</v>
      </c>
      <c r="H48" s="39" t="s">
        <v>53</v>
      </c>
      <c r="I48" s="407" t="s">
        <v>286</v>
      </c>
      <c r="J48" s="41" t="str">
        <f t="shared" si="1"/>
        <v>BUCARAMANGA_AREA_METR-SEDE FOSUNAB-PROGRAMAS INTEGRALES-CONSULTA ESPECIALIZADA CONTROL REHABILITACIÓN</v>
      </c>
      <c r="K48" s="8" t="s">
        <v>53</v>
      </c>
      <c r="L48" s="55" t="s">
        <v>230</v>
      </c>
      <c r="M48" s="47">
        <f>_xlfn.XLOOKUP(J48,[1]!Tabla1[CONCAT DETALLE],[1]!Tabla1[COSTO ACTUAL])</f>
        <v>26897.079640267817</v>
      </c>
    </row>
    <row r="49" spans="1:13" ht="16.5" x14ac:dyDescent="0.3">
      <c r="A49" s="8" t="s">
        <v>111</v>
      </c>
      <c r="B49" s="30">
        <v>49537</v>
      </c>
      <c r="C49" s="36">
        <v>109283</v>
      </c>
      <c r="E49" s="38" t="s">
        <v>148</v>
      </c>
      <c r="F49" s="39" t="s">
        <v>149</v>
      </c>
      <c r="G49" s="40" t="s">
        <v>150</v>
      </c>
      <c r="H49" s="39" t="s">
        <v>53</v>
      </c>
      <c r="I49" s="407" t="s">
        <v>286</v>
      </c>
      <c r="J49" s="41" t="str">
        <f t="shared" si="1"/>
        <v>BUCARAMANGA_AREA_METR-SEDE FOSUNAB-PROGRAMAS INTEGRALES-CONSULTA ESPECIALIZADA CONTROL REHABILITACIÓN</v>
      </c>
      <c r="K49" s="8" t="s">
        <v>53</v>
      </c>
      <c r="L49" s="55" t="s">
        <v>231</v>
      </c>
      <c r="M49" s="47">
        <f>_xlfn.XLOOKUP(J49,[1]!Tabla1[CONCAT DETALLE],[1]!Tabla1[COSTO ACTUAL])</f>
        <v>26897.079640267817</v>
      </c>
    </row>
    <row r="50" spans="1:13" ht="16.5" x14ac:dyDescent="0.3">
      <c r="E50" s="38" t="s">
        <v>148</v>
      </c>
      <c r="F50" s="39" t="s">
        <v>153</v>
      </c>
      <c r="G50" s="40" t="s">
        <v>150</v>
      </c>
      <c r="H50" s="39" t="s">
        <v>76</v>
      </c>
      <c r="I50" s="407" t="s">
        <v>181</v>
      </c>
      <c r="J50" s="41" t="str">
        <f t="shared" si="1"/>
        <v>BUCARAMANGA_AREA_METR-SEDE EL PRADO-PROGRAMAS INTEGRALES-FISIOTERAPIA CONTROL</v>
      </c>
      <c r="K50" s="37" t="s">
        <v>76</v>
      </c>
      <c r="L50" s="408" t="s">
        <v>77</v>
      </c>
      <c r="M50" s="47">
        <f>_xlfn.XLOOKUP(J50,[1]!Tabla1[CONCAT DETALLE],[1]!Tabla1[COSTO ACTUAL])</f>
        <v>21014.396674037816</v>
      </c>
    </row>
    <row r="51" spans="1:13" ht="16.5" x14ac:dyDescent="0.3">
      <c r="E51" s="38" t="s">
        <v>148</v>
      </c>
      <c r="F51" s="39" t="s">
        <v>153</v>
      </c>
      <c r="G51" s="40" t="s">
        <v>150</v>
      </c>
      <c r="H51" s="39" t="s">
        <v>98</v>
      </c>
      <c r="I51" s="407" t="s">
        <v>182</v>
      </c>
      <c r="J51" s="41" t="str">
        <f t="shared" si="1"/>
        <v>BUCARAMANGA_AREA_METR-SEDE EL PRADO-PROGRAMAS INTEGRALES-TRABAJO SOCIAL PRIMERA VEZ</v>
      </c>
      <c r="K51" s="37" t="s">
        <v>98</v>
      </c>
      <c r="L51" s="408" t="s">
        <v>99</v>
      </c>
      <c r="M51" s="47">
        <f>_xlfn.XLOOKUP(J51,[1]!Tabla1[CONCAT DETALLE],[1]!Tabla1[COSTO ACTUAL])</f>
        <v>17887.388810409495</v>
      </c>
    </row>
    <row r="52" spans="1:13" ht="16.5" x14ac:dyDescent="0.3">
      <c r="E52" s="38" t="s">
        <v>148</v>
      </c>
      <c r="F52" s="39" t="s">
        <v>153</v>
      </c>
      <c r="G52" s="40" t="s">
        <v>150</v>
      </c>
      <c r="H52" s="39" t="s">
        <v>98</v>
      </c>
      <c r="I52" s="407" t="s">
        <v>182</v>
      </c>
      <c r="J52" s="41" t="str">
        <f t="shared" si="1"/>
        <v>BUCARAMANGA_AREA_METR-SEDE EL PRADO-PROGRAMAS INTEGRALES-TRABAJO SOCIAL PRIMERA VEZ</v>
      </c>
      <c r="K52" s="37" t="s">
        <v>121</v>
      </c>
      <c r="L52" s="408" t="s">
        <v>232</v>
      </c>
      <c r="M52" s="47">
        <f>_xlfn.XLOOKUP(J52,[1]!Tabla1[CONCAT DETALLE],[1]!Tabla1[COSTO ACTUAL])</f>
        <v>17887.388810409495</v>
      </c>
    </row>
    <row r="53" spans="1:13" ht="16.5" x14ac:dyDescent="0.3">
      <c r="E53" s="38" t="s">
        <v>148</v>
      </c>
      <c r="F53" s="39" t="s">
        <v>153</v>
      </c>
      <c r="G53" s="40" t="s">
        <v>150</v>
      </c>
      <c r="H53" s="39" t="s">
        <v>104</v>
      </c>
      <c r="I53" s="407" t="s">
        <v>183</v>
      </c>
      <c r="J53" s="41" t="str">
        <f t="shared" si="1"/>
        <v>BUCARAMANGA_AREA_METR-SEDE EL PRADO-PROGRAMAS INTEGRALES-TRABAJO SOCIAL CONTROL</v>
      </c>
      <c r="K53" s="37" t="s">
        <v>104</v>
      </c>
      <c r="L53" s="408" t="s">
        <v>105</v>
      </c>
      <c r="M53" s="47">
        <f>_xlfn.XLOOKUP(J53,[1]!Tabla1[CONCAT DETALLE],[1]!Tabla1[COSTO ACTUAL])</f>
        <v>17887.388810409495</v>
      </c>
    </row>
    <row r="54" spans="1:13" ht="16.5" x14ac:dyDescent="0.3">
      <c r="E54" s="38" t="s">
        <v>148</v>
      </c>
      <c r="F54" s="39" t="s">
        <v>149</v>
      </c>
      <c r="G54" s="40" t="s">
        <v>150</v>
      </c>
      <c r="H54" s="39" t="s">
        <v>113</v>
      </c>
      <c r="I54" s="407" t="s">
        <v>184</v>
      </c>
      <c r="J54" s="41" t="str">
        <f t="shared" si="1"/>
        <v>BUCARAMANGA_AREA_METR-SEDE FOSUNAB-PROGRAMAS INTEGRALES-DEPORTOLOGIA PRIMERA VEZ</v>
      </c>
      <c r="K54" s="37" t="s">
        <v>113</v>
      </c>
      <c r="L54" s="408" t="s">
        <v>139</v>
      </c>
      <c r="M54" s="47">
        <f>_xlfn.XLOOKUP(J54,[1]!Tabla1[CONCAT DETALLE],[1]!Tabla1[COSTO ACTUAL])</f>
        <v>60236.092716419647</v>
      </c>
    </row>
    <row r="55" spans="1:13" ht="16.5" x14ac:dyDescent="0.3">
      <c r="E55" s="38" t="s">
        <v>148</v>
      </c>
      <c r="F55" s="39" t="s">
        <v>149</v>
      </c>
      <c r="G55" s="40" t="s">
        <v>150</v>
      </c>
      <c r="H55" s="39" t="s">
        <v>114</v>
      </c>
      <c r="I55" s="407" t="s">
        <v>185</v>
      </c>
      <c r="J55" s="41" t="str">
        <f t="shared" si="1"/>
        <v>BUCARAMANGA_AREA_METR-SEDE FOSUNAB-PROGRAMAS INTEGRALES-DEPORTOLOGIA CONTROL</v>
      </c>
      <c r="K55" s="37" t="s">
        <v>114</v>
      </c>
      <c r="L55" s="408" t="s">
        <v>140</v>
      </c>
      <c r="M55" s="47">
        <f>_xlfn.XLOOKUP(J55,[1]!Tabla1[CONCAT DETALLE],[1]!Tabla1[COSTO ACTUAL])</f>
        <v>62748.232282880919</v>
      </c>
    </row>
    <row r="56" spans="1:13" ht="16.5" x14ac:dyDescent="0.3">
      <c r="E56" s="38" t="s">
        <v>148</v>
      </c>
      <c r="F56" s="39" t="s">
        <v>149</v>
      </c>
      <c r="G56" s="40" t="s">
        <v>150</v>
      </c>
      <c r="H56" s="39" t="s">
        <v>115</v>
      </c>
      <c r="I56" s="407" t="s">
        <v>186</v>
      </c>
      <c r="J56" s="41" t="str">
        <f t="shared" si="1"/>
        <v>BUCARAMANGA_AREA_METR-SEDE FOSUNAB-PROGRAMAS INTEGRALES-DEPORTOLOGIA EGRESO</v>
      </c>
      <c r="K56" s="37" t="s">
        <v>115</v>
      </c>
      <c r="L56" s="408" t="s">
        <v>141</v>
      </c>
      <c r="M56" s="47">
        <f>_xlfn.XLOOKUP(J56,[1]!Tabla1[CONCAT DETALLE],[1]!Tabla1[COSTO ACTUAL])</f>
        <v>62748.232282880919</v>
      </c>
    </row>
    <row r="57" spans="1:13" ht="16.5" x14ac:dyDescent="0.3">
      <c r="E57" s="38" t="s">
        <v>148</v>
      </c>
      <c r="F57" s="39" t="s">
        <v>153</v>
      </c>
      <c r="G57" s="40" t="s">
        <v>150</v>
      </c>
      <c r="H57" s="39" t="s">
        <v>78</v>
      </c>
      <c r="I57" s="407" t="s">
        <v>287</v>
      </c>
      <c r="J57" s="41" t="str">
        <f t="shared" si="1"/>
        <v>BUCARAMANGA_AREA_METR-SEDE EL PRADO-PROGRAMAS INTEGRALES-INGRESO CESACIÓN TABAQUICA</v>
      </c>
      <c r="K57" s="37" t="s">
        <v>78</v>
      </c>
      <c r="L57" s="408" t="s">
        <v>194</v>
      </c>
      <c r="M57" s="47">
        <f>_xlfn.XLOOKUP(J57,[1]!Tabla1[CONCAT DETALLE],[1]!Tabla1[COSTO ACTUAL])</f>
        <v>32019.45168009842</v>
      </c>
    </row>
    <row r="58" spans="1:13" ht="16.5" x14ac:dyDescent="0.3">
      <c r="E58" s="38" t="s">
        <v>148</v>
      </c>
      <c r="F58" s="39" t="s">
        <v>153</v>
      </c>
      <c r="G58" s="40" t="s">
        <v>150</v>
      </c>
      <c r="H58" s="39" t="s">
        <v>154</v>
      </c>
      <c r="I58" s="407" t="s">
        <v>155</v>
      </c>
      <c r="J58" s="41" t="str">
        <f t="shared" si="1"/>
        <v>BUCARAMANGA_AREA_METR-SEDE EL PRADO-PROGRAMAS INTEGRALES-CONSULTA PRIORITARIA MEDICINA INTERNA - PROGRAMAS</v>
      </c>
      <c r="K58" s="8" t="s">
        <v>38</v>
      </c>
      <c r="L58" s="55" t="s">
        <v>137</v>
      </c>
      <c r="M58" s="47">
        <f>_xlfn.XLOOKUP(J58,[1]!Tabla1[CONCAT DETALLE],[1]!Tabla1[COSTO ACTUAL])</f>
        <v>56420.692787682223</v>
      </c>
    </row>
    <row r="59" spans="1:13" ht="16.5" x14ac:dyDescent="0.3">
      <c r="E59" s="38" t="s">
        <v>148</v>
      </c>
      <c r="F59" s="39" t="s">
        <v>153</v>
      </c>
      <c r="G59" s="40" t="s">
        <v>150</v>
      </c>
      <c r="H59" s="39"/>
      <c r="I59" s="407" t="s">
        <v>281</v>
      </c>
      <c r="J59" s="41" t="str">
        <f t="shared" si="1"/>
        <v>BUCARAMANGA_AREA_METR-SEDE EL PRADO-PROGRAMAS INTEGRALES-PARTICIPACIÓN JUNTA MEDICA2</v>
      </c>
      <c r="K59" s="8" t="s">
        <v>54</v>
      </c>
      <c r="L59" s="55" t="s">
        <v>195</v>
      </c>
      <c r="M59" s="47">
        <f>_xlfn.XLOOKUP(J59,[1]!Tabla1[CONCAT DETALLE],[1]!Tabla1[COSTO ACTUAL])</f>
        <v>145259.19237771924</v>
      </c>
    </row>
    <row r="60" spans="1:13" ht="16.5" x14ac:dyDescent="0.3">
      <c r="E60" s="38" t="s">
        <v>148</v>
      </c>
      <c r="F60" s="39" t="s">
        <v>153</v>
      </c>
      <c r="G60" s="40" t="s">
        <v>150</v>
      </c>
      <c r="H60" s="39"/>
      <c r="I60" s="407" t="s">
        <v>281</v>
      </c>
      <c r="J60" s="41" t="str">
        <f t="shared" si="1"/>
        <v>BUCARAMANGA_AREA_METR-SEDE EL PRADO-PROGRAMAS INTEGRALES-PARTICIPACIÓN JUNTA MEDICA2</v>
      </c>
      <c r="K60" s="8" t="s">
        <v>54</v>
      </c>
      <c r="L60" s="55" t="s">
        <v>227</v>
      </c>
      <c r="M60" s="47">
        <f>_xlfn.XLOOKUP(J60,[1]!Tabla1[CONCAT DETALLE],[1]!Tabla1[COSTO ACTUAL])</f>
        <v>145259.19237771924</v>
      </c>
    </row>
    <row r="61" spans="1:13" ht="16.5" x14ac:dyDescent="0.3">
      <c r="E61" s="38" t="s">
        <v>148</v>
      </c>
      <c r="F61" s="39" t="s">
        <v>153</v>
      </c>
      <c r="G61" s="40" t="s">
        <v>150</v>
      </c>
      <c r="H61" s="39"/>
      <c r="I61" s="407" t="s">
        <v>283</v>
      </c>
      <c r="J61" s="41" t="str">
        <f t="shared" si="1"/>
        <v>BUCARAMANGA_AREA_METR-SEDE EL PRADO-PROGRAMAS INTEGRALES-CONTROL CESACIÓN TABAQUICA2</v>
      </c>
      <c r="K61" s="8" t="s">
        <v>79</v>
      </c>
      <c r="L61" s="55" t="s">
        <v>197</v>
      </c>
      <c r="M61" s="47">
        <f>_xlfn.XLOOKUP(J61,[1]!Tabla1[CONCAT DETALLE],[1]!Tabla1[COSTO ACTUAL])</f>
        <v>20552.755657371155</v>
      </c>
    </row>
    <row r="62" spans="1:13" ht="16.5" x14ac:dyDescent="0.3">
      <c r="E62" s="50" t="s">
        <v>148</v>
      </c>
      <c r="F62" s="51" t="s">
        <v>153</v>
      </c>
      <c r="G62" s="52" t="s">
        <v>150</v>
      </c>
      <c r="H62" s="51"/>
      <c r="I62" s="410" t="s">
        <v>284</v>
      </c>
      <c r="J62" s="53" t="str">
        <f t="shared" si="1"/>
        <v>BUCARAMANGA_AREA_METR-SEDE EL PRADO-PROGRAMAS INTEGRALES-EGRESO CESACIÓN TABAQUICA</v>
      </c>
      <c r="K62" s="10" t="s">
        <v>80</v>
      </c>
      <c r="L62" s="411" t="s">
        <v>193</v>
      </c>
      <c r="M62" s="54">
        <f>_xlfn.XLOOKUP(J62,[1]!Tabla1[CONCAT DETALLE],[1]!Tabla1[COSTO ACTUAL])</f>
        <v>12908.291642219636</v>
      </c>
    </row>
    <row r="63" spans="1:13" ht="16.5" hidden="1" x14ac:dyDescent="0.3">
      <c r="E63" s="50" t="s">
        <v>148</v>
      </c>
      <c r="F63" s="39" t="s">
        <v>149</v>
      </c>
      <c r="G63" s="405" t="s">
        <v>158</v>
      </c>
      <c r="H63" s="108"/>
      <c r="I63" s="41" t="s">
        <v>280</v>
      </c>
      <c r="J63" s="109" t="str">
        <f t="shared" si="1"/>
        <v>BUCARAMANGA_AREA_METR-SEDE FOSUNAB-LABORATORIO PULMONAR-PRUEBA DE BRONCOPROVOCACIÓN ESPECÍFICA (ALERGENO) O INESPECÍFICA</v>
      </c>
      <c r="K63" s="110"/>
      <c r="L63" s="41" t="s">
        <v>280</v>
      </c>
      <c r="M63" s="54">
        <f>_xlfn.XLOOKUP(J63,[1]!Tabla1[CONCAT DETALLE],[1]!Tabla1[COSTO ACTUAL])</f>
        <v>232601.87077978876</v>
      </c>
    </row>
  </sheetData>
  <mergeCells count="2">
    <mergeCell ref="A1:C1"/>
    <mergeCell ref="E1:M1"/>
  </mergeCells>
  <dataValidations disablePrompts="1" count="2">
    <dataValidation type="list" allowBlank="1" showInputMessage="1" showErrorMessage="1" sqref="E31:E32 E3:E5 E7:E10 E19" xr:uid="{8B798848-BC34-417E-8EDF-698A7F005156}">
      <formula1>CIUDAD</formula1>
    </dataValidation>
    <dataValidation type="list" showInputMessage="1" showErrorMessage="1" sqref="I63 L63" xr:uid="{159FC9F6-286F-43A5-A862-85A41866378B}">
      <formula1>Lista_servicios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DA0F-CA35-428F-8742-6E33824D2321}">
  <dimension ref="A1:AH288"/>
  <sheetViews>
    <sheetView topLeftCell="A230" zoomScale="55" zoomScaleNormal="55" workbookViewId="0">
      <selection activeCell="A264" sqref="A264:AH264"/>
    </sheetView>
    <sheetView tabSelected="1" topLeftCell="A233" zoomScale="55" zoomScaleNormal="55" workbookViewId="1">
      <selection activeCell="AD247" sqref="AD247"/>
    </sheetView>
  </sheetViews>
  <sheetFormatPr baseColWidth="10" defaultRowHeight="16.5" x14ac:dyDescent="0.3"/>
  <cols>
    <col min="1" max="1" width="14.28515625" style="93" customWidth="1"/>
    <col min="2" max="2" width="66.42578125" style="93" customWidth="1"/>
    <col min="3" max="3" width="14" style="93" customWidth="1"/>
    <col min="4" max="4" width="4.140625" style="93" customWidth="1"/>
    <col min="5" max="5" width="11.42578125" style="93"/>
    <col min="6" max="6" width="4.140625" style="93" customWidth="1"/>
    <col min="7" max="7" width="11.42578125" style="93"/>
    <col min="8" max="8" width="4.140625" style="93" customWidth="1"/>
    <col min="9" max="9" width="11.42578125" style="93"/>
    <col min="10" max="10" width="4.140625" style="93" customWidth="1"/>
    <col min="11" max="11" width="11.42578125" style="93"/>
    <col min="12" max="12" width="4.140625" style="93" customWidth="1"/>
    <col min="13" max="13" width="11.42578125" style="93"/>
    <col min="14" max="14" width="4.140625" style="93" customWidth="1"/>
    <col min="15" max="15" width="11.42578125" style="93"/>
    <col min="16" max="16" width="4.140625" style="93" customWidth="1"/>
    <col min="17" max="17" width="11.42578125" style="93"/>
    <col min="18" max="18" width="4.140625" style="93" customWidth="1"/>
    <col min="19" max="19" width="11.42578125" style="93"/>
    <col min="20" max="20" width="4.140625" style="93" customWidth="1"/>
    <col min="21" max="21" width="11.42578125" style="93"/>
    <col min="22" max="22" width="4.140625" style="93" customWidth="1"/>
    <col min="23" max="23" width="11.5703125" style="93" customWidth="1"/>
    <col min="24" max="24" width="4.140625" style="93" customWidth="1"/>
    <col min="25" max="25" width="11.5703125" style="93" customWidth="1"/>
    <col min="26" max="26" width="4.140625" style="93" customWidth="1"/>
    <col min="27" max="27" width="11.5703125" style="93" customWidth="1"/>
    <col min="28" max="28" width="22.28515625" style="93" customWidth="1"/>
    <col min="29" max="29" width="14.42578125" style="93" customWidth="1"/>
    <col min="30" max="30" width="12.42578125" style="93" customWidth="1"/>
    <col min="31" max="31" width="18.85546875" style="93" customWidth="1"/>
    <col min="32" max="32" width="16.140625" style="93" customWidth="1"/>
    <col min="33" max="33" width="27.28515625" style="93" customWidth="1"/>
    <col min="34" max="16384" width="11.42578125" style="93"/>
  </cols>
  <sheetData>
    <row r="1" spans="1:34" s="273" customFormat="1" ht="50.25" customHeight="1" x14ac:dyDescent="0.25">
      <c r="A1" s="267" t="s">
        <v>0</v>
      </c>
      <c r="B1" s="268" t="s">
        <v>234</v>
      </c>
      <c r="C1" s="268" t="s">
        <v>347</v>
      </c>
      <c r="D1" s="268" t="s">
        <v>56</v>
      </c>
      <c r="E1" s="268" t="s">
        <v>235</v>
      </c>
      <c r="F1" s="268" t="s">
        <v>57</v>
      </c>
      <c r="G1" s="268" t="s">
        <v>236</v>
      </c>
      <c r="H1" s="268" t="s">
        <v>58</v>
      </c>
      <c r="I1" s="268" t="s">
        <v>237</v>
      </c>
      <c r="J1" s="268" t="s">
        <v>59</v>
      </c>
      <c r="K1" s="268" t="s">
        <v>238</v>
      </c>
      <c r="L1" s="268" t="s">
        <v>60</v>
      </c>
      <c r="M1" s="268" t="s">
        <v>239</v>
      </c>
      <c r="N1" s="268" t="s">
        <v>61</v>
      </c>
      <c r="O1" s="268" t="s">
        <v>240</v>
      </c>
      <c r="P1" s="268" t="s">
        <v>62</v>
      </c>
      <c r="Q1" s="268" t="s">
        <v>241</v>
      </c>
      <c r="R1" s="268" t="s">
        <v>63</v>
      </c>
      <c r="S1" s="268" t="s">
        <v>242</v>
      </c>
      <c r="T1" s="268" t="s">
        <v>64</v>
      </c>
      <c r="U1" s="268" t="s">
        <v>243</v>
      </c>
      <c r="V1" s="268" t="s">
        <v>65</v>
      </c>
      <c r="W1" s="268" t="s">
        <v>244</v>
      </c>
      <c r="X1" s="268" t="s">
        <v>66</v>
      </c>
      <c r="Y1" s="268" t="s">
        <v>245</v>
      </c>
      <c r="Z1" s="268" t="s">
        <v>67</v>
      </c>
      <c r="AA1" s="268" t="s">
        <v>246</v>
      </c>
      <c r="AB1" s="268" t="s">
        <v>247</v>
      </c>
      <c r="AC1" s="269" t="s">
        <v>313</v>
      </c>
      <c r="AD1" s="270" t="s">
        <v>323</v>
      </c>
      <c r="AE1" s="270" t="s">
        <v>316</v>
      </c>
      <c r="AF1" s="271" t="s">
        <v>317</v>
      </c>
      <c r="AG1" s="272" t="s">
        <v>348</v>
      </c>
      <c r="AH1" s="272" t="s">
        <v>406</v>
      </c>
    </row>
    <row r="2" spans="1:34" x14ac:dyDescent="0.3">
      <c r="A2" s="412" t="s">
        <v>13</v>
      </c>
      <c r="B2" s="96" t="s">
        <v>14</v>
      </c>
      <c r="C2" s="96" t="s">
        <v>343</v>
      </c>
      <c r="D2" s="144">
        <v>1</v>
      </c>
      <c r="E2" s="56">
        <v>20552.755657371155</v>
      </c>
      <c r="F2" s="144"/>
      <c r="G2" s="56">
        <v>0</v>
      </c>
      <c r="H2" s="144"/>
      <c r="I2" s="56">
        <v>0</v>
      </c>
      <c r="J2" s="144"/>
      <c r="K2" s="56">
        <v>0</v>
      </c>
      <c r="L2" s="144"/>
      <c r="M2" s="56">
        <v>0</v>
      </c>
      <c r="N2" s="144"/>
      <c r="O2" s="56">
        <v>0</v>
      </c>
      <c r="P2" s="144"/>
      <c r="Q2" s="56">
        <v>0</v>
      </c>
      <c r="R2" s="144"/>
      <c r="S2" s="56">
        <v>0</v>
      </c>
      <c r="T2" s="144"/>
      <c r="U2" s="56">
        <v>0</v>
      </c>
      <c r="V2" s="144"/>
      <c r="W2" s="56">
        <v>0</v>
      </c>
      <c r="X2" s="144"/>
      <c r="Y2" s="56">
        <v>0</v>
      </c>
      <c r="Z2" s="144"/>
      <c r="AA2" s="56">
        <v>0</v>
      </c>
      <c r="AB2" s="81">
        <v>20552.755657371155</v>
      </c>
      <c r="AC2" s="106">
        <v>1</v>
      </c>
      <c r="AD2" s="104" t="s">
        <v>318</v>
      </c>
      <c r="AE2" s="119">
        <v>1</v>
      </c>
      <c r="AF2" s="47">
        <v>20552.755657371155</v>
      </c>
      <c r="AG2" s="104" t="s">
        <v>349</v>
      </c>
      <c r="AH2" s="333">
        <v>12</v>
      </c>
    </row>
    <row r="3" spans="1:34" x14ac:dyDescent="0.3">
      <c r="A3" s="412" t="s">
        <v>98</v>
      </c>
      <c r="B3" s="96" t="s">
        <v>99</v>
      </c>
      <c r="C3" s="96" t="s">
        <v>342</v>
      </c>
      <c r="D3" s="144">
        <v>1</v>
      </c>
      <c r="E3" s="56">
        <v>17887.388810409495</v>
      </c>
      <c r="F3" s="144"/>
      <c r="G3" s="56">
        <v>0</v>
      </c>
      <c r="H3" s="144"/>
      <c r="I3" s="56">
        <v>0</v>
      </c>
      <c r="J3" s="144"/>
      <c r="K3" s="56">
        <v>0</v>
      </c>
      <c r="L3" s="144"/>
      <c r="M3" s="56">
        <v>0</v>
      </c>
      <c r="N3" s="144"/>
      <c r="O3" s="56">
        <v>0</v>
      </c>
      <c r="P3" s="144"/>
      <c r="Q3" s="56">
        <v>0</v>
      </c>
      <c r="R3" s="144"/>
      <c r="S3" s="56">
        <v>0</v>
      </c>
      <c r="T3" s="144"/>
      <c r="U3" s="56">
        <v>0</v>
      </c>
      <c r="V3" s="144"/>
      <c r="W3" s="56">
        <v>0</v>
      </c>
      <c r="X3" s="144"/>
      <c r="Y3" s="56">
        <v>0</v>
      </c>
      <c r="Z3" s="144"/>
      <c r="AA3" s="56">
        <v>0</v>
      </c>
      <c r="AB3" s="81">
        <v>17887.388810409495</v>
      </c>
      <c r="AC3" s="106">
        <v>1</v>
      </c>
      <c r="AD3" s="104" t="s">
        <v>318</v>
      </c>
      <c r="AE3" s="119">
        <v>1</v>
      </c>
      <c r="AF3" s="47">
        <v>17887.388810409495</v>
      </c>
      <c r="AG3" s="104" t="s">
        <v>349</v>
      </c>
      <c r="AH3" s="333">
        <v>12</v>
      </c>
    </row>
    <row r="4" spans="1:34" x14ac:dyDescent="0.3">
      <c r="A4" s="412" t="s">
        <v>104</v>
      </c>
      <c r="B4" s="96" t="s">
        <v>105</v>
      </c>
      <c r="C4" s="96" t="s">
        <v>342</v>
      </c>
      <c r="D4" s="144"/>
      <c r="E4" s="56">
        <v>0</v>
      </c>
      <c r="F4" s="144"/>
      <c r="G4" s="56">
        <v>0</v>
      </c>
      <c r="H4" s="144"/>
      <c r="I4" s="56">
        <v>0</v>
      </c>
      <c r="J4" s="144"/>
      <c r="K4" s="56">
        <v>0</v>
      </c>
      <c r="L4" s="144"/>
      <c r="M4" s="56">
        <v>0</v>
      </c>
      <c r="N4" s="144"/>
      <c r="O4" s="56">
        <v>0</v>
      </c>
      <c r="P4" s="144"/>
      <c r="Q4" s="56">
        <v>0</v>
      </c>
      <c r="R4" s="144"/>
      <c r="S4" s="56">
        <v>0</v>
      </c>
      <c r="T4" s="144"/>
      <c r="U4" s="56">
        <v>0</v>
      </c>
      <c r="V4" s="144"/>
      <c r="W4" s="56">
        <v>0</v>
      </c>
      <c r="X4" s="144"/>
      <c r="Y4" s="56">
        <v>0</v>
      </c>
      <c r="Z4" s="146">
        <v>1</v>
      </c>
      <c r="AA4" s="56">
        <v>17887.388810409495</v>
      </c>
      <c r="AB4" s="81">
        <v>17887.388810409495</v>
      </c>
      <c r="AC4" s="106">
        <v>1</v>
      </c>
      <c r="AD4" s="104" t="s">
        <v>318</v>
      </c>
      <c r="AE4" s="119">
        <v>1</v>
      </c>
      <c r="AF4" s="47">
        <v>17887.388810409495</v>
      </c>
      <c r="AG4" s="104" t="s">
        <v>349</v>
      </c>
      <c r="AH4" s="333">
        <v>12</v>
      </c>
    </row>
    <row r="5" spans="1:34" x14ac:dyDescent="0.3">
      <c r="A5" s="412" t="s">
        <v>121</v>
      </c>
      <c r="B5" s="96" t="s">
        <v>232</v>
      </c>
      <c r="C5" s="96" t="s">
        <v>343</v>
      </c>
      <c r="D5" s="144"/>
      <c r="E5" s="56">
        <v>0</v>
      </c>
      <c r="F5" s="144"/>
      <c r="G5" s="56">
        <v>0</v>
      </c>
      <c r="H5" s="144">
        <v>1</v>
      </c>
      <c r="I5" s="56">
        <v>17887.388810409495</v>
      </c>
      <c r="J5" s="144"/>
      <c r="K5" s="56">
        <v>0</v>
      </c>
      <c r="L5" s="144"/>
      <c r="M5" s="56">
        <v>0</v>
      </c>
      <c r="N5" s="144"/>
      <c r="O5" s="56">
        <v>0</v>
      </c>
      <c r="P5" s="144"/>
      <c r="Q5" s="56">
        <v>0</v>
      </c>
      <c r="R5" s="144"/>
      <c r="S5" s="56">
        <v>0</v>
      </c>
      <c r="T5" s="144"/>
      <c r="U5" s="56">
        <v>0</v>
      </c>
      <c r="V5" s="144"/>
      <c r="W5" s="56">
        <v>0</v>
      </c>
      <c r="X5" s="144"/>
      <c r="Y5" s="56">
        <v>0</v>
      </c>
      <c r="Z5" s="144"/>
      <c r="AA5" s="56">
        <v>0</v>
      </c>
      <c r="AB5" s="81">
        <v>17887.388810409495</v>
      </c>
      <c r="AC5" s="106">
        <v>1</v>
      </c>
      <c r="AD5" s="104" t="s">
        <v>318</v>
      </c>
      <c r="AE5" s="119">
        <v>1</v>
      </c>
      <c r="AF5" s="47">
        <v>17887.388810409495</v>
      </c>
      <c r="AG5" s="104" t="s">
        <v>349</v>
      </c>
      <c r="AH5" s="333">
        <v>12</v>
      </c>
    </row>
    <row r="6" spans="1:34" x14ac:dyDescent="0.3">
      <c r="A6" s="412" t="s">
        <v>40</v>
      </c>
      <c r="B6" s="96" t="s">
        <v>41</v>
      </c>
      <c r="C6" s="96" t="s">
        <v>343</v>
      </c>
      <c r="D6" s="144">
        <v>1</v>
      </c>
      <c r="E6" s="56">
        <v>15634.853025719462</v>
      </c>
      <c r="F6" s="144">
        <v>1</v>
      </c>
      <c r="G6" s="56">
        <v>15634.853025719462</v>
      </c>
      <c r="H6" s="144">
        <v>1</v>
      </c>
      <c r="I6" s="56">
        <v>15634.853025719462</v>
      </c>
      <c r="J6" s="144"/>
      <c r="K6" s="56">
        <v>0</v>
      </c>
      <c r="L6" s="144"/>
      <c r="M6" s="56">
        <v>0</v>
      </c>
      <c r="N6" s="144">
        <v>1</v>
      </c>
      <c r="O6" s="56">
        <v>15634.853025719462</v>
      </c>
      <c r="P6" s="144"/>
      <c r="Q6" s="56">
        <v>0</v>
      </c>
      <c r="R6" s="144"/>
      <c r="S6" s="56">
        <v>0</v>
      </c>
      <c r="T6" s="144">
        <v>1</v>
      </c>
      <c r="U6" s="56">
        <v>15634.853025719462</v>
      </c>
      <c r="V6" s="144"/>
      <c r="W6" s="56">
        <v>0</v>
      </c>
      <c r="X6" s="144"/>
      <c r="Y6" s="56">
        <v>0</v>
      </c>
      <c r="Z6" s="144">
        <v>1</v>
      </c>
      <c r="AA6" s="56">
        <v>15634.853025719462</v>
      </c>
      <c r="AB6" s="81">
        <v>93809.118154316777</v>
      </c>
      <c r="AC6" s="106">
        <v>6</v>
      </c>
      <c r="AD6" s="104" t="s">
        <v>318</v>
      </c>
      <c r="AE6" s="119">
        <v>1</v>
      </c>
      <c r="AF6" s="47">
        <v>93809.118154316777</v>
      </c>
      <c r="AG6" s="104" t="s">
        <v>349</v>
      </c>
      <c r="AH6" s="333">
        <v>12</v>
      </c>
    </row>
    <row r="7" spans="1:34" x14ac:dyDescent="0.3">
      <c r="A7" s="412" t="s">
        <v>11</v>
      </c>
      <c r="B7" s="96" t="s">
        <v>12</v>
      </c>
      <c r="C7" s="96" t="s">
        <v>345</v>
      </c>
      <c r="D7" s="144">
        <v>1</v>
      </c>
      <c r="E7" s="56">
        <v>12743.421642219637</v>
      </c>
      <c r="F7" s="144">
        <v>1</v>
      </c>
      <c r="G7" s="56">
        <v>12743.421642219637</v>
      </c>
      <c r="H7" s="144">
        <v>1</v>
      </c>
      <c r="I7" s="56">
        <v>12743.421642219637</v>
      </c>
      <c r="J7" s="144">
        <v>1</v>
      </c>
      <c r="K7" s="56">
        <v>12743.421642219637</v>
      </c>
      <c r="L7" s="144">
        <v>1</v>
      </c>
      <c r="M7" s="56">
        <v>12743.421642219637</v>
      </c>
      <c r="N7" s="144">
        <v>1</v>
      </c>
      <c r="O7" s="56">
        <v>12743.421642219637</v>
      </c>
      <c r="P7" s="144">
        <v>1</v>
      </c>
      <c r="Q7" s="56">
        <v>12743.421642219637</v>
      </c>
      <c r="R7" s="144">
        <v>1</v>
      </c>
      <c r="S7" s="56">
        <v>12743.421642219637</v>
      </c>
      <c r="T7" s="144">
        <v>1</v>
      </c>
      <c r="U7" s="56">
        <v>12743.421642219637</v>
      </c>
      <c r="V7" s="144">
        <v>1</v>
      </c>
      <c r="W7" s="56">
        <v>12743.421642219637</v>
      </c>
      <c r="X7" s="144">
        <v>1</v>
      </c>
      <c r="Y7" s="56">
        <v>12743.421642219637</v>
      </c>
      <c r="Z7" s="144">
        <v>1</v>
      </c>
      <c r="AA7" s="56">
        <v>12743.421642219637</v>
      </c>
      <c r="AB7" s="81">
        <v>152921.05970663563</v>
      </c>
      <c r="AC7" s="106">
        <v>12</v>
      </c>
      <c r="AD7" s="104" t="s">
        <v>318</v>
      </c>
      <c r="AE7" s="119">
        <v>1</v>
      </c>
      <c r="AF7" s="47">
        <v>152921.05970663563</v>
      </c>
      <c r="AG7" s="104" t="s">
        <v>349</v>
      </c>
      <c r="AH7" s="333">
        <v>12</v>
      </c>
    </row>
    <row r="8" spans="1:34" x14ac:dyDescent="0.3">
      <c r="A8" s="412" t="s">
        <v>3</v>
      </c>
      <c r="B8" s="96" t="s">
        <v>4</v>
      </c>
      <c r="C8" s="96" t="s">
        <v>342</v>
      </c>
      <c r="D8" s="144">
        <v>1</v>
      </c>
      <c r="E8" s="56">
        <v>20406.13276336317</v>
      </c>
      <c r="F8" s="144"/>
      <c r="G8" s="56">
        <v>0</v>
      </c>
      <c r="H8" s="144"/>
      <c r="I8" s="56">
        <v>0</v>
      </c>
      <c r="J8" s="144"/>
      <c r="K8" s="56">
        <v>0</v>
      </c>
      <c r="L8" s="144"/>
      <c r="M8" s="56">
        <v>0</v>
      </c>
      <c r="N8" s="144"/>
      <c r="O8" s="56">
        <v>0</v>
      </c>
      <c r="P8" s="144"/>
      <c r="Q8" s="56">
        <v>0</v>
      </c>
      <c r="R8" s="144"/>
      <c r="S8" s="56">
        <v>0</v>
      </c>
      <c r="T8" s="144"/>
      <c r="U8" s="56">
        <v>0</v>
      </c>
      <c r="V8" s="144"/>
      <c r="W8" s="56">
        <v>0</v>
      </c>
      <c r="X8" s="144"/>
      <c r="Y8" s="56">
        <v>0</v>
      </c>
      <c r="Z8" s="144"/>
      <c r="AA8" s="56">
        <v>0</v>
      </c>
      <c r="AB8" s="81">
        <v>20406.13276336317</v>
      </c>
      <c r="AC8" s="106">
        <v>1</v>
      </c>
      <c r="AD8" s="104" t="s">
        <v>318</v>
      </c>
      <c r="AE8" s="119">
        <v>1</v>
      </c>
      <c r="AF8" s="47">
        <v>20406.13276336317</v>
      </c>
      <c r="AG8" s="104" t="s">
        <v>349</v>
      </c>
      <c r="AH8" s="333">
        <v>12</v>
      </c>
    </row>
    <row r="9" spans="1:34" x14ac:dyDescent="0.3">
      <c r="A9" s="412" t="s">
        <v>5</v>
      </c>
      <c r="B9" s="96" t="s">
        <v>6</v>
      </c>
      <c r="C9" s="96" t="s">
        <v>342</v>
      </c>
      <c r="D9" s="144">
        <v>1</v>
      </c>
      <c r="E9" s="56">
        <v>18768.367820181349</v>
      </c>
      <c r="F9" s="144"/>
      <c r="G9" s="56">
        <v>0</v>
      </c>
      <c r="H9" s="144"/>
      <c r="I9" s="56">
        <v>0</v>
      </c>
      <c r="J9" s="144"/>
      <c r="K9" s="56">
        <v>0</v>
      </c>
      <c r="L9" s="144"/>
      <c r="M9" s="56">
        <v>0</v>
      </c>
      <c r="N9" s="144"/>
      <c r="O9" s="56">
        <v>0</v>
      </c>
      <c r="P9" s="144"/>
      <c r="Q9" s="56">
        <v>0</v>
      </c>
      <c r="R9" s="144"/>
      <c r="S9" s="56">
        <v>0</v>
      </c>
      <c r="T9" s="144"/>
      <c r="U9" s="56">
        <v>0</v>
      </c>
      <c r="V9" s="144"/>
      <c r="W9" s="56">
        <v>0</v>
      </c>
      <c r="X9" s="144"/>
      <c r="Y9" s="56">
        <v>0</v>
      </c>
      <c r="Z9" s="144"/>
      <c r="AA9" s="56">
        <v>0</v>
      </c>
      <c r="AB9" s="81">
        <v>18768.367820181349</v>
      </c>
      <c r="AC9" s="106">
        <v>1</v>
      </c>
      <c r="AD9" s="104" t="s">
        <v>318</v>
      </c>
      <c r="AE9" s="119">
        <v>1</v>
      </c>
      <c r="AF9" s="47">
        <v>18768.367820181349</v>
      </c>
      <c r="AG9" s="104" t="s">
        <v>349</v>
      </c>
      <c r="AH9" s="333">
        <v>12</v>
      </c>
    </row>
    <row r="10" spans="1:34" x14ac:dyDescent="0.3">
      <c r="A10" s="412" t="s">
        <v>74</v>
      </c>
      <c r="B10" s="96" t="s">
        <v>75</v>
      </c>
      <c r="C10" s="96" t="s">
        <v>342</v>
      </c>
      <c r="D10" s="144"/>
      <c r="E10" s="56">
        <v>0</v>
      </c>
      <c r="F10" s="144"/>
      <c r="G10" s="56">
        <v>0</v>
      </c>
      <c r="H10" s="144">
        <v>1</v>
      </c>
      <c r="I10" s="56">
        <v>19368.008636848015</v>
      </c>
      <c r="J10" s="144"/>
      <c r="K10" s="56">
        <v>0</v>
      </c>
      <c r="L10" s="144"/>
      <c r="M10" s="56">
        <v>0</v>
      </c>
      <c r="N10" s="144"/>
      <c r="O10" s="56">
        <v>0</v>
      </c>
      <c r="P10" s="144"/>
      <c r="Q10" s="56">
        <v>0</v>
      </c>
      <c r="R10" s="144"/>
      <c r="S10" s="56">
        <v>0</v>
      </c>
      <c r="T10" s="144"/>
      <c r="U10" s="56">
        <v>0</v>
      </c>
      <c r="V10" s="144"/>
      <c r="W10" s="56">
        <v>0</v>
      </c>
      <c r="X10" s="144"/>
      <c r="Y10" s="56">
        <v>0</v>
      </c>
      <c r="Z10" s="144"/>
      <c r="AA10" s="56">
        <v>0</v>
      </c>
      <c r="AB10" s="81">
        <v>19368.008636848015</v>
      </c>
      <c r="AC10" s="106">
        <v>1</v>
      </c>
      <c r="AD10" s="104" t="s">
        <v>318</v>
      </c>
      <c r="AE10" s="119">
        <v>1</v>
      </c>
      <c r="AF10" s="47">
        <v>19368.008636848015</v>
      </c>
      <c r="AG10" s="104" t="s">
        <v>349</v>
      </c>
      <c r="AH10" s="333">
        <v>12</v>
      </c>
    </row>
    <row r="11" spans="1:34" x14ac:dyDescent="0.3">
      <c r="A11" s="412" t="s">
        <v>36</v>
      </c>
      <c r="B11" s="96" t="s">
        <v>136</v>
      </c>
      <c r="C11" s="96" t="s">
        <v>344</v>
      </c>
      <c r="D11" s="144"/>
      <c r="E11" s="56">
        <v>0</v>
      </c>
      <c r="F11" s="144"/>
      <c r="G11" s="56">
        <v>0</v>
      </c>
      <c r="H11" s="144">
        <v>8</v>
      </c>
      <c r="I11" s="56">
        <v>70240.958933331596</v>
      </c>
      <c r="J11" s="144">
        <v>8</v>
      </c>
      <c r="K11" s="56">
        <v>70240.958933331596</v>
      </c>
      <c r="L11" s="144">
        <v>8</v>
      </c>
      <c r="M11" s="56">
        <v>70240.958933331596</v>
      </c>
      <c r="N11" s="144">
        <v>8</v>
      </c>
      <c r="O11" s="56">
        <v>70240.958933331596</v>
      </c>
      <c r="P11" s="144">
        <v>8</v>
      </c>
      <c r="Q11" s="56">
        <v>70240.958933331596</v>
      </c>
      <c r="R11" s="144">
        <v>8</v>
      </c>
      <c r="S11" s="56">
        <v>70240.958933331596</v>
      </c>
      <c r="T11" s="144">
        <v>8</v>
      </c>
      <c r="U11" s="56">
        <v>70240.958933331596</v>
      </c>
      <c r="V11" s="144">
        <v>8</v>
      </c>
      <c r="W11" s="56">
        <v>70240.958933331596</v>
      </c>
      <c r="X11" s="144">
        <v>8</v>
      </c>
      <c r="Y11" s="56">
        <v>70240.958933331596</v>
      </c>
      <c r="Z11" s="144">
        <v>8</v>
      </c>
      <c r="AA11" s="56">
        <v>70240.958933331596</v>
      </c>
      <c r="AB11" s="81">
        <v>702409.58933331585</v>
      </c>
      <c r="AC11" s="106">
        <v>80</v>
      </c>
      <c r="AD11" s="104" t="s">
        <v>318</v>
      </c>
      <c r="AE11" s="119">
        <v>1</v>
      </c>
      <c r="AF11" s="47">
        <v>702409.58933331585</v>
      </c>
      <c r="AG11" s="104" t="s">
        <v>349</v>
      </c>
      <c r="AH11" s="333">
        <v>12</v>
      </c>
    </row>
    <row r="12" spans="1:34" x14ac:dyDescent="0.3">
      <c r="A12" s="412" t="s">
        <v>15</v>
      </c>
      <c r="B12" s="96" t="s">
        <v>16</v>
      </c>
      <c r="C12" s="96" t="s">
        <v>342</v>
      </c>
      <c r="D12" s="144"/>
      <c r="E12" s="56">
        <v>0</v>
      </c>
      <c r="F12" s="144"/>
      <c r="G12" s="56">
        <v>0</v>
      </c>
      <c r="H12" s="144"/>
      <c r="I12" s="56">
        <v>0</v>
      </c>
      <c r="J12" s="144"/>
      <c r="K12" s="56">
        <v>0</v>
      </c>
      <c r="L12" s="144"/>
      <c r="M12" s="56">
        <v>0</v>
      </c>
      <c r="N12" s="144"/>
      <c r="O12" s="56">
        <v>0</v>
      </c>
      <c r="P12" s="144"/>
      <c r="Q12" s="56">
        <v>0</v>
      </c>
      <c r="R12" s="144"/>
      <c r="S12" s="56">
        <v>0</v>
      </c>
      <c r="T12" s="144"/>
      <c r="U12" s="56">
        <v>0</v>
      </c>
      <c r="V12" s="144"/>
      <c r="W12" s="56">
        <v>0</v>
      </c>
      <c r="X12" s="144"/>
      <c r="Y12" s="56">
        <v>0</v>
      </c>
      <c r="Z12" s="144">
        <v>1</v>
      </c>
      <c r="AA12" s="56">
        <v>22052.520800552971</v>
      </c>
      <c r="AB12" s="81">
        <v>22052.520800552971</v>
      </c>
      <c r="AC12" s="106">
        <v>1</v>
      </c>
      <c r="AD12" s="104" t="s">
        <v>318</v>
      </c>
      <c r="AE12" s="119">
        <v>1</v>
      </c>
      <c r="AF12" s="47">
        <v>22052.520800552971</v>
      </c>
      <c r="AG12" s="104" t="s">
        <v>349</v>
      </c>
      <c r="AH12" s="333">
        <v>12</v>
      </c>
    </row>
    <row r="13" spans="1:34" x14ac:dyDescent="0.3">
      <c r="A13" s="412" t="s">
        <v>17</v>
      </c>
      <c r="B13" s="96" t="s">
        <v>18</v>
      </c>
      <c r="C13" s="96" t="s">
        <v>342</v>
      </c>
      <c r="D13" s="144"/>
      <c r="E13" s="56">
        <v>0</v>
      </c>
      <c r="F13" s="144"/>
      <c r="G13" s="56">
        <v>0</v>
      </c>
      <c r="H13" s="144"/>
      <c r="I13" s="56">
        <v>0</v>
      </c>
      <c r="J13" s="144"/>
      <c r="K13" s="56">
        <v>0</v>
      </c>
      <c r="L13" s="144"/>
      <c r="M13" s="56">
        <v>0</v>
      </c>
      <c r="N13" s="144"/>
      <c r="O13" s="56">
        <v>0</v>
      </c>
      <c r="P13" s="144"/>
      <c r="Q13" s="56">
        <v>0</v>
      </c>
      <c r="R13" s="144"/>
      <c r="S13" s="56">
        <v>0</v>
      </c>
      <c r="T13" s="144"/>
      <c r="U13" s="56">
        <v>0</v>
      </c>
      <c r="V13" s="144"/>
      <c r="W13" s="56">
        <v>0</v>
      </c>
      <c r="X13" s="144"/>
      <c r="Y13" s="56">
        <v>0</v>
      </c>
      <c r="Z13" s="144">
        <v>1</v>
      </c>
      <c r="AA13" s="56">
        <v>20414.75585737115</v>
      </c>
      <c r="AB13" s="81">
        <v>20414.75585737115</v>
      </c>
      <c r="AC13" s="106">
        <v>1</v>
      </c>
      <c r="AD13" s="104" t="s">
        <v>318</v>
      </c>
      <c r="AE13" s="119">
        <v>1</v>
      </c>
      <c r="AF13" s="47">
        <v>20414.75585737115</v>
      </c>
      <c r="AG13" s="104" t="s">
        <v>349</v>
      </c>
      <c r="AH13" s="333">
        <v>12</v>
      </c>
    </row>
    <row r="14" spans="1:34" x14ac:dyDescent="0.3">
      <c r="A14" s="412" t="s">
        <v>27</v>
      </c>
      <c r="B14" s="55" t="s">
        <v>28</v>
      </c>
      <c r="C14" s="96" t="s">
        <v>346</v>
      </c>
      <c r="D14" s="144">
        <v>1</v>
      </c>
      <c r="E14" s="56">
        <v>43480.816890660324</v>
      </c>
      <c r="F14" s="144"/>
      <c r="G14" s="56">
        <v>0</v>
      </c>
      <c r="H14" s="144"/>
      <c r="I14" s="56">
        <v>0</v>
      </c>
      <c r="J14" s="144"/>
      <c r="K14" s="56">
        <v>0</v>
      </c>
      <c r="L14" s="144"/>
      <c r="M14" s="56">
        <v>0</v>
      </c>
      <c r="N14" s="144"/>
      <c r="O14" s="56">
        <v>0</v>
      </c>
      <c r="P14" s="144"/>
      <c r="Q14" s="56">
        <v>0</v>
      </c>
      <c r="R14" s="144"/>
      <c r="S14" s="56">
        <v>0</v>
      </c>
      <c r="T14" s="144"/>
      <c r="U14" s="56">
        <v>0</v>
      </c>
      <c r="V14" s="144"/>
      <c r="W14" s="56">
        <v>0</v>
      </c>
      <c r="X14" s="144"/>
      <c r="Y14" s="56">
        <v>0</v>
      </c>
      <c r="Z14" s="144">
        <v>1</v>
      </c>
      <c r="AA14" s="56">
        <v>43480.816890660324</v>
      </c>
      <c r="AB14" s="81">
        <v>86961.633781320648</v>
      </c>
      <c r="AC14" s="106">
        <v>2</v>
      </c>
      <c r="AD14" s="104" t="s">
        <v>318</v>
      </c>
      <c r="AE14" s="119">
        <v>1</v>
      </c>
      <c r="AF14" s="47">
        <v>86961.633781320648</v>
      </c>
      <c r="AG14" s="104" t="s">
        <v>349</v>
      </c>
      <c r="AH14" s="333">
        <v>12</v>
      </c>
    </row>
    <row r="15" spans="1:34" x14ac:dyDescent="0.3">
      <c r="A15" s="412" t="s">
        <v>25</v>
      </c>
      <c r="B15" s="96" t="s">
        <v>26</v>
      </c>
      <c r="C15" s="96" t="s">
        <v>346</v>
      </c>
      <c r="D15" s="144"/>
      <c r="E15" s="56">
        <v>0</v>
      </c>
      <c r="F15" s="144"/>
      <c r="G15" s="56">
        <v>0</v>
      </c>
      <c r="H15" s="144">
        <v>1</v>
      </c>
      <c r="I15" s="56">
        <v>19392.627189167735</v>
      </c>
      <c r="J15" s="144"/>
      <c r="K15" s="56">
        <v>0</v>
      </c>
      <c r="L15" s="144"/>
      <c r="M15" s="56">
        <v>0</v>
      </c>
      <c r="N15" s="144"/>
      <c r="O15" s="56">
        <v>0</v>
      </c>
      <c r="P15" s="144"/>
      <c r="Q15" s="56">
        <v>0</v>
      </c>
      <c r="R15" s="144"/>
      <c r="S15" s="56">
        <v>0</v>
      </c>
      <c r="T15" s="144"/>
      <c r="U15" s="56">
        <v>0</v>
      </c>
      <c r="V15" s="144"/>
      <c r="W15" s="56">
        <v>0</v>
      </c>
      <c r="X15" s="144"/>
      <c r="Y15" s="56">
        <v>0</v>
      </c>
      <c r="Z15" s="144">
        <v>1</v>
      </c>
      <c r="AA15" s="56">
        <v>19392.627189167735</v>
      </c>
      <c r="AB15" s="81">
        <v>38785.25437833547</v>
      </c>
      <c r="AC15" s="106">
        <v>2</v>
      </c>
      <c r="AD15" s="104" t="s">
        <v>318</v>
      </c>
      <c r="AE15" s="119">
        <v>1</v>
      </c>
      <c r="AF15" s="47">
        <v>38785.25437833547</v>
      </c>
      <c r="AG15" s="104" t="s">
        <v>349</v>
      </c>
      <c r="AH15" s="333">
        <v>12</v>
      </c>
    </row>
    <row r="16" spans="1:34" x14ac:dyDescent="0.3">
      <c r="A16" s="412" t="s">
        <v>81</v>
      </c>
      <c r="B16" s="55" t="s">
        <v>279</v>
      </c>
      <c r="C16" s="96" t="s">
        <v>346</v>
      </c>
      <c r="D16" s="144">
        <v>1</v>
      </c>
      <c r="E16" s="56">
        <v>37683.908143651206</v>
      </c>
      <c r="F16" s="144"/>
      <c r="G16" s="56">
        <v>0</v>
      </c>
      <c r="H16" s="144"/>
      <c r="I16" s="56">
        <v>0</v>
      </c>
      <c r="J16" s="144"/>
      <c r="K16" s="56">
        <v>0</v>
      </c>
      <c r="L16" s="144"/>
      <c r="M16" s="56">
        <v>0</v>
      </c>
      <c r="N16" s="144"/>
      <c r="O16" s="56">
        <v>0</v>
      </c>
      <c r="P16" s="144"/>
      <c r="Q16" s="56">
        <v>0</v>
      </c>
      <c r="R16" s="144"/>
      <c r="S16" s="56">
        <v>0</v>
      </c>
      <c r="T16" s="144"/>
      <c r="U16" s="56">
        <v>0</v>
      </c>
      <c r="V16" s="144"/>
      <c r="W16" s="56">
        <v>0</v>
      </c>
      <c r="X16" s="144"/>
      <c r="Y16" s="56">
        <v>0</v>
      </c>
      <c r="Z16" s="144"/>
      <c r="AA16" s="56">
        <v>0</v>
      </c>
      <c r="AB16" s="81">
        <v>37683.908143651206</v>
      </c>
      <c r="AC16" s="106">
        <v>1</v>
      </c>
      <c r="AD16" s="104" t="s">
        <v>319</v>
      </c>
      <c r="AE16" s="119">
        <v>0.13116123642439431</v>
      </c>
      <c r="AF16" s="47">
        <v>4942.667985424594</v>
      </c>
      <c r="AG16" s="104" t="s">
        <v>349</v>
      </c>
      <c r="AH16" s="333">
        <v>12</v>
      </c>
    </row>
    <row r="17" spans="1:34" x14ac:dyDescent="0.3">
      <c r="A17" s="412" t="s">
        <v>82</v>
      </c>
      <c r="B17" s="55" t="s">
        <v>83</v>
      </c>
      <c r="C17" s="96" t="s">
        <v>346</v>
      </c>
      <c r="D17" s="144">
        <v>1</v>
      </c>
      <c r="E17" s="56">
        <v>65169.207262455195</v>
      </c>
      <c r="F17" s="144"/>
      <c r="G17" s="56">
        <v>0</v>
      </c>
      <c r="H17" s="144"/>
      <c r="I17" s="56">
        <v>0</v>
      </c>
      <c r="J17" s="144"/>
      <c r="K17" s="56">
        <v>0</v>
      </c>
      <c r="L17" s="144"/>
      <c r="M17" s="56">
        <v>0</v>
      </c>
      <c r="N17" s="144"/>
      <c r="O17" s="56">
        <v>0</v>
      </c>
      <c r="P17" s="144"/>
      <c r="Q17" s="56">
        <v>0</v>
      </c>
      <c r="R17" s="144"/>
      <c r="S17" s="56">
        <v>0</v>
      </c>
      <c r="T17" s="144"/>
      <c r="U17" s="56">
        <v>0</v>
      </c>
      <c r="V17" s="144"/>
      <c r="W17" s="56">
        <v>0</v>
      </c>
      <c r="X17" s="144"/>
      <c r="Y17" s="56">
        <v>0</v>
      </c>
      <c r="Z17" s="144"/>
      <c r="AA17" s="56">
        <v>0</v>
      </c>
      <c r="AB17" s="81">
        <v>65169.207262455195</v>
      </c>
      <c r="AC17" s="106">
        <v>1</v>
      </c>
      <c r="AD17" s="104" t="s">
        <v>319</v>
      </c>
      <c r="AE17" s="119">
        <v>2.0885547201336674E-2</v>
      </c>
      <c r="AF17" s="47">
        <v>1361.0945543537007</v>
      </c>
      <c r="AG17" s="104" t="s">
        <v>349</v>
      </c>
      <c r="AH17" s="333">
        <v>12</v>
      </c>
    </row>
    <row r="18" spans="1:34" x14ac:dyDescent="0.3">
      <c r="A18" s="412" t="s">
        <v>84</v>
      </c>
      <c r="B18" s="55" t="s">
        <v>85</v>
      </c>
      <c r="C18" s="96" t="s">
        <v>346</v>
      </c>
      <c r="D18" s="144">
        <v>1</v>
      </c>
      <c r="E18" s="56">
        <v>68748.387080831264</v>
      </c>
      <c r="F18" s="144"/>
      <c r="G18" s="56">
        <v>0</v>
      </c>
      <c r="H18" s="144"/>
      <c r="I18" s="56">
        <v>0</v>
      </c>
      <c r="J18" s="144"/>
      <c r="K18" s="56">
        <v>0</v>
      </c>
      <c r="L18" s="144"/>
      <c r="M18" s="56">
        <v>0</v>
      </c>
      <c r="N18" s="144"/>
      <c r="O18" s="56">
        <v>0</v>
      </c>
      <c r="P18" s="144"/>
      <c r="Q18" s="56">
        <v>0</v>
      </c>
      <c r="R18" s="144"/>
      <c r="S18" s="56">
        <v>0</v>
      </c>
      <c r="T18" s="144"/>
      <c r="U18" s="56">
        <v>0</v>
      </c>
      <c r="V18" s="144"/>
      <c r="W18" s="56">
        <v>0</v>
      </c>
      <c r="X18" s="144"/>
      <c r="Y18" s="56">
        <v>0</v>
      </c>
      <c r="Z18" s="144"/>
      <c r="AA18" s="56">
        <v>0</v>
      </c>
      <c r="AB18" s="81">
        <v>68748.387080831264</v>
      </c>
      <c r="AC18" s="106">
        <v>1</v>
      </c>
      <c r="AD18" s="104" t="s">
        <v>319</v>
      </c>
      <c r="AE18" s="119">
        <v>1.5037593984962405E-2</v>
      </c>
      <c r="AF18" s="47">
        <v>1033.8103320425753</v>
      </c>
      <c r="AG18" s="104" t="s">
        <v>349</v>
      </c>
      <c r="AH18" s="333">
        <v>12</v>
      </c>
    </row>
    <row r="19" spans="1:34" x14ac:dyDescent="0.3">
      <c r="A19" s="412" t="s">
        <v>86</v>
      </c>
      <c r="B19" s="96" t="s">
        <v>225</v>
      </c>
      <c r="C19" s="96" t="s">
        <v>342</v>
      </c>
      <c r="D19" s="144">
        <v>1</v>
      </c>
      <c r="E19" s="56">
        <v>85060.59895480916</v>
      </c>
      <c r="F19" s="144"/>
      <c r="G19" s="56">
        <v>0</v>
      </c>
      <c r="H19" s="144"/>
      <c r="I19" s="56">
        <v>0</v>
      </c>
      <c r="J19" s="144"/>
      <c r="K19" s="56">
        <v>0</v>
      </c>
      <c r="L19" s="144"/>
      <c r="M19" s="56">
        <v>0</v>
      </c>
      <c r="N19" s="144"/>
      <c r="O19" s="56">
        <v>0</v>
      </c>
      <c r="P19" s="144"/>
      <c r="Q19" s="56">
        <v>0</v>
      </c>
      <c r="R19" s="144"/>
      <c r="S19" s="56">
        <v>0</v>
      </c>
      <c r="T19" s="144"/>
      <c r="U19" s="56">
        <v>0</v>
      </c>
      <c r="V19" s="144"/>
      <c r="W19" s="56">
        <v>0</v>
      </c>
      <c r="X19" s="144"/>
      <c r="Y19" s="56">
        <v>0</v>
      </c>
      <c r="Z19" s="144"/>
      <c r="AA19" s="56">
        <v>0</v>
      </c>
      <c r="AB19" s="81">
        <v>85060.59895480916</v>
      </c>
      <c r="AC19" s="106">
        <v>1</v>
      </c>
      <c r="AD19" s="104" t="s">
        <v>319</v>
      </c>
      <c r="AE19" s="119">
        <v>0.29741019214703424</v>
      </c>
      <c r="AF19" s="47">
        <v>25297.889079291614</v>
      </c>
      <c r="AG19" s="104" t="s">
        <v>349</v>
      </c>
      <c r="AH19" s="333">
        <v>12</v>
      </c>
    </row>
    <row r="20" spans="1:34" x14ac:dyDescent="0.3">
      <c r="A20" s="412" t="s">
        <v>88</v>
      </c>
      <c r="B20" s="222" t="s">
        <v>89</v>
      </c>
      <c r="C20" s="96" t="s">
        <v>346</v>
      </c>
      <c r="D20" s="144">
        <v>1</v>
      </c>
      <c r="E20" s="56">
        <v>76461.626557187497</v>
      </c>
      <c r="F20" s="144"/>
      <c r="G20" s="56">
        <v>0</v>
      </c>
      <c r="H20" s="144"/>
      <c r="I20" s="56">
        <v>0</v>
      </c>
      <c r="J20" s="144"/>
      <c r="K20" s="56">
        <v>0</v>
      </c>
      <c r="L20" s="144"/>
      <c r="M20" s="56">
        <v>0</v>
      </c>
      <c r="N20" s="144"/>
      <c r="O20" s="56">
        <v>0</v>
      </c>
      <c r="P20" s="144"/>
      <c r="Q20" s="56">
        <v>0</v>
      </c>
      <c r="R20" s="144"/>
      <c r="S20" s="56">
        <v>0</v>
      </c>
      <c r="T20" s="144"/>
      <c r="U20" s="56">
        <v>0</v>
      </c>
      <c r="V20" s="144"/>
      <c r="W20" s="56">
        <v>0</v>
      </c>
      <c r="X20" s="144"/>
      <c r="Y20" s="56">
        <v>0</v>
      </c>
      <c r="Z20" s="144"/>
      <c r="AA20" s="56">
        <v>0</v>
      </c>
      <c r="AB20" s="81">
        <v>76461.626557187497</v>
      </c>
      <c r="AC20" s="106">
        <v>1</v>
      </c>
      <c r="AD20" s="104" t="s">
        <v>318</v>
      </c>
      <c r="AE20" s="119">
        <v>1</v>
      </c>
      <c r="AF20" s="47">
        <v>76461.626557187497</v>
      </c>
      <c r="AG20" s="104" t="s">
        <v>349</v>
      </c>
      <c r="AH20" s="333">
        <v>12</v>
      </c>
    </row>
    <row r="21" spans="1:34" x14ac:dyDescent="0.3">
      <c r="A21" s="412" t="s">
        <v>46</v>
      </c>
      <c r="B21" s="96" t="s">
        <v>47</v>
      </c>
      <c r="C21" s="96" t="s">
        <v>342</v>
      </c>
      <c r="D21" s="144">
        <v>1</v>
      </c>
      <c r="E21" s="56">
        <v>83398.098568534639</v>
      </c>
      <c r="F21" s="144"/>
      <c r="G21" s="56">
        <v>0</v>
      </c>
      <c r="H21" s="144"/>
      <c r="I21" s="56">
        <v>0</v>
      </c>
      <c r="J21" s="144"/>
      <c r="K21" s="56">
        <v>0</v>
      </c>
      <c r="L21" s="144"/>
      <c r="M21" s="56">
        <v>0</v>
      </c>
      <c r="N21" s="144"/>
      <c r="O21" s="56">
        <v>0</v>
      </c>
      <c r="P21" s="144"/>
      <c r="Q21" s="56">
        <v>0</v>
      </c>
      <c r="R21" s="144"/>
      <c r="S21" s="56">
        <v>0</v>
      </c>
      <c r="T21" s="144"/>
      <c r="U21" s="56">
        <v>0</v>
      </c>
      <c r="V21" s="144"/>
      <c r="W21" s="56">
        <v>0</v>
      </c>
      <c r="X21" s="144"/>
      <c r="Y21" s="56">
        <v>0</v>
      </c>
      <c r="Z21" s="144"/>
      <c r="AA21" s="56">
        <v>0</v>
      </c>
      <c r="AB21" s="81">
        <v>83398.098568534639</v>
      </c>
      <c r="AC21" s="106">
        <v>1</v>
      </c>
      <c r="AD21" s="104" t="s">
        <v>319</v>
      </c>
      <c r="AE21" s="119">
        <v>2.1720969089390141E-2</v>
      </c>
      <c r="AF21" s="47">
        <v>1811.4875211210531</v>
      </c>
      <c r="AG21" s="104" t="s">
        <v>349</v>
      </c>
      <c r="AH21" s="333">
        <v>12</v>
      </c>
    </row>
    <row r="22" spans="1:34" x14ac:dyDescent="0.3">
      <c r="A22" s="412" t="s">
        <v>48</v>
      </c>
      <c r="B22" s="96" t="s">
        <v>222</v>
      </c>
      <c r="C22" s="96" t="s">
        <v>342</v>
      </c>
      <c r="D22" s="144"/>
      <c r="E22" s="56">
        <v>0</v>
      </c>
      <c r="F22" s="144"/>
      <c r="G22" s="56">
        <v>0</v>
      </c>
      <c r="H22" s="144"/>
      <c r="I22" s="56">
        <v>0</v>
      </c>
      <c r="J22" s="144"/>
      <c r="K22" s="56">
        <v>0</v>
      </c>
      <c r="L22" s="144"/>
      <c r="M22" s="56">
        <v>0</v>
      </c>
      <c r="N22" s="144"/>
      <c r="O22" s="56">
        <v>0</v>
      </c>
      <c r="P22" s="144"/>
      <c r="Q22" s="56">
        <v>0</v>
      </c>
      <c r="R22" s="144"/>
      <c r="S22" s="56">
        <v>0</v>
      </c>
      <c r="T22" s="144"/>
      <c r="U22" s="56">
        <v>0</v>
      </c>
      <c r="V22" s="144"/>
      <c r="W22" s="56">
        <v>0</v>
      </c>
      <c r="X22" s="144"/>
      <c r="Y22" s="56">
        <v>0</v>
      </c>
      <c r="Z22" s="144">
        <v>1</v>
      </c>
      <c r="AA22" s="56">
        <v>77398.098568534639</v>
      </c>
      <c r="AB22" s="81">
        <v>77398.098568534639</v>
      </c>
      <c r="AC22" s="106">
        <v>1</v>
      </c>
      <c r="AD22" s="104" t="s">
        <v>319</v>
      </c>
      <c r="AE22" s="119">
        <v>0.71345029239766078</v>
      </c>
      <c r="AF22" s="47">
        <v>55219.69605474401</v>
      </c>
      <c r="AG22" s="104" t="s">
        <v>349</v>
      </c>
      <c r="AH22" s="333">
        <v>12</v>
      </c>
    </row>
    <row r="23" spans="1:34" x14ac:dyDescent="0.3">
      <c r="A23" s="412" t="s">
        <v>21</v>
      </c>
      <c r="B23" s="96" t="s">
        <v>221</v>
      </c>
      <c r="C23" s="96" t="s">
        <v>342</v>
      </c>
      <c r="D23" s="144"/>
      <c r="E23" s="56">
        <v>0</v>
      </c>
      <c r="F23" s="144"/>
      <c r="G23" s="56">
        <v>0</v>
      </c>
      <c r="H23" s="144"/>
      <c r="I23" s="56">
        <v>0</v>
      </c>
      <c r="J23" s="144"/>
      <c r="K23" s="56">
        <v>0</v>
      </c>
      <c r="L23" s="144"/>
      <c r="M23" s="56">
        <v>0</v>
      </c>
      <c r="N23" s="144">
        <v>1</v>
      </c>
      <c r="O23" s="56">
        <v>67398.098568534639</v>
      </c>
      <c r="P23" s="144"/>
      <c r="Q23" s="56">
        <v>0</v>
      </c>
      <c r="R23" s="144"/>
      <c r="S23" s="56">
        <v>0</v>
      </c>
      <c r="T23" s="144"/>
      <c r="U23" s="56">
        <v>0</v>
      </c>
      <c r="V23" s="144"/>
      <c r="W23" s="56">
        <v>0</v>
      </c>
      <c r="X23" s="144"/>
      <c r="Y23" s="56">
        <v>0</v>
      </c>
      <c r="Z23" s="144">
        <v>1</v>
      </c>
      <c r="AA23" s="56">
        <v>67398.098568534639</v>
      </c>
      <c r="AB23" s="81">
        <v>134796.19713706928</v>
      </c>
      <c r="AC23" s="106">
        <v>2</v>
      </c>
      <c r="AD23" s="104" t="s">
        <v>318</v>
      </c>
      <c r="AE23" s="119">
        <v>1</v>
      </c>
      <c r="AF23" s="47">
        <v>134796.19713706928</v>
      </c>
      <c r="AG23" s="104" t="s">
        <v>349</v>
      </c>
      <c r="AH23" s="333">
        <v>12</v>
      </c>
    </row>
    <row r="24" spans="1:34" x14ac:dyDescent="0.3">
      <c r="A24" s="412" t="s">
        <v>19</v>
      </c>
      <c r="B24" s="96" t="s">
        <v>20</v>
      </c>
      <c r="C24" s="96" t="s">
        <v>342</v>
      </c>
      <c r="D24" s="144">
        <v>1</v>
      </c>
      <c r="E24" s="56">
        <v>67398.098568534639</v>
      </c>
      <c r="F24" s="144"/>
      <c r="G24" s="56">
        <v>0</v>
      </c>
      <c r="H24" s="144"/>
      <c r="I24" s="56">
        <v>0</v>
      </c>
      <c r="J24" s="144"/>
      <c r="K24" s="56">
        <v>0</v>
      </c>
      <c r="L24" s="144"/>
      <c r="M24" s="56">
        <v>0</v>
      </c>
      <c r="N24" s="144"/>
      <c r="O24" s="56">
        <v>0</v>
      </c>
      <c r="P24" s="144"/>
      <c r="Q24" s="56">
        <v>0</v>
      </c>
      <c r="R24" s="144"/>
      <c r="S24" s="56">
        <v>0</v>
      </c>
      <c r="T24" s="144"/>
      <c r="U24" s="56">
        <v>0</v>
      </c>
      <c r="V24" s="144"/>
      <c r="W24" s="56">
        <v>0</v>
      </c>
      <c r="X24" s="144"/>
      <c r="Y24" s="56">
        <v>0</v>
      </c>
      <c r="Z24" s="144"/>
      <c r="AA24" s="56">
        <v>0</v>
      </c>
      <c r="AB24" s="81">
        <v>67398.098568534639</v>
      </c>
      <c r="AC24" s="106">
        <v>1</v>
      </c>
      <c r="AD24" s="104" t="s">
        <v>318</v>
      </c>
      <c r="AE24" s="119">
        <v>1</v>
      </c>
      <c r="AF24" s="47">
        <v>67398.098568534639</v>
      </c>
      <c r="AG24" s="104" t="s">
        <v>349</v>
      </c>
      <c r="AH24" s="333">
        <v>12</v>
      </c>
    </row>
    <row r="25" spans="1:34" x14ac:dyDescent="0.3">
      <c r="A25" s="412" t="s">
        <v>1</v>
      </c>
      <c r="B25" s="96" t="s">
        <v>2</v>
      </c>
      <c r="C25" s="96" t="s">
        <v>342</v>
      </c>
      <c r="D25" s="144"/>
      <c r="E25" s="56">
        <v>0</v>
      </c>
      <c r="F25" s="144"/>
      <c r="G25" s="56">
        <v>0</v>
      </c>
      <c r="H25" s="144"/>
      <c r="I25" s="56">
        <v>0</v>
      </c>
      <c r="J25" s="144"/>
      <c r="K25" s="56">
        <v>0</v>
      </c>
      <c r="L25" s="144"/>
      <c r="M25" s="56">
        <v>0</v>
      </c>
      <c r="N25" s="144"/>
      <c r="O25" s="56">
        <v>0</v>
      </c>
      <c r="P25" s="144"/>
      <c r="Q25" s="56">
        <v>0</v>
      </c>
      <c r="R25" s="144"/>
      <c r="S25" s="56">
        <v>0</v>
      </c>
      <c r="T25" s="144"/>
      <c r="U25" s="56">
        <v>0</v>
      </c>
      <c r="V25" s="144"/>
      <c r="W25" s="56">
        <v>0</v>
      </c>
      <c r="X25" s="144"/>
      <c r="Y25" s="56">
        <v>0</v>
      </c>
      <c r="Z25" s="144">
        <v>1</v>
      </c>
      <c r="AA25" s="56">
        <v>21014.39667403782</v>
      </c>
      <c r="AB25" s="81">
        <v>21014.39667403782</v>
      </c>
      <c r="AC25" s="106">
        <v>1</v>
      </c>
      <c r="AD25" s="104" t="s">
        <v>318</v>
      </c>
      <c r="AE25" s="119">
        <v>0.72598162071846284</v>
      </c>
      <c r="AF25" s="47">
        <v>15256.065755838652</v>
      </c>
      <c r="AG25" s="104" t="s">
        <v>349</v>
      </c>
      <c r="AH25" s="333">
        <v>12</v>
      </c>
    </row>
    <row r="26" spans="1:34" x14ac:dyDescent="0.3">
      <c r="A26" s="412" t="s">
        <v>44</v>
      </c>
      <c r="B26" s="96" t="s">
        <v>229</v>
      </c>
      <c r="C26" s="96" t="s">
        <v>344</v>
      </c>
      <c r="D26" s="144">
        <v>1</v>
      </c>
      <c r="E26" s="56">
        <v>31714.220952863223</v>
      </c>
      <c r="F26" s="144"/>
      <c r="G26" s="56">
        <v>0</v>
      </c>
      <c r="H26" s="144"/>
      <c r="I26" s="56">
        <v>0</v>
      </c>
      <c r="J26" s="144"/>
      <c r="K26" s="56">
        <v>0</v>
      </c>
      <c r="L26" s="144"/>
      <c r="M26" s="56">
        <v>0</v>
      </c>
      <c r="N26" s="144"/>
      <c r="O26" s="56">
        <v>0</v>
      </c>
      <c r="P26" s="144"/>
      <c r="Q26" s="56">
        <v>0</v>
      </c>
      <c r="R26" s="144"/>
      <c r="S26" s="56">
        <v>0</v>
      </c>
      <c r="T26" s="144"/>
      <c r="U26" s="56">
        <v>0</v>
      </c>
      <c r="V26" s="144"/>
      <c r="W26" s="56">
        <v>0</v>
      </c>
      <c r="X26" s="144"/>
      <c r="Y26" s="56">
        <v>0</v>
      </c>
      <c r="Z26" s="144"/>
      <c r="AA26" s="56">
        <v>0</v>
      </c>
      <c r="AB26" s="81">
        <v>31714.220952863223</v>
      </c>
      <c r="AC26" s="106">
        <v>1</v>
      </c>
      <c r="AD26" s="104" t="s">
        <v>319</v>
      </c>
      <c r="AE26" s="119">
        <v>0.11445279866332497</v>
      </c>
      <c r="AF26" s="47">
        <v>3629.7813454822567</v>
      </c>
      <c r="AG26" s="104" t="s">
        <v>349</v>
      </c>
      <c r="AH26" s="333">
        <v>12</v>
      </c>
    </row>
    <row r="27" spans="1:34" x14ac:dyDescent="0.3">
      <c r="A27" s="412" t="s">
        <v>42</v>
      </c>
      <c r="B27" s="96" t="s">
        <v>228</v>
      </c>
      <c r="C27" s="96" t="s">
        <v>344</v>
      </c>
      <c r="D27" s="144">
        <v>1</v>
      </c>
      <c r="E27" s="56">
        <v>31714.220952863223</v>
      </c>
      <c r="F27" s="144"/>
      <c r="G27" s="56">
        <v>0</v>
      </c>
      <c r="H27" s="144"/>
      <c r="I27" s="56">
        <v>0</v>
      </c>
      <c r="J27" s="144"/>
      <c r="K27" s="56">
        <v>0</v>
      </c>
      <c r="L27" s="144"/>
      <c r="M27" s="56">
        <v>0</v>
      </c>
      <c r="N27" s="144"/>
      <c r="O27" s="56">
        <v>0</v>
      </c>
      <c r="P27" s="144"/>
      <c r="Q27" s="56">
        <v>0</v>
      </c>
      <c r="R27" s="144"/>
      <c r="S27" s="56">
        <v>0</v>
      </c>
      <c r="T27" s="144"/>
      <c r="U27" s="56">
        <v>0</v>
      </c>
      <c r="V27" s="144"/>
      <c r="W27" s="56">
        <v>0</v>
      </c>
      <c r="X27" s="144"/>
      <c r="Y27" s="56">
        <v>0</v>
      </c>
      <c r="Z27" s="144"/>
      <c r="AA27" s="56">
        <v>0</v>
      </c>
      <c r="AB27" s="81">
        <v>31714.220952863223</v>
      </c>
      <c r="AC27" s="106">
        <v>1</v>
      </c>
      <c r="AD27" s="104" t="s">
        <v>319</v>
      </c>
      <c r="AE27" s="119">
        <v>5.5973266499582286E-2</v>
      </c>
      <c r="AF27" s="47">
        <v>1775.1485412212496</v>
      </c>
      <c r="AG27" s="104" t="s">
        <v>349</v>
      </c>
      <c r="AH27" s="333">
        <v>12</v>
      </c>
    </row>
    <row r="28" spans="1:34" x14ac:dyDescent="0.3">
      <c r="A28" s="412" t="s">
        <v>50</v>
      </c>
      <c r="B28" s="55" t="s">
        <v>142</v>
      </c>
      <c r="C28" s="96" t="s">
        <v>346</v>
      </c>
      <c r="D28" s="144">
        <v>1</v>
      </c>
      <c r="E28" s="56">
        <v>67391.281653480837</v>
      </c>
      <c r="F28" s="144"/>
      <c r="G28" s="56">
        <v>0</v>
      </c>
      <c r="H28" s="144"/>
      <c r="I28" s="56">
        <v>0</v>
      </c>
      <c r="J28" s="144"/>
      <c r="K28" s="56">
        <v>0</v>
      </c>
      <c r="L28" s="144"/>
      <c r="M28" s="56">
        <v>0</v>
      </c>
      <c r="N28" s="144"/>
      <c r="O28" s="56">
        <v>0</v>
      </c>
      <c r="P28" s="144"/>
      <c r="Q28" s="56">
        <v>0</v>
      </c>
      <c r="R28" s="144"/>
      <c r="S28" s="56">
        <v>0</v>
      </c>
      <c r="T28" s="144"/>
      <c r="U28" s="56">
        <v>0</v>
      </c>
      <c r="V28" s="144"/>
      <c r="W28" s="56">
        <v>0</v>
      </c>
      <c r="X28" s="144"/>
      <c r="Y28" s="56">
        <v>0</v>
      </c>
      <c r="Z28" s="144"/>
      <c r="AA28" s="56">
        <v>0</v>
      </c>
      <c r="AB28" s="81">
        <v>67391.281653480837</v>
      </c>
      <c r="AC28" s="106">
        <v>1</v>
      </c>
      <c r="AD28" s="104" t="s">
        <v>319</v>
      </c>
      <c r="AE28" s="119">
        <v>5.5973266499582286E-2</v>
      </c>
      <c r="AF28" s="47">
        <v>3772.1101677386932</v>
      </c>
      <c r="AG28" s="104" t="s">
        <v>349</v>
      </c>
      <c r="AH28" s="333">
        <v>12</v>
      </c>
    </row>
    <row r="29" spans="1:34" x14ac:dyDescent="0.3">
      <c r="A29" s="412" t="s">
        <v>54</v>
      </c>
      <c r="B29" s="96" t="s">
        <v>227</v>
      </c>
      <c r="C29" s="96" t="s">
        <v>343</v>
      </c>
      <c r="D29" s="144"/>
      <c r="E29" s="56">
        <v>0</v>
      </c>
      <c r="F29" s="144"/>
      <c r="G29" s="56">
        <v>0</v>
      </c>
      <c r="H29" s="144"/>
      <c r="I29" s="56">
        <v>0</v>
      </c>
      <c r="J29" s="144"/>
      <c r="K29" s="56">
        <v>0</v>
      </c>
      <c r="L29" s="144"/>
      <c r="M29" s="56">
        <v>0</v>
      </c>
      <c r="N29" s="144">
        <v>1</v>
      </c>
      <c r="O29" s="56">
        <v>145259.19237771924</v>
      </c>
      <c r="P29" s="144"/>
      <c r="Q29" s="56">
        <v>0</v>
      </c>
      <c r="R29" s="144"/>
      <c r="S29" s="56">
        <v>0</v>
      </c>
      <c r="T29" s="144"/>
      <c r="U29" s="56">
        <v>0</v>
      </c>
      <c r="V29" s="144"/>
      <c r="W29" s="56">
        <v>0</v>
      </c>
      <c r="X29" s="144"/>
      <c r="Y29" s="56">
        <v>0</v>
      </c>
      <c r="Z29" s="144"/>
      <c r="AA29" s="56">
        <v>0</v>
      </c>
      <c r="AB29" s="81">
        <v>145259.19237771924</v>
      </c>
      <c r="AC29" s="106">
        <v>1</v>
      </c>
      <c r="AD29" s="104" t="s">
        <v>319</v>
      </c>
      <c r="AE29" s="119">
        <v>3.5087719298245612E-2</v>
      </c>
      <c r="AF29" s="47">
        <v>5096.8137676392716</v>
      </c>
      <c r="AG29" s="104" t="s">
        <v>349</v>
      </c>
      <c r="AH29" s="333">
        <v>12</v>
      </c>
    </row>
    <row r="30" spans="1:34" x14ac:dyDescent="0.3">
      <c r="A30" s="412" t="s">
        <v>38</v>
      </c>
      <c r="B30" s="96" t="s">
        <v>137</v>
      </c>
      <c r="C30" s="96" t="s">
        <v>342</v>
      </c>
      <c r="D30" s="144"/>
      <c r="E30" s="56">
        <v>0</v>
      </c>
      <c r="F30" s="144"/>
      <c r="G30" s="56">
        <v>0</v>
      </c>
      <c r="H30" s="144"/>
      <c r="I30" s="56">
        <v>0</v>
      </c>
      <c r="J30" s="144"/>
      <c r="K30" s="56">
        <v>0</v>
      </c>
      <c r="L30" s="144"/>
      <c r="M30" s="56">
        <v>0</v>
      </c>
      <c r="N30" s="144"/>
      <c r="O30" s="56">
        <v>0</v>
      </c>
      <c r="P30" s="144">
        <v>1</v>
      </c>
      <c r="Q30" s="56">
        <v>56420.692787682223</v>
      </c>
      <c r="R30" s="144"/>
      <c r="S30" s="56">
        <v>0</v>
      </c>
      <c r="T30" s="144"/>
      <c r="U30" s="56">
        <v>0</v>
      </c>
      <c r="V30" s="144"/>
      <c r="W30" s="56">
        <v>0</v>
      </c>
      <c r="X30" s="144"/>
      <c r="Y30" s="56">
        <v>0</v>
      </c>
      <c r="Z30" s="144"/>
      <c r="AA30" s="56">
        <v>0</v>
      </c>
      <c r="AB30" s="81">
        <v>56420.692787682223</v>
      </c>
      <c r="AC30" s="106">
        <v>1</v>
      </c>
      <c r="AD30" s="104" t="s">
        <v>319</v>
      </c>
      <c r="AE30" s="119">
        <v>0.46031746031746029</v>
      </c>
      <c r="AF30" s="47">
        <v>25971.430013377529</v>
      </c>
      <c r="AG30" s="104" t="s">
        <v>349</v>
      </c>
      <c r="AH30" s="333">
        <v>12</v>
      </c>
    </row>
    <row r="31" spans="1:34" x14ac:dyDescent="0.3">
      <c r="A31" s="412" t="s">
        <v>34</v>
      </c>
      <c r="B31" s="96" t="s">
        <v>35</v>
      </c>
      <c r="C31" s="96" t="s">
        <v>342</v>
      </c>
      <c r="D31" s="144">
        <v>1</v>
      </c>
      <c r="E31" s="56">
        <v>24009.730401318589</v>
      </c>
      <c r="F31" s="144"/>
      <c r="G31" s="56">
        <v>0</v>
      </c>
      <c r="H31" s="144"/>
      <c r="I31" s="56">
        <v>0</v>
      </c>
      <c r="J31" s="144"/>
      <c r="K31" s="56">
        <v>0</v>
      </c>
      <c r="L31" s="144"/>
      <c r="M31" s="56">
        <v>0</v>
      </c>
      <c r="N31" s="144"/>
      <c r="O31" s="56">
        <v>0</v>
      </c>
      <c r="P31" s="144"/>
      <c r="Q31" s="56">
        <v>0</v>
      </c>
      <c r="R31" s="144"/>
      <c r="S31" s="56">
        <v>0</v>
      </c>
      <c r="T31" s="144"/>
      <c r="U31" s="56">
        <v>0</v>
      </c>
      <c r="V31" s="144"/>
      <c r="W31" s="56">
        <v>0</v>
      </c>
      <c r="X31" s="144"/>
      <c r="Y31" s="56">
        <v>0</v>
      </c>
      <c r="Z31" s="144"/>
      <c r="AA31" s="56">
        <v>0</v>
      </c>
      <c r="AB31" s="81">
        <v>24009.730401318589</v>
      </c>
      <c r="AC31" s="106">
        <v>1</v>
      </c>
      <c r="AD31" s="104" t="s">
        <v>319</v>
      </c>
      <c r="AE31" s="119">
        <v>2.5062656641604009E-3</v>
      </c>
      <c r="AF31" s="47">
        <v>60.174762910572902</v>
      </c>
      <c r="AG31" s="104" t="s">
        <v>349</v>
      </c>
      <c r="AH31" s="333">
        <v>12</v>
      </c>
    </row>
    <row r="32" spans="1:34" x14ac:dyDescent="0.3">
      <c r="A32" s="412" t="s">
        <v>113</v>
      </c>
      <c r="B32" s="96" t="s">
        <v>139</v>
      </c>
      <c r="C32" s="96" t="s">
        <v>342</v>
      </c>
      <c r="D32" s="144">
        <v>1</v>
      </c>
      <c r="E32" s="56">
        <v>60236.092716419647</v>
      </c>
      <c r="F32" s="144"/>
      <c r="G32" s="56">
        <v>0</v>
      </c>
      <c r="H32" s="144"/>
      <c r="I32" s="56">
        <v>0</v>
      </c>
      <c r="J32" s="144"/>
      <c r="K32" s="56">
        <v>0</v>
      </c>
      <c r="L32" s="144"/>
      <c r="M32" s="56">
        <v>0</v>
      </c>
      <c r="N32" s="144"/>
      <c r="O32" s="56">
        <v>0</v>
      </c>
      <c r="P32" s="144"/>
      <c r="Q32" s="56">
        <v>0</v>
      </c>
      <c r="R32" s="144"/>
      <c r="S32" s="56">
        <v>0</v>
      </c>
      <c r="T32" s="144"/>
      <c r="U32" s="56">
        <v>0</v>
      </c>
      <c r="V32" s="144"/>
      <c r="W32" s="56">
        <v>0</v>
      </c>
      <c r="X32" s="144"/>
      <c r="Y32" s="56">
        <v>0</v>
      </c>
      <c r="Z32" s="144"/>
      <c r="AA32" s="56">
        <v>0</v>
      </c>
      <c r="AB32" s="81">
        <v>60236.092716419647</v>
      </c>
      <c r="AC32" s="106">
        <v>1</v>
      </c>
      <c r="AD32" s="104" t="s">
        <v>319</v>
      </c>
      <c r="AE32" s="119">
        <v>2.5062656641604009E-2</v>
      </c>
      <c r="AF32" s="47">
        <v>1509.6765091834498</v>
      </c>
      <c r="AG32" s="104" t="s">
        <v>349</v>
      </c>
      <c r="AH32" s="333">
        <v>12</v>
      </c>
    </row>
    <row r="33" spans="1:34" x14ac:dyDescent="0.3">
      <c r="A33" s="412" t="s">
        <v>114</v>
      </c>
      <c r="B33" s="96" t="s">
        <v>140</v>
      </c>
      <c r="C33" s="96" t="s">
        <v>342</v>
      </c>
      <c r="D33" s="144"/>
      <c r="E33" s="56">
        <v>0</v>
      </c>
      <c r="F33" s="144"/>
      <c r="G33" s="56">
        <v>0</v>
      </c>
      <c r="H33" s="144"/>
      <c r="I33" s="56">
        <v>0</v>
      </c>
      <c r="J33" s="144"/>
      <c r="K33" s="56">
        <v>0</v>
      </c>
      <c r="L33" s="144"/>
      <c r="M33" s="56">
        <v>0</v>
      </c>
      <c r="N33" s="144"/>
      <c r="O33" s="56">
        <v>0</v>
      </c>
      <c r="P33" s="144">
        <v>1</v>
      </c>
      <c r="Q33" s="56">
        <v>62748.232282880919</v>
      </c>
      <c r="R33" s="144"/>
      <c r="S33" s="56">
        <v>0</v>
      </c>
      <c r="T33" s="144"/>
      <c r="U33" s="56">
        <v>0</v>
      </c>
      <c r="V33" s="144"/>
      <c r="W33" s="56">
        <v>0</v>
      </c>
      <c r="X33" s="144"/>
      <c r="Y33" s="56">
        <v>0</v>
      </c>
      <c r="Z33" s="144"/>
      <c r="AA33" s="56">
        <v>0</v>
      </c>
      <c r="AB33" s="81">
        <v>62748.232282880919</v>
      </c>
      <c r="AC33" s="106">
        <v>1</v>
      </c>
      <c r="AD33" s="104" t="s">
        <v>319</v>
      </c>
      <c r="AE33" s="119">
        <v>8.3542188805346695E-3</v>
      </c>
      <c r="AF33" s="47">
        <v>524.21246685781887</v>
      </c>
      <c r="AG33" s="104" t="s">
        <v>349</v>
      </c>
      <c r="AH33" s="333">
        <v>12</v>
      </c>
    </row>
    <row r="34" spans="1:34" x14ac:dyDescent="0.3">
      <c r="A34" s="412" t="s">
        <v>115</v>
      </c>
      <c r="B34" s="96" t="s">
        <v>141</v>
      </c>
      <c r="C34" s="96" t="s">
        <v>342</v>
      </c>
      <c r="D34" s="144"/>
      <c r="E34" s="56">
        <v>0</v>
      </c>
      <c r="F34" s="144"/>
      <c r="G34" s="56">
        <v>0</v>
      </c>
      <c r="H34" s="144"/>
      <c r="I34" s="56">
        <v>0</v>
      </c>
      <c r="J34" s="144"/>
      <c r="K34" s="56">
        <v>0</v>
      </c>
      <c r="L34" s="144"/>
      <c r="M34" s="56">
        <v>0</v>
      </c>
      <c r="N34" s="144"/>
      <c r="O34" s="56">
        <v>0</v>
      </c>
      <c r="P34" s="144"/>
      <c r="Q34" s="56">
        <v>0</v>
      </c>
      <c r="R34" s="144"/>
      <c r="S34" s="56">
        <v>0</v>
      </c>
      <c r="T34" s="144"/>
      <c r="U34" s="56">
        <v>0</v>
      </c>
      <c r="V34" s="144"/>
      <c r="W34" s="56">
        <v>0</v>
      </c>
      <c r="X34" s="144"/>
      <c r="Y34" s="56">
        <v>0</v>
      </c>
      <c r="Z34" s="144">
        <v>1</v>
      </c>
      <c r="AA34" s="56">
        <v>62748.232282880919</v>
      </c>
      <c r="AB34" s="81">
        <v>62748.232282880919</v>
      </c>
      <c r="AC34" s="106">
        <v>1</v>
      </c>
      <c r="AD34" s="104" t="s">
        <v>319</v>
      </c>
      <c r="AE34" s="119">
        <v>0</v>
      </c>
      <c r="AF34" s="47">
        <v>0</v>
      </c>
      <c r="AG34" s="104" t="s">
        <v>349</v>
      </c>
      <c r="AH34" s="333">
        <v>12</v>
      </c>
    </row>
    <row r="35" spans="1:34" x14ac:dyDescent="0.3">
      <c r="A35" s="412" t="s">
        <v>29</v>
      </c>
      <c r="B35" s="96" t="s">
        <v>196</v>
      </c>
      <c r="C35" s="96" t="s">
        <v>344</v>
      </c>
      <c r="D35" s="144"/>
      <c r="E35" s="56">
        <v>0</v>
      </c>
      <c r="F35" s="144"/>
      <c r="G35" s="56">
        <v>0</v>
      </c>
      <c r="H35" s="144"/>
      <c r="I35" s="56">
        <v>0</v>
      </c>
      <c r="J35" s="144"/>
      <c r="K35" s="56">
        <v>0</v>
      </c>
      <c r="L35" s="144"/>
      <c r="M35" s="56">
        <v>0</v>
      </c>
      <c r="N35" s="144"/>
      <c r="O35" s="56">
        <v>0</v>
      </c>
      <c r="P35" s="144"/>
      <c r="Q35" s="56">
        <v>0</v>
      </c>
      <c r="R35" s="144"/>
      <c r="S35" s="56">
        <v>0</v>
      </c>
      <c r="T35" s="144"/>
      <c r="U35" s="56">
        <v>0</v>
      </c>
      <c r="V35" s="144"/>
      <c r="W35" s="56">
        <v>0</v>
      </c>
      <c r="X35" s="144"/>
      <c r="Y35" s="56">
        <v>0</v>
      </c>
      <c r="Z35" s="144">
        <v>1</v>
      </c>
      <c r="AA35" s="56">
        <v>31881.451880098426</v>
      </c>
      <c r="AB35" s="81">
        <v>31881.451880098426</v>
      </c>
      <c r="AC35" s="106">
        <v>1</v>
      </c>
      <c r="AD35" s="104" t="s">
        <v>318</v>
      </c>
      <c r="AE35" s="119">
        <v>1</v>
      </c>
      <c r="AF35" s="47">
        <v>31881.451880098426</v>
      </c>
      <c r="AG35" s="104" t="s">
        <v>349</v>
      </c>
      <c r="AH35" s="333">
        <v>12</v>
      </c>
    </row>
    <row r="36" spans="1:34" x14ac:dyDescent="0.3">
      <c r="A36" s="412" t="s">
        <v>23</v>
      </c>
      <c r="B36" s="96" t="s">
        <v>24</v>
      </c>
      <c r="C36" s="96" t="s">
        <v>344</v>
      </c>
      <c r="D36" s="144"/>
      <c r="E36" s="56">
        <v>0</v>
      </c>
      <c r="F36" s="144"/>
      <c r="G36" s="56">
        <v>0</v>
      </c>
      <c r="H36" s="144">
        <v>1</v>
      </c>
      <c r="I36" s="56">
        <v>31881.451880098426</v>
      </c>
      <c r="J36" s="144"/>
      <c r="K36" s="56">
        <v>0</v>
      </c>
      <c r="L36" s="144"/>
      <c r="M36" s="56">
        <v>0</v>
      </c>
      <c r="N36" s="144"/>
      <c r="O36" s="56">
        <v>0</v>
      </c>
      <c r="P36" s="144"/>
      <c r="Q36" s="56">
        <v>0</v>
      </c>
      <c r="R36" s="144"/>
      <c r="S36" s="56">
        <v>0</v>
      </c>
      <c r="T36" s="144"/>
      <c r="U36" s="56">
        <v>0</v>
      </c>
      <c r="V36" s="144"/>
      <c r="W36" s="56">
        <v>0</v>
      </c>
      <c r="X36" s="144"/>
      <c r="Y36" s="56">
        <v>0</v>
      </c>
      <c r="Z36" s="144"/>
      <c r="AA36" s="56">
        <v>0</v>
      </c>
      <c r="AB36" s="81">
        <v>31881.451880098426</v>
      </c>
      <c r="AC36" s="106">
        <v>1</v>
      </c>
      <c r="AD36" s="104" t="s">
        <v>318</v>
      </c>
      <c r="AE36" s="119">
        <v>1</v>
      </c>
      <c r="AF36" s="47">
        <v>31881.451880098426</v>
      </c>
      <c r="AG36" s="104" t="s">
        <v>349</v>
      </c>
      <c r="AH36" s="333">
        <v>12</v>
      </c>
    </row>
    <row r="37" spans="1:34" x14ac:dyDescent="0.3">
      <c r="A37" s="412" t="s">
        <v>32</v>
      </c>
      <c r="B37" s="96" t="s">
        <v>143</v>
      </c>
      <c r="C37" s="96" t="s">
        <v>342</v>
      </c>
      <c r="D37" s="144"/>
      <c r="E37" s="56">
        <v>0</v>
      </c>
      <c r="F37" s="144"/>
      <c r="G37" s="56">
        <v>0</v>
      </c>
      <c r="H37" s="144"/>
      <c r="I37" s="56">
        <v>0</v>
      </c>
      <c r="J37" s="144"/>
      <c r="K37" s="56">
        <v>0</v>
      </c>
      <c r="L37" s="144"/>
      <c r="M37" s="56">
        <v>0</v>
      </c>
      <c r="N37" s="144"/>
      <c r="O37" s="56">
        <v>0</v>
      </c>
      <c r="P37" s="144"/>
      <c r="Q37" s="56">
        <v>0</v>
      </c>
      <c r="R37" s="144"/>
      <c r="S37" s="56">
        <v>0</v>
      </c>
      <c r="T37" s="144"/>
      <c r="U37" s="56">
        <v>0</v>
      </c>
      <c r="V37" s="144"/>
      <c r="W37" s="56">
        <v>0</v>
      </c>
      <c r="X37" s="144"/>
      <c r="Y37" s="56">
        <v>0</v>
      </c>
      <c r="Z37" s="144"/>
      <c r="AA37" s="56">
        <v>0</v>
      </c>
      <c r="AB37" s="81">
        <v>0</v>
      </c>
      <c r="AC37" s="106">
        <v>0</v>
      </c>
      <c r="AD37" s="104" t="s">
        <v>319</v>
      </c>
      <c r="AE37" s="119">
        <v>0</v>
      </c>
      <c r="AF37" s="47">
        <v>0</v>
      </c>
      <c r="AG37" s="104" t="s">
        <v>349</v>
      </c>
      <c r="AH37" s="333">
        <v>12</v>
      </c>
    </row>
    <row r="38" spans="1:34" x14ac:dyDescent="0.3">
      <c r="A38" s="413" t="s">
        <v>90</v>
      </c>
      <c r="B38" s="223" t="s">
        <v>280</v>
      </c>
      <c r="C38" s="96" t="s">
        <v>346</v>
      </c>
      <c r="D38" s="180">
        <v>1</v>
      </c>
      <c r="E38" s="113">
        <v>232601.87077978876</v>
      </c>
      <c r="F38" s="180"/>
      <c r="G38" s="113">
        <v>0</v>
      </c>
      <c r="H38" s="180"/>
      <c r="I38" s="113">
        <v>0</v>
      </c>
      <c r="J38" s="180"/>
      <c r="K38" s="113">
        <v>0</v>
      </c>
      <c r="L38" s="180"/>
      <c r="M38" s="113">
        <v>0</v>
      </c>
      <c r="N38" s="180"/>
      <c r="O38" s="113">
        <v>0</v>
      </c>
      <c r="P38" s="180"/>
      <c r="Q38" s="113">
        <v>0</v>
      </c>
      <c r="R38" s="180"/>
      <c r="S38" s="113">
        <v>0</v>
      </c>
      <c r="T38" s="180"/>
      <c r="U38" s="113">
        <v>0</v>
      </c>
      <c r="V38" s="180"/>
      <c r="W38" s="113">
        <v>0</v>
      </c>
      <c r="X38" s="180"/>
      <c r="Y38" s="113">
        <v>0</v>
      </c>
      <c r="Z38" s="180"/>
      <c r="AA38" s="113">
        <v>0</v>
      </c>
      <c r="AB38" s="114">
        <v>232601.87077978876</v>
      </c>
      <c r="AC38" s="115">
        <v>1</v>
      </c>
      <c r="AD38" s="116" t="s">
        <v>319</v>
      </c>
      <c r="AE38" s="118">
        <v>1.5037593984962405E-2</v>
      </c>
      <c r="AF38" s="47">
        <v>3497.7724929291539</v>
      </c>
      <c r="AG38" s="104" t="s">
        <v>349</v>
      </c>
      <c r="AH38" s="333">
        <v>12</v>
      </c>
    </row>
    <row r="39" spans="1:34" x14ac:dyDescent="0.3">
      <c r="A39" s="412" t="s">
        <v>92</v>
      </c>
      <c r="B39" s="96" t="s">
        <v>93</v>
      </c>
      <c r="C39" s="96" t="s">
        <v>342</v>
      </c>
      <c r="D39" s="144">
        <v>1</v>
      </c>
      <c r="E39" s="56">
        <v>85060.59895480916</v>
      </c>
      <c r="F39" s="144"/>
      <c r="G39" s="56">
        <v>0</v>
      </c>
      <c r="H39" s="144"/>
      <c r="I39" s="56">
        <v>0</v>
      </c>
      <c r="J39" s="144"/>
      <c r="K39" s="56">
        <v>0</v>
      </c>
      <c r="L39" s="144"/>
      <c r="M39" s="56">
        <v>0</v>
      </c>
      <c r="N39" s="144"/>
      <c r="O39" s="56">
        <v>0</v>
      </c>
      <c r="P39" s="144"/>
      <c r="Q39" s="56">
        <v>0</v>
      </c>
      <c r="R39" s="144"/>
      <c r="S39" s="56">
        <v>0</v>
      </c>
      <c r="T39" s="144"/>
      <c r="U39" s="56">
        <v>0</v>
      </c>
      <c r="V39" s="144"/>
      <c r="W39" s="56">
        <v>0</v>
      </c>
      <c r="X39" s="144"/>
      <c r="Y39" s="56">
        <v>0</v>
      </c>
      <c r="Z39" s="144"/>
      <c r="AA39" s="56">
        <v>0</v>
      </c>
      <c r="AB39" s="81">
        <v>85060.59895480916</v>
      </c>
      <c r="AC39" s="106">
        <v>1</v>
      </c>
      <c r="AD39" s="104" t="s">
        <v>318</v>
      </c>
      <c r="AE39" s="119">
        <v>1</v>
      </c>
      <c r="AF39" s="47">
        <v>85060.59895480916</v>
      </c>
      <c r="AG39" s="104" t="s">
        <v>349</v>
      </c>
      <c r="AH39" s="333">
        <v>12</v>
      </c>
    </row>
    <row r="40" spans="1:34" x14ac:dyDescent="0.3">
      <c r="A40" s="412" t="s">
        <v>52</v>
      </c>
      <c r="B40" s="96" t="s">
        <v>191</v>
      </c>
      <c r="C40" s="96" t="s">
        <v>342</v>
      </c>
      <c r="D40" s="144">
        <v>1</v>
      </c>
      <c r="E40" s="56">
        <v>26897.079640267821</v>
      </c>
      <c r="F40" s="144"/>
      <c r="G40" s="56">
        <v>0</v>
      </c>
      <c r="H40" s="144"/>
      <c r="I40" s="56">
        <v>0</v>
      </c>
      <c r="J40" s="144"/>
      <c r="K40" s="56">
        <v>0</v>
      </c>
      <c r="L40" s="144"/>
      <c r="M40" s="56">
        <v>0</v>
      </c>
      <c r="N40" s="144"/>
      <c r="O40" s="56">
        <v>0</v>
      </c>
      <c r="P40" s="144"/>
      <c r="Q40" s="56">
        <v>0</v>
      </c>
      <c r="R40" s="144"/>
      <c r="S40" s="56">
        <v>0</v>
      </c>
      <c r="T40" s="144"/>
      <c r="U40" s="56">
        <v>0</v>
      </c>
      <c r="V40" s="144"/>
      <c r="W40" s="56">
        <v>0</v>
      </c>
      <c r="X40" s="144"/>
      <c r="Y40" s="56">
        <v>0</v>
      </c>
      <c r="Z40" s="144"/>
      <c r="AA40" s="56">
        <v>0</v>
      </c>
      <c r="AB40" s="81">
        <v>26897.079640267821</v>
      </c>
      <c r="AC40" s="106">
        <v>1</v>
      </c>
      <c r="AD40" s="104" t="s">
        <v>319</v>
      </c>
      <c r="AE40" s="119">
        <v>0</v>
      </c>
      <c r="AF40" s="47">
        <v>0</v>
      </c>
      <c r="AG40" s="104" t="s">
        <v>349</v>
      </c>
      <c r="AH40" s="333">
        <v>12</v>
      </c>
    </row>
    <row r="41" spans="1:34" x14ac:dyDescent="0.3">
      <c r="A41" s="414" t="s">
        <v>53</v>
      </c>
      <c r="B41" s="96" t="s">
        <v>230</v>
      </c>
      <c r="C41" s="96" t="s">
        <v>342</v>
      </c>
      <c r="D41" s="181">
        <v>1</v>
      </c>
      <c r="E41" s="56">
        <v>26897.079640267817</v>
      </c>
      <c r="F41" s="181"/>
      <c r="G41" s="56">
        <v>0</v>
      </c>
      <c r="H41" s="181"/>
      <c r="I41" s="56">
        <v>0</v>
      </c>
      <c r="J41" s="181"/>
      <c r="K41" s="56">
        <v>0</v>
      </c>
      <c r="L41" s="181"/>
      <c r="M41" s="56">
        <v>0</v>
      </c>
      <c r="N41" s="181"/>
      <c r="O41" s="56">
        <v>0</v>
      </c>
      <c r="P41" s="181"/>
      <c r="Q41" s="56">
        <v>0</v>
      </c>
      <c r="R41" s="181"/>
      <c r="S41" s="56">
        <v>0</v>
      </c>
      <c r="T41" s="181"/>
      <c r="U41" s="56">
        <v>0</v>
      </c>
      <c r="V41" s="181"/>
      <c r="W41" s="56">
        <v>0</v>
      </c>
      <c r="X41" s="181"/>
      <c r="Y41" s="56">
        <v>0</v>
      </c>
      <c r="Z41" s="181"/>
      <c r="AA41" s="56">
        <v>0</v>
      </c>
      <c r="AB41" s="81">
        <v>26897.079640267817</v>
      </c>
      <c r="AC41" s="106">
        <v>1</v>
      </c>
      <c r="AD41" s="104" t="s">
        <v>319</v>
      </c>
      <c r="AE41" s="119">
        <v>1.6708437761069339E-3</v>
      </c>
      <c r="AF41" s="47">
        <v>44.940818112394012</v>
      </c>
      <c r="AG41" s="104" t="s">
        <v>349</v>
      </c>
      <c r="AH41" s="333">
        <v>12</v>
      </c>
    </row>
    <row r="42" spans="1:34" x14ac:dyDescent="0.3">
      <c r="A42" s="414" t="s">
        <v>421</v>
      </c>
      <c r="B42" s="96" t="s">
        <v>422</v>
      </c>
      <c r="C42" s="96" t="s">
        <v>423</v>
      </c>
      <c r="D42" s="181"/>
      <c r="E42" s="56"/>
      <c r="F42" s="181"/>
      <c r="G42" s="56"/>
      <c r="H42" s="181"/>
      <c r="I42" s="56"/>
      <c r="J42" s="181"/>
      <c r="K42" s="56"/>
      <c r="L42" s="181"/>
      <c r="M42" s="56"/>
      <c r="N42" s="181"/>
      <c r="O42" s="56"/>
      <c r="P42" s="181"/>
      <c r="Q42" s="56"/>
      <c r="R42" s="181"/>
      <c r="S42" s="56"/>
      <c r="T42" s="181"/>
      <c r="U42" s="56"/>
      <c r="V42" s="181"/>
      <c r="W42" s="56"/>
      <c r="X42" s="181"/>
      <c r="Y42" s="56"/>
      <c r="Z42" s="181"/>
      <c r="AA42" s="56"/>
      <c r="AB42" s="81"/>
      <c r="AC42" s="106"/>
      <c r="AD42" s="104" t="s">
        <v>318</v>
      </c>
      <c r="AE42" s="119"/>
      <c r="AF42" s="47"/>
      <c r="AG42" s="104" t="s">
        <v>349</v>
      </c>
      <c r="AH42" s="333">
        <v>12</v>
      </c>
    </row>
    <row r="43" spans="1:34" x14ac:dyDescent="0.3">
      <c r="A43" s="415" t="s">
        <v>13</v>
      </c>
      <c r="B43" s="8" t="s">
        <v>14</v>
      </c>
      <c r="C43" s="96" t="s">
        <v>343</v>
      </c>
      <c r="D43" s="14">
        <v>1</v>
      </c>
      <c r="E43" s="56">
        <v>20552.755657371155</v>
      </c>
      <c r="F43" s="8"/>
      <c r="G43" s="56">
        <v>0</v>
      </c>
      <c r="H43" s="8"/>
      <c r="I43" s="56">
        <v>0</v>
      </c>
      <c r="J43" s="8"/>
      <c r="K43" s="56">
        <v>0</v>
      </c>
      <c r="L43" s="8"/>
      <c r="M43" s="56">
        <v>0</v>
      </c>
      <c r="N43" s="8"/>
      <c r="O43" s="56">
        <v>0</v>
      </c>
      <c r="P43" s="8"/>
      <c r="Q43" s="56">
        <v>0</v>
      </c>
      <c r="R43" s="8"/>
      <c r="S43" s="56">
        <v>0</v>
      </c>
      <c r="T43" s="8"/>
      <c r="U43" s="56">
        <v>0</v>
      </c>
      <c r="V43" s="8"/>
      <c r="W43" s="56">
        <v>0</v>
      </c>
      <c r="X43" s="8"/>
      <c r="Y43" s="56">
        <v>0</v>
      </c>
      <c r="Z43" s="8"/>
      <c r="AA43" s="56">
        <v>0</v>
      </c>
      <c r="AB43" s="81">
        <v>20552.755657371155</v>
      </c>
      <c r="AC43" s="106">
        <v>1</v>
      </c>
      <c r="AD43" s="122" t="s">
        <v>318</v>
      </c>
      <c r="AE43" s="127">
        <v>1</v>
      </c>
      <c r="AF43" s="121">
        <v>20552.755657371155</v>
      </c>
      <c r="AG43" s="82" t="s">
        <v>350</v>
      </c>
      <c r="AH43" s="335">
        <v>12</v>
      </c>
    </row>
    <row r="44" spans="1:34" x14ac:dyDescent="0.3">
      <c r="A44" s="415" t="s">
        <v>40</v>
      </c>
      <c r="B44" s="96" t="s">
        <v>41</v>
      </c>
      <c r="C44" s="96" t="s">
        <v>343</v>
      </c>
      <c r="D44" s="14">
        <v>1</v>
      </c>
      <c r="E44" s="56">
        <v>15634.853025719462</v>
      </c>
      <c r="F44" s="14">
        <v>1</v>
      </c>
      <c r="G44" s="56">
        <v>15634.853025719462</v>
      </c>
      <c r="H44" s="14">
        <v>1</v>
      </c>
      <c r="I44" s="56">
        <v>15634.853025719462</v>
      </c>
      <c r="J44" s="14">
        <v>1</v>
      </c>
      <c r="K44" s="56">
        <v>15634.853025719462</v>
      </c>
      <c r="L44" s="14">
        <v>1</v>
      </c>
      <c r="M44" s="56">
        <v>15634.853025719462</v>
      </c>
      <c r="N44" s="14">
        <v>1</v>
      </c>
      <c r="O44" s="56">
        <v>15634.853025719462</v>
      </c>
      <c r="P44" s="14">
        <v>1</v>
      </c>
      <c r="Q44" s="56">
        <v>15634.853025719462</v>
      </c>
      <c r="R44" s="14">
        <v>1</v>
      </c>
      <c r="S44" s="56">
        <v>15634.853025719462</v>
      </c>
      <c r="T44" s="14">
        <v>1</v>
      </c>
      <c r="U44" s="56">
        <v>15634.853025719462</v>
      </c>
      <c r="V44" s="14">
        <v>1</v>
      </c>
      <c r="W44" s="56">
        <v>15634.853025719462</v>
      </c>
      <c r="X44" s="14">
        <v>1</v>
      </c>
      <c r="Y44" s="56">
        <v>15634.853025719462</v>
      </c>
      <c r="Z44" s="14">
        <v>1</v>
      </c>
      <c r="AA44" s="56">
        <v>15634.853025719462</v>
      </c>
      <c r="AB44" s="81">
        <v>187618.23630863355</v>
      </c>
      <c r="AC44" s="106">
        <v>12</v>
      </c>
      <c r="AD44" s="122" t="s">
        <v>318</v>
      </c>
      <c r="AE44" s="127">
        <v>1</v>
      </c>
      <c r="AF44" s="121">
        <v>187618.23630863355</v>
      </c>
      <c r="AG44" s="82" t="s">
        <v>350</v>
      </c>
      <c r="AH44" s="335">
        <v>12</v>
      </c>
    </row>
    <row r="45" spans="1:34" x14ac:dyDescent="0.3">
      <c r="A45" s="415" t="s">
        <v>36</v>
      </c>
      <c r="B45" s="96" t="s">
        <v>136</v>
      </c>
      <c r="C45" s="96" t="s">
        <v>344</v>
      </c>
      <c r="D45" s="8"/>
      <c r="E45" s="56">
        <v>0</v>
      </c>
      <c r="F45" s="8"/>
      <c r="G45" s="56">
        <v>0</v>
      </c>
      <c r="H45" s="14">
        <v>8</v>
      </c>
      <c r="I45" s="56">
        <v>70240.958933331596</v>
      </c>
      <c r="J45" s="14">
        <v>8</v>
      </c>
      <c r="K45" s="56">
        <v>70240.958933331596</v>
      </c>
      <c r="L45" s="14">
        <v>8</v>
      </c>
      <c r="M45" s="56">
        <v>70240.958933331596</v>
      </c>
      <c r="N45" s="14">
        <v>8</v>
      </c>
      <c r="O45" s="56">
        <v>70240.958933331596</v>
      </c>
      <c r="P45" s="14">
        <v>8</v>
      </c>
      <c r="Q45" s="56">
        <v>70240.958933331596</v>
      </c>
      <c r="R45" s="14">
        <v>8</v>
      </c>
      <c r="S45" s="56">
        <v>70240.958933331596</v>
      </c>
      <c r="T45" s="14">
        <v>8</v>
      </c>
      <c r="U45" s="56">
        <v>70240.958933331596</v>
      </c>
      <c r="V45" s="14">
        <v>8</v>
      </c>
      <c r="W45" s="56">
        <v>70240.958933331596</v>
      </c>
      <c r="X45" s="14">
        <v>8</v>
      </c>
      <c r="Y45" s="56">
        <v>70240.958933331596</v>
      </c>
      <c r="Z45" s="14">
        <v>8</v>
      </c>
      <c r="AA45" s="56">
        <v>70240.958933331596</v>
      </c>
      <c r="AB45" s="81">
        <v>702409.58933331585</v>
      </c>
      <c r="AC45" s="106">
        <v>80</v>
      </c>
      <c r="AD45" s="122" t="s">
        <v>318</v>
      </c>
      <c r="AE45" s="127">
        <v>1</v>
      </c>
      <c r="AF45" s="121">
        <v>702409.58933331585</v>
      </c>
      <c r="AG45" s="82" t="s">
        <v>350</v>
      </c>
      <c r="AH45" s="335">
        <v>12</v>
      </c>
    </row>
    <row r="46" spans="1:34" x14ac:dyDescent="0.3">
      <c r="A46" s="415" t="s">
        <v>15</v>
      </c>
      <c r="B46" s="96" t="s">
        <v>16</v>
      </c>
      <c r="C46" s="96" t="s">
        <v>342</v>
      </c>
      <c r="D46" s="8"/>
      <c r="E46" s="56">
        <v>0</v>
      </c>
      <c r="F46" s="8"/>
      <c r="G46" s="56">
        <v>0</v>
      </c>
      <c r="H46" s="8"/>
      <c r="I46" s="56">
        <v>0</v>
      </c>
      <c r="J46" s="8"/>
      <c r="K46" s="56">
        <v>0</v>
      </c>
      <c r="L46" s="8"/>
      <c r="M46" s="56">
        <v>0</v>
      </c>
      <c r="N46" s="14">
        <v>1</v>
      </c>
      <c r="O46" s="56">
        <v>22052.520800552971</v>
      </c>
      <c r="P46" s="8"/>
      <c r="Q46" s="56">
        <v>0</v>
      </c>
      <c r="R46" s="8"/>
      <c r="S46" s="56">
        <v>0</v>
      </c>
      <c r="T46" s="8"/>
      <c r="U46" s="56">
        <v>0</v>
      </c>
      <c r="V46" s="8"/>
      <c r="W46" s="56">
        <v>0</v>
      </c>
      <c r="X46" s="8"/>
      <c r="Y46" s="56">
        <v>0</v>
      </c>
      <c r="Z46" s="14">
        <v>1</v>
      </c>
      <c r="AA46" s="56">
        <v>22052.520800552971</v>
      </c>
      <c r="AB46" s="81">
        <v>44105.041601105942</v>
      </c>
      <c r="AC46" s="106">
        <v>2</v>
      </c>
      <c r="AD46" s="122" t="s">
        <v>318</v>
      </c>
      <c r="AE46" s="127">
        <v>1</v>
      </c>
      <c r="AF46" s="121">
        <v>44105.041601105942</v>
      </c>
      <c r="AG46" s="82" t="s">
        <v>350</v>
      </c>
      <c r="AH46" s="335">
        <v>12</v>
      </c>
    </row>
    <row r="47" spans="1:34" x14ac:dyDescent="0.3">
      <c r="A47" s="415" t="s">
        <v>3</v>
      </c>
      <c r="B47" s="96" t="s">
        <v>4</v>
      </c>
      <c r="C47" s="96" t="s">
        <v>342</v>
      </c>
      <c r="D47" s="14">
        <v>1</v>
      </c>
      <c r="E47" s="56">
        <v>20406.13276336317</v>
      </c>
      <c r="F47" s="8"/>
      <c r="G47" s="56">
        <v>0</v>
      </c>
      <c r="H47" s="8"/>
      <c r="I47" s="56">
        <v>0</v>
      </c>
      <c r="J47" s="8"/>
      <c r="K47" s="56">
        <v>0</v>
      </c>
      <c r="L47" s="8"/>
      <c r="M47" s="56">
        <v>0</v>
      </c>
      <c r="N47" s="14"/>
      <c r="O47" s="56">
        <v>0</v>
      </c>
      <c r="P47" s="8"/>
      <c r="Q47" s="56">
        <v>0</v>
      </c>
      <c r="R47" s="8"/>
      <c r="S47" s="56">
        <v>0</v>
      </c>
      <c r="T47" s="8"/>
      <c r="U47" s="56">
        <v>0</v>
      </c>
      <c r="V47" s="8"/>
      <c r="W47" s="56">
        <v>0</v>
      </c>
      <c r="X47" s="8"/>
      <c r="Y47" s="56">
        <v>0</v>
      </c>
      <c r="Z47" s="14"/>
      <c r="AA47" s="56">
        <v>0</v>
      </c>
      <c r="AB47" s="81">
        <v>20406.13276336317</v>
      </c>
      <c r="AC47" s="106">
        <v>1</v>
      </c>
      <c r="AD47" s="122" t="s">
        <v>318</v>
      </c>
      <c r="AE47" s="127">
        <v>1</v>
      </c>
      <c r="AF47" s="121">
        <v>20406.13276336317</v>
      </c>
      <c r="AG47" s="82" t="s">
        <v>350</v>
      </c>
      <c r="AH47" s="335">
        <v>12</v>
      </c>
    </row>
    <row r="48" spans="1:34" x14ac:dyDescent="0.3">
      <c r="A48" s="415" t="s">
        <v>5</v>
      </c>
      <c r="B48" s="96" t="s">
        <v>6</v>
      </c>
      <c r="C48" s="96" t="s">
        <v>342</v>
      </c>
      <c r="D48" s="14">
        <v>1</v>
      </c>
      <c r="E48" s="56">
        <v>18768.367820181349</v>
      </c>
      <c r="F48" s="8"/>
      <c r="G48" s="56">
        <v>0</v>
      </c>
      <c r="H48" s="8"/>
      <c r="I48" s="56">
        <v>0</v>
      </c>
      <c r="J48" s="8"/>
      <c r="K48" s="56">
        <v>0</v>
      </c>
      <c r="L48" s="8"/>
      <c r="M48" s="56">
        <v>0</v>
      </c>
      <c r="N48" s="8"/>
      <c r="O48" s="56">
        <v>0</v>
      </c>
      <c r="P48" s="8"/>
      <c r="Q48" s="56">
        <v>0</v>
      </c>
      <c r="R48" s="8"/>
      <c r="S48" s="56">
        <v>0</v>
      </c>
      <c r="T48" s="8"/>
      <c r="U48" s="56">
        <v>0</v>
      </c>
      <c r="V48" s="8"/>
      <c r="W48" s="56">
        <v>0</v>
      </c>
      <c r="X48" s="8"/>
      <c r="Y48" s="56">
        <v>0</v>
      </c>
      <c r="Z48" s="8"/>
      <c r="AA48" s="56">
        <v>0</v>
      </c>
      <c r="AB48" s="81">
        <v>18768.367820181349</v>
      </c>
      <c r="AC48" s="106">
        <v>1</v>
      </c>
      <c r="AD48" s="122" t="s">
        <v>318</v>
      </c>
      <c r="AE48" s="127">
        <v>1</v>
      </c>
      <c r="AF48" s="121">
        <v>18768.367820181349</v>
      </c>
      <c r="AG48" s="82" t="s">
        <v>350</v>
      </c>
      <c r="AH48" s="335">
        <v>12</v>
      </c>
    </row>
    <row r="49" spans="1:34" x14ac:dyDescent="0.3">
      <c r="A49" s="415" t="s">
        <v>17</v>
      </c>
      <c r="B49" s="96" t="s">
        <v>18</v>
      </c>
      <c r="C49" s="96" t="s">
        <v>342</v>
      </c>
      <c r="D49" s="8"/>
      <c r="E49" s="56">
        <v>0</v>
      </c>
      <c r="F49" s="8"/>
      <c r="G49" s="56">
        <v>0</v>
      </c>
      <c r="H49" s="8"/>
      <c r="I49" s="56">
        <v>0</v>
      </c>
      <c r="J49" s="8"/>
      <c r="K49" s="56">
        <v>0</v>
      </c>
      <c r="L49" s="8"/>
      <c r="M49" s="56">
        <v>0</v>
      </c>
      <c r="N49" s="14">
        <v>1</v>
      </c>
      <c r="O49" s="56">
        <v>20414.75585737115</v>
      </c>
      <c r="P49" s="8"/>
      <c r="Q49" s="56">
        <v>0</v>
      </c>
      <c r="R49" s="8"/>
      <c r="S49" s="56">
        <v>0</v>
      </c>
      <c r="T49" s="8"/>
      <c r="U49" s="56">
        <v>0</v>
      </c>
      <c r="V49" s="8"/>
      <c r="W49" s="56">
        <v>0</v>
      </c>
      <c r="X49" s="8"/>
      <c r="Y49" s="56">
        <v>0</v>
      </c>
      <c r="Z49" s="14">
        <v>1</v>
      </c>
      <c r="AA49" s="56">
        <v>20414.75585737115</v>
      </c>
      <c r="AB49" s="81">
        <v>40829.511714742301</v>
      </c>
      <c r="AC49" s="106">
        <v>2</v>
      </c>
      <c r="AD49" s="122" t="s">
        <v>318</v>
      </c>
      <c r="AE49" s="127">
        <v>1</v>
      </c>
      <c r="AF49" s="121">
        <v>40829.511714742301</v>
      </c>
      <c r="AG49" s="82" t="s">
        <v>350</v>
      </c>
      <c r="AH49" s="335">
        <v>12</v>
      </c>
    </row>
    <row r="50" spans="1:34" x14ac:dyDescent="0.3">
      <c r="A50" s="415" t="s">
        <v>38</v>
      </c>
      <c r="B50" s="96" t="s">
        <v>137</v>
      </c>
      <c r="C50" s="96" t="s">
        <v>342</v>
      </c>
      <c r="D50" s="14">
        <v>1</v>
      </c>
      <c r="E50" s="56">
        <v>56420.692787682223</v>
      </c>
      <c r="F50" s="14"/>
      <c r="G50" s="56">
        <v>0</v>
      </c>
      <c r="H50" s="14"/>
      <c r="I50" s="56">
        <v>0</v>
      </c>
      <c r="J50" s="14"/>
      <c r="K50" s="56">
        <v>0</v>
      </c>
      <c r="L50" s="14"/>
      <c r="M50" s="56">
        <v>0</v>
      </c>
      <c r="N50" s="14"/>
      <c r="O50" s="56">
        <v>0</v>
      </c>
      <c r="P50" s="14"/>
      <c r="Q50" s="56">
        <v>0</v>
      </c>
      <c r="R50" s="14"/>
      <c r="S50" s="56">
        <v>0</v>
      </c>
      <c r="T50" s="14"/>
      <c r="U50" s="56">
        <v>0</v>
      </c>
      <c r="V50" s="14"/>
      <c r="W50" s="56">
        <v>0</v>
      </c>
      <c r="X50" s="14"/>
      <c r="Y50" s="56">
        <v>0</v>
      </c>
      <c r="Z50" s="14"/>
      <c r="AA50" s="56">
        <v>0</v>
      </c>
      <c r="AB50" s="81">
        <v>56420.692787682223</v>
      </c>
      <c r="AC50" s="106">
        <v>1</v>
      </c>
      <c r="AD50" s="122" t="s">
        <v>319</v>
      </c>
      <c r="AE50" s="127">
        <v>0.30593607305936071</v>
      </c>
      <c r="AF50" s="121">
        <v>17261.125190752096</v>
      </c>
      <c r="AG50" s="82" t="s">
        <v>350</v>
      </c>
      <c r="AH50" s="335">
        <v>12</v>
      </c>
    </row>
    <row r="51" spans="1:34" x14ac:dyDescent="0.3">
      <c r="A51" s="415" t="s">
        <v>94</v>
      </c>
      <c r="B51" s="96" t="s">
        <v>95</v>
      </c>
      <c r="C51" s="96" t="s">
        <v>342</v>
      </c>
      <c r="D51" s="14">
        <v>1</v>
      </c>
      <c r="E51" s="56">
        <v>58766.154033233033</v>
      </c>
      <c r="F51" s="8"/>
      <c r="G51" s="56">
        <v>0</v>
      </c>
      <c r="H51" s="8"/>
      <c r="I51" s="56">
        <v>0</v>
      </c>
      <c r="J51" s="8"/>
      <c r="K51" s="56">
        <v>0</v>
      </c>
      <c r="L51" s="8"/>
      <c r="M51" s="56">
        <v>0</v>
      </c>
      <c r="N51" s="8"/>
      <c r="O51" s="56">
        <v>0</v>
      </c>
      <c r="P51" s="8"/>
      <c r="Q51" s="56">
        <v>0</v>
      </c>
      <c r="R51" s="8"/>
      <c r="S51" s="56">
        <v>0</v>
      </c>
      <c r="T51" s="8"/>
      <c r="U51" s="56">
        <v>0</v>
      </c>
      <c r="V51" s="8"/>
      <c r="W51" s="56">
        <v>0</v>
      </c>
      <c r="X51" s="8"/>
      <c r="Y51" s="56">
        <v>0</v>
      </c>
      <c r="Z51" s="8"/>
      <c r="AA51" s="56">
        <v>0</v>
      </c>
      <c r="AB51" s="81">
        <v>58766.154033233033</v>
      </c>
      <c r="AC51" s="106">
        <v>1</v>
      </c>
      <c r="AD51" s="122" t="s">
        <v>319</v>
      </c>
      <c r="AE51" s="127">
        <v>0.15068493150684931</v>
      </c>
      <c r="AF51" s="121">
        <v>8855.1738954186749</v>
      </c>
      <c r="AG51" s="82" t="s">
        <v>350</v>
      </c>
      <c r="AH51" s="335">
        <v>12</v>
      </c>
    </row>
    <row r="52" spans="1:34" x14ac:dyDescent="0.3">
      <c r="A52" s="415" t="s">
        <v>96</v>
      </c>
      <c r="B52" s="96" t="s">
        <v>224</v>
      </c>
      <c r="C52" s="96" t="s">
        <v>342</v>
      </c>
      <c r="D52" s="14">
        <v>1</v>
      </c>
      <c r="E52" s="56">
        <v>58766.154033233033</v>
      </c>
      <c r="F52" s="14"/>
      <c r="G52" s="56">
        <v>0</v>
      </c>
      <c r="H52" s="14"/>
      <c r="I52" s="56">
        <v>0</v>
      </c>
      <c r="J52" s="14"/>
      <c r="K52" s="56">
        <v>0</v>
      </c>
      <c r="L52" s="14"/>
      <c r="M52" s="56">
        <v>0</v>
      </c>
      <c r="N52" s="14"/>
      <c r="O52" s="56">
        <v>0</v>
      </c>
      <c r="P52" s="14"/>
      <c r="Q52" s="56">
        <v>0</v>
      </c>
      <c r="R52" s="14"/>
      <c r="S52" s="56">
        <v>0</v>
      </c>
      <c r="T52" s="14"/>
      <c r="U52" s="56">
        <v>0</v>
      </c>
      <c r="V52" s="14"/>
      <c r="W52" s="56">
        <v>0</v>
      </c>
      <c r="X52" s="14"/>
      <c r="Y52" s="56">
        <v>0</v>
      </c>
      <c r="Z52" s="14"/>
      <c r="AA52" s="56">
        <v>0</v>
      </c>
      <c r="AB52" s="81">
        <v>58766.154033233033</v>
      </c>
      <c r="AC52" s="106">
        <v>1</v>
      </c>
      <c r="AD52" s="122" t="s">
        <v>319</v>
      </c>
      <c r="AE52" s="127">
        <v>1.2648401826484019</v>
      </c>
      <c r="AF52" s="121">
        <v>74329.793000938589</v>
      </c>
      <c r="AG52" s="82" t="s">
        <v>350</v>
      </c>
      <c r="AH52" s="335">
        <v>12</v>
      </c>
    </row>
    <row r="53" spans="1:34" x14ac:dyDescent="0.3">
      <c r="A53" s="415" t="s">
        <v>32</v>
      </c>
      <c r="B53" s="96" t="s">
        <v>143</v>
      </c>
      <c r="C53" s="96" t="s">
        <v>342</v>
      </c>
      <c r="D53" s="14">
        <v>1</v>
      </c>
      <c r="E53" s="56">
        <v>24009.730401318589</v>
      </c>
      <c r="F53" s="14"/>
      <c r="G53" s="56">
        <v>0</v>
      </c>
      <c r="H53" s="14"/>
      <c r="I53" s="56">
        <v>0</v>
      </c>
      <c r="J53" s="14"/>
      <c r="K53" s="56">
        <v>0</v>
      </c>
      <c r="L53" s="14"/>
      <c r="M53" s="56">
        <v>0</v>
      </c>
      <c r="N53" s="14"/>
      <c r="O53" s="56">
        <v>0</v>
      </c>
      <c r="P53" s="14"/>
      <c r="Q53" s="56">
        <v>0</v>
      </c>
      <c r="R53" s="14"/>
      <c r="S53" s="56">
        <v>0</v>
      </c>
      <c r="T53" s="14"/>
      <c r="U53" s="56">
        <v>0</v>
      </c>
      <c r="V53" s="14"/>
      <c r="W53" s="56">
        <v>0</v>
      </c>
      <c r="X53" s="14"/>
      <c r="Y53" s="56">
        <v>0</v>
      </c>
      <c r="Z53" s="14"/>
      <c r="AA53" s="56">
        <v>0</v>
      </c>
      <c r="AB53" s="81">
        <v>24009.730401318589</v>
      </c>
      <c r="AC53" s="106">
        <v>1</v>
      </c>
      <c r="AD53" s="122" t="s">
        <v>319</v>
      </c>
      <c r="AE53" s="127">
        <v>6.5019505851755528E-4</v>
      </c>
      <c r="AF53" s="121">
        <v>15.611008063276067</v>
      </c>
      <c r="AG53" s="82" t="s">
        <v>350</v>
      </c>
      <c r="AH53" s="335">
        <v>12</v>
      </c>
    </row>
    <row r="54" spans="1:34" x14ac:dyDescent="0.3">
      <c r="A54" s="415" t="s">
        <v>11</v>
      </c>
      <c r="B54" s="96" t="s">
        <v>12</v>
      </c>
      <c r="C54" s="96" t="s">
        <v>345</v>
      </c>
      <c r="D54" s="14">
        <v>1</v>
      </c>
      <c r="E54" s="56">
        <v>12743.421642219637</v>
      </c>
      <c r="F54" s="14">
        <v>1</v>
      </c>
      <c r="G54" s="56">
        <v>12743.421642219637</v>
      </c>
      <c r="H54" s="14">
        <v>1</v>
      </c>
      <c r="I54" s="56">
        <v>12743.421642219637</v>
      </c>
      <c r="J54" s="14">
        <v>1</v>
      </c>
      <c r="K54" s="56">
        <v>12743.421642219637</v>
      </c>
      <c r="L54" s="14">
        <v>1</v>
      </c>
      <c r="M54" s="56">
        <v>12743.421642219637</v>
      </c>
      <c r="N54" s="14">
        <v>1</v>
      </c>
      <c r="O54" s="56">
        <v>12743.421642219637</v>
      </c>
      <c r="P54" s="14">
        <v>1</v>
      </c>
      <c r="Q54" s="56">
        <v>12743.421642219637</v>
      </c>
      <c r="R54" s="14">
        <v>1</v>
      </c>
      <c r="S54" s="56">
        <v>12743.421642219637</v>
      </c>
      <c r="T54" s="14">
        <v>1</v>
      </c>
      <c r="U54" s="56">
        <v>12743.421642219637</v>
      </c>
      <c r="V54" s="14">
        <v>1</v>
      </c>
      <c r="W54" s="56">
        <v>12743.421642219637</v>
      </c>
      <c r="X54" s="14">
        <v>1</v>
      </c>
      <c r="Y54" s="56">
        <v>12743.421642219637</v>
      </c>
      <c r="Z54" s="14">
        <v>1</v>
      </c>
      <c r="AA54" s="56">
        <v>12743.421642219637</v>
      </c>
      <c r="AB54" s="81">
        <v>152921.05970663566</v>
      </c>
      <c r="AC54" s="106">
        <v>12</v>
      </c>
      <c r="AD54" s="122" t="s">
        <v>318</v>
      </c>
      <c r="AE54" s="127">
        <v>1</v>
      </c>
      <c r="AF54" s="121">
        <v>152921.05970663566</v>
      </c>
      <c r="AG54" s="82" t="s">
        <v>350</v>
      </c>
      <c r="AH54" s="335">
        <v>12</v>
      </c>
    </row>
    <row r="55" spans="1:34" x14ac:dyDescent="0.3">
      <c r="A55" s="415" t="s">
        <v>27</v>
      </c>
      <c r="B55" s="96" t="s">
        <v>28</v>
      </c>
      <c r="C55" s="96" t="s">
        <v>346</v>
      </c>
      <c r="D55" s="14">
        <v>1</v>
      </c>
      <c r="E55" s="56">
        <v>43480.816890660324</v>
      </c>
      <c r="F55" s="8"/>
      <c r="G55" s="56">
        <v>0</v>
      </c>
      <c r="H55" s="8"/>
      <c r="I55" s="56">
        <v>0</v>
      </c>
      <c r="J55" s="8"/>
      <c r="K55" s="56">
        <v>0</v>
      </c>
      <c r="L55" s="8"/>
      <c r="M55" s="56">
        <v>0</v>
      </c>
      <c r="N55" s="8"/>
      <c r="O55" s="56">
        <v>0</v>
      </c>
      <c r="P55" s="8"/>
      <c r="Q55" s="56">
        <v>0</v>
      </c>
      <c r="R55" s="8"/>
      <c r="S55" s="56">
        <v>0</v>
      </c>
      <c r="T55" s="8"/>
      <c r="U55" s="56">
        <v>0</v>
      </c>
      <c r="V55" s="8"/>
      <c r="W55" s="56">
        <v>0</v>
      </c>
      <c r="X55" s="8"/>
      <c r="Y55" s="56">
        <v>0</v>
      </c>
      <c r="Z55" s="14">
        <v>1</v>
      </c>
      <c r="AA55" s="56">
        <v>43480.816890660324</v>
      </c>
      <c r="AB55" s="81">
        <v>86961.633781320648</v>
      </c>
      <c r="AC55" s="106">
        <v>2</v>
      </c>
      <c r="AD55" s="122" t="s">
        <v>318</v>
      </c>
      <c r="AE55" s="127">
        <v>1</v>
      </c>
      <c r="AF55" s="121">
        <v>86961.633781320648</v>
      </c>
      <c r="AG55" s="82" t="s">
        <v>350</v>
      </c>
      <c r="AH55" s="335">
        <v>12</v>
      </c>
    </row>
    <row r="56" spans="1:34" x14ac:dyDescent="0.3">
      <c r="A56" s="415" t="s">
        <v>21</v>
      </c>
      <c r="B56" s="96" t="s">
        <v>221</v>
      </c>
      <c r="C56" s="96" t="s">
        <v>342</v>
      </c>
      <c r="D56" s="14">
        <v>1</v>
      </c>
      <c r="E56" s="56">
        <v>67398.098568534639</v>
      </c>
      <c r="F56" s="14"/>
      <c r="G56" s="56">
        <v>0</v>
      </c>
      <c r="H56" s="14"/>
      <c r="I56" s="56">
        <v>0</v>
      </c>
      <c r="J56" s="14"/>
      <c r="K56" s="56">
        <v>0</v>
      </c>
      <c r="L56" s="14"/>
      <c r="M56" s="56">
        <v>0</v>
      </c>
      <c r="N56" s="14"/>
      <c r="O56" s="56">
        <v>0</v>
      </c>
      <c r="P56" s="14"/>
      <c r="Q56" s="56">
        <v>0</v>
      </c>
      <c r="R56" s="14"/>
      <c r="S56" s="56">
        <v>0</v>
      </c>
      <c r="T56" s="14"/>
      <c r="U56" s="56">
        <v>0</v>
      </c>
      <c r="V56" s="14"/>
      <c r="W56" s="56">
        <v>0</v>
      </c>
      <c r="X56" s="14"/>
      <c r="Y56" s="56">
        <v>0</v>
      </c>
      <c r="Z56" s="14"/>
      <c r="AA56" s="56">
        <v>0</v>
      </c>
      <c r="AB56" s="81">
        <v>67398.098568534639</v>
      </c>
      <c r="AC56" s="106">
        <v>1</v>
      </c>
      <c r="AD56" s="122" t="s">
        <v>319</v>
      </c>
      <c r="AE56" s="127">
        <v>2.6940639269406392</v>
      </c>
      <c r="AF56" s="121">
        <v>181574.78609787871</v>
      </c>
      <c r="AG56" s="82" t="s">
        <v>350</v>
      </c>
      <c r="AH56" s="335">
        <v>12</v>
      </c>
    </row>
    <row r="57" spans="1:34" x14ac:dyDescent="0.3">
      <c r="A57" s="415" t="s">
        <v>19</v>
      </c>
      <c r="B57" s="96" t="s">
        <v>20</v>
      </c>
      <c r="C57" s="96" t="s">
        <v>342</v>
      </c>
      <c r="D57" s="14">
        <v>1</v>
      </c>
      <c r="E57" s="56">
        <v>67398.098568534639</v>
      </c>
      <c r="F57" s="8"/>
      <c r="G57" s="56">
        <v>0</v>
      </c>
      <c r="H57" s="8"/>
      <c r="I57" s="56">
        <v>0</v>
      </c>
      <c r="J57" s="8"/>
      <c r="K57" s="56">
        <v>0</v>
      </c>
      <c r="L57" s="8"/>
      <c r="M57" s="56">
        <v>0</v>
      </c>
      <c r="N57" s="8"/>
      <c r="O57" s="56">
        <v>0</v>
      </c>
      <c r="P57" s="8"/>
      <c r="Q57" s="56">
        <v>0</v>
      </c>
      <c r="R57" s="8"/>
      <c r="S57" s="56">
        <v>0</v>
      </c>
      <c r="T57" s="8"/>
      <c r="U57" s="56">
        <v>0</v>
      </c>
      <c r="V57" s="8"/>
      <c r="W57" s="56">
        <v>0</v>
      </c>
      <c r="X57" s="8"/>
      <c r="Y57" s="56">
        <v>0</v>
      </c>
      <c r="Z57" s="8"/>
      <c r="AA57" s="56">
        <v>0</v>
      </c>
      <c r="AB57" s="81">
        <v>67398.098568534639</v>
      </c>
      <c r="AC57" s="106">
        <v>1</v>
      </c>
      <c r="AD57" s="122" t="s">
        <v>319</v>
      </c>
      <c r="AE57" s="127">
        <v>0.13698630136986301</v>
      </c>
      <c r="AF57" s="121">
        <v>9232.6162422650177</v>
      </c>
      <c r="AG57" s="82" t="s">
        <v>350</v>
      </c>
      <c r="AH57" s="335">
        <v>12</v>
      </c>
    </row>
    <row r="58" spans="1:34" x14ac:dyDescent="0.3">
      <c r="A58" s="415" t="s">
        <v>23</v>
      </c>
      <c r="B58" s="96" t="s">
        <v>24</v>
      </c>
      <c r="C58" s="96" t="s">
        <v>344</v>
      </c>
      <c r="D58" s="8"/>
      <c r="E58" s="56">
        <v>0</v>
      </c>
      <c r="F58" s="8"/>
      <c r="G58" s="56">
        <v>0</v>
      </c>
      <c r="H58" s="14">
        <v>1</v>
      </c>
      <c r="I58" s="56">
        <v>31881.451880098426</v>
      </c>
      <c r="J58" s="8"/>
      <c r="K58" s="56">
        <v>0</v>
      </c>
      <c r="L58" s="8"/>
      <c r="M58" s="56">
        <v>0</v>
      </c>
      <c r="N58" s="8"/>
      <c r="O58" s="56">
        <v>0</v>
      </c>
      <c r="P58" s="8"/>
      <c r="Q58" s="56">
        <v>0</v>
      </c>
      <c r="R58" s="8"/>
      <c r="S58" s="56">
        <v>0</v>
      </c>
      <c r="T58" s="8"/>
      <c r="U58" s="56">
        <v>0</v>
      </c>
      <c r="V58" s="8"/>
      <c r="W58" s="56">
        <v>0</v>
      </c>
      <c r="X58" s="8"/>
      <c r="Y58" s="56">
        <v>0</v>
      </c>
      <c r="Z58" s="8"/>
      <c r="AA58" s="56">
        <v>0</v>
      </c>
      <c r="AB58" s="81">
        <v>31881.451880098426</v>
      </c>
      <c r="AC58" s="106">
        <v>1</v>
      </c>
      <c r="AD58" s="122" t="s">
        <v>318</v>
      </c>
      <c r="AE58" s="127">
        <v>1</v>
      </c>
      <c r="AF58" s="121">
        <v>31881.451880098426</v>
      </c>
      <c r="AG58" s="82" t="s">
        <v>350</v>
      </c>
      <c r="AH58" s="335">
        <v>12</v>
      </c>
    </row>
    <row r="59" spans="1:34" x14ac:dyDescent="0.3">
      <c r="A59" s="415" t="s">
        <v>29</v>
      </c>
      <c r="B59" s="96" t="s">
        <v>196</v>
      </c>
      <c r="C59" s="96" t="s">
        <v>344</v>
      </c>
      <c r="D59" s="8"/>
      <c r="E59" s="56">
        <v>0</v>
      </c>
      <c r="F59" s="8"/>
      <c r="G59" s="56">
        <v>0</v>
      </c>
      <c r="H59" s="8"/>
      <c r="I59" s="56">
        <v>0</v>
      </c>
      <c r="J59" s="8"/>
      <c r="K59" s="56">
        <v>0</v>
      </c>
      <c r="L59" s="8"/>
      <c r="M59" s="56">
        <v>0</v>
      </c>
      <c r="N59" s="8"/>
      <c r="O59" s="56">
        <v>0</v>
      </c>
      <c r="P59" s="8"/>
      <c r="Q59" s="56">
        <v>0</v>
      </c>
      <c r="R59" s="8"/>
      <c r="S59" s="56">
        <v>0</v>
      </c>
      <c r="T59" s="8"/>
      <c r="U59" s="56">
        <v>0</v>
      </c>
      <c r="V59" s="8"/>
      <c r="W59" s="56">
        <v>0</v>
      </c>
      <c r="X59" s="8"/>
      <c r="Y59" s="56">
        <v>0</v>
      </c>
      <c r="Z59" s="14">
        <v>1</v>
      </c>
      <c r="AA59" s="56">
        <v>31881.451880098426</v>
      </c>
      <c r="AB59" s="81">
        <v>31881.451880098426</v>
      </c>
      <c r="AC59" s="106">
        <v>1</v>
      </c>
      <c r="AD59" s="122" t="s">
        <v>318</v>
      </c>
      <c r="AE59" s="127">
        <v>1</v>
      </c>
      <c r="AF59" s="121">
        <v>31881.451880098426</v>
      </c>
      <c r="AG59" s="82" t="s">
        <v>350</v>
      </c>
      <c r="AH59" s="335">
        <v>12</v>
      </c>
    </row>
    <row r="60" spans="1:34" x14ac:dyDescent="0.3">
      <c r="A60" s="415" t="s">
        <v>25</v>
      </c>
      <c r="B60" s="96" t="s">
        <v>26</v>
      </c>
      <c r="C60" s="96" t="s">
        <v>346</v>
      </c>
      <c r="D60" s="8"/>
      <c r="E60" s="56">
        <v>0</v>
      </c>
      <c r="F60" s="8"/>
      <c r="G60" s="56">
        <v>0</v>
      </c>
      <c r="H60" s="14">
        <v>1</v>
      </c>
      <c r="I60" s="56">
        <v>19392.627189167735</v>
      </c>
      <c r="J60" s="8"/>
      <c r="K60" s="56">
        <v>0</v>
      </c>
      <c r="L60" s="8"/>
      <c r="M60" s="56">
        <v>0</v>
      </c>
      <c r="N60" s="8"/>
      <c r="O60" s="56">
        <v>0</v>
      </c>
      <c r="P60" s="8"/>
      <c r="Q60" s="56">
        <v>0</v>
      </c>
      <c r="R60" s="8"/>
      <c r="S60" s="56">
        <v>0</v>
      </c>
      <c r="T60" s="8"/>
      <c r="U60" s="56">
        <v>0</v>
      </c>
      <c r="V60" s="8"/>
      <c r="W60" s="56">
        <v>0</v>
      </c>
      <c r="X60" s="8"/>
      <c r="Y60" s="56">
        <v>0</v>
      </c>
      <c r="Z60" s="14">
        <v>1</v>
      </c>
      <c r="AA60" s="56">
        <v>19392.627189167735</v>
      </c>
      <c r="AB60" s="81">
        <v>38785.25437833547</v>
      </c>
      <c r="AC60" s="106">
        <v>2</v>
      </c>
      <c r="AD60" s="122" t="s">
        <v>318</v>
      </c>
      <c r="AE60" s="127">
        <v>1</v>
      </c>
      <c r="AF60" s="121">
        <v>38785.25437833547</v>
      </c>
      <c r="AG60" s="82" t="s">
        <v>350</v>
      </c>
      <c r="AH60" s="335">
        <v>12</v>
      </c>
    </row>
    <row r="61" spans="1:34" x14ac:dyDescent="0.3">
      <c r="A61" s="415" t="s">
        <v>54</v>
      </c>
      <c r="B61" s="96" t="s">
        <v>227</v>
      </c>
      <c r="C61" s="96" t="s">
        <v>343</v>
      </c>
      <c r="D61" s="14"/>
      <c r="E61" s="56">
        <v>0</v>
      </c>
      <c r="F61" s="14"/>
      <c r="G61" s="56">
        <v>0</v>
      </c>
      <c r="H61" s="14"/>
      <c r="I61" s="56">
        <v>0</v>
      </c>
      <c r="J61" s="14"/>
      <c r="K61" s="56">
        <v>0</v>
      </c>
      <c r="L61" s="14"/>
      <c r="M61" s="56">
        <v>0</v>
      </c>
      <c r="N61" s="14">
        <v>1</v>
      </c>
      <c r="O61" s="56">
        <v>145259.19237771924</v>
      </c>
      <c r="P61" s="14"/>
      <c r="Q61" s="56">
        <v>0</v>
      </c>
      <c r="R61" s="14"/>
      <c r="S61" s="56">
        <v>0</v>
      </c>
      <c r="T61" s="14"/>
      <c r="U61" s="56">
        <v>0</v>
      </c>
      <c r="V61" s="14"/>
      <c r="W61" s="56">
        <v>0</v>
      </c>
      <c r="X61" s="14"/>
      <c r="Y61" s="56">
        <v>0</v>
      </c>
      <c r="Z61" s="14"/>
      <c r="AA61" s="56">
        <v>0</v>
      </c>
      <c r="AB61" s="81">
        <v>145259.19237771924</v>
      </c>
      <c r="AC61" s="106">
        <v>1</v>
      </c>
      <c r="AD61" s="122" t="s">
        <v>319</v>
      </c>
      <c r="AE61" s="127">
        <v>0.1095890410958904</v>
      </c>
      <c r="AF61" s="121">
        <v>15918.815603037725</v>
      </c>
      <c r="AG61" s="82" t="s">
        <v>350</v>
      </c>
      <c r="AH61" s="335">
        <v>12</v>
      </c>
    </row>
    <row r="62" spans="1:34" x14ac:dyDescent="0.3">
      <c r="A62" s="415" t="s">
        <v>34</v>
      </c>
      <c r="B62" s="96" t="s">
        <v>35</v>
      </c>
      <c r="C62" s="96" t="s">
        <v>342</v>
      </c>
      <c r="D62" s="14">
        <v>1</v>
      </c>
      <c r="E62" s="56">
        <v>24009.730401318589</v>
      </c>
      <c r="F62" s="8"/>
      <c r="G62" s="56">
        <v>0</v>
      </c>
      <c r="H62" s="8"/>
      <c r="I62" s="56">
        <v>0</v>
      </c>
      <c r="J62" s="8"/>
      <c r="K62" s="56">
        <v>0</v>
      </c>
      <c r="L62" s="8"/>
      <c r="M62" s="56">
        <v>0</v>
      </c>
      <c r="N62" s="8"/>
      <c r="O62" s="56">
        <v>0</v>
      </c>
      <c r="P62" s="8"/>
      <c r="Q62" s="56">
        <v>0</v>
      </c>
      <c r="R62" s="8"/>
      <c r="S62" s="56">
        <v>0</v>
      </c>
      <c r="T62" s="8"/>
      <c r="U62" s="56">
        <v>0</v>
      </c>
      <c r="V62" s="8"/>
      <c r="W62" s="56">
        <v>0</v>
      </c>
      <c r="X62" s="8"/>
      <c r="Y62" s="56">
        <v>0</v>
      </c>
      <c r="Z62" s="8"/>
      <c r="AA62" s="56">
        <v>0</v>
      </c>
      <c r="AB62" s="81">
        <v>24009.730401318589</v>
      </c>
      <c r="AC62" s="106">
        <v>1</v>
      </c>
      <c r="AD62" s="122" t="s">
        <v>318</v>
      </c>
      <c r="AE62" s="127">
        <v>1</v>
      </c>
      <c r="AF62" s="121">
        <v>24009.730401318589</v>
      </c>
      <c r="AG62" s="82" t="s">
        <v>350</v>
      </c>
      <c r="AH62" s="335">
        <v>12</v>
      </c>
    </row>
    <row r="63" spans="1:34" x14ac:dyDescent="0.3">
      <c r="A63" s="415" t="s">
        <v>48</v>
      </c>
      <c r="B63" s="8" t="s">
        <v>222</v>
      </c>
      <c r="C63" s="96" t="s">
        <v>342</v>
      </c>
      <c r="D63" s="14">
        <v>1</v>
      </c>
      <c r="E63" s="56">
        <v>77398.098568534639</v>
      </c>
      <c r="F63" s="14"/>
      <c r="G63" s="56">
        <v>0</v>
      </c>
      <c r="H63" s="14"/>
      <c r="I63" s="56">
        <v>0</v>
      </c>
      <c r="J63" s="14"/>
      <c r="K63" s="56">
        <v>0</v>
      </c>
      <c r="L63" s="14"/>
      <c r="M63" s="56">
        <v>0</v>
      </c>
      <c r="N63" s="14"/>
      <c r="O63" s="56">
        <v>0</v>
      </c>
      <c r="P63" s="14"/>
      <c r="Q63" s="56">
        <v>0</v>
      </c>
      <c r="R63" s="14"/>
      <c r="S63" s="56">
        <v>0</v>
      </c>
      <c r="T63" s="14"/>
      <c r="U63" s="56">
        <v>0</v>
      </c>
      <c r="V63" s="14"/>
      <c r="W63" s="56">
        <v>0</v>
      </c>
      <c r="X63" s="14"/>
      <c r="Y63" s="56">
        <v>0</v>
      </c>
      <c r="Z63" s="14"/>
      <c r="AA63" s="56">
        <v>0</v>
      </c>
      <c r="AB63" s="81">
        <v>77398.098568534639</v>
      </c>
      <c r="AC63" s="106">
        <v>1</v>
      </c>
      <c r="AD63" s="86" t="s">
        <v>319</v>
      </c>
      <c r="AE63" s="127">
        <v>3.1963470319634701E-2</v>
      </c>
      <c r="AF63" s="121">
        <v>2473.9118263915179</v>
      </c>
      <c r="AG63" s="82" t="s">
        <v>350</v>
      </c>
      <c r="AH63" s="335">
        <v>12</v>
      </c>
    </row>
    <row r="64" spans="1:34" x14ac:dyDescent="0.3">
      <c r="A64" s="415" t="s">
        <v>46</v>
      </c>
      <c r="B64" s="8" t="s">
        <v>47</v>
      </c>
      <c r="C64" s="96" t="s">
        <v>342</v>
      </c>
      <c r="D64" s="14">
        <v>1</v>
      </c>
      <c r="E64" s="56">
        <v>83398.098568534639</v>
      </c>
      <c r="F64" s="8"/>
      <c r="G64" s="56">
        <v>0</v>
      </c>
      <c r="H64" s="8"/>
      <c r="I64" s="56">
        <v>0</v>
      </c>
      <c r="J64" s="8"/>
      <c r="K64" s="56">
        <v>0</v>
      </c>
      <c r="L64" s="8"/>
      <c r="M64" s="56">
        <v>0</v>
      </c>
      <c r="N64" s="8"/>
      <c r="O64" s="56">
        <v>0</v>
      </c>
      <c r="P64" s="8"/>
      <c r="Q64" s="56">
        <v>0</v>
      </c>
      <c r="R64" s="8"/>
      <c r="S64" s="56">
        <v>0</v>
      </c>
      <c r="T64" s="8"/>
      <c r="U64" s="56">
        <v>0</v>
      </c>
      <c r="V64" s="8"/>
      <c r="W64" s="56">
        <v>0</v>
      </c>
      <c r="X64" s="8"/>
      <c r="Y64" s="56">
        <v>0</v>
      </c>
      <c r="Z64" s="8"/>
      <c r="AA64" s="56">
        <v>0</v>
      </c>
      <c r="AB64" s="81">
        <v>83398.098568534639</v>
      </c>
      <c r="AC64" s="106">
        <v>1</v>
      </c>
      <c r="AD64" s="122" t="s">
        <v>318</v>
      </c>
      <c r="AE64" s="127">
        <v>1</v>
      </c>
      <c r="AF64" s="121">
        <v>83398.098568534639</v>
      </c>
      <c r="AG64" s="82" t="s">
        <v>350</v>
      </c>
      <c r="AH64" s="335">
        <v>12</v>
      </c>
    </row>
    <row r="65" spans="1:34" x14ac:dyDescent="0.3">
      <c r="A65" s="415" t="s">
        <v>52</v>
      </c>
      <c r="B65" s="8" t="s">
        <v>191</v>
      </c>
      <c r="C65" s="96" t="s">
        <v>342</v>
      </c>
      <c r="D65" s="14">
        <v>1</v>
      </c>
      <c r="E65" s="56">
        <v>26897.079640267821</v>
      </c>
      <c r="F65" s="8"/>
      <c r="G65" s="56">
        <v>0</v>
      </c>
      <c r="H65" s="8"/>
      <c r="I65" s="56">
        <v>0</v>
      </c>
      <c r="J65" s="8"/>
      <c r="K65" s="56">
        <v>0</v>
      </c>
      <c r="L65" s="8"/>
      <c r="M65" s="56">
        <v>0</v>
      </c>
      <c r="N65" s="8"/>
      <c r="O65" s="56">
        <v>0</v>
      </c>
      <c r="P65" s="8"/>
      <c r="Q65" s="56">
        <v>0</v>
      </c>
      <c r="R65" s="8"/>
      <c r="S65" s="56">
        <v>0</v>
      </c>
      <c r="T65" s="8"/>
      <c r="U65" s="56">
        <v>0</v>
      </c>
      <c r="V65" s="8"/>
      <c r="W65" s="56">
        <v>0</v>
      </c>
      <c r="X65" s="8"/>
      <c r="Y65" s="56">
        <v>0</v>
      </c>
      <c r="Z65" s="8"/>
      <c r="AA65" s="56">
        <v>0</v>
      </c>
      <c r="AB65" s="81">
        <v>26897.079640267821</v>
      </c>
      <c r="AC65" s="106">
        <v>1</v>
      </c>
      <c r="AD65" s="122" t="s">
        <v>318</v>
      </c>
      <c r="AE65" s="127">
        <v>1</v>
      </c>
      <c r="AF65" s="121">
        <v>26897.079640267821</v>
      </c>
      <c r="AG65" s="82" t="s">
        <v>350</v>
      </c>
      <c r="AH65" s="335">
        <v>12</v>
      </c>
    </row>
    <row r="66" spans="1:34" x14ac:dyDescent="0.3">
      <c r="A66" s="415" t="s">
        <v>53</v>
      </c>
      <c r="B66" s="8" t="s">
        <v>230</v>
      </c>
      <c r="C66" s="96" t="s">
        <v>342</v>
      </c>
      <c r="D66" s="14">
        <v>1</v>
      </c>
      <c r="E66" s="56">
        <v>26897.079640267817</v>
      </c>
      <c r="F66" s="14"/>
      <c r="G66" s="56">
        <v>0</v>
      </c>
      <c r="H66" s="14"/>
      <c r="I66" s="56">
        <v>0</v>
      </c>
      <c r="J66" s="14"/>
      <c r="K66" s="56">
        <v>0</v>
      </c>
      <c r="L66" s="14"/>
      <c r="M66" s="56">
        <v>0</v>
      </c>
      <c r="N66" s="14"/>
      <c r="O66" s="56">
        <v>0</v>
      </c>
      <c r="P66" s="14"/>
      <c r="Q66" s="56">
        <v>0</v>
      </c>
      <c r="R66" s="14"/>
      <c r="S66" s="56">
        <v>0</v>
      </c>
      <c r="T66" s="14"/>
      <c r="U66" s="56">
        <v>0</v>
      </c>
      <c r="V66" s="14"/>
      <c r="W66" s="56">
        <v>0</v>
      </c>
      <c r="X66" s="14"/>
      <c r="Y66" s="56">
        <v>0</v>
      </c>
      <c r="Z66" s="14"/>
      <c r="AA66" s="56">
        <v>0</v>
      </c>
      <c r="AB66" s="81">
        <v>26897.079640267817</v>
      </c>
      <c r="AC66" s="106">
        <v>1</v>
      </c>
      <c r="AD66" s="122" t="s">
        <v>319</v>
      </c>
      <c r="AE66" s="127">
        <v>4.5662100456621002E-3</v>
      </c>
      <c r="AF66" s="121">
        <v>122.81771525236445</v>
      </c>
      <c r="AG66" s="82" t="s">
        <v>350</v>
      </c>
      <c r="AH66" s="335">
        <v>12</v>
      </c>
    </row>
    <row r="67" spans="1:34" x14ac:dyDescent="0.3">
      <c r="A67" s="415" t="s">
        <v>98</v>
      </c>
      <c r="B67" s="96" t="s">
        <v>99</v>
      </c>
      <c r="C67" s="96" t="s">
        <v>342</v>
      </c>
      <c r="D67" s="14">
        <v>1</v>
      </c>
      <c r="E67" s="56">
        <v>17887.388810409495</v>
      </c>
      <c r="F67" s="8"/>
      <c r="G67" s="56">
        <v>0</v>
      </c>
      <c r="H67" s="8"/>
      <c r="I67" s="56">
        <v>0</v>
      </c>
      <c r="J67" s="8"/>
      <c r="K67" s="56">
        <v>0</v>
      </c>
      <c r="L67" s="8"/>
      <c r="M67" s="56">
        <v>0</v>
      </c>
      <c r="N67" s="8"/>
      <c r="O67" s="56">
        <v>0</v>
      </c>
      <c r="P67" s="8"/>
      <c r="Q67" s="56">
        <v>0</v>
      </c>
      <c r="R67" s="8"/>
      <c r="S67" s="56">
        <v>0</v>
      </c>
      <c r="T67" s="8"/>
      <c r="U67" s="56">
        <v>0</v>
      </c>
      <c r="V67" s="8"/>
      <c r="W67" s="56">
        <v>0</v>
      </c>
      <c r="X67" s="8"/>
      <c r="Y67" s="56">
        <v>0</v>
      </c>
      <c r="Z67" s="8"/>
      <c r="AA67" s="56">
        <v>0</v>
      </c>
      <c r="AB67" s="81">
        <v>17887.388810409495</v>
      </c>
      <c r="AC67" s="106">
        <v>1</v>
      </c>
      <c r="AD67" s="122" t="s">
        <v>318</v>
      </c>
      <c r="AE67" s="127">
        <v>1</v>
      </c>
      <c r="AF67" s="121">
        <v>17887.388810409495</v>
      </c>
      <c r="AG67" s="82" t="s">
        <v>350</v>
      </c>
      <c r="AH67" s="335">
        <v>12</v>
      </c>
    </row>
    <row r="68" spans="1:34" x14ac:dyDescent="0.3">
      <c r="A68" s="415" t="s">
        <v>104</v>
      </c>
      <c r="B68" s="96" t="s">
        <v>105</v>
      </c>
      <c r="C68" s="96" t="s">
        <v>342</v>
      </c>
      <c r="D68" s="14"/>
      <c r="E68" s="56">
        <v>0</v>
      </c>
      <c r="F68" s="8"/>
      <c r="G68" s="56">
        <v>0</v>
      </c>
      <c r="H68" s="8"/>
      <c r="I68" s="56">
        <v>0</v>
      </c>
      <c r="J68" s="8"/>
      <c r="K68" s="56">
        <v>0</v>
      </c>
      <c r="L68" s="8"/>
      <c r="M68" s="56">
        <v>0</v>
      </c>
      <c r="N68" s="8"/>
      <c r="O68" s="56">
        <v>0</v>
      </c>
      <c r="P68" s="8"/>
      <c r="Q68" s="56">
        <v>0</v>
      </c>
      <c r="R68" s="8"/>
      <c r="S68" s="56">
        <v>0</v>
      </c>
      <c r="T68" s="8"/>
      <c r="U68" s="56">
        <v>0</v>
      </c>
      <c r="V68" s="8"/>
      <c r="W68" s="56">
        <v>0</v>
      </c>
      <c r="X68" s="8"/>
      <c r="Y68" s="56">
        <v>0</v>
      </c>
      <c r="Z68" s="15">
        <v>1</v>
      </c>
      <c r="AA68" s="56">
        <v>17887.388810409495</v>
      </c>
      <c r="AB68" s="81">
        <v>17887.388810409495</v>
      </c>
      <c r="AC68" s="106">
        <v>1</v>
      </c>
      <c r="AD68" s="122" t="s">
        <v>319</v>
      </c>
      <c r="AE68" s="127">
        <v>4.1095890410958902E-2</v>
      </c>
      <c r="AF68" s="121">
        <v>735.09817029080114</v>
      </c>
      <c r="AG68" s="82" t="s">
        <v>350</v>
      </c>
      <c r="AH68" s="335">
        <v>12</v>
      </c>
    </row>
    <row r="69" spans="1:34" x14ac:dyDescent="0.3">
      <c r="A69" s="415" t="s">
        <v>50</v>
      </c>
      <c r="B69" s="8" t="s">
        <v>142</v>
      </c>
      <c r="C69" s="96" t="s">
        <v>346</v>
      </c>
      <c r="D69" s="14">
        <v>1</v>
      </c>
      <c r="E69" s="56">
        <v>67391.281653480837</v>
      </c>
      <c r="F69" s="8"/>
      <c r="G69" s="56">
        <v>0</v>
      </c>
      <c r="H69" s="8"/>
      <c r="I69" s="56">
        <v>0</v>
      </c>
      <c r="J69" s="8"/>
      <c r="K69" s="56">
        <v>0</v>
      </c>
      <c r="L69" s="8"/>
      <c r="M69" s="56">
        <v>0</v>
      </c>
      <c r="N69" s="8"/>
      <c r="O69" s="56">
        <v>0</v>
      </c>
      <c r="P69" s="8"/>
      <c r="Q69" s="56">
        <v>0</v>
      </c>
      <c r="R69" s="8"/>
      <c r="S69" s="56">
        <v>0</v>
      </c>
      <c r="T69" s="8"/>
      <c r="U69" s="56">
        <v>0</v>
      </c>
      <c r="V69" s="8"/>
      <c r="W69" s="56">
        <v>0</v>
      </c>
      <c r="X69" s="8"/>
      <c r="Y69" s="56">
        <v>0</v>
      </c>
      <c r="Z69" s="14">
        <v>1</v>
      </c>
      <c r="AA69" s="56">
        <v>67391.281653480837</v>
      </c>
      <c r="AB69" s="81">
        <v>134782.56330696167</v>
      </c>
      <c r="AC69" s="106">
        <v>2</v>
      </c>
      <c r="AD69" s="122" t="s">
        <v>319</v>
      </c>
      <c r="AE69" s="127">
        <v>4.5662100456621002E-3</v>
      </c>
      <c r="AF69" s="121">
        <v>615.44549455233641</v>
      </c>
      <c r="AG69" s="82" t="s">
        <v>350</v>
      </c>
      <c r="AH69" s="335">
        <v>12</v>
      </c>
    </row>
    <row r="70" spans="1:34" x14ac:dyDescent="0.3">
      <c r="A70" s="416" t="s">
        <v>1</v>
      </c>
      <c r="B70" s="10" t="s">
        <v>2</v>
      </c>
      <c r="C70" s="96" t="s">
        <v>342</v>
      </c>
      <c r="D70" s="10"/>
      <c r="E70" s="56">
        <v>0</v>
      </c>
      <c r="F70" s="10"/>
      <c r="G70" s="56">
        <v>0</v>
      </c>
      <c r="H70" s="10"/>
      <c r="I70" s="56">
        <v>0</v>
      </c>
      <c r="J70" s="10"/>
      <c r="K70" s="56">
        <v>0</v>
      </c>
      <c r="L70" s="10"/>
      <c r="M70" s="56">
        <v>0</v>
      </c>
      <c r="N70" s="10"/>
      <c r="O70" s="56">
        <v>0</v>
      </c>
      <c r="P70" s="10"/>
      <c r="Q70" s="56">
        <v>0</v>
      </c>
      <c r="R70" s="10"/>
      <c r="S70" s="56">
        <v>0</v>
      </c>
      <c r="T70" s="10"/>
      <c r="U70" s="56">
        <v>0</v>
      </c>
      <c r="V70" s="10"/>
      <c r="W70" s="56">
        <v>0</v>
      </c>
      <c r="X70" s="10"/>
      <c r="Y70" s="56">
        <v>0</v>
      </c>
      <c r="Z70" s="16">
        <v>1</v>
      </c>
      <c r="AA70" s="56">
        <v>21014.39667403782</v>
      </c>
      <c r="AB70" s="81">
        <v>21014.39667403782</v>
      </c>
      <c r="AC70" s="106">
        <v>1</v>
      </c>
      <c r="AD70" s="122" t="s">
        <v>318</v>
      </c>
      <c r="AE70" s="127">
        <v>1</v>
      </c>
      <c r="AF70" s="121">
        <v>21014.39667403782</v>
      </c>
      <c r="AG70" s="82" t="s">
        <v>350</v>
      </c>
      <c r="AH70" s="335">
        <v>12</v>
      </c>
    </row>
    <row r="71" spans="1:34" x14ac:dyDescent="0.3">
      <c r="A71" s="414" t="s">
        <v>421</v>
      </c>
      <c r="B71" s="96" t="s">
        <v>422</v>
      </c>
      <c r="C71" s="96" t="s">
        <v>423</v>
      </c>
      <c r="D71" s="181"/>
      <c r="E71" s="56"/>
      <c r="F71" s="181"/>
      <c r="G71" s="56"/>
      <c r="H71" s="181"/>
      <c r="I71" s="56"/>
      <c r="J71" s="181"/>
      <c r="K71" s="56"/>
      <c r="L71" s="181"/>
      <c r="M71" s="56"/>
      <c r="N71" s="181"/>
      <c r="O71" s="56"/>
      <c r="P71" s="181"/>
      <c r="Q71" s="56"/>
      <c r="R71" s="181"/>
      <c r="S71" s="56"/>
      <c r="T71" s="181"/>
      <c r="U71" s="56"/>
      <c r="V71" s="181"/>
      <c r="W71" s="56"/>
      <c r="X71" s="181"/>
      <c r="Y71" s="56"/>
      <c r="Z71" s="181"/>
      <c r="AA71" s="56"/>
      <c r="AB71" s="81"/>
      <c r="AC71" s="106"/>
      <c r="AD71" s="104" t="s">
        <v>318</v>
      </c>
      <c r="AE71" s="119"/>
      <c r="AF71" s="47"/>
      <c r="AG71" s="82" t="s">
        <v>350</v>
      </c>
      <c r="AH71" s="333">
        <v>12</v>
      </c>
    </row>
    <row r="72" spans="1:34" x14ac:dyDescent="0.3">
      <c r="A72" s="417" t="s">
        <v>13</v>
      </c>
      <c r="B72" s="96" t="s">
        <v>14</v>
      </c>
      <c r="C72" s="96" t="s">
        <v>343</v>
      </c>
      <c r="D72" s="77">
        <v>1</v>
      </c>
      <c r="E72" s="56">
        <v>20552.755657371155</v>
      </c>
      <c r="F72" s="78"/>
      <c r="G72" s="56">
        <v>0</v>
      </c>
      <c r="H72" s="78"/>
      <c r="I72" s="56">
        <v>0</v>
      </c>
      <c r="J72" s="78"/>
      <c r="K72" s="56">
        <v>0</v>
      </c>
      <c r="L72" s="78"/>
      <c r="M72" s="56">
        <v>0</v>
      </c>
      <c r="N72" s="78"/>
      <c r="O72" s="56">
        <v>0</v>
      </c>
      <c r="P72" s="78"/>
      <c r="Q72" s="56">
        <v>0</v>
      </c>
      <c r="R72" s="78"/>
      <c r="S72" s="56">
        <v>0</v>
      </c>
      <c r="T72" s="78"/>
      <c r="U72" s="56">
        <v>0</v>
      </c>
      <c r="V72" s="79"/>
      <c r="W72" s="56">
        <v>0</v>
      </c>
      <c r="X72" s="79"/>
      <c r="Y72" s="56">
        <v>0</v>
      </c>
      <c r="Z72" s="79"/>
      <c r="AA72" s="56">
        <v>0</v>
      </c>
      <c r="AB72" s="81">
        <v>20552.755657371155</v>
      </c>
      <c r="AC72" s="141">
        <v>1</v>
      </c>
      <c r="AD72" s="104" t="s">
        <v>318</v>
      </c>
      <c r="AE72" s="134">
        <v>1</v>
      </c>
      <c r="AF72" s="121">
        <v>20552.755657371155</v>
      </c>
      <c r="AG72" s="82" t="s">
        <v>351</v>
      </c>
      <c r="AH72" s="335">
        <v>12</v>
      </c>
    </row>
    <row r="73" spans="1:34" x14ac:dyDescent="0.3">
      <c r="A73" s="417" t="s">
        <v>98</v>
      </c>
      <c r="B73" s="96" t="s">
        <v>99</v>
      </c>
      <c r="C73" s="96" t="s">
        <v>342</v>
      </c>
      <c r="D73" s="77">
        <v>1</v>
      </c>
      <c r="E73" s="56">
        <v>17887.388810409495</v>
      </c>
      <c r="F73" s="78"/>
      <c r="G73" s="56">
        <v>0</v>
      </c>
      <c r="H73" s="78"/>
      <c r="I73" s="56">
        <v>0</v>
      </c>
      <c r="J73" s="78"/>
      <c r="K73" s="56">
        <v>0</v>
      </c>
      <c r="L73" s="78"/>
      <c r="M73" s="56">
        <v>0</v>
      </c>
      <c r="N73" s="78"/>
      <c r="O73" s="56">
        <v>0</v>
      </c>
      <c r="P73" s="78"/>
      <c r="Q73" s="56">
        <v>0</v>
      </c>
      <c r="R73" s="78"/>
      <c r="S73" s="56">
        <v>0</v>
      </c>
      <c r="T73" s="78"/>
      <c r="U73" s="56">
        <v>0</v>
      </c>
      <c r="V73" s="79"/>
      <c r="W73" s="56">
        <v>0</v>
      </c>
      <c r="X73" s="79"/>
      <c r="Y73" s="56">
        <v>0</v>
      </c>
      <c r="Z73" s="79"/>
      <c r="AA73" s="56">
        <v>0</v>
      </c>
      <c r="AB73" s="81">
        <v>17887.388810409495</v>
      </c>
      <c r="AC73" s="141">
        <v>1</v>
      </c>
      <c r="AD73" s="104" t="s">
        <v>318</v>
      </c>
      <c r="AE73" s="134">
        <v>1</v>
      </c>
      <c r="AF73" s="121">
        <v>17887.388810409495</v>
      </c>
      <c r="AG73" s="82" t="s">
        <v>351</v>
      </c>
      <c r="AH73" s="335">
        <v>12</v>
      </c>
    </row>
    <row r="74" spans="1:34" x14ac:dyDescent="0.3">
      <c r="A74" s="417" t="s">
        <v>104</v>
      </c>
      <c r="B74" s="96" t="s">
        <v>105</v>
      </c>
      <c r="C74" s="96" t="s">
        <v>342</v>
      </c>
      <c r="D74" s="77">
        <v>1</v>
      </c>
      <c r="E74" s="56">
        <v>17887.388810409495</v>
      </c>
      <c r="F74" s="78"/>
      <c r="G74" s="56">
        <v>0</v>
      </c>
      <c r="H74" s="78"/>
      <c r="I74" s="56">
        <v>0</v>
      </c>
      <c r="J74" s="78"/>
      <c r="K74" s="56">
        <v>0</v>
      </c>
      <c r="L74" s="78"/>
      <c r="M74" s="56">
        <v>0</v>
      </c>
      <c r="N74" s="78"/>
      <c r="O74" s="56">
        <v>0</v>
      </c>
      <c r="P74" s="78"/>
      <c r="Q74" s="56">
        <v>0</v>
      </c>
      <c r="R74" s="78"/>
      <c r="S74" s="56">
        <v>0</v>
      </c>
      <c r="T74" s="78"/>
      <c r="U74" s="56">
        <v>0</v>
      </c>
      <c r="V74" s="80"/>
      <c r="W74" s="56">
        <v>0</v>
      </c>
      <c r="X74" s="80"/>
      <c r="Y74" s="56">
        <v>0</v>
      </c>
      <c r="Z74" s="80"/>
      <c r="AA74" s="56">
        <v>0</v>
      </c>
      <c r="AB74" s="81">
        <v>17887.388810409495</v>
      </c>
      <c r="AC74" s="141">
        <v>1</v>
      </c>
      <c r="AD74" s="104" t="s">
        <v>319</v>
      </c>
      <c r="AE74" s="134">
        <v>0.29583875162548767</v>
      </c>
      <c r="AF74" s="121">
        <v>5291.7827755112621</v>
      </c>
      <c r="AG74" s="82" t="s">
        <v>351</v>
      </c>
      <c r="AH74" s="335">
        <v>12</v>
      </c>
    </row>
    <row r="75" spans="1:34" x14ac:dyDescent="0.3">
      <c r="A75" s="417" t="s">
        <v>25</v>
      </c>
      <c r="B75" s="96" t="s">
        <v>26</v>
      </c>
      <c r="C75" s="96" t="s">
        <v>346</v>
      </c>
      <c r="D75" s="77">
        <v>1</v>
      </c>
      <c r="E75" s="56">
        <v>19392.627189167735</v>
      </c>
      <c r="F75" s="78"/>
      <c r="G75" s="56">
        <v>0</v>
      </c>
      <c r="H75" s="78"/>
      <c r="I75" s="56">
        <v>0</v>
      </c>
      <c r="J75" s="78"/>
      <c r="K75" s="56">
        <v>0</v>
      </c>
      <c r="L75" s="78"/>
      <c r="M75" s="56">
        <v>0</v>
      </c>
      <c r="N75" s="80"/>
      <c r="O75" s="56">
        <v>0</v>
      </c>
      <c r="P75" s="78"/>
      <c r="Q75" s="56">
        <v>0</v>
      </c>
      <c r="R75" s="78"/>
      <c r="S75" s="56">
        <v>0</v>
      </c>
      <c r="T75" s="78"/>
      <c r="U75" s="56">
        <v>0</v>
      </c>
      <c r="V75" s="80"/>
      <c r="W75" s="56">
        <v>0</v>
      </c>
      <c r="X75" s="80"/>
      <c r="Y75" s="56">
        <v>0</v>
      </c>
      <c r="Z75" s="80"/>
      <c r="AA75" s="56">
        <v>0</v>
      </c>
      <c r="AB75" s="81">
        <v>19392.627189167735</v>
      </c>
      <c r="AC75" s="141">
        <v>1</v>
      </c>
      <c r="AD75" s="104" t="s">
        <v>318</v>
      </c>
      <c r="AE75" s="134">
        <v>1</v>
      </c>
      <c r="AF75" s="121">
        <v>19392.627189167735</v>
      </c>
      <c r="AG75" s="82" t="s">
        <v>351</v>
      </c>
      <c r="AH75" s="335">
        <v>12</v>
      </c>
    </row>
    <row r="76" spans="1:34" x14ac:dyDescent="0.3">
      <c r="A76" s="417" t="s">
        <v>27</v>
      </c>
      <c r="B76" s="96" t="s">
        <v>28</v>
      </c>
      <c r="C76" s="96" t="s">
        <v>346</v>
      </c>
      <c r="D76" s="77">
        <v>1</v>
      </c>
      <c r="E76" s="56">
        <v>43480.816890660324</v>
      </c>
      <c r="F76" s="78"/>
      <c r="G76" s="56">
        <v>0</v>
      </c>
      <c r="H76" s="78"/>
      <c r="I76" s="56">
        <v>0</v>
      </c>
      <c r="J76" s="78"/>
      <c r="K76" s="56">
        <v>0</v>
      </c>
      <c r="L76" s="78"/>
      <c r="M76" s="56">
        <v>0</v>
      </c>
      <c r="N76" s="80"/>
      <c r="O76" s="56">
        <v>0</v>
      </c>
      <c r="P76" s="78"/>
      <c r="Q76" s="56">
        <v>0</v>
      </c>
      <c r="R76" s="78"/>
      <c r="S76" s="56">
        <v>0</v>
      </c>
      <c r="T76" s="78"/>
      <c r="U76" s="56">
        <v>0</v>
      </c>
      <c r="V76" s="80"/>
      <c r="W76" s="56">
        <v>0</v>
      </c>
      <c r="X76" s="80"/>
      <c r="Y76" s="56">
        <v>0</v>
      </c>
      <c r="Z76" s="80"/>
      <c r="AA76" s="56">
        <v>0</v>
      </c>
      <c r="AB76" s="81">
        <v>43480.816890660324</v>
      </c>
      <c r="AC76" s="141">
        <v>1</v>
      </c>
      <c r="AD76" s="104" t="s">
        <v>318</v>
      </c>
      <c r="AE76" s="134">
        <v>1</v>
      </c>
      <c r="AF76" s="121">
        <v>43480.816890660324</v>
      </c>
      <c r="AG76" s="82" t="s">
        <v>351</v>
      </c>
      <c r="AH76" s="335">
        <v>12</v>
      </c>
    </row>
    <row r="77" spans="1:34" x14ac:dyDescent="0.3">
      <c r="A77" s="417" t="s">
        <v>1</v>
      </c>
      <c r="B77" s="96" t="s">
        <v>2</v>
      </c>
      <c r="C77" s="96" t="s">
        <v>342</v>
      </c>
      <c r="D77" s="77">
        <v>1</v>
      </c>
      <c r="E77" s="56">
        <v>21014.39667403782</v>
      </c>
      <c r="F77" s="78"/>
      <c r="G77" s="56">
        <v>0</v>
      </c>
      <c r="H77" s="78"/>
      <c r="I77" s="56">
        <v>0</v>
      </c>
      <c r="J77" s="78"/>
      <c r="K77" s="56">
        <v>0</v>
      </c>
      <c r="L77" s="78"/>
      <c r="M77" s="56">
        <v>0</v>
      </c>
      <c r="N77" s="78"/>
      <c r="O77" s="56">
        <v>0</v>
      </c>
      <c r="P77" s="78"/>
      <c r="Q77" s="56">
        <v>0</v>
      </c>
      <c r="R77" s="78"/>
      <c r="S77" s="56">
        <v>0</v>
      </c>
      <c r="T77" s="78"/>
      <c r="U77" s="56">
        <v>0</v>
      </c>
      <c r="V77" s="80"/>
      <c r="W77" s="56">
        <v>0</v>
      </c>
      <c r="X77" s="80"/>
      <c r="Y77" s="56">
        <v>0</v>
      </c>
      <c r="Z77" s="80"/>
      <c r="AA77" s="56">
        <v>0</v>
      </c>
      <c r="AB77" s="81">
        <v>21014.39667403782</v>
      </c>
      <c r="AC77" s="141">
        <v>1</v>
      </c>
      <c r="AD77" s="104" t="s">
        <v>318</v>
      </c>
      <c r="AE77" s="134">
        <v>0.3550065019505852</v>
      </c>
      <c r="AF77" s="121">
        <v>7460.2474538521783</v>
      </c>
      <c r="AG77" s="82" t="s">
        <v>351</v>
      </c>
      <c r="AH77" s="335">
        <v>12</v>
      </c>
    </row>
    <row r="78" spans="1:34" x14ac:dyDescent="0.3">
      <c r="A78" s="417" t="s">
        <v>3</v>
      </c>
      <c r="B78" s="96" t="s">
        <v>4</v>
      </c>
      <c r="C78" s="96" t="s">
        <v>342</v>
      </c>
      <c r="D78" s="77">
        <v>1</v>
      </c>
      <c r="E78" s="56">
        <v>20406.13276336317</v>
      </c>
      <c r="F78" s="78"/>
      <c r="G78" s="56">
        <v>0</v>
      </c>
      <c r="H78" s="78"/>
      <c r="I78" s="56">
        <v>0</v>
      </c>
      <c r="J78" s="78"/>
      <c r="K78" s="56">
        <v>0</v>
      </c>
      <c r="L78" s="78"/>
      <c r="M78" s="56">
        <v>0</v>
      </c>
      <c r="N78" s="78"/>
      <c r="O78" s="56">
        <v>0</v>
      </c>
      <c r="P78" s="78"/>
      <c r="Q78" s="56">
        <v>0</v>
      </c>
      <c r="R78" s="78"/>
      <c r="S78" s="56">
        <v>0</v>
      </c>
      <c r="T78" s="78"/>
      <c r="U78" s="56">
        <v>0</v>
      </c>
      <c r="V78" s="79"/>
      <c r="W78" s="56">
        <v>0</v>
      </c>
      <c r="X78" s="79"/>
      <c r="Y78" s="56">
        <v>0</v>
      </c>
      <c r="Z78" s="79"/>
      <c r="AA78" s="56">
        <v>0</v>
      </c>
      <c r="AB78" s="81">
        <v>20406.13276336317</v>
      </c>
      <c r="AC78" s="141">
        <v>1</v>
      </c>
      <c r="AD78" s="104" t="s">
        <v>318</v>
      </c>
      <c r="AE78" s="134">
        <v>1</v>
      </c>
      <c r="AF78" s="121">
        <v>20406.13276336317</v>
      </c>
      <c r="AG78" s="82" t="s">
        <v>351</v>
      </c>
      <c r="AH78" s="335">
        <v>12</v>
      </c>
    </row>
    <row r="79" spans="1:34" x14ac:dyDescent="0.3">
      <c r="A79" s="417" t="s">
        <v>5</v>
      </c>
      <c r="B79" s="96" t="s">
        <v>6</v>
      </c>
      <c r="C79" s="96" t="s">
        <v>342</v>
      </c>
      <c r="D79" s="77">
        <v>1</v>
      </c>
      <c r="E79" s="56">
        <v>18768.367820181349</v>
      </c>
      <c r="F79" s="78"/>
      <c r="G79" s="56">
        <v>0</v>
      </c>
      <c r="H79" s="78"/>
      <c r="I79" s="56">
        <v>0</v>
      </c>
      <c r="J79" s="78"/>
      <c r="K79" s="56">
        <v>0</v>
      </c>
      <c r="L79" s="78"/>
      <c r="M79" s="56">
        <v>0</v>
      </c>
      <c r="N79" s="78"/>
      <c r="O79" s="56">
        <v>0</v>
      </c>
      <c r="P79" s="78"/>
      <c r="Q79" s="56">
        <v>0</v>
      </c>
      <c r="R79" s="78"/>
      <c r="S79" s="56">
        <v>0</v>
      </c>
      <c r="T79" s="78"/>
      <c r="U79" s="56">
        <v>0</v>
      </c>
      <c r="V79" s="79"/>
      <c r="W79" s="56">
        <v>0</v>
      </c>
      <c r="X79" s="79"/>
      <c r="Y79" s="56">
        <v>0</v>
      </c>
      <c r="Z79" s="79"/>
      <c r="AA79" s="56">
        <v>0</v>
      </c>
      <c r="AB79" s="81">
        <v>18768.367820181349</v>
      </c>
      <c r="AC79" s="141">
        <v>1</v>
      </c>
      <c r="AD79" s="104" t="s">
        <v>318</v>
      </c>
      <c r="AE79" s="134">
        <v>0.30593607305936071</v>
      </c>
      <c r="AF79" s="121">
        <v>5741.9207486399555</v>
      </c>
      <c r="AG79" s="82" t="s">
        <v>351</v>
      </c>
      <c r="AH79" s="335">
        <v>12</v>
      </c>
    </row>
    <row r="80" spans="1:34" x14ac:dyDescent="0.3">
      <c r="A80" s="417" t="s">
        <v>23</v>
      </c>
      <c r="B80" s="96" t="s">
        <v>24</v>
      </c>
      <c r="C80" s="96" t="s">
        <v>344</v>
      </c>
      <c r="D80" s="77">
        <v>1</v>
      </c>
      <c r="E80" s="56">
        <v>31881.451880098426</v>
      </c>
      <c r="F80" s="78"/>
      <c r="G80" s="56">
        <v>0</v>
      </c>
      <c r="H80" s="78"/>
      <c r="I80" s="56">
        <v>0</v>
      </c>
      <c r="J80" s="78"/>
      <c r="K80" s="56">
        <v>0</v>
      </c>
      <c r="L80" s="78"/>
      <c r="M80" s="56">
        <v>0</v>
      </c>
      <c r="N80" s="78"/>
      <c r="O80" s="56">
        <v>0</v>
      </c>
      <c r="P80" s="78"/>
      <c r="Q80" s="56">
        <v>0</v>
      </c>
      <c r="R80" s="78"/>
      <c r="S80" s="56">
        <v>0</v>
      </c>
      <c r="T80" s="78"/>
      <c r="U80" s="56">
        <v>0</v>
      </c>
      <c r="V80" s="79"/>
      <c r="W80" s="56">
        <v>0</v>
      </c>
      <c r="X80" s="79"/>
      <c r="Y80" s="56">
        <v>0</v>
      </c>
      <c r="Z80" s="79"/>
      <c r="AA80" s="56">
        <v>0</v>
      </c>
      <c r="AB80" s="81">
        <v>31881.451880098426</v>
      </c>
      <c r="AC80" s="141">
        <v>1</v>
      </c>
      <c r="AD80" s="104" t="s">
        <v>318</v>
      </c>
      <c r="AE80" s="134">
        <v>0.15068493150684931</v>
      </c>
      <c r="AF80" s="121">
        <v>4804.0543928915431</v>
      </c>
      <c r="AG80" s="82" t="s">
        <v>351</v>
      </c>
      <c r="AH80" s="335">
        <v>12</v>
      </c>
    </row>
    <row r="81" spans="1:34" x14ac:dyDescent="0.3">
      <c r="A81" s="417" t="s">
        <v>36</v>
      </c>
      <c r="B81" s="96" t="s">
        <v>136</v>
      </c>
      <c r="C81" s="96" t="s">
        <v>344</v>
      </c>
      <c r="D81" s="77"/>
      <c r="E81" s="56">
        <v>0</v>
      </c>
      <c r="F81" s="77">
        <v>8</v>
      </c>
      <c r="G81" s="56">
        <v>70240.958933331596</v>
      </c>
      <c r="H81" s="77">
        <v>8</v>
      </c>
      <c r="I81" s="56">
        <v>70240.958933331596</v>
      </c>
      <c r="J81" s="77">
        <v>8</v>
      </c>
      <c r="K81" s="56">
        <v>70240.958933331596</v>
      </c>
      <c r="L81" s="77">
        <v>8</v>
      </c>
      <c r="M81" s="56">
        <v>70240.958933331596</v>
      </c>
      <c r="N81" s="77">
        <v>8</v>
      </c>
      <c r="O81" s="56">
        <v>70240.958933331596</v>
      </c>
      <c r="P81" s="77">
        <v>8</v>
      </c>
      <c r="Q81" s="56">
        <v>70240.958933331596</v>
      </c>
      <c r="R81" s="77">
        <v>8</v>
      </c>
      <c r="S81" s="56">
        <v>70240.958933331596</v>
      </c>
      <c r="T81" s="77">
        <v>8</v>
      </c>
      <c r="U81" s="56">
        <v>70240.958933331596</v>
      </c>
      <c r="V81" s="77">
        <v>8</v>
      </c>
      <c r="W81" s="56">
        <v>70240.958933331596</v>
      </c>
      <c r="X81" s="77">
        <v>8</v>
      </c>
      <c r="Y81" s="56">
        <v>70240.958933331596</v>
      </c>
      <c r="Z81" s="77">
        <v>8</v>
      </c>
      <c r="AA81" s="56">
        <v>70240.958933331596</v>
      </c>
      <c r="AB81" s="81">
        <v>772650.54826664738</v>
      </c>
      <c r="AC81" s="141">
        <v>88</v>
      </c>
      <c r="AD81" s="104" t="s">
        <v>318</v>
      </c>
      <c r="AE81" s="134">
        <v>1</v>
      </c>
      <c r="AF81" s="121">
        <v>772650.54826664738</v>
      </c>
      <c r="AG81" s="82" t="s">
        <v>351</v>
      </c>
      <c r="AH81" s="335">
        <v>12</v>
      </c>
    </row>
    <row r="82" spans="1:34" x14ac:dyDescent="0.3">
      <c r="A82" s="417" t="s">
        <v>15</v>
      </c>
      <c r="B82" s="96" t="s">
        <v>16</v>
      </c>
      <c r="C82" s="96" t="s">
        <v>342</v>
      </c>
      <c r="D82" s="78">
        <v>1</v>
      </c>
      <c r="E82" s="56">
        <v>22052.520800552971</v>
      </c>
      <c r="F82" s="78"/>
      <c r="G82" s="56">
        <v>0</v>
      </c>
      <c r="H82" s="78"/>
      <c r="I82" s="56">
        <v>0</v>
      </c>
      <c r="J82" s="78"/>
      <c r="K82" s="56">
        <v>0</v>
      </c>
      <c r="L82" s="78"/>
      <c r="M82" s="56">
        <v>0</v>
      </c>
      <c r="N82" s="78"/>
      <c r="O82" s="56">
        <v>0</v>
      </c>
      <c r="P82" s="78"/>
      <c r="Q82" s="56">
        <v>0</v>
      </c>
      <c r="R82" s="78"/>
      <c r="S82" s="56">
        <v>0</v>
      </c>
      <c r="T82" s="78"/>
      <c r="U82" s="56">
        <v>0</v>
      </c>
      <c r="V82" s="78"/>
      <c r="W82" s="56">
        <v>0</v>
      </c>
      <c r="X82" s="78"/>
      <c r="Y82" s="56">
        <v>0</v>
      </c>
      <c r="Z82" s="78"/>
      <c r="AA82" s="56">
        <v>0</v>
      </c>
      <c r="AB82" s="81">
        <v>22052.520800552971</v>
      </c>
      <c r="AC82" s="141">
        <v>1</v>
      </c>
      <c r="AD82" s="104" t="s">
        <v>318</v>
      </c>
      <c r="AE82" s="134">
        <v>0.27828348504551365</v>
      </c>
      <c r="AF82" s="121">
        <v>6136.8523424165614</v>
      </c>
      <c r="AG82" s="82" t="s">
        <v>351</v>
      </c>
      <c r="AH82" s="335">
        <v>12</v>
      </c>
    </row>
    <row r="83" spans="1:34" x14ac:dyDescent="0.3">
      <c r="A83" s="417" t="s">
        <v>17</v>
      </c>
      <c r="B83" s="96" t="s">
        <v>18</v>
      </c>
      <c r="C83" s="96" t="s">
        <v>342</v>
      </c>
      <c r="D83" s="78">
        <v>1</v>
      </c>
      <c r="E83" s="56">
        <v>20414.75585737115</v>
      </c>
      <c r="F83" s="78"/>
      <c r="G83" s="56">
        <v>0</v>
      </c>
      <c r="H83" s="78"/>
      <c r="I83" s="56">
        <v>0</v>
      </c>
      <c r="J83" s="78"/>
      <c r="K83" s="56">
        <v>0</v>
      </c>
      <c r="L83" s="78"/>
      <c r="M83" s="56">
        <v>0</v>
      </c>
      <c r="N83" s="78"/>
      <c r="O83" s="56">
        <v>0</v>
      </c>
      <c r="P83" s="78"/>
      <c r="Q83" s="56">
        <v>0</v>
      </c>
      <c r="R83" s="78"/>
      <c r="S83" s="56">
        <v>0</v>
      </c>
      <c r="T83" s="78"/>
      <c r="U83" s="56">
        <v>0</v>
      </c>
      <c r="V83" s="78"/>
      <c r="W83" s="56">
        <v>0</v>
      </c>
      <c r="X83" s="78"/>
      <c r="Y83" s="56">
        <v>0</v>
      </c>
      <c r="Z83" s="78"/>
      <c r="AA83" s="56">
        <v>0</v>
      </c>
      <c r="AB83" s="81">
        <v>20414.75585737115</v>
      </c>
      <c r="AC83" s="141">
        <v>1</v>
      </c>
      <c r="AD83" s="104" t="s">
        <v>318</v>
      </c>
      <c r="AE83" s="134">
        <v>0.2503250975292588</v>
      </c>
      <c r="AF83" s="121">
        <v>5110.3257510324402</v>
      </c>
      <c r="AG83" s="82" t="s">
        <v>351</v>
      </c>
      <c r="AH83" s="335">
        <v>12</v>
      </c>
    </row>
    <row r="84" spans="1:34" x14ac:dyDescent="0.3">
      <c r="A84" s="417" t="s">
        <v>19</v>
      </c>
      <c r="B84" s="96" t="s">
        <v>20</v>
      </c>
      <c r="C84" s="96" t="s">
        <v>342</v>
      </c>
      <c r="D84" s="77">
        <v>1</v>
      </c>
      <c r="E84" s="56">
        <v>67398.098568534639</v>
      </c>
      <c r="F84" s="77"/>
      <c r="G84" s="56">
        <v>0</v>
      </c>
      <c r="H84" s="77"/>
      <c r="I84" s="56">
        <v>0</v>
      </c>
      <c r="J84" s="77"/>
      <c r="K84" s="56">
        <v>0</v>
      </c>
      <c r="L84" s="77"/>
      <c r="M84" s="56">
        <v>0</v>
      </c>
      <c r="N84" s="77"/>
      <c r="O84" s="56">
        <v>0</v>
      </c>
      <c r="P84" s="77"/>
      <c r="Q84" s="56">
        <v>0</v>
      </c>
      <c r="R84" s="77"/>
      <c r="S84" s="56">
        <v>0</v>
      </c>
      <c r="T84" s="77"/>
      <c r="U84" s="56">
        <v>0</v>
      </c>
      <c r="V84" s="77"/>
      <c r="W84" s="56">
        <v>0</v>
      </c>
      <c r="X84" s="77"/>
      <c r="Y84" s="56">
        <v>0</v>
      </c>
      <c r="Z84" s="77"/>
      <c r="AA84" s="56">
        <v>0</v>
      </c>
      <c r="AB84" s="81">
        <v>67398.098568534639</v>
      </c>
      <c r="AC84" s="141">
        <v>1</v>
      </c>
      <c r="AD84" s="104" t="s">
        <v>319</v>
      </c>
      <c r="AE84" s="136">
        <v>0.10858257477243173</v>
      </c>
      <c r="AF84" s="135">
        <v>7318.259077337636</v>
      </c>
      <c r="AG84" s="82" t="s">
        <v>351</v>
      </c>
      <c r="AH84" s="335">
        <v>12</v>
      </c>
    </row>
    <row r="85" spans="1:34" x14ac:dyDescent="0.3">
      <c r="A85" s="417" t="s">
        <v>21</v>
      </c>
      <c r="B85" s="96" t="s">
        <v>221</v>
      </c>
      <c r="C85" s="96" t="s">
        <v>342</v>
      </c>
      <c r="D85" s="77">
        <v>1</v>
      </c>
      <c r="E85" s="56">
        <v>67398.098568534639</v>
      </c>
      <c r="F85" s="77"/>
      <c r="G85" s="56">
        <v>0</v>
      </c>
      <c r="H85" s="77"/>
      <c r="I85" s="56">
        <v>0</v>
      </c>
      <c r="J85" s="77"/>
      <c r="K85" s="56">
        <v>0</v>
      </c>
      <c r="L85" s="77"/>
      <c r="M85" s="56">
        <v>0</v>
      </c>
      <c r="N85" s="77"/>
      <c r="O85" s="56">
        <v>0</v>
      </c>
      <c r="P85" s="77"/>
      <c r="Q85" s="56">
        <v>0</v>
      </c>
      <c r="R85" s="77"/>
      <c r="S85" s="56">
        <v>0</v>
      </c>
      <c r="T85" s="77"/>
      <c r="U85" s="56">
        <v>0</v>
      </c>
      <c r="V85" s="77"/>
      <c r="W85" s="56">
        <v>0</v>
      </c>
      <c r="X85" s="77"/>
      <c r="Y85" s="56">
        <v>0</v>
      </c>
      <c r="Z85" s="77"/>
      <c r="AA85" s="56">
        <v>0</v>
      </c>
      <c r="AB85" s="81">
        <v>67398.098568534639</v>
      </c>
      <c r="AC85" s="141">
        <v>1</v>
      </c>
      <c r="AD85" s="104" t="s">
        <v>319</v>
      </c>
      <c r="AE85" s="136">
        <v>1.0461638491547465</v>
      </c>
      <c r="AF85" s="135">
        <v>70509.454224169211</v>
      </c>
      <c r="AG85" s="82" t="s">
        <v>351</v>
      </c>
      <c r="AH85" s="335">
        <v>12</v>
      </c>
    </row>
    <row r="86" spans="1:34" x14ac:dyDescent="0.3">
      <c r="A86" s="417" t="s">
        <v>32</v>
      </c>
      <c r="B86" s="96" t="s">
        <v>143</v>
      </c>
      <c r="C86" s="96" t="s">
        <v>342</v>
      </c>
      <c r="D86" s="77">
        <v>1</v>
      </c>
      <c r="E86" s="56">
        <v>24009.730401318589</v>
      </c>
      <c r="F86" s="77"/>
      <c r="G86" s="56">
        <v>0</v>
      </c>
      <c r="H86" s="77"/>
      <c r="I86" s="56">
        <v>0</v>
      </c>
      <c r="J86" s="77"/>
      <c r="K86" s="56">
        <v>0</v>
      </c>
      <c r="L86" s="77"/>
      <c r="M86" s="56">
        <v>0</v>
      </c>
      <c r="N86" s="77"/>
      <c r="O86" s="56">
        <v>0</v>
      </c>
      <c r="P86" s="77"/>
      <c r="Q86" s="56">
        <v>0</v>
      </c>
      <c r="R86" s="77"/>
      <c r="S86" s="56">
        <v>0</v>
      </c>
      <c r="T86" s="77"/>
      <c r="U86" s="56">
        <v>0</v>
      </c>
      <c r="V86" s="77"/>
      <c r="W86" s="56">
        <v>0</v>
      </c>
      <c r="X86" s="77"/>
      <c r="Y86" s="56">
        <v>0</v>
      </c>
      <c r="Z86" s="77"/>
      <c r="AA86" s="56">
        <v>0</v>
      </c>
      <c r="AB86" s="81">
        <v>24009.730401318589</v>
      </c>
      <c r="AC86" s="141">
        <v>1</v>
      </c>
      <c r="AD86" s="104" t="s">
        <v>319</v>
      </c>
      <c r="AE86" s="136">
        <v>6.5019505851755528E-4</v>
      </c>
      <c r="AF86" s="135">
        <v>15.611008063276067</v>
      </c>
      <c r="AG86" s="82" t="s">
        <v>351</v>
      </c>
      <c r="AH86" s="335">
        <v>12</v>
      </c>
    </row>
    <row r="87" spans="1:34" x14ac:dyDescent="0.3">
      <c r="A87" s="417" t="s">
        <v>34</v>
      </c>
      <c r="B87" s="96" t="s">
        <v>35</v>
      </c>
      <c r="C87" s="96" t="s">
        <v>342</v>
      </c>
      <c r="D87" s="77">
        <v>1</v>
      </c>
      <c r="E87" s="56">
        <v>24009.730401318589</v>
      </c>
      <c r="F87" s="78"/>
      <c r="G87" s="56">
        <v>0</v>
      </c>
      <c r="H87" s="78"/>
      <c r="I87" s="56">
        <v>0</v>
      </c>
      <c r="J87" s="78"/>
      <c r="K87" s="56">
        <v>0</v>
      </c>
      <c r="L87" s="78"/>
      <c r="M87" s="56">
        <v>0</v>
      </c>
      <c r="N87" s="78"/>
      <c r="O87" s="56">
        <v>0</v>
      </c>
      <c r="P87" s="78"/>
      <c r="Q87" s="56">
        <v>0</v>
      </c>
      <c r="R87" s="78"/>
      <c r="S87" s="56">
        <v>0</v>
      </c>
      <c r="T87" s="78"/>
      <c r="U87" s="56">
        <v>0</v>
      </c>
      <c r="V87" s="78"/>
      <c r="W87" s="56">
        <v>0</v>
      </c>
      <c r="X87" s="78"/>
      <c r="Y87" s="56">
        <v>0</v>
      </c>
      <c r="Z87" s="78"/>
      <c r="AA87" s="56">
        <v>0</v>
      </c>
      <c r="AB87" s="81">
        <v>24009.730401318589</v>
      </c>
      <c r="AC87" s="141">
        <v>1</v>
      </c>
      <c r="AD87" s="104" t="s">
        <v>318</v>
      </c>
      <c r="AE87" s="136">
        <v>1</v>
      </c>
      <c r="AF87" s="135">
        <v>24009.730401318589</v>
      </c>
      <c r="AG87" s="82" t="s">
        <v>351</v>
      </c>
      <c r="AH87" s="335">
        <v>12</v>
      </c>
    </row>
    <row r="88" spans="1:34" x14ac:dyDescent="0.3">
      <c r="A88" s="417" t="s">
        <v>38</v>
      </c>
      <c r="B88" s="96" t="s">
        <v>137</v>
      </c>
      <c r="C88" s="96" t="s">
        <v>342</v>
      </c>
      <c r="D88" s="77">
        <v>1</v>
      </c>
      <c r="E88" s="56">
        <v>56420.692787682223</v>
      </c>
      <c r="F88" s="77"/>
      <c r="G88" s="56">
        <v>0</v>
      </c>
      <c r="H88" s="77"/>
      <c r="I88" s="56">
        <v>0</v>
      </c>
      <c r="J88" s="77"/>
      <c r="K88" s="56">
        <v>0</v>
      </c>
      <c r="L88" s="77"/>
      <c r="M88" s="56">
        <v>0</v>
      </c>
      <c r="N88" s="77"/>
      <c r="O88" s="56">
        <v>0</v>
      </c>
      <c r="P88" s="77"/>
      <c r="Q88" s="56">
        <v>0</v>
      </c>
      <c r="R88" s="77"/>
      <c r="S88" s="56">
        <v>0</v>
      </c>
      <c r="T88" s="77"/>
      <c r="U88" s="56">
        <v>0</v>
      </c>
      <c r="V88" s="77"/>
      <c r="W88" s="56">
        <v>0</v>
      </c>
      <c r="X88" s="77"/>
      <c r="Y88" s="56">
        <v>0</v>
      </c>
      <c r="Z88" s="77"/>
      <c r="AA88" s="56">
        <v>0</v>
      </c>
      <c r="AB88" s="81">
        <v>56420.692787682223</v>
      </c>
      <c r="AC88" s="141">
        <v>1</v>
      </c>
      <c r="AD88" s="104" t="s">
        <v>319</v>
      </c>
      <c r="AE88" s="136">
        <v>0.22886866059817945</v>
      </c>
      <c r="AF88" s="135">
        <v>12912.928388338194</v>
      </c>
      <c r="AG88" s="82" t="s">
        <v>351</v>
      </c>
      <c r="AH88" s="335">
        <v>12</v>
      </c>
    </row>
    <row r="89" spans="1:34" x14ac:dyDescent="0.3">
      <c r="A89" s="417" t="s">
        <v>113</v>
      </c>
      <c r="B89" s="98" t="s">
        <v>139</v>
      </c>
      <c r="C89" s="96" t="s">
        <v>342</v>
      </c>
      <c r="D89" s="77">
        <v>1</v>
      </c>
      <c r="E89" s="56">
        <v>60236.092716419647</v>
      </c>
      <c r="F89" s="77"/>
      <c r="G89" s="56">
        <v>0</v>
      </c>
      <c r="H89" s="77"/>
      <c r="I89" s="56">
        <v>0</v>
      </c>
      <c r="J89" s="77"/>
      <c r="K89" s="56">
        <v>0</v>
      </c>
      <c r="L89" s="77"/>
      <c r="M89" s="56">
        <v>0</v>
      </c>
      <c r="N89" s="77"/>
      <c r="O89" s="56">
        <v>0</v>
      </c>
      <c r="P89" s="77"/>
      <c r="Q89" s="56">
        <v>0</v>
      </c>
      <c r="R89" s="77"/>
      <c r="S89" s="56">
        <v>0</v>
      </c>
      <c r="T89" s="77"/>
      <c r="U89" s="56">
        <v>0</v>
      </c>
      <c r="V89" s="77"/>
      <c r="W89" s="56">
        <v>0</v>
      </c>
      <c r="X89" s="77"/>
      <c r="Y89" s="56">
        <v>0</v>
      </c>
      <c r="Z89" s="77"/>
      <c r="AA89" s="56">
        <v>0</v>
      </c>
      <c r="AB89" s="81">
        <v>60236.092716419647</v>
      </c>
      <c r="AC89" s="141">
        <v>1</v>
      </c>
      <c r="AD89" s="104" t="s">
        <v>319</v>
      </c>
      <c r="AE89" s="136">
        <v>3.3159947984395317E-2</v>
      </c>
      <c r="AF89" s="135">
        <v>1997.425701259689</v>
      </c>
      <c r="AG89" s="82" t="s">
        <v>351</v>
      </c>
      <c r="AH89" s="335">
        <v>12</v>
      </c>
    </row>
    <row r="90" spans="1:34" x14ac:dyDescent="0.3">
      <c r="A90" s="417" t="s">
        <v>114</v>
      </c>
      <c r="B90" s="96" t="s">
        <v>140</v>
      </c>
      <c r="C90" s="96" t="s">
        <v>342</v>
      </c>
      <c r="D90" s="77"/>
      <c r="E90" s="56">
        <v>0</v>
      </c>
      <c r="F90" s="77"/>
      <c r="G90" s="56">
        <v>0</v>
      </c>
      <c r="H90" s="77"/>
      <c r="I90" s="56">
        <v>0</v>
      </c>
      <c r="J90" s="77">
        <v>1</v>
      </c>
      <c r="K90" s="56">
        <v>62748.232282880919</v>
      </c>
      <c r="L90" s="77"/>
      <c r="M90" s="56">
        <v>0</v>
      </c>
      <c r="N90" s="77"/>
      <c r="O90" s="56">
        <v>0</v>
      </c>
      <c r="P90" s="77"/>
      <c r="Q90" s="56">
        <v>0</v>
      </c>
      <c r="R90" s="77"/>
      <c r="S90" s="56">
        <v>0</v>
      </c>
      <c r="T90" s="77"/>
      <c r="U90" s="56">
        <v>0</v>
      </c>
      <c r="V90" s="77"/>
      <c r="W90" s="56">
        <v>0</v>
      </c>
      <c r="X90" s="77"/>
      <c r="Y90" s="56">
        <v>0</v>
      </c>
      <c r="Z90" s="77"/>
      <c r="AA90" s="56">
        <v>0</v>
      </c>
      <c r="AB90" s="81">
        <v>62748.232282880919</v>
      </c>
      <c r="AC90" s="141">
        <v>1</v>
      </c>
      <c r="AD90" s="104" t="s">
        <v>319</v>
      </c>
      <c r="AE90" s="136">
        <v>1.5604681404421327E-2</v>
      </c>
      <c r="AF90" s="135">
        <v>979.16617346498185</v>
      </c>
      <c r="AG90" s="82" t="s">
        <v>351</v>
      </c>
      <c r="AH90" s="335">
        <v>12</v>
      </c>
    </row>
    <row r="91" spans="1:34" x14ac:dyDescent="0.3">
      <c r="A91" s="417" t="s">
        <v>115</v>
      </c>
      <c r="B91" s="96" t="s">
        <v>141</v>
      </c>
      <c r="C91" s="96" t="s">
        <v>342</v>
      </c>
      <c r="D91" s="77"/>
      <c r="E91" s="56">
        <v>0</v>
      </c>
      <c r="F91" s="77"/>
      <c r="G91" s="56">
        <v>0</v>
      </c>
      <c r="H91" s="77"/>
      <c r="I91" s="56">
        <v>0</v>
      </c>
      <c r="J91" s="77"/>
      <c r="K91" s="56">
        <v>0</v>
      </c>
      <c r="L91" s="77"/>
      <c r="M91" s="56">
        <v>0</v>
      </c>
      <c r="N91" s="77"/>
      <c r="O91" s="56">
        <v>0</v>
      </c>
      <c r="P91" s="77"/>
      <c r="Q91" s="56">
        <v>0</v>
      </c>
      <c r="R91" s="77"/>
      <c r="S91" s="56">
        <v>0</v>
      </c>
      <c r="T91" s="77"/>
      <c r="U91" s="56">
        <v>0</v>
      </c>
      <c r="V91" s="77"/>
      <c r="W91" s="56">
        <v>0</v>
      </c>
      <c r="X91" s="77"/>
      <c r="Y91" s="56">
        <v>0</v>
      </c>
      <c r="Z91" s="77">
        <v>1</v>
      </c>
      <c r="AA91" s="56">
        <v>62748.232282880919</v>
      </c>
      <c r="AB91" s="81">
        <v>62748.232282880919</v>
      </c>
      <c r="AC91" s="141">
        <v>1</v>
      </c>
      <c r="AD91" s="104" t="s">
        <v>318</v>
      </c>
      <c r="AE91" s="136">
        <v>1</v>
      </c>
      <c r="AF91" s="135">
        <v>62748.232282880919</v>
      </c>
      <c r="AG91" s="82" t="s">
        <v>351</v>
      </c>
      <c r="AH91" s="335">
        <v>12</v>
      </c>
    </row>
    <row r="92" spans="1:34" x14ac:dyDescent="0.3">
      <c r="A92" s="417" t="s">
        <v>42</v>
      </c>
      <c r="B92" s="96" t="s">
        <v>228</v>
      </c>
      <c r="C92" s="96" t="s">
        <v>344</v>
      </c>
      <c r="D92" s="77">
        <v>1</v>
      </c>
      <c r="E92" s="56">
        <v>31714.220952863223</v>
      </c>
      <c r="F92" s="77"/>
      <c r="G92" s="56">
        <v>0</v>
      </c>
      <c r="H92" s="77"/>
      <c r="I92" s="56">
        <v>0</v>
      </c>
      <c r="J92" s="77"/>
      <c r="K92" s="56">
        <v>0</v>
      </c>
      <c r="L92" s="77"/>
      <c r="M92" s="56">
        <v>0</v>
      </c>
      <c r="N92" s="77"/>
      <c r="O92" s="56">
        <v>0</v>
      </c>
      <c r="P92" s="77"/>
      <c r="Q92" s="56">
        <v>0</v>
      </c>
      <c r="R92" s="77"/>
      <c r="S92" s="56">
        <v>0</v>
      </c>
      <c r="T92" s="77"/>
      <c r="U92" s="56">
        <v>0</v>
      </c>
      <c r="V92" s="77"/>
      <c r="W92" s="56">
        <v>0</v>
      </c>
      <c r="X92" s="77"/>
      <c r="Y92" s="56">
        <v>0</v>
      </c>
      <c r="Z92" s="77"/>
      <c r="AA92" s="56">
        <v>0</v>
      </c>
      <c r="AB92" s="81">
        <v>31714.220952863223</v>
      </c>
      <c r="AC92" s="141">
        <v>1</v>
      </c>
      <c r="AD92" s="104" t="s">
        <v>319</v>
      </c>
      <c r="AE92" s="136">
        <v>5.5266579973992196E-2</v>
      </c>
      <c r="AF92" s="135">
        <v>1752.7365286042743</v>
      </c>
      <c r="AG92" s="82" t="s">
        <v>351</v>
      </c>
      <c r="AH92" s="335">
        <v>12</v>
      </c>
    </row>
    <row r="93" spans="1:34" x14ac:dyDescent="0.3">
      <c r="A93" s="417" t="s">
        <v>44</v>
      </c>
      <c r="B93" s="96" t="s">
        <v>229</v>
      </c>
      <c r="C93" s="96" t="s">
        <v>344</v>
      </c>
      <c r="D93" s="77">
        <v>1</v>
      </c>
      <c r="E93" s="56">
        <v>31714.220952863223</v>
      </c>
      <c r="F93" s="77"/>
      <c r="G93" s="56">
        <v>0</v>
      </c>
      <c r="H93" s="77"/>
      <c r="I93" s="56">
        <v>0</v>
      </c>
      <c r="J93" s="77"/>
      <c r="K93" s="56">
        <v>0</v>
      </c>
      <c r="L93" s="77"/>
      <c r="M93" s="56">
        <v>0</v>
      </c>
      <c r="N93" s="77"/>
      <c r="O93" s="56">
        <v>0</v>
      </c>
      <c r="P93" s="77"/>
      <c r="Q93" s="56">
        <v>0</v>
      </c>
      <c r="R93" s="77"/>
      <c r="S93" s="56">
        <v>0</v>
      </c>
      <c r="T93" s="77"/>
      <c r="U93" s="56">
        <v>0</v>
      </c>
      <c r="V93" s="77"/>
      <c r="W93" s="56">
        <v>0</v>
      </c>
      <c r="X93" s="77"/>
      <c r="Y93" s="56">
        <v>0</v>
      </c>
      <c r="Z93" s="77"/>
      <c r="AA93" s="56">
        <v>0</v>
      </c>
      <c r="AB93" s="81">
        <v>31714.220952863223</v>
      </c>
      <c r="AC93" s="141">
        <v>1</v>
      </c>
      <c r="AD93" s="104" t="s">
        <v>319</v>
      </c>
      <c r="AE93" s="136">
        <v>0.26007802340702213</v>
      </c>
      <c r="AF93" s="135">
        <v>8248.1718993142331</v>
      </c>
      <c r="AG93" s="82" t="s">
        <v>351</v>
      </c>
      <c r="AH93" s="335">
        <v>12</v>
      </c>
    </row>
    <row r="94" spans="1:34" x14ac:dyDescent="0.3">
      <c r="A94" s="417" t="s">
        <v>46</v>
      </c>
      <c r="B94" s="96" t="s">
        <v>47</v>
      </c>
      <c r="C94" s="96" t="s">
        <v>342</v>
      </c>
      <c r="D94" s="77">
        <v>1</v>
      </c>
      <c r="E94" s="56">
        <v>83398.098568534639</v>
      </c>
      <c r="F94" s="77"/>
      <c r="G94" s="56">
        <v>0</v>
      </c>
      <c r="H94" s="77"/>
      <c r="I94" s="56">
        <v>0</v>
      </c>
      <c r="J94" s="77"/>
      <c r="K94" s="56">
        <v>0</v>
      </c>
      <c r="L94" s="77"/>
      <c r="M94" s="56">
        <v>0</v>
      </c>
      <c r="N94" s="77"/>
      <c r="O94" s="56">
        <v>0</v>
      </c>
      <c r="P94" s="77"/>
      <c r="Q94" s="56">
        <v>0</v>
      </c>
      <c r="R94" s="77"/>
      <c r="S94" s="56">
        <v>0</v>
      </c>
      <c r="T94" s="77"/>
      <c r="U94" s="56">
        <v>0</v>
      </c>
      <c r="V94" s="77"/>
      <c r="W94" s="56">
        <v>0</v>
      </c>
      <c r="X94" s="77"/>
      <c r="Y94" s="56">
        <v>0</v>
      </c>
      <c r="Z94" s="77"/>
      <c r="AA94" s="56">
        <v>0</v>
      </c>
      <c r="AB94" s="81">
        <v>83398.098568534639</v>
      </c>
      <c r="AC94" s="141">
        <v>1</v>
      </c>
      <c r="AD94" s="104" t="s">
        <v>319</v>
      </c>
      <c r="AE94" s="136">
        <v>2.6007802340702211E-3</v>
      </c>
      <c r="AF94" s="135">
        <v>216.90012631608488</v>
      </c>
      <c r="AG94" s="82" t="s">
        <v>351</v>
      </c>
      <c r="AH94" s="335">
        <v>12</v>
      </c>
    </row>
    <row r="95" spans="1:34" x14ac:dyDescent="0.3">
      <c r="A95" s="417" t="s">
        <v>48</v>
      </c>
      <c r="B95" s="96" t="s">
        <v>222</v>
      </c>
      <c r="C95" s="96" t="s">
        <v>342</v>
      </c>
      <c r="D95" s="77">
        <v>1</v>
      </c>
      <c r="E95" s="56">
        <v>77398.098568534639</v>
      </c>
      <c r="F95" s="77"/>
      <c r="G95" s="56">
        <v>0</v>
      </c>
      <c r="H95" s="77"/>
      <c r="I95" s="56">
        <v>0</v>
      </c>
      <c r="J95" s="77"/>
      <c r="K95" s="56">
        <v>0</v>
      </c>
      <c r="L95" s="77"/>
      <c r="M95" s="56">
        <v>0</v>
      </c>
      <c r="N95" s="77"/>
      <c r="O95" s="56">
        <v>0</v>
      </c>
      <c r="P95" s="77"/>
      <c r="Q95" s="56">
        <v>0</v>
      </c>
      <c r="R95" s="77"/>
      <c r="S95" s="56">
        <v>0</v>
      </c>
      <c r="T95" s="77"/>
      <c r="U95" s="56">
        <v>0</v>
      </c>
      <c r="V95" s="77"/>
      <c r="W95" s="56">
        <v>0</v>
      </c>
      <c r="X95" s="77"/>
      <c r="Y95" s="56">
        <v>0</v>
      </c>
      <c r="Z95" s="77"/>
      <c r="AA95" s="56">
        <v>0</v>
      </c>
      <c r="AB95" s="81">
        <v>77398.098568534639</v>
      </c>
      <c r="AC95" s="141">
        <v>1</v>
      </c>
      <c r="AD95" s="104" t="s">
        <v>319</v>
      </c>
      <c r="AE95" s="136">
        <v>3.0559167750325099E-2</v>
      </c>
      <c r="AF95" s="135">
        <v>2365.2214777120471</v>
      </c>
      <c r="AG95" s="82" t="s">
        <v>351</v>
      </c>
      <c r="AH95" s="335">
        <v>12</v>
      </c>
    </row>
    <row r="96" spans="1:34" x14ac:dyDescent="0.3">
      <c r="A96" s="417" t="s">
        <v>50</v>
      </c>
      <c r="B96" s="98" t="s">
        <v>142</v>
      </c>
      <c r="C96" s="96" t="s">
        <v>346</v>
      </c>
      <c r="D96" s="77">
        <v>1</v>
      </c>
      <c r="E96" s="56">
        <v>67391.281653480837</v>
      </c>
      <c r="F96" s="77"/>
      <c r="G96" s="56">
        <v>0</v>
      </c>
      <c r="H96" s="77"/>
      <c r="I96" s="56">
        <v>0</v>
      </c>
      <c r="J96" s="77"/>
      <c r="K96" s="56">
        <v>0</v>
      </c>
      <c r="L96" s="77"/>
      <c r="M96" s="56">
        <v>0</v>
      </c>
      <c r="N96" s="77"/>
      <c r="O96" s="56">
        <v>0</v>
      </c>
      <c r="P96" s="77"/>
      <c r="Q96" s="56">
        <v>0</v>
      </c>
      <c r="R96" s="77"/>
      <c r="S96" s="56">
        <v>0</v>
      </c>
      <c r="T96" s="77"/>
      <c r="U96" s="56">
        <v>0</v>
      </c>
      <c r="V96" s="77"/>
      <c r="W96" s="56">
        <v>0</v>
      </c>
      <c r="X96" s="77"/>
      <c r="Y96" s="56">
        <v>0</v>
      </c>
      <c r="Z96" s="77"/>
      <c r="AA96" s="56">
        <v>0</v>
      </c>
      <c r="AB96" s="81">
        <v>67391.281653480837</v>
      </c>
      <c r="AC96" s="141">
        <v>1</v>
      </c>
      <c r="AD96" s="104" t="s">
        <v>319</v>
      </c>
      <c r="AE96" s="136">
        <v>1.3003901170351106E-3</v>
      </c>
      <c r="AF96" s="135">
        <v>87.634956636516051</v>
      </c>
      <c r="AG96" s="82" t="s">
        <v>351</v>
      </c>
      <c r="AH96" s="335">
        <v>12</v>
      </c>
    </row>
    <row r="97" spans="1:34" x14ac:dyDescent="0.3">
      <c r="A97" s="417" t="s">
        <v>52</v>
      </c>
      <c r="B97" s="96" t="s">
        <v>191</v>
      </c>
      <c r="C97" s="96" t="s">
        <v>342</v>
      </c>
      <c r="D97" s="77">
        <v>1</v>
      </c>
      <c r="E97" s="56">
        <v>26897.079640267821</v>
      </c>
      <c r="F97" s="78"/>
      <c r="G97" s="56">
        <v>0</v>
      </c>
      <c r="H97" s="78"/>
      <c r="I97" s="56">
        <v>0</v>
      </c>
      <c r="J97" s="78"/>
      <c r="K97" s="56">
        <v>0</v>
      </c>
      <c r="L97" s="78"/>
      <c r="M97" s="56">
        <v>0</v>
      </c>
      <c r="N97" s="78"/>
      <c r="O97" s="56">
        <v>0</v>
      </c>
      <c r="P97" s="78"/>
      <c r="Q97" s="56">
        <v>0</v>
      </c>
      <c r="R97" s="78"/>
      <c r="S97" s="56">
        <v>0</v>
      </c>
      <c r="T97" s="78"/>
      <c r="U97" s="56">
        <v>0</v>
      </c>
      <c r="V97" s="78"/>
      <c r="W97" s="56">
        <v>0</v>
      </c>
      <c r="X97" s="78"/>
      <c r="Y97" s="56">
        <v>0</v>
      </c>
      <c r="Z97" s="78"/>
      <c r="AA97" s="56">
        <v>0</v>
      </c>
      <c r="AB97" s="81">
        <v>26897.079640267821</v>
      </c>
      <c r="AC97" s="141">
        <v>1</v>
      </c>
      <c r="AD97" s="104" t="s">
        <v>319</v>
      </c>
      <c r="AE97" s="136">
        <v>3.2509752925877762E-3</v>
      </c>
      <c r="AF97" s="135">
        <v>87.441741353276399</v>
      </c>
      <c r="AG97" s="82" t="s">
        <v>351</v>
      </c>
      <c r="AH97" s="335">
        <v>12</v>
      </c>
    </row>
    <row r="98" spans="1:34" x14ac:dyDescent="0.3">
      <c r="A98" s="417" t="s">
        <v>53</v>
      </c>
      <c r="B98" s="96" t="s">
        <v>230</v>
      </c>
      <c r="C98" s="96" t="s">
        <v>342</v>
      </c>
      <c r="D98" s="77">
        <v>1</v>
      </c>
      <c r="E98" s="56">
        <v>26897.079640267817</v>
      </c>
      <c r="F98" s="77"/>
      <c r="G98" s="56">
        <v>0</v>
      </c>
      <c r="H98" s="77"/>
      <c r="I98" s="56">
        <v>0</v>
      </c>
      <c r="J98" s="77"/>
      <c r="K98" s="56">
        <v>0</v>
      </c>
      <c r="L98" s="77"/>
      <c r="M98" s="56">
        <v>0</v>
      </c>
      <c r="N98" s="77"/>
      <c r="O98" s="56">
        <v>0</v>
      </c>
      <c r="P98" s="77"/>
      <c r="Q98" s="56">
        <v>0</v>
      </c>
      <c r="R98" s="77"/>
      <c r="S98" s="56">
        <v>0</v>
      </c>
      <c r="T98" s="77"/>
      <c r="U98" s="56">
        <v>0</v>
      </c>
      <c r="V98" s="77"/>
      <c r="W98" s="56">
        <v>0</v>
      </c>
      <c r="X98" s="77"/>
      <c r="Y98" s="56">
        <v>0</v>
      </c>
      <c r="Z98" s="77"/>
      <c r="AA98" s="56">
        <v>0</v>
      </c>
      <c r="AB98" s="81">
        <v>26897.079640267817</v>
      </c>
      <c r="AC98" s="141">
        <v>1</v>
      </c>
      <c r="AD98" s="104" t="s">
        <v>319</v>
      </c>
      <c r="AE98" s="136">
        <v>3.9011703511053317E-3</v>
      </c>
      <c r="AF98" s="135">
        <v>104.93008962393166</v>
      </c>
      <c r="AG98" s="82" t="s">
        <v>351</v>
      </c>
      <c r="AH98" s="335">
        <v>12</v>
      </c>
    </row>
    <row r="99" spans="1:34" x14ac:dyDescent="0.3">
      <c r="A99" s="417" t="s">
        <v>54</v>
      </c>
      <c r="B99" s="96" t="s">
        <v>227</v>
      </c>
      <c r="C99" s="96" t="s">
        <v>343</v>
      </c>
      <c r="D99" s="77"/>
      <c r="E99" s="56">
        <v>0</v>
      </c>
      <c r="F99" s="77"/>
      <c r="G99" s="56">
        <v>0</v>
      </c>
      <c r="H99" s="77"/>
      <c r="I99" s="56">
        <v>0</v>
      </c>
      <c r="J99" s="77"/>
      <c r="K99" s="56">
        <v>0</v>
      </c>
      <c r="L99" s="77"/>
      <c r="M99" s="56">
        <v>0</v>
      </c>
      <c r="N99" s="77">
        <v>1</v>
      </c>
      <c r="O99" s="56">
        <v>145259.19237771924</v>
      </c>
      <c r="P99" s="77"/>
      <c r="Q99" s="56">
        <v>0</v>
      </c>
      <c r="R99" s="77"/>
      <c r="S99" s="56">
        <v>0</v>
      </c>
      <c r="T99" s="77"/>
      <c r="U99" s="56">
        <v>0</v>
      </c>
      <c r="V99" s="77"/>
      <c r="W99" s="56">
        <v>0</v>
      </c>
      <c r="X99" s="77"/>
      <c r="Y99" s="56">
        <v>0</v>
      </c>
      <c r="Z99" s="77"/>
      <c r="AA99" s="56">
        <v>0</v>
      </c>
      <c r="AB99" s="81">
        <v>145259.19237771924</v>
      </c>
      <c r="AC99" s="141">
        <v>1</v>
      </c>
      <c r="AD99" s="104" t="s">
        <v>319</v>
      </c>
      <c r="AE99" s="136">
        <v>7.8023407022106634E-3</v>
      </c>
      <c r="AF99" s="135">
        <v>1133.3617090589278</v>
      </c>
      <c r="AG99" s="82" t="s">
        <v>351</v>
      </c>
      <c r="AH99" s="335">
        <v>12</v>
      </c>
    </row>
    <row r="100" spans="1:34" x14ac:dyDescent="0.3">
      <c r="A100" s="417" t="s">
        <v>29</v>
      </c>
      <c r="B100" s="96" t="s">
        <v>196</v>
      </c>
      <c r="C100" s="96" t="s">
        <v>344</v>
      </c>
      <c r="D100" s="78"/>
      <c r="E100" s="56">
        <v>0</v>
      </c>
      <c r="F100" s="78"/>
      <c r="G100" s="56">
        <v>0</v>
      </c>
      <c r="H100" s="78"/>
      <c r="I100" s="56">
        <v>0</v>
      </c>
      <c r="J100" s="78"/>
      <c r="K100" s="56">
        <v>0</v>
      </c>
      <c r="L100" s="78"/>
      <c r="M100" s="56">
        <v>0</v>
      </c>
      <c r="N100" s="78"/>
      <c r="O100" s="56">
        <v>0</v>
      </c>
      <c r="P100" s="78"/>
      <c r="Q100" s="56">
        <v>0</v>
      </c>
      <c r="R100" s="78"/>
      <c r="S100" s="56">
        <v>0</v>
      </c>
      <c r="T100" s="78"/>
      <c r="U100" s="56">
        <v>0</v>
      </c>
      <c r="V100" s="78"/>
      <c r="W100" s="56">
        <v>0</v>
      </c>
      <c r="X100" s="78"/>
      <c r="Y100" s="56">
        <v>0</v>
      </c>
      <c r="Z100" s="78">
        <v>1</v>
      </c>
      <c r="AA100" s="56">
        <v>31881.451880098426</v>
      </c>
      <c r="AB100" s="81">
        <v>31881.451880098426</v>
      </c>
      <c r="AC100" s="141">
        <v>1</v>
      </c>
      <c r="AD100" s="104" t="s">
        <v>318</v>
      </c>
      <c r="AE100" s="136">
        <v>1</v>
      </c>
      <c r="AF100" s="135">
        <v>31881.451880098426</v>
      </c>
      <c r="AG100" s="82" t="s">
        <v>350</v>
      </c>
      <c r="AH100" s="335">
        <v>12</v>
      </c>
    </row>
    <row r="101" spans="1:34" x14ac:dyDescent="0.3">
      <c r="A101" s="414" t="s">
        <v>421</v>
      </c>
      <c r="B101" s="96" t="s">
        <v>422</v>
      </c>
      <c r="C101" s="96" t="s">
        <v>423</v>
      </c>
      <c r="D101" s="181"/>
      <c r="E101" s="56"/>
      <c r="F101" s="181"/>
      <c r="G101" s="56"/>
      <c r="H101" s="181"/>
      <c r="I101" s="56"/>
      <c r="J101" s="181"/>
      <c r="K101" s="56"/>
      <c r="L101" s="181"/>
      <c r="M101" s="56"/>
      <c r="N101" s="181"/>
      <c r="O101" s="56"/>
      <c r="P101" s="181"/>
      <c r="Q101" s="56"/>
      <c r="R101" s="181"/>
      <c r="S101" s="56"/>
      <c r="T101" s="181"/>
      <c r="U101" s="56"/>
      <c r="V101" s="181"/>
      <c r="W101" s="56"/>
      <c r="X101" s="181"/>
      <c r="Y101" s="56"/>
      <c r="Z101" s="181"/>
      <c r="AA101" s="56"/>
      <c r="AB101" s="81"/>
      <c r="AC101" s="106"/>
      <c r="AD101" s="104" t="s">
        <v>318</v>
      </c>
      <c r="AE101" s="119"/>
      <c r="AF101" s="47"/>
      <c r="AG101" s="82" t="s">
        <v>351</v>
      </c>
      <c r="AH101" s="333">
        <v>12</v>
      </c>
    </row>
    <row r="102" spans="1:34" x14ac:dyDescent="0.3">
      <c r="A102" s="418" t="s">
        <v>13</v>
      </c>
      <c r="B102" s="274" t="s">
        <v>14</v>
      </c>
      <c r="C102" s="274" t="s">
        <v>343</v>
      </c>
      <c r="D102" s="275">
        <v>1</v>
      </c>
      <c r="E102" s="276">
        <v>20552.755657371155</v>
      </c>
      <c r="F102" s="296"/>
      <c r="G102" s="276">
        <v>0</v>
      </c>
      <c r="H102" s="296"/>
      <c r="I102" s="276">
        <v>0</v>
      </c>
      <c r="J102" s="296"/>
      <c r="K102" s="276">
        <v>0</v>
      </c>
      <c r="L102" s="296"/>
      <c r="M102" s="276">
        <v>0</v>
      </c>
      <c r="N102" s="296"/>
      <c r="O102" s="276">
        <v>0</v>
      </c>
      <c r="P102" s="296"/>
      <c r="Q102" s="276">
        <v>0</v>
      </c>
      <c r="R102" s="296"/>
      <c r="S102" s="276">
        <v>0</v>
      </c>
      <c r="T102" s="296"/>
      <c r="U102" s="276">
        <v>0</v>
      </c>
      <c r="V102" s="296"/>
      <c r="W102" s="276">
        <v>0</v>
      </c>
      <c r="X102" s="296"/>
      <c r="Y102" s="276">
        <v>0</v>
      </c>
      <c r="Z102" s="296"/>
      <c r="AA102" s="276">
        <v>0</v>
      </c>
      <c r="AB102" s="282">
        <v>20552.755657371155</v>
      </c>
      <c r="AC102" s="297">
        <v>1</v>
      </c>
      <c r="AD102" s="298" t="s">
        <v>318</v>
      </c>
      <c r="AE102" s="329">
        <v>1</v>
      </c>
      <c r="AF102" s="299">
        <v>20552.755657371155</v>
      </c>
      <c r="AG102" s="300" t="s">
        <v>352</v>
      </c>
      <c r="AH102" s="333">
        <v>12</v>
      </c>
    </row>
    <row r="103" spans="1:34" x14ac:dyDescent="0.3">
      <c r="A103" s="418" t="s">
        <v>98</v>
      </c>
      <c r="B103" s="274" t="s">
        <v>99</v>
      </c>
      <c r="C103" s="274" t="s">
        <v>342</v>
      </c>
      <c r="D103" s="275">
        <v>1</v>
      </c>
      <c r="E103" s="276">
        <v>17887.388810409495</v>
      </c>
      <c r="F103" s="296"/>
      <c r="G103" s="276">
        <v>0</v>
      </c>
      <c r="H103" s="296"/>
      <c r="I103" s="276">
        <v>0</v>
      </c>
      <c r="J103" s="296"/>
      <c r="K103" s="276">
        <v>0</v>
      </c>
      <c r="L103" s="296"/>
      <c r="M103" s="276">
        <v>0</v>
      </c>
      <c r="N103" s="296"/>
      <c r="O103" s="276">
        <v>0</v>
      </c>
      <c r="P103" s="296"/>
      <c r="Q103" s="276">
        <v>0</v>
      </c>
      <c r="R103" s="296"/>
      <c r="S103" s="276">
        <v>0</v>
      </c>
      <c r="T103" s="296"/>
      <c r="U103" s="276">
        <v>0</v>
      </c>
      <c r="V103" s="296"/>
      <c r="W103" s="276">
        <v>0</v>
      </c>
      <c r="X103" s="296"/>
      <c r="Y103" s="276">
        <v>0</v>
      </c>
      <c r="Z103" s="296"/>
      <c r="AA103" s="276">
        <v>0</v>
      </c>
      <c r="AB103" s="282">
        <v>17887.388810409495</v>
      </c>
      <c r="AC103" s="297">
        <v>1</v>
      </c>
      <c r="AD103" s="298" t="s">
        <v>318</v>
      </c>
      <c r="AE103" s="329">
        <v>1</v>
      </c>
      <c r="AF103" s="299">
        <v>17887.388810409495</v>
      </c>
      <c r="AG103" s="300" t="s">
        <v>352</v>
      </c>
      <c r="AH103" s="333">
        <v>12</v>
      </c>
    </row>
    <row r="104" spans="1:34" x14ac:dyDescent="0.3">
      <c r="A104" s="418" t="s">
        <v>104</v>
      </c>
      <c r="B104" s="274" t="s">
        <v>105</v>
      </c>
      <c r="C104" s="274" t="s">
        <v>342</v>
      </c>
      <c r="D104" s="275"/>
      <c r="E104" s="276">
        <v>0</v>
      </c>
      <c r="F104" s="296"/>
      <c r="G104" s="276">
        <v>0</v>
      </c>
      <c r="H104" s="296"/>
      <c r="I104" s="276">
        <v>0</v>
      </c>
      <c r="J104" s="296"/>
      <c r="K104" s="276">
        <v>0</v>
      </c>
      <c r="L104" s="296"/>
      <c r="M104" s="276">
        <v>0</v>
      </c>
      <c r="N104" s="275"/>
      <c r="O104" s="276">
        <v>0</v>
      </c>
      <c r="P104" s="296"/>
      <c r="Q104" s="276">
        <v>0</v>
      </c>
      <c r="R104" s="296"/>
      <c r="S104" s="276">
        <v>0</v>
      </c>
      <c r="T104" s="296"/>
      <c r="U104" s="276">
        <v>0</v>
      </c>
      <c r="V104" s="296"/>
      <c r="W104" s="276">
        <v>0</v>
      </c>
      <c r="X104" s="296"/>
      <c r="Y104" s="276">
        <v>0</v>
      </c>
      <c r="Z104" s="278">
        <v>1</v>
      </c>
      <c r="AA104" s="276">
        <v>17887.388810409495</v>
      </c>
      <c r="AB104" s="282">
        <v>17887.388810409495</v>
      </c>
      <c r="AC104" s="297">
        <v>1</v>
      </c>
      <c r="AD104" s="277" t="s">
        <v>319</v>
      </c>
      <c r="AE104" s="329">
        <v>0.24809575625680086</v>
      </c>
      <c r="AF104" s="299">
        <v>4437.7852543779809</v>
      </c>
      <c r="AG104" s="300" t="s">
        <v>352</v>
      </c>
      <c r="AH104" s="333">
        <v>12</v>
      </c>
    </row>
    <row r="105" spans="1:34" x14ac:dyDescent="0.3">
      <c r="A105" s="418" t="s">
        <v>25</v>
      </c>
      <c r="B105" s="274" t="s">
        <v>26</v>
      </c>
      <c r="C105" s="274" t="s">
        <v>346</v>
      </c>
      <c r="D105" s="275">
        <v>1</v>
      </c>
      <c r="E105" s="276">
        <v>19392.627189167735</v>
      </c>
      <c r="F105" s="296"/>
      <c r="G105" s="276">
        <v>0</v>
      </c>
      <c r="H105" s="296"/>
      <c r="I105" s="276">
        <v>0</v>
      </c>
      <c r="J105" s="296"/>
      <c r="K105" s="276">
        <v>0</v>
      </c>
      <c r="L105" s="296"/>
      <c r="M105" s="276">
        <v>0</v>
      </c>
      <c r="N105" s="275">
        <v>1</v>
      </c>
      <c r="O105" s="276">
        <v>19392.627189167735</v>
      </c>
      <c r="P105" s="296"/>
      <c r="Q105" s="276">
        <v>0</v>
      </c>
      <c r="R105" s="296"/>
      <c r="S105" s="276">
        <v>0</v>
      </c>
      <c r="T105" s="296"/>
      <c r="U105" s="276">
        <v>0</v>
      </c>
      <c r="V105" s="296"/>
      <c r="W105" s="276">
        <v>0</v>
      </c>
      <c r="X105" s="296"/>
      <c r="Y105" s="276">
        <v>0</v>
      </c>
      <c r="Z105" s="275">
        <v>1</v>
      </c>
      <c r="AA105" s="276">
        <v>19392.627189167735</v>
      </c>
      <c r="AB105" s="282">
        <v>58177.881567503209</v>
      </c>
      <c r="AC105" s="297">
        <v>3</v>
      </c>
      <c r="AD105" s="298" t="s">
        <v>318</v>
      </c>
      <c r="AE105" s="329">
        <v>1</v>
      </c>
      <c r="AF105" s="299">
        <v>58177.881567503209</v>
      </c>
      <c r="AG105" s="300" t="s">
        <v>352</v>
      </c>
      <c r="AH105" s="333">
        <v>12</v>
      </c>
    </row>
    <row r="106" spans="1:34" x14ac:dyDescent="0.3">
      <c r="A106" s="418" t="s">
        <v>23</v>
      </c>
      <c r="B106" s="274" t="s">
        <v>24</v>
      </c>
      <c r="C106" s="274" t="s">
        <v>344</v>
      </c>
      <c r="D106" s="275">
        <v>1</v>
      </c>
      <c r="E106" s="276">
        <v>31881.451880098426</v>
      </c>
      <c r="F106" s="296"/>
      <c r="G106" s="276">
        <v>0</v>
      </c>
      <c r="H106" s="296"/>
      <c r="I106" s="276">
        <v>0</v>
      </c>
      <c r="J106" s="296"/>
      <c r="K106" s="276">
        <v>0</v>
      </c>
      <c r="L106" s="296"/>
      <c r="M106" s="276">
        <v>0</v>
      </c>
      <c r="N106" s="296"/>
      <c r="O106" s="276">
        <v>0</v>
      </c>
      <c r="P106" s="296"/>
      <c r="Q106" s="276">
        <v>0</v>
      </c>
      <c r="R106" s="296"/>
      <c r="S106" s="276">
        <v>0</v>
      </c>
      <c r="T106" s="296"/>
      <c r="U106" s="276">
        <v>0</v>
      </c>
      <c r="V106" s="296"/>
      <c r="W106" s="276">
        <v>0</v>
      </c>
      <c r="X106" s="296"/>
      <c r="Y106" s="276">
        <v>0</v>
      </c>
      <c r="Z106" s="296"/>
      <c r="AA106" s="276">
        <v>0</v>
      </c>
      <c r="AB106" s="282">
        <v>31881.451880098426</v>
      </c>
      <c r="AC106" s="297">
        <v>1</v>
      </c>
      <c r="AD106" s="298" t="s">
        <v>318</v>
      </c>
      <c r="AE106" s="329">
        <v>1</v>
      </c>
      <c r="AF106" s="299">
        <v>31881.451880098426</v>
      </c>
      <c r="AG106" s="300" t="s">
        <v>352</v>
      </c>
      <c r="AH106" s="333">
        <v>12</v>
      </c>
    </row>
    <row r="107" spans="1:34" x14ac:dyDescent="0.3">
      <c r="A107" s="418" t="s">
        <v>36</v>
      </c>
      <c r="B107" s="274" t="s">
        <v>136</v>
      </c>
      <c r="C107" s="274" t="s">
        <v>344</v>
      </c>
      <c r="D107" s="275">
        <v>8</v>
      </c>
      <c r="E107" s="276">
        <v>70240.958933331596</v>
      </c>
      <c r="F107" s="275">
        <v>8</v>
      </c>
      <c r="G107" s="276">
        <v>70240.958933331596</v>
      </c>
      <c r="H107" s="275">
        <v>8</v>
      </c>
      <c r="I107" s="276">
        <v>70240.958933331596</v>
      </c>
      <c r="J107" s="275">
        <v>8</v>
      </c>
      <c r="K107" s="276">
        <v>70240.958933331596</v>
      </c>
      <c r="L107" s="275">
        <v>8</v>
      </c>
      <c r="M107" s="276">
        <v>70240.958933331596</v>
      </c>
      <c r="N107" s="275">
        <v>8</v>
      </c>
      <c r="O107" s="276">
        <v>70240.958933331596</v>
      </c>
      <c r="P107" s="275">
        <v>8</v>
      </c>
      <c r="Q107" s="276">
        <v>70240.958933331596</v>
      </c>
      <c r="R107" s="275">
        <v>8</v>
      </c>
      <c r="S107" s="276">
        <v>70240.958933331596</v>
      </c>
      <c r="T107" s="275">
        <v>8</v>
      </c>
      <c r="U107" s="276">
        <v>70240.958933331596</v>
      </c>
      <c r="V107" s="275">
        <v>8</v>
      </c>
      <c r="W107" s="276">
        <v>70240.958933331596</v>
      </c>
      <c r="X107" s="275">
        <v>8</v>
      </c>
      <c r="Y107" s="276">
        <v>70240.958933331596</v>
      </c>
      <c r="Z107" s="275">
        <v>8</v>
      </c>
      <c r="AA107" s="276">
        <v>70240.958933331596</v>
      </c>
      <c r="AB107" s="282">
        <v>842891.50719997892</v>
      </c>
      <c r="AC107" s="297">
        <v>96</v>
      </c>
      <c r="AD107" s="298" t="s">
        <v>318</v>
      </c>
      <c r="AE107" s="329">
        <v>1</v>
      </c>
      <c r="AF107" s="299">
        <v>842891.50719997892</v>
      </c>
      <c r="AG107" s="300" t="s">
        <v>352</v>
      </c>
      <c r="AH107" s="333">
        <v>12</v>
      </c>
    </row>
    <row r="108" spans="1:34" x14ac:dyDescent="0.3">
      <c r="A108" s="418" t="s">
        <v>19</v>
      </c>
      <c r="B108" s="274" t="s">
        <v>20</v>
      </c>
      <c r="C108" s="274" t="s">
        <v>342</v>
      </c>
      <c r="D108" s="275">
        <v>1</v>
      </c>
      <c r="E108" s="276">
        <v>67398.098568534639</v>
      </c>
      <c r="F108" s="296"/>
      <c r="G108" s="276">
        <v>0</v>
      </c>
      <c r="H108" s="296"/>
      <c r="I108" s="276">
        <v>0</v>
      </c>
      <c r="J108" s="296"/>
      <c r="K108" s="276">
        <v>0</v>
      </c>
      <c r="L108" s="296"/>
      <c r="M108" s="276">
        <v>0</v>
      </c>
      <c r="N108" s="296"/>
      <c r="O108" s="276">
        <v>0</v>
      </c>
      <c r="P108" s="296"/>
      <c r="Q108" s="276">
        <v>0</v>
      </c>
      <c r="R108" s="296"/>
      <c r="S108" s="276">
        <v>0</v>
      </c>
      <c r="T108" s="296"/>
      <c r="U108" s="276">
        <v>0</v>
      </c>
      <c r="V108" s="296"/>
      <c r="W108" s="276">
        <v>0</v>
      </c>
      <c r="X108" s="296"/>
      <c r="Y108" s="276">
        <v>0</v>
      </c>
      <c r="Z108" s="296"/>
      <c r="AA108" s="276">
        <v>0</v>
      </c>
      <c r="AB108" s="282">
        <v>67398.098568534639</v>
      </c>
      <c r="AC108" s="297">
        <v>1</v>
      </c>
      <c r="AD108" s="277" t="s">
        <v>319</v>
      </c>
      <c r="AE108" s="329">
        <v>5.5495103373231776E-2</v>
      </c>
      <c r="AF108" s="299">
        <v>3740.2644472200946</v>
      </c>
      <c r="AG108" s="300" t="s">
        <v>352</v>
      </c>
      <c r="AH108" s="333">
        <v>12</v>
      </c>
    </row>
    <row r="109" spans="1:34" x14ac:dyDescent="0.3">
      <c r="A109" s="418" t="s">
        <v>29</v>
      </c>
      <c r="B109" s="274" t="s">
        <v>196</v>
      </c>
      <c r="C109" s="274" t="s">
        <v>344</v>
      </c>
      <c r="D109" s="296"/>
      <c r="E109" s="276">
        <v>0</v>
      </c>
      <c r="F109" s="296"/>
      <c r="G109" s="276">
        <v>0</v>
      </c>
      <c r="H109" s="296"/>
      <c r="I109" s="276">
        <v>0</v>
      </c>
      <c r="J109" s="296"/>
      <c r="K109" s="276">
        <v>0</v>
      </c>
      <c r="L109" s="296"/>
      <c r="M109" s="276">
        <v>0</v>
      </c>
      <c r="N109" s="275">
        <v>1</v>
      </c>
      <c r="O109" s="276">
        <v>31881.451880098426</v>
      </c>
      <c r="P109" s="296"/>
      <c r="Q109" s="276">
        <v>0</v>
      </c>
      <c r="R109" s="296"/>
      <c r="S109" s="276">
        <v>0</v>
      </c>
      <c r="T109" s="296"/>
      <c r="U109" s="276">
        <v>0</v>
      </c>
      <c r="V109" s="296"/>
      <c r="W109" s="276">
        <v>0</v>
      </c>
      <c r="X109" s="296"/>
      <c r="Y109" s="276">
        <v>0</v>
      </c>
      <c r="Z109" s="275">
        <v>1</v>
      </c>
      <c r="AA109" s="276">
        <v>31881.451880098426</v>
      </c>
      <c r="AB109" s="282">
        <v>63762.903760196852</v>
      </c>
      <c r="AC109" s="297">
        <v>2</v>
      </c>
      <c r="AD109" s="298" t="s">
        <v>318</v>
      </c>
      <c r="AE109" s="329">
        <v>1</v>
      </c>
      <c r="AF109" s="299">
        <v>63762.903760196852</v>
      </c>
      <c r="AG109" s="300" t="s">
        <v>352</v>
      </c>
      <c r="AH109" s="333">
        <v>12</v>
      </c>
    </row>
    <row r="110" spans="1:34" x14ac:dyDescent="0.3">
      <c r="A110" s="418" t="s">
        <v>7</v>
      </c>
      <c r="B110" s="274" t="s">
        <v>8</v>
      </c>
      <c r="C110" s="274" t="s">
        <v>342</v>
      </c>
      <c r="D110" s="275">
        <v>1</v>
      </c>
      <c r="E110" s="276">
        <v>55794.181771015559</v>
      </c>
      <c r="F110" s="296"/>
      <c r="G110" s="276">
        <v>0</v>
      </c>
      <c r="H110" s="296"/>
      <c r="I110" s="276">
        <v>0</v>
      </c>
      <c r="J110" s="296"/>
      <c r="K110" s="276">
        <v>0</v>
      </c>
      <c r="L110" s="296"/>
      <c r="M110" s="276">
        <v>0</v>
      </c>
      <c r="N110" s="296"/>
      <c r="O110" s="276">
        <v>0</v>
      </c>
      <c r="P110" s="296"/>
      <c r="Q110" s="276">
        <v>0</v>
      </c>
      <c r="R110" s="296"/>
      <c r="S110" s="276">
        <v>0</v>
      </c>
      <c r="T110" s="296"/>
      <c r="U110" s="276">
        <v>0</v>
      </c>
      <c r="V110" s="296"/>
      <c r="W110" s="276">
        <v>0</v>
      </c>
      <c r="X110" s="296"/>
      <c r="Y110" s="276">
        <v>0</v>
      </c>
      <c r="Z110" s="296"/>
      <c r="AA110" s="276">
        <v>0</v>
      </c>
      <c r="AB110" s="282">
        <v>55794.181771015559</v>
      </c>
      <c r="AC110" s="297">
        <v>1</v>
      </c>
      <c r="AD110" s="277" t="s">
        <v>319</v>
      </c>
      <c r="AE110" s="329">
        <v>7.6169749727965181E-3</v>
      </c>
      <c r="AF110" s="299">
        <v>424.98288617748523</v>
      </c>
      <c r="AG110" s="300" t="s">
        <v>352</v>
      </c>
      <c r="AH110" s="333">
        <v>12</v>
      </c>
    </row>
    <row r="111" spans="1:34" x14ac:dyDescent="0.3">
      <c r="A111" s="418" t="s">
        <v>9</v>
      </c>
      <c r="B111" s="274" t="s">
        <v>220</v>
      </c>
      <c r="C111" s="274" t="s">
        <v>342</v>
      </c>
      <c r="D111" s="275">
        <v>1</v>
      </c>
      <c r="E111" s="276">
        <v>55794.181771015559</v>
      </c>
      <c r="F111" s="275"/>
      <c r="G111" s="276">
        <v>0</v>
      </c>
      <c r="H111" s="275"/>
      <c r="I111" s="276">
        <v>0</v>
      </c>
      <c r="J111" s="275"/>
      <c r="K111" s="276">
        <v>0</v>
      </c>
      <c r="L111" s="275"/>
      <c r="M111" s="276">
        <v>0</v>
      </c>
      <c r="N111" s="275"/>
      <c r="O111" s="276">
        <v>0</v>
      </c>
      <c r="P111" s="275"/>
      <c r="Q111" s="276">
        <v>0</v>
      </c>
      <c r="R111" s="275"/>
      <c r="S111" s="276">
        <v>0</v>
      </c>
      <c r="T111" s="275"/>
      <c r="U111" s="276">
        <v>0</v>
      </c>
      <c r="V111" s="275"/>
      <c r="W111" s="276">
        <v>0</v>
      </c>
      <c r="X111" s="275"/>
      <c r="Y111" s="276">
        <v>0</v>
      </c>
      <c r="Z111" s="275"/>
      <c r="AA111" s="276">
        <v>0</v>
      </c>
      <c r="AB111" s="282">
        <v>55794.181771015559</v>
      </c>
      <c r="AC111" s="297">
        <v>1</v>
      </c>
      <c r="AD111" s="277" t="s">
        <v>319</v>
      </c>
      <c r="AE111" s="329">
        <v>7.6169749727965181E-3</v>
      </c>
      <c r="AF111" s="299">
        <v>424.98288617748523</v>
      </c>
      <c r="AG111" s="300" t="s">
        <v>352</v>
      </c>
      <c r="AH111" s="333">
        <v>12</v>
      </c>
    </row>
    <row r="112" spans="1:34" x14ac:dyDescent="0.3">
      <c r="A112" s="418" t="s">
        <v>34</v>
      </c>
      <c r="B112" s="274" t="s">
        <v>35</v>
      </c>
      <c r="C112" s="274" t="s">
        <v>342</v>
      </c>
      <c r="D112" s="275">
        <v>1</v>
      </c>
      <c r="E112" s="276">
        <v>24009.730401318589</v>
      </c>
      <c r="F112" s="296"/>
      <c r="G112" s="276">
        <v>0</v>
      </c>
      <c r="H112" s="296"/>
      <c r="I112" s="276">
        <v>0</v>
      </c>
      <c r="J112" s="296"/>
      <c r="K112" s="276">
        <v>0</v>
      </c>
      <c r="L112" s="296"/>
      <c r="M112" s="276">
        <v>0</v>
      </c>
      <c r="N112" s="296"/>
      <c r="O112" s="276">
        <v>0</v>
      </c>
      <c r="P112" s="296"/>
      <c r="Q112" s="276">
        <v>0</v>
      </c>
      <c r="R112" s="296"/>
      <c r="S112" s="276">
        <v>0</v>
      </c>
      <c r="T112" s="296"/>
      <c r="U112" s="276">
        <v>0</v>
      </c>
      <c r="V112" s="296"/>
      <c r="W112" s="276">
        <v>0</v>
      </c>
      <c r="X112" s="296"/>
      <c r="Y112" s="276">
        <v>0</v>
      </c>
      <c r="Z112" s="296"/>
      <c r="AA112" s="276">
        <v>0</v>
      </c>
      <c r="AB112" s="282">
        <v>24009.730401318589</v>
      </c>
      <c r="AC112" s="297">
        <v>1</v>
      </c>
      <c r="AD112" s="277" t="s">
        <v>319</v>
      </c>
      <c r="AE112" s="329">
        <v>0.42981501632208924</v>
      </c>
      <c r="AF112" s="299">
        <v>10319.742664331712</v>
      </c>
      <c r="AG112" s="300" t="s">
        <v>352</v>
      </c>
      <c r="AH112" s="333">
        <v>12</v>
      </c>
    </row>
    <row r="113" spans="1:34" x14ac:dyDescent="0.3">
      <c r="A113" s="418" t="s">
        <v>32</v>
      </c>
      <c r="B113" s="274" t="s">
        <v>143</v>
      </c>
      <c r="C113" s="274" t="s">
        <v>342</v>
      </c>
      <c r="D113" s="275">
        <v>1</v>
      </c>
      <c r="E113" s="276">
        <v>24009.730401318589</v>
      </c>
      <c r="F113" s="275"/>
      <c r="G113" s="276">
        <v>0</v>
      </c>
      <c r="H113" s="275"/>
      <c r="I113" s="276">
        <v>0</v>
      </c>
      <c r="J113" s="275"/>
      <c r="K113" s="276">
        <v>0</v>
      </c>
      <c r="L113" s="275"/>
      <c r="M113" s="276">
        <v>0</v>
      </c>
      <c r="N113" s="275"/>
      <c r="O113" s="276">
        <v>0</v>
      </c>
      <c r="P113" s="275"/>
      <c r="Q113" s="276">
        <v>0</v>
      </c>
      <c r="R113" s="275"/>
      <c r="S113" s="276">
        <v>0</v>
      </c>
      <c r="T113" s="275"/>
      <c r="U113" s="276">
        <v>0</v>
      </c>
      <c r="V113" s="275"/>
      <c r="W113" s="276">
        <v>0</v>
      </c>
      <c r="X113" s="275"/>
      <c r="Y113" s="276">
        <v>0</v>
      </c>
      <c r="Z113" s="275"/>
      <c r="AA113" s="276">
        <v>0</v>
      </c>
      <c r="AB113" s="282">
        <v>24009.730401318589</v>
      </c>
      <c r="AC113" s="297">
        <v>1</v>
      </c>
      <c r="AD113" s="277" t="s">
        <v>319</v>
      </c>
      <c r="AE113" s="329">
        <v>1.088139281828074E-3</v>
      </c>
      <c r="AF113" s="299">
        <v>26.125930795776487</v>
      </c>
      <c r="AG113" s="300" t="s">
        <v>352</v>
      </c>
      <c r="AH113" s="333">
        <v>12</v>
      </c>
    </row>
    <row r="114" spans="1:34" x14ac:dyDescent="0.3">
      <c r="A114" s="418" t="s">
        <v>3</v>
      </c>
      <c r="B114" s="274" t="s">
        <v>4</v>
      </c>
      <c r="C114" s="274" t="s">
        <v>342</v>
      </c>
      <c r="D114" s="275">
        <v>1</v>
      </c>
      <c r="E114" s="276">
        <v>20406.13276336317</v>
      </c>
      <c r="F114" s="296"/>
      <c r="G114" s="276">
        <v>0</v>
      </c>
      <c r="H114" s="296"/>
      <c r="I114" s="276">
        <v>0</v>
      </c>
      <c r="J114" s="296"/>
      <c r="K114" s="276">
        <v>0</v>
      </c>
      <c r="L114" s="296"/>
      <c r="M114" s="276">
        <v>0</v>
      </c>
      <c r="N114" s="296"/>
      <c r="O114" s="276">
        <v>0</v>
      </c>
      <c r="P114" s="296"/>
      <c r="Q114" s="276">
        <v>0</v>
      </c>
      <c r="R114" s="296"/>
      <c r="S114" s="276">
        <v>0</v>
      </c>
      <c r="T114" s="296"/>
      <c r="U114" s="276">
        <v>0</v>
      </c>
      <c r="V114" s="296"/>
      <c r="W114" s="276">
        <v>0</v>
      </c>
      <c r="X114" s="296"/>
      <c r="Y114" s="276">
        <v>0</v>
      </c>
      <c r="Z114" s="296"/>
      <c r="AA114" s="276">
        <v>0</v>
      </c>
      <c r="AB114" s="282">
        <v>20406.13276336317</v>
      </c>
      <c r="AC114" s="297">
        <v>1</v>
      </c>
      <c r="AD114" s="298" t="s">
        <v>318</v>
      </c>
      <c r="AE114" s="329">
        <v>1</v>
      </c>
      <c r="AF114" s="299">
        <v>20406.13276336317</v>
      </c>
      <c r="AG114" s="300" t="s">
        <v>352</v>
      </c>
      <c r="AH114" s="333">
        <v>12</v>
      </c>
    </row>
    <row r="115" spans="1:34" x14ac:dyDescent="0.3">
      <c r="A115" s="418" t="s">
        <v>15</v>
      </c>
      <c r="B115" s="274" t="s">
        <v>16</v>
      </c>
      <c r="C115" s="274" t="s">
        <v>342</v>
      </c>
      <c r="D115" s="296"/>
      <c r="E115" s="276">
        <v>0</v>
      </c>
      <c r="F115" s="296"/>
      <c r="G115" s="276">
        <v>0</v>
      </c>
      <c r="H115" s="296"/>
      <c r="I115" s="276">
        <v>0</v>
      </c>
      <c r="J115" s="296"/>
      <c r="K115" s="276">
        <v>0</v>
      </c>
      <c r="L115" s="296"/>
      <c r="M115" s="276">
        <v>0</v>
      </c>
      <c r="N115" s="275">
        <v>1</v>
      </c>
      <c r="O115" s="276">
        <v>22052.520800552971</v>
      </c>
      <c r="P115" s="296"/>
      <c r="Q115" s="276">
        <v>0</v>
      </c>
      <c r="R115" s="296"/>
      <c r="S115" s="276">
        <v>0</v>
      </c>
      <c r="T115" s="296"/>
      <c r="U115" s="276">
        <v>0</v>
      </c>
      <c r="V115" s="296"/>
      <c r="W115" s="276">
        <v>0</v>
      </c>
      <c r="X115" s="296"/>
      <c r="Y115" s="276">
        <v>0</v>
      </c>
      <c r="Z115" s="275">
        <v>1</v>
      </c>
      <c r="AA115" s="276">
        <v>22052.520800552971</v>
      </c>
      <c r="AB115" s="282">
        <v>44105.041601105942</v>
      </c>
      <c r="AC115" s="297">
        <v>2</v>
      </c>
      <c r="AD115" s="277" t="s">
        <v>319</v>
      </c>
      <c r="AE115" s="329">
        <v>0.15233949945593037</v>
      </c>
      <c r="AF115" s="299">
        <v>6718.9399609954653</v>
      </c>
      <c r="AG115" s="300" t="s">
        <v>352</v>
      </c>
      <c r="AH115" s="333">
        <v>12</v>
      </c>
    </row>
    <row r="116" spans="1:34" x14ac:dyDescent="0.3">
      <c r="A116" s="418" t="s">
        <v>52</v>
      </c>
      <c r="B116" s="274" t="s">
        <v>191</v>
      </c>
      <c r="C116" s="274" t="s">
        <v>342</v>
      </c>
      <c r="D116" s="275">
        <v>1</v>
      </c>
      <c r="E116" s="276">
        <v>26897.079640267821</v>
      </c>
      <c r="F116" s="296"/>
      <c r="G116" s="276">
        <v>0</v>
      </c>
      <c r="H116" s="296"/>
      <c r="I116" s="276">
        <v>0</v>
      </c>
      <c r="J116" s="296"/>
      <c r="K116" s="276">
        <v>0</v>
      </c>
      <c r="L116" s="296"/>
      <c r="M116" s="276">
        <v>0</v>
      </c>
      <c r="N116" s="296"/>
      <c r="O116" s="276">
        <v>0</v>
      </c>
      <c r="P116" s="296"/>
      <c r="Q116" s="276">
        <v>0</v>
      </c>
      <c r="R116" s="296"/>
      <c r="S116" s="276">
        <v>0</v>
      </c>
      <c r="T116" s="296"/>
      <c r="U116" s="276">
        <v>0</v>
      </c>
      <c r="V116" s="296"/>
      <c r="W116" s="276">
        <v>0</v>
      </c>
      <c r="X116" s="296"/>
      <c r="Y116" s="276">
        <v>0</v>
      </c>
      <c r="Z116" s="296"/>
      <c r="AA116" s="276">
        <v>0</v>
      </c>
      <c r="AB116" s="282">
        <v>26897.079640267821</v>
      </c>
      <c r="AC116" s="297">
        <v>1</v>
      </c>
      <c r="AD116" s="277" t="s">
        <v>319</v>
      </c>
      <c r="AE116" s="329">
        <v>3.2644178454842221E-3</v>
      </c>
      <c r="AF116" s="299">
        <v>87.803306769100615</v>
      </c>
      <c r="AG116" s="300" t="s">
        <v>352</v>
      </c>
      <c r="AH116" s="333">
        <v>12</v>
      </c>
    </row>
    <row r="117" spans="1:34" x14ac:dyDescent="0.3">
      <c r="A117" s="418" t="s">
        <v>53</v>
      </c>
      <c r="B117" s="274" t="s">
        <v>230</v>
      </c>
      <c r="C117" s="274" t="s">
        <v>342</v>
      </c>
      <c r="D117" s="275">
        <v>1</v>
      </c>
      <c r="E117" s="276">
        <v>26897.079640267817</v>
      </c>
      <c r="F117" s="275"/>
      <c r="G117" s="276">
        <v>0</v>
      </c>
      <c r="H117" s="275"/>
      <c r="I117" s="276">
        <v>0</v>
      </c>
      <c r="J117" s="275"/>
      <c r="K117" s="276">
        <v>0</v>
      </c>
      <c r="L117" s="275"/>
      <c r="M117" s="276">
        <v>0</v>
      </c>
      <c r="N117" s="275"/>
      <c r="O117" s="276">
        <v>0</v>
      </c>
      <c r="P117" s="275"/>
      <c r="Q117" s="276">
        <v>0</v>
      </c>
      <c r="R117" s="275"/>
      <c r="S117" s="276">
        <v>0</v>
      </c>
      <c r="T117" s="275"/>
      <c r="U117" s="276">
        <v>0</v>
      </c>
      <c r="V117" s="275"/>
      <c r="W117" s="276">
        <v>0</v>
      </c>
      <c r="X117" s="275"/>
      <c r="Y117" s="276">
        <v>0</v>
      </c>
      <c r="Z117" s="275"/>
      <c r="AA117" s="276">
        <v>0</v>
      </c>
      <c r="AB117" s="282">
        <v>26897.079640267817</v>
      </c>
      <c r="AC117" s="297">
        <v>1</v>
      </c>
      <c r="AD117" s="277" t="s">
        <v>319</v>
      </c>
      <c r="AE117" s="329">
        <v>3.2644178454842221E-3</v>
      </c>
      <c r="AF117" s="299">
        <v>87.803306769100601</v>
      </c>
      <c r="AG117" s="300" t="s">
        <v>352</v>
      </c>
      <c r="AH117" s="333">
        <v>12</v>
      </c>
    </row>
    <row r="118" spans="1:34" x14ac:dyDescent="0.3">
      <c r="A118" s="418" t="s">
        <v>5</v>
      </c>
      <c r="B118" s="274" t="s">
        <v>6</v>
      </c>
      <c r="C118" s="274" t="s">
        <v>342</v>
      </c>
      <c r="D118" s="275">
        <v>1</v>
      </c>
      <c r="E118" s="276">
        <v>18768.367820181349</v>
      </c>
      <c r="F118" s="296"/>
      <c r="G118" s="276">
        <v>0</v>
      </c>
      <c r="H118" s="296"/>
      <c r="I118" s="276">
        <v>0</v>
      </c>
      <c r="J118" s="296"/>
      <c r="K118" s="276">
        <v>0</v>
      </c>
      <c r="L118" s="296"/>
      <c r="M118" s="276">
        <v>0</v>
      </c>
      <c r="N118" s="275"/>
      <c r="O118" s="276">
        <v>0</v>
      </c>
      <c r="P118" s="296"/>
      <c r="Q118" s="276">
        <v>0</v>
      </c>
      <c r="R118" s="296"/>
      <c r="S118" s="276">
        <v>0</v>
      </c>
      <c r="T118" s="296"/>
      <c r="U118" s="276">
        <v>0</v>
      </c>
      <c r="V118" s="296"/>
      <c r="W118" s="276">
        <v>0</v>
      </c>
      <c r="X118" s="296"/>
      <c r="Y118" s="276">
        <v>0</v>
      </c>
      <c r="Z118" s="275"/>
      <c r="AA118" s="276">
        <v>0</v>
      </c>
      <c r="AB118" s="282">
        <v>18768.367820181349</v>
      </c>
      <c r="AC118" s="297">
        <v>1</v>
      </c>
      <c r="AD118" s="277" t="s">
        <v>319</v>
      </c>
      <c r="AE118" s="329">
        <v>0.22306855277475518</v>
      </c>
      <c r="AF118" s="299">
        <v>4186.6326475921405</v>
      </c>
      <c r="AG118" s="300" t="s">
        <v>352</v>
      </c>
      <c r="AH118" s="333">
        <v>12</v>
      </c>
    </row>
    <row r="119" spans="1:34" x14ac:dyDescent="0.3">
      <c r="A119" s="418" t="s">
        <v>17</v>
      </c>
      <c r="B119" s="274" t="s">
        <v>18</v>
      </c>
      <c r="C119" s="274" t="s">
        <v>342</v>
      </c>
      <c r="D119" s="296"/>
      <c r="E119" s="276">
        <v>0</v>
      </c>
      <c r="F119" s="296"/>
      <c r="G119" s="276">
        <v>0</v>
      </c>
      <c r="H119" s="296"/>
      <c r="I119" s="276">
        <v>0</v>
      </c>
      <c r="J119" s="296"/>
      <c r="K119" s="276">
        <v>0</v>
      </c>
      <c r="L119" s="296"/>
      <c r="M119" s="276">
        <v>0</v>
      </c>
      <c r="N119" s="275">
        <v>1</v>
      </c>
      <c r="O119" s="276">
        <v>20414.75585737115</v>
      </c>
      <c r="P119" s="296"/>
      <c r="Q119" s="276">
        <v>0</v>
      </c>
      <c r="R119" s="296"/>
      <c r="S119" s="276">
        <v>0</v>
      </c>
      <c r="T119" s="296"/>
      <c r="U119" s="276">
        <v>0</v>
      </c>
      <c r="V119" s="296"/>
      <c r="W119" s="276">
        <v>0</v>
      </c>
      <c r="X119" s="296"/>
      <c r="Y119" s="276">
        <v>0</v>
      </c>
      <c r="Z119" s="275">
        <v>1</v>
      </c>
      <c r="AA119" s="276">
        <v>20414.75585737115</v>
      </c>
      <c r="AB119" s="282">
        <v>40829.511714742301</v>
      </c>
      <c r="AC119" s="297">
        <v>2</v>
      </c>
      <c r="AD119" s="277" t="s">
        <v>319</v>
      </c>
      <c r="AE119" s="329">
        <v>8.0522306855277476E-2</v>
      </c>
      <c r="AF119" s="299">
        <v>3287.6864710456261</v>
      </c>
      <c r="AG119" s="300" t="s">
        <v>352</v>
      </c>
      <c r="AH119" s="333">
        <v>12</v>
      </c>
    </row>
    <row r="120" spans="1:34" x14ac:dyDescent="0.3">
      <c r="A120" s="418" t="s">
        <v>113</v>
      </c>
      <c r="B120" s="295" t="s">
        <v>139</v>
      </c>
      <c r="C120" s="274" t="s">
        <v>342</v>
      </c>
      <c r="D120" s="275">
        <v>1</v>
      </c>
      <c r="E120" s="276">
        <v>60236.092716419647</v>
      </c>
      <c r="F120" s="275"/>
      <c r="G120" s="276">
        <v>0</v>
      </c>
      <c r="H120" s="275"/>
      <c r="I120" s="276">
        <v>0</v>
      </c>
      <c r="J120" s="275"/>
      <c r="K120" s="276">
        <v>0</v>
      </c>
      <c r="L120" s="275"/>
      <c r="M120" s="276">
        <v>0</v>
      </c>
      <c r="N120" s="275"/>
      <c r="O120" s="276">
        <v>0</v>
      </c>
      <c r="P120" s="275"/>
      <c r="Q120" s="276">
        <v>0</v>
      </c>
      <c r="R120" s="275"/>
      <c r="S120" s="276">
        <v>0</v>
      </c>
      <c r="T120" s="275"/>
      <c r="U120" s="276">
        <v>0</v>
      </c>
      <c r="V120" s="275"/>
      <c r="W120" s="276">
        <v>0</v>
      </c>
      <c r="X120" s="275"/>
      <c r="Y120" s="276">
        <v>0</v>
      </c>
      <c r="Z120" s="275"/>
      <c r="AA120" s="276">
        <v>0</v>
      </c>
      <c r="AB120" s="282">
        <v>60236.092716419647</v>
      </c>
      <c r="AC120" s="297">
        <v>1</v>
      </c>
      <c r="AD120" s="277" t="s">
        <v>319</v>
      </c>
      <c r="AE120" s="329">
        <v>6.8552774755168661E-2</v>
      </c>
      <c r="AF120" s="299">
        <v>4129.3512961201714</v>
      </c>
      <c r="AG120" s="300" t="s">
        <v>352</v>
      </c>
      <c r="AH120" s="333">
        <v>12</v>
      </c>
    </row>
    <row r="121" spans="1:34" x14ac:dyDescent="0.3">
      <c r="A121" s="418" t="s">
        <v>114</v>
      </c>
      <c r="B121" s="274" t="s">
        <v>140</v>
      </c>
      <c r="C121" s="274" t="s">
        <v>342</v>
      </c>
      <c r="D121" s="275">
        <v>1</v>
      </c>
      <c r="E121" s="276">
        <v>62748.232282880919</v>
      </c>
      <c r="F121" s="275"/>
      <c r="G121" s="276">
        <v>0</v>
      </c>
      <c r="H121" s="275"/>
      <c r="I121" s="276">
        <v>0</v>
      </c>
      <c r="J121" s="275"/>
      <c r="K121" s="276">
        <v>0</v>
      </c>
      <c r="L121" s="275"/>
      <c r="M121" s="276">
        <v>0</v>
      </c>
      <c r="N121" s="275"/>
      <c r="O121" s="276">
        <v>0</v>
      </c>
      <c r="P121" s="275"/>
      <c r="Q121" s="276">
        <v>0</v>
      </c>
      <c r="R121" s="275"/>
      <c r="S121" s="276">
        <v>0</v>
      </c>
      <c r="T121" s="275"/>
      <c r="U121" s="276">
        <v>0</v>
      </c>
      <c r="V121" s="275"/>
      <c r="W121" s="276">
        <v>0</v>
      </c>
      <c r="X121" s="275"/>
      <c r="Y121" s="276">
        <v>0</v>
      </c>
      <c r="Z121" s="275"/>
      <c r="AA121" s="276">
        <v>0</v>
      </c>
      <c r="AB121" s="282">
        <v>62748.232282880919</v>
      </c>
      <c r="AC121" s="297">
        <v>1</v>
      </c>
      <c r="AD121" s="277" t="s">
        <v>319</v>
      </c>
      <c r="AE121" s="329">
        <v>2.176278563656148E-2</v>
      </c>
      <c r="AF121" s="299">
        <v>1365.5763282455043</v>
      </c>
      <c r="AG121" s="300" t="s">
        <v>352</v>
      </c>
      <c r="AH121" s="333">
        <v>12</v>
      </c>
    </row>
    <row r="122" spans="1:34" x14ac:dyDescent="0.3">
      <c r="A122" s="418" t="s">
        <v>115</v>
      </c>
      <c r="B122" s="274" t="s">
        <v>141</v>
      </c>
      <c r="C122" s="274" t="s">
        <v>342</v>
      </c>
      <c r="D122" s="275"/>
      <c r="E122" s="276">
        <v>0</v>
      </c>
      <c r="F122" s="275"/>
      <c r="G122" s="276">
        <v>0</v>
      </c>
      <c r="H122" s="275"/>
      <c r="I122" s="276">
        <v>0</v>
      </c>
      <c r="J122" s="275"/>
      <c r="K122" s="276">
        <v>0</v>
      </c>
      <c r="L122" s="275"/>
      <c r="M122" s="276">
        <v>0</v>
      </c>
      <c r="N122" s="275"/>
      <c r="O122" s="276">
        <v>0</v>
      </c>
      <c r="P122" s="275"/>
      <c r="Q122" s="276">
        <v>0</v>
      </c>
      <c r="R122" s="275"/>
      <c r="S122" s="276">
        <v>0</v>
      </c>
      <c r="T122" s="275"/>
      <c r="U122" s="276">
        <v>0</v>
      </c>
      <c r="V122" s="275"/>
      <c r="W122" s="276">
        <v>0</v>
      </c>
      <c r="X122" s="275"/>
      <c r="Y122" s="276">
        <v>0</v>
      </c>
      <c r="Z122" s="275">
        <v>1</v>
      </c>
      <c r="AA122" s="276">
        <v>62748.232282880919</v>
      </c>
      <c r="AB122" s="282">
        <v>62748.232282880919</v>
      </c>
      <c r="AC122" s="297">
        <v>1</v>
      </c>
      <c r="AD122" s="277" t="s">
        <v>319</v>
      </c>
      <c r="AE122" s="329">
        <v>0</v>
      </c>
      <c r="AF122" s="299">
        <v>0</v>
      </c>
      <c r="AG122" s="300" t="s">
        <v>352</v>
      </c>
      <c r="AH122" s="333">
        <v>12</v>
      </c>
    </row>
    <row r="123" spans="1:34" x14ac:dyDescent="0.3">
      <c r="A123" s="418" t="s">
        <v>21</v>
      </c>
      <c r="B123" s="274" t="s">
        <v>221</v>
      </c>
      <c r="C123" s="274" t="s">
        <v>342</v>
      </c>
      <c r="D123" s="275">
        <v>1</v>
      </c>
      <c r="E123" s="276">
        <v>67398.098568534639</v>
      </c>
      <c r="F123" s="275"/>
      <c r="G123" s="276">
        <v>0</v>
      </c>
      <c r="H123" s="275"/>
      <c r="I123" s="276">
        <v>0</v>
      </c>
      <c r="J123" s="275"/>
      <c r="K123" s="276">
        <v>0</v>
      </c>
      <c r="L123" s="275"/>
      <c r="M123" s="276">
        <v>0</v>
      </c>
      <c r="N123" s="275"/>
      <c r="O123" s="276">
        <v>0</v>
      </c>
      <c r="P123" s="275"/>
      <c r="Q123" s="276">
        <v>0</v>
      </c>
      <c r="R123" s="275"/>
      <c r="S123" s="276">
        <v>0</v>
      </c>
      <c r="T123" s="275"/>
      <c r="U123" s="276">
        <v>0</v>
      </c>
      <c r="V123" s="275"/>
      <c r="W123" s="276">
        <v>0</v>
      </c>
      <c r="X123" s="275"/>
      <c r="Y123" s="276">
        <v>0</v>
      </c>
      <c r="Z123" s="275"/>
      <c r="AA123" s="276">
        <v>0</v>
      </c>
      <c r="AB123" s="282">
        <v>67398.098568534639</v>
      </c>
      <c r="AC123" s="297">
        <v>1</v>
      </c>
      <c r="AD123" s="277" t="s">
        <v>319</v>
      </c>
      <c r="AE123" s="329">
        <v>0.40587595212187161</v>
      </c>
      <c r="AF123" s="299">
        <v>27355.267427707749</v>
      </c>
      <c r="AG123" s="300" t="s">
        <v>352</v>
      </c>
      <c r="AH123" s="333">
        <v>12</v>
      </c>
    </row>
    <row r="124" spans="1:34" x14ac:dyDescent="0.3">
      <c r="A124" s="418" t="s">
        <v>38</v>
      </c>
      <c r="B124" s="274" t="s">
        <v>137</v>
      </c>
      <c r="C124" s="274" t="s">
        <v>342</v>
      </c>
      <c r="D124" s="275">
        <v>1</v>
      </c>
      <c r="E124" s="276">
        <v>56420.692787682223</v>
      </c>
      <c r="F124" s="275"/>
      <c r="G124" s="276">
        <v>0</v>
      </c>
      <c r="H124" s="275"/>
      <c r="I124" s="276">
        <v>0</v>
      </c>
      <c r="J124" s="275"/>
      <c r="K124" s="276">
        <v>0</v>
      </c>
      <c r="L124" s="275"/>
      <c r="M124" s="276">
        <v>0</v>
      </c>
      <c r="N124" s="275"/>
      <c r="O124" s="276">
        <v>0</v>
      </c>
      <c r="P124" s="275"/>
      <c r="Q124" s="276">
        <v>0</v>
      </c>
      <c r="R124" s="275"/>
      <c r="S124" s="276">
        <v>0</v>
      </c>
      <c r="T124" s="275"/>
      <c r="U124" s="276">
        <v>0</v>
      </c>
      <c r="V124" s="275"/>
      <c r="W124" s="276">
        <v>0</v>
      </c>
      <c r="X124" s="275"/>
      <c r="Y124" s="276">
        <v>0</v>
      </c>
      <c r="Z124" s="275"/>
      <c r="AA124" s="276">
        <v>0</v>
      </c>
      <c r="AB124" s="282">
        <v>56420.692787682223</v>
      </c>
      <c r="AC124" s="297">
        <v>1</v>
      </c>
      <c r="AD124" s="277" t="s">
        <v>319</v>
      </c>
      <c r="AE124" s="329">
        <v>4.0261153427638738E-2</v>
      </c>
      <c r="AF124" s="299">
        <v>2271.5621688185443</v>
      </c>
      <c r="AG124" s="300" t="s">
        <v>352</v>
      </c>
      <c r="AH124" s="333">
        <v>12</v>
      </c>
    </row>
    <row r="125" spans="1:34" x14ac:dyDescent="0.3">
      <c r="A125" s="418" t="s">
        <v>1</v>
      </c>
      <c r="B125" s="274" t="s">
        <v>2</v>
      </c>
      <c r="C125" s="274" t="s">
        <v>342</v>
      </c>
      <c r="D125" s="296"/>
      <c r="E125" s="276">
        <v>0</v>
      </c>
      <c r="F125" s="296"/>
      <c r="G125" s="276">
        <v>0</v>
      </c>
      <c r="H125" s="296"/>
      <c r="I125" s="276">
        <v>0</v>
      </c>
      <c r="J125" s="296"/>
      <c r="K125" s="276">
        <v>0</v>
      </c>
      <c r="L125" s="296"/>
      <c r="M125" s="276">
        <v>0</v>
      </c>
      <c r="N125" s="296"/>
      <c r="O125" s="276">
        <v>0</v>
      </c>
      <c r="P125" s="296"/>
      <c r="Q125" s="276">
        <v>0</v>
      </c>
      <c r="R125" s="296"/>
      <c r="S125" s="276">
        <v>0</v>
      </c>
      <c r="T125" s="296"/>
      <c r="U125" s="276">
        <v>0</v>
      </c>
      <c r="V125" s="296"/>
      <c r="W125" s="276">
        <v>0</v>
      </c>
      <c r="X125" s="296"/>
      <c r="Y125" s="276">
        <v>0</v>
      </c>
      <c r="Z125" s="275">
        <v>1</v>
      </c>
      <c r="AA125" s="276">
        <v>21014.39667403782</v>
      </c>
      <c r="AB125" s="282">
        <v>21014.39667403782</v>
      </c>
      <c r="AC125" s="297">
        <v>1</v>
      </c>
      <c r="AD125" s="298" t="s">
        <v>318</v>
      </c>
      <c r="AE125" s="329">
        <v>1</v>
      </c>
      <c r="AF125" s="299">
        <v>21014.39667403782</v>
      </c>
      <c r="AG125" s="300" t="s">
        <v>352</v>
      </c>
      <c r="AH125" s="333">
        <v>12</v>
      </c>
    </row>
    <row r="126" spans="1:34" x14ac:dyDescent="0.3">
      <c r="A126" s="418" t="s">
        <v>48</v>
      </c>
      <c r="B126" s="274" t="s">
        <v>222</v>
      </c>
      <c r="C126" s="274" t="s">
        <v>342</v>
      </c>
      <c r="D126" s="275">
        <v>1</v>
      </c>
      <c r="E126" s="276">
        <v>77398.098568534639</v>
      </c>
      <c r="F126" s="275"/>
      <c r="G126" s="276">
        <v>0</v>
      </c>
      <c r="H126" s="275"/>
      <c r="I126" s="276">
        <v>0</v>
      </c>
      <c r="J126" s="275"/>
      <c r="K126" s="276">
        <v>0</v>
      </c>
      <c r="L126" s="275"/>
      <c r="M126" s="276">
        <v>0</v>
      </c>
      <c r="N126" s="275"/>
      <c r="O126" s="276">
        <v>0</v>
      </c>
      <c r="P126" s="275"/>
      <c r="Q126" s="276">
        <v>0</v>
      </c>
      <c r="R126" s="275"/>
      <c r="S126" s="276">
        <v>0</v>
      </c>
      <c r="T126" s="275"/>
      <c r="U126" s="276">
        <v>0</v>
      </c>
      <c r="V126" s="275"/>
      <c r="W126" s="276">
        <v>0</v>
      </c>
      <c r="X126" s="275"/>
      <c r="Y126" s="276">
        <v>0</v>
      </c>
      <c r="Z126" s="275"/>
      <c r="AA126" s="301">
        <v>0</v>
      </c>
      <c r="AB126" s="302">
        <v>77398.098568534639</v>
      </c>
      <c r="AC126" s="297">
        <v>1</v>
      </c>
      <c r="AD126" s="303" t="s">
        <v>319</v>
      </c>
      <c r="AE126" s="329">
        <v>1.088139281828074E-2</v>
      </c>
      <c r="AF126" s="299">
        <v>842.19911391223764</v>
      </c>
      <c r="AG126" s="300" t="s">
        <v>352</v>
      </c>
      <c r="AH126" s="333">
        <v>12</v>
      </c>
    </row>
    <row r="127" spans="1:34" x14ac:dyDescent="0.3">
      <c r="A127" s="414" t="s">
        <v>421</v>
      </c>
      <c r="B127" s="96" t="s">
        <v>422</v>
      </c>
      <c r="C127" s="96" t="s">
        <v>423</v>
      </c>
      <c r="D127" s="181"/>
      <c r="E127" s="56"/>
      <c r="F127" s="181"/>
      <c r="G127" s="56"/>
      <c r="H127" s="181"/>
      <c r="I127" s="56"/>
      <c r="J127" s="181"/>
      <c r="K127" s="56"/>
      <c r="L127" s="181"/>
      <c r="M127" s="56"/>
      <c r="N127" s="181"/>
      <c r="O127" s="56"/>
      <c r="P127" s="181"/>
      <c r="Q127" s="56"/>
      <c r="R127" s="181"/>
      <c r="S127" s="56"/>
      <c r="T127" s="181"/>
      <c r="U127" s="56"/>
      <c r="V127" s="181"/>
      <c r="W127" s="56"/>
      <c r="X127" s="181"/>
      <c r="Y127" s="56"/>
      <c r="Z127" s="181"/>
      <c r="AA127" s="56"/>
      <c r="AB127" s="81"/>
      <c r="AC127" s="106"/>
      <c r="AD127" s="104" t="s">
        <v>318</v>
      </c>
      <c r="AE127" s="119"/>
      <c r="AF127" s="47"/>
      <c r="AG127" s="300" t="s">
        <v>352</v>
      </c>
      <c r="AH127" s="333">
        <v>12</v>
      </c>
    </row>
    <row r="128" spans="1:34" x14ac:dyDescent="0.3">
      <c r="A128" s="419" t="s">
        <v>13</v>
      </c>
      <c r="B128" s="274" t="s">
        <v>14</v>
      </c>
      <c r="C128" s="274" t="s">
        <v>343</v>
      </c>
      <c r="D128" s="281">
        <v>1</v>
      </c>
      <c r="E128" s="276">
        <v>20552.755657371155</v>
      </c>
      <c r="F128" s="281"/>
      <c r="G128" s="276">
        <v>0</v>
      </c>
      <c r="H128" s="281"/>
      <c r="I128" s="276">
        <v>0</v>
      </c>
      <c r="J128" s="281"/>
      <c r="K128" s="276">
        <v>0</v>
      </c>
      <c r="L128" s="281"/>
      <c r="M128" s="276">
        <v>0</v>
      </c>
      <c r="N128" s="281"/>
      <c r="O128" s="276">
        <v>0</v>
      </c>
      <c r="P128" s="281"/>
      <c r="Q128" s="276">
        <v>0</v>
      </c>
      <c r="R128" s="281"/>
      <c r="S128" s="276">
        <v>0</v>
      </c>
      <c r="T128" s="281"/>
      <c r="U128" s="276">
        <v>0</v>
      </c>
      <c r="V128" s="281"/>
      <c r="W128" s="276">
        <v>0</v>
      </c>
      <c r="X128" s="281"/>
      <c r="Y128" s="276">
        <v>0</v>
      </c>
      <c r="Z128" s="281"/>
      <c r="AA128" s="276">
        <v>0</v>
      </c>
      <c r="AB128" s="304">
        <v>20552.755657371155</v>
      </c>
      <c r="AC128" s="305">
        <v>1</v>
      </c>
      <c r="AD128" s="277" t="s">
        <v>318</v>
      </c>
      <c r="AE128" s="329">
        <v>1</v>
      </c>
      <c r="AF128" s="306">
        <v>20552.755657371155</v>
      </c>
      <c r="AG128" s="307" t="s">
        <v>331</v>
      </c>
      <c r="AH128" s="333">
        <v>12</v>
      </c>
    </row>
    <row r="129" spans="1:34" x14ac:dyDescent="0.3">
      <c r="A129" s="419" t="s">
        <v>98</v>
      </c>
      <c r="B129" s="274" t="s">
        <v>99</v>
      </c>
      <c r="C129" s="274" t="s">
        <v>342</v>
      </c>
      <c r="D129" s="281">
        <v>1</v>
      </c>
      <c r="E129" s="276">
        <v>17887.388810409495</v>
      </c>
      <c r="F129" s="280"/>
      <c r="G129" s="276">
        <v>0</v>
      </c>
      <c r="H129" s="280"/>
      <c r="I129" s="276">
        <v>0</v>
      </c>
      <c r="J129" s="280"/>
      <c r="K129" s="276">
        <v>0</v>
      </c>
      <c r="L129" s="280"/>
      <c r="M129" s="276">
        <v>0</v>
      </c>
      <c r="N129" s="280"/>
      <c r="O129" s="276">
        <v>0</v>
      </c>
      <c r="P129" s="280"/>
      <c r="Q129" s="276">
        <v>0</v>
      </c>
      <c r="R129" s="280"/>
      <c r="S129" s="276">
        <v>0</v>
      </c>
      <c r="T129" s="280"/>
      <c r="U129" s="276">
        <v>0</v>
      </c>
      <c r="V129" s="280"/>
      <c r="W129" s="276">
        <v>0</v>
      </c>
      <c r="X129" s="280"/>
      <c r="Y129" s="276">
        <v>0</v>
      </c>
      <c r="Z129" s="280"/>
      <c r="AA129" s="276">
        <v>0</v>
      </c>
      <c r="AB129" s="304">
        <v>17887.388810409495</v>
      </c>
      <c r="AC129" s="305">
        <v>1</v>
      </c>
      <c r="AD129" s="277" t="s">
        <v>318</v>
      </c>
      <c r="AE129" s="329">
        <v>1</v>
      </c>
      <c r="AF129" s="306">
        <v>17887.388810409495</v>
      </c>
      <c r="AG129" s="307" t="s">
        <v>331</v>
      </c>
      <c r="AH129" s="333">
        <v>12</v>
      </c>
    </row>
    <row r="130" spans="1:34" x14ac:dyDescent="0.3">
      <c r="A130" s="419" t="s">
        <v>104</v>
      </c>
      <c r="B130" s="274" t="s">
        <v>105</v>
      </c>
      <c r="C130" s="274" t="s">
        <v>342</v>
      </c>
      <c r="D130" s="281"/>
      <c r="E130" s="276">
        <v>0</v>
      </c>
      <c r="F130" s="280"/>
      <c r="G130" s="276">
        <v>0</v>
      </c>
      <c r="H130" s="280"/>
      <c r="I130" s="276">
        <v>0</v>
      </c>
      <c r="J130" s="280"/>
      <c r="K130" s="276">
        <v>0</v>
      </c>
      <c r="L130" s="280"/>
      <c r="M130" s="276">
        <v>0</v>
      </c>
      <c r="N130" s="281"/>
      <c r="O130" s="276">
        <v>0</v>
      </c>
      <c r="P130" s="280"/>
      <c r="Q130" s="276">
        <v>0</v>
      </c>
      <c r="R130" s="280"/>
      <c r="S130" s="276">
        <v>0</v>
      </c>
      <c r="T130" s="280"/>
      <c r="U130" s="276">
        <v>0</v>
      </c>
      <c r="V130" s="280"/>
      <c r="W130" s="276">
        <v>0</v>
      </c>
      <c r="X130" s="280"/>
      <c r="Y130" s="276">
        <v>0</v>
      </c>
      <c r="Z130" s="287">
        <v>1</v>
      </c>
      <c r="AA130" s="276">
        <v>17887.388810409495</v>
      </c>
      <c r="AB130" s="304">
        <v>17887.388810409495</v>
      </c>
      <c r="AC130" s="305">
        <v>1</v>
      </c>
      <c r="AD130" s="277" t="s">
        <v>319</v>
      </c>
      <c r="AE130" s="329">
        <v>0.43016759776536312</v>
      </c>
      <c r="AF130" s="306">
        <v>7694.5750748688888</v>
      </c>
      <c r="AG130" s="307" t="s">
        <v>331</v>
      </c>
      <c r="AH130" s="333">
        <v>12</v>
      </c>
    </row>
    <row r="131" spans="1:34" x14ac:dyDescent="0.3">
      <c r="A131" s="419" t="s">
        <v>25</v>
      </c>
      <c r="B131" s="274" t="s">
        <v>26</v>
      </c>
      <c r="C131" s="274" t="s">
        <v>346</v>
      </c>
      <c r="D131" s="281">
        <v>1</v>
      </c>
      <c r="E131" s="276">
        <v>19392.627189167735</v>
      </c>
      <c r="F131" s="280"/>
      <c r="G131" s="276">
        <v>0</v>
      </c>
      <c r="H131" s="280"/>
      <c r="I131" s="276">
        <v>0</v>
      </c>
      <c r="J131" s="280"/>
      <c r="K131" s="276">
        <v>0</v>
      </c>
      <c r="L131" s="280"/>
      <c r="M131" s="276">
        <v>0</v>
      </c>
      <c r="N131" s="281">
        <v>1</v>
      </c>
      <c r="O131" s="276">
        <v>19392.627189167735</v>
      </c>
      <c r="P131" s="280"/>
      <c r="Q131" s="276">
        <v>0</v>
      </c>
      <c r="R131" s="280"/>
      <c r="S131" s="276">
        <v>0</v>
      </c>
      <c r="T131" s="280"/>
      <c r="U131" s="276">
        <v>0</v>
      </c>
      <c r="V131" s="280"/>
      <c r="W131" s="276">
        <v>0</v>
      </c>
      <c r="X131" s="280"/>
      <c r="Y131" s="276">
        <v>0</v>
      </c>
      <c r="Z131" s="281">
        <v>1</v>
      </c>
      <c r="AA131" s="276">
        <v>19392.627189167735</v>
      </c>
      <c r="AB131" s="304">
        <v>58177.881567503209</v>
      </c>
      <c r="AC131" s="305">
        <v>3</v>
      </c>
      <c r="AD131" s="277" t="s">
        <v>318</v>
      </c>
      <c r="AE131" s="329">
        <v>1</v>
      </c>
      <c r="AF131" s="306">
        <v>58177.881567503209</v>
      </c>
      <c r="AG131" s="307" t="s">
        <v>331</v>
      </c>
      <c r="AH131" s="333">
        <v>12</v>
      </c>
    </row>
    <row r="132" spans="1:34" x14ac:dyDescent="0.3">
      <c r="A132" s="419" t="s">
        <v>27</v>
      </c>
      <c r="B132" s="274" t="s">
        <v>28</v>
      </c>
      <c r="C132" s="274" t="s">
        <v>346</v>
      </c>
      <c r="D132" s="281">
        <v>1</v>
      </c>
      <c r="E132" s="276">
        <v>43480.816890660324</v>
      </c>
      <c r="F132" s="280"/>
      <c r="G132" s="276">
        <v>0</v>
      </c>
      <c r="H132" s="280"/>
      <c r="I132" s="276">
        <v>0</v>
      </c>
      <c r="J132" s="280"/>
      <c r="K132" s="276">
        <v>0</v>
      </c>
      <c r="L132" s="280"/>
      <c r="M132" s="276">
        <v>0</v>
      </c>
      <c r="N132" s="281">
        <v>1</v>
      </c>
      <c r="O132" s="276">
        <v>43480.816890660324</v>
      </c>
      <c r="P132" s="280"/>
      <c r="Q132" s="276">
        <v>0</v>
      </c>
      <c r="R132" s="280"/>
      <c r="S132" s="276">
        <v>0</v>
      </c>
      <c r="T132" s="280"/>
      <c r="U132" s="276">
        <v>0</v>
      </c>
      <c r="V132" s="280"/>
      <c r="W132" s="276">
        <v>0</v>
      </c>
      <c r="X132" s="280"/>
      <c r="Y132" s="276">
        <v>0</v>
      </c>
      <c r="Z132" s="281">
        <v>1</v>
      </c>
      <c r="AA132" s="276">
        <v>43480.816890660324</v>
      </c>
      <c r="AB132" s="304">
        <v>130442.45067198097</v>
      </c>
      <c r="AC132" s="305">
        <v>3</v>
      </c>
      <c r="AD132" s="277" t="s">
        <v>318</v>
      </c>
      <c r="AE132" s="329">
        <v>1</v>
      </c>
      <c r="AF132" s="306">
        <v>130442.45067198097</v>
      </c>
      <c r="AG132" s="307" t="s">
        <v>331</v>
      </c>
      <c r="AH132" s="333">
        <v>12</v>
      </c>
    </row>
    <row r="133" spans="1:34" x14ac:dyDescent="0.3">
      <c r="A133" s="419" t="s">
        <v>23</v>
      </c>
      <c r="B133" s="274" t="s">
        <v>24</v>
      </c>
      <c r="C133" s="274" t="s">
        <v>344</v>
      </c>
      <c r="D133" s="281">
        <v>1</v>
      </c>
      <c r="E133" s="276">
        <v>31881.451880098426</v>
      </c>
      <c r="F133" s="281"/>
      <c r="G133" s="276">
        <v>0</v>
      </c>
      <c r="H133" s="281"/>
      <c r="I133" s="276">
        <v>0</v>
      </c>
      <c r="J133" s="281"/>
      <c r="K133" s="276">
        <v>0</v>
      </c>
      <c r="L133" s="281"/>
      <c r="M133" s="276">
        <v>0</v>
      </c>
      <c r="N133" s="281"/>
      <c r="O133" s="276">
        <v>0</v>
      </c>
      <c r="P133" s="281"/>
      <c r="Q133" s="276">
        <v>0</v>
      </c>
      <c r="R133" s="281"/>
      <c r="S133" s="276">
        <v>0</v>
      </c>
      <c r="T133" s="281"/>
      <c r="U133" s="276">
        <v>0</v>
      </c>
      <c r="V133" s="281"/>
      <c r="W133" s="276">
        <v>0</v>
      </c>
      <c r="X133" s="281"/>
      <c r="Y133" s="276">
        <v>0</v>
      </c>
      <c r="Z133" s="281"/>
      <c r="AA133" s="276">
        <v>0</v>
      </c>
      <c r="AB133" s="304">
        <v>31881.451880098426</v>
      </c>
      <c r="AC133" s="305">
        <v>1</v>
      </c>
      <c r="AD133" s="277" t="s">
        <v>318</v>
      </c>
      <c r="AE133" s="329">
        <v>1</v>
      </c>
      <c r="AF133" s="306">
        <v>31881.451880098426</v>
      </c>
      <c r="AG133" s="307" t="s">
        <v>331</v>
      </c>
      <c r="AH133" s="333">
        <v>12</v>
      </c>
    </row>
    <row r="134" spans="1:34" x14ac:dyDescent="0.3">
      <c r="A134" s="419" t="s">
        <v>36</v>
      </c>
      <c r="B134" s="274" t="s">
        <v>136</v>
      </c>
      <c r="C134" s="274" t="s">
        <v>344</v>
      </c>
      <c r="D134" s="308">
        <v>8</v>
      </c>
      <c r="E134" s="276">
        <v>70240.958933331596</v>
      </c>
      <c r="F134" s="308">
        <v>8</v>
      </c>
      <c r="G134" s="276">
        <v>70240.958933331596</v>
      </c>
      <c r="H134" s="308">
        <v>8</v>
      </c>
      <c r="I134" s="276">
        <v>70240.958933331596</v>
      </c>
      <c r="J134" s="308">
        <v>8</v>
      </c>
      <c r="K134" s="276">
        <v>70240.958933331596</v>
      </c>
      <c r="L134" s="308">
        <v>8</v>
      </c>
      <c r="M134" s="276">
        <v>70240.958933331596</v>
      </c>
      <c r="N134" s="308">
        <v>8</v>
      </c>
      <c r="O134" s="276">
        <v>70240.958933331596</v>
      </c>
      <c r="P134" s="308">
        <v>8</v>
      </c>
      <c r="Q134" s="276">
        <v>70240.958933331596</v>
      </c>
      <c r="R134" s="308">
        <v>8</v>
      </c>
      <c r="S134" s="276">
        <v>70240.958933331596</v>
      </c>
      <c r="T134" s="308">
        <v>8</v>
      </c>
      <c r="U134" s="276">
        <v>70240.958933331596</v>
      </c>
      <c r="V134" s="308">
        <v>8</v>
      </c>
      <c r="W134" s="276">
        <v>70240.958933331596</v>
      </c>
      <c r="X134" s="308">
        <v>8</v>
      </c>
      <c r="Y134" s="276">
        <v>70240.958933331596</v>
      </c>
      <c r="Z134" s="308">
        <v>8</v>
      </c>
      <c r="AA134" s="276">
        <v>70240.958933331596</v>
      </c>
      <c r="AB134" s="304">
        <v>842891.50719997892</v>
      </c>
      <c r="AC134" s="305">
        <v>96</v>
      </c>
      <c r="AD134" s="277" t="s">
        <v>318</v>
      </c>
      <c r="AE134" s="329">
        <v>1</v>
      </c>
      <c r="AF134" s="306">
        <v>842891.50719997892</v>
      </c>
      <c r="AG134" s="307" t="s">
        <v>331</v>
      </c>
      <c r="AH134" s="333">
        <v>12</v>
      </c>
    </row>
    <row r="135" spans="1:34" x14ac:dyDescent="0.3">
      <c r="A135" s="419" t="s">
        <v>3</v>
      </c>
      <c r="B135" s="274" t="s">
        <v>4</v>
      </c>
      <c r="C135" s="274" t="s">
        <v>342</v>
      </c>
      <c r="D135" s="281">
        <v>1</v>
      </c>
      <c r="E135" s="276">
        <v>20406.13276336317</v>
      </c>
      <c r="F135" s="281"/>
      <c r="G135" s="276">
        <v>0</v>
      </c>
      <c r="H135" s="281"/>
      <c r="I135" s="276">
        <v>0</v>
      </c>
      <c r="J135" s="281"/>
      <c r="K135" s="276">
        <v>0</v>
      </c>
      <c r="L135" s="281"/>
      <c r="M135" s="276">
        <v>0</v>
      </c>
      <c r="N135" s="281"/>
      <c r="O135" s="276">
        <v>0</v>
      </c>
      <c r="P135" s="281"/>
      <c r="Q135" s="276">
        <v>0</v>
      </c>
      <c r="R135" s="281"/>
      <c r="S135" s="276">
        <v>0</v>
      </c>
      <c r="T135" s="281"/>
      <c r="U135" s="276">
        <v>0</v>
      </c>
      <c r="V135" s="281"/>
      <c r="W135" s="276">
        <v>0</v>
      </c>
      <c r="X135" s="281"/>
      <c r="Y135" s="276">
        <v>0</v>
      </c>
      <c r="Z135" s="281"/>
      <c r="AA135" s="276">
        <v>0</v>
      </c>
      <c r="AB135" s="304">
        <v>20406.13276336317</v>
      </c>
      <c r="AC135" s="305">
        <v>1</v>
      </c>
      <c r="AD135" s="277" t="s">
        <v>318</v>
      </c>
      <c r="AE135" s="329">
        <v>1</v>
      </c>
      <c r="AF135" s="306">
        <v>20406.13276336317</v>
      </c>
      <c r="AG135" s="307" t="s">
        <v>331</v>
      </c>
      <c r="AH135" s="333">
        <v>12</v>
      </c>
    </row>
    <row r="136" spans="1:34" x14ac:dyDescent="0.3">
      <c r="A136" s="419" t="s">
        <v>15</v>
      </c>
      <c r="B136" s="274" t="s">
        <v>16</v>
      </c>
      <c r="C136" s="274" t="s">
        <v>342</v>
      </c>
      <c r="D136" s="280"/>
      <c r="E136" s="276">
        <v>0</v>
      </c>
      <c r="F136" s="280"/>
      <c r="G136" s="276">
        <v>0</v>
      </c>
      <c r="H136" s="280"/>
      <c r="I136" s="276">
        <v>0</v>
      </c>
      <c r="J136" s="280"/>
      <c r="K136" s="276">
        <v>0</v>
      </c>
      <c r="L136" s="280"/>
      <c r="M136" s="276">
        <v>0</v>
      </c>
      <c r="N136" s="281">
        <v>1</v>
      </c>
      <c r="O136" s="276">
        <v>22052.520800552971</v>
      </c>
      <c r="P136" s="280"/>
      <c r="Q136" s="276">
        <v>0</v>
      </c>
      <c r="R136" s="280"/>
      <c r="S136" s="276">
        <v>0</v>
      </c>
      <c r="T136" s="280"/>
      <c r="U136" s="276">
        <v>0</v>
      </c>
      <c r="V136" s="280"/>
      <c r="W136" s="276">
        <v>0</v>
      </c>
      <c r="X136" s="280"/>
      <c r="Y136" s="276">
        <v>0</v>
      </c>
      <c r="Z136" s="281">
        <v>1</v>
      </c>
      <c r="AA136" s="276">
        <v>22052.520800552971</v>
      </c>
      <c r="AB136" s="304">
        <v>44105.041601105942</v>
      </c>
      <c r="AC136" s="305">
        <v>2</v>
      </c>
      <c r="AD136" s="277" t="s">
        <v>318</v>
      </c>
      <c r="AE136" s="329">
        <v>1</v>
      </c>
      <c r="AF136" s="306">
        <v>44105.041601105942</v>
      </c>
      <c r="AG136" s="307" t="s">
        <v>331</v>
      </c>
      <c r="AH136" s="333">
        <v>12</v>
      </c>
    </row>
    <row r="137" spans="1:34" x14ac:dyDescent="0.3">
      <c r="A137" s="419" t="s">
        <v>1</v>
      </c>
      <c r="B137" s="274" t="s">
        <v>2</v>
      </c>
      <c r="C137" s="274" t="s">
        <v>342</v>
      </c>
      <c r="D137" s="281"/>
      <c r="E137" s="276">
        <v>0</v>
      </c>
      <c r="F137" s="281"/>
      <c r="G137" s="276">
        <v>0</v>
      </c>
      <c r="H137" s="281"/>
      <c r="I137" s="276">
        <v>0</v>
      </c>
      <c r="J137" s="281"/>
      <c r="K137" s="276">
        <v>0</v>
      </c>
      <c r="L137" s="281"/>
      <c r="M137" s="276">
        <v>0</v>
      </c>
      <c r="N137" s="281"/>
      <c r="O137" s="276">
        <v>0</v>
      </c>
      <c r="P137" s="281"/>
      <c r="Q137" s="276">
        <v>0</v>
      </c>
      <c r="R137" s="281"/>
      <c r="S137" s="276">
        <v>0</v>
      </c>
      <c r="T137" s="281"/>
      <c r="U137" s="276">
        <v>0</v>
      </c>
      <c r="V137" s="281"/>
      <c r="W137" s="276">
        <v>0</v>
      </c>
      <c r="X137" s="281"/>
      <c r="Y137" s="276">
        <v>0</v>
      </c>
      <c r="Z137" s="281">
        <v>1</v>
      </c>
      <c r="AA137" s="276">
        <v>21014.39667403782</v>
      </c>
      <c r="AB137" s="304">
        <v>21014.39667403782</v>
      </c>
      <c r="AC137" s="305">
        <v>1</v>
      </c>
      <c r="AD137" s="277" t="s">
        <v>318</v>
      </c>
      <c r="AE137" s="329">
        <v>1</v>
      </c>
      <c r="AF137" s="306">
        <v>21014.39667403782</v>
      </c>
      <c r="AG137" s="307" t="s">
        <v>331</v>
      </c>
      <c r="AH137" s="333">
        <v>12</v>
      </c>
    </row>
    <row r="138" spans="1:34" x14ac:dyDescent="0.3">
      <c r="A138" s="419" t="s">
        <v>19</v>
      </c>
      <c r="B138" s="274" t="s">
        <v>20</v>
      </c>
      <c r="C138" s="274" t="s">
        <v>342</v>
      </c>
      <c r="D138" s="281">
        <v>1</v>
      </c>
      <c r="E138" s="276">
        <v>67398.098568534639</v>
      </c>
      <c r="F138" s="281"/>
      <c r="G138" s="276">
        <v>0</v>
      </c>
      <c r="H138" s="281"/>
      <c r="I138" s="276">
        <v>0</v>
      </c>
      <c r="J138" s="281"/>
      <c r="K138" s="276">
        <v>0</v>
      </c>
      <c r="L138" s="281"/>
      <c r="M138" s="276">
        <v>0</v>
      </c>
      <c r="N138" s="281"/>
      <c r="O138" s="276">
        <v>0</v>
      </c>
      <c r="P138" s="281"/>
      <c r="Q138" s="276">
        <v>0</v>
      </c>
      <c r="R138" s="281"/>
      <c r="S138" s="276">
        <v>0</v>
      </c>
      <c r="T138" s="281"/>
      <c r="U138" s="276">
        <v>0</v>
      </c>
      <c r="V138" s="281"/>
      <c r="W138" s="276">
        <v>0</v>
      </c>
      <c r="X138" s="281"/>
      <c r="Y138" s="276">
        <v>0</v>
      </c>
      <c r="Z138" s="281"/>
      <c r="AA138" s="276">
        <v>0</v>
      </c>
      <c r="AB138" s="304">
        <v>67398.098568534639</v>
      </c>
      <c r="AC138" s="305">
        <v>1</v>
      </c>
      <c r="AD138" s="277" t="s">
        <v>318</v>
      </c>
      <c r="AE138" s="329">
        <v>1</v>
      </c>
      <c r="AF138" s="306">
        <v>67398.098568534639</v>
      </c>
      <c r="AG138" s="307" t="s">
        <v>331</v>
      </c>
      <c r="AH138" s="333">
        <v>12</v>
      </c>
    </row>
    <row r="139" spans="1:34" x14ac:dyDescent="0.3">
      <c r="A139" s="419" t="s">
        <v>21</v>
      </c>
      <c r="B139" s="274" t="s">
        <v>221</v>
      </c>
      <c r="C139" s="274" t="s">
        <v>342</v>
      </c>
      <c r="D139" s="281">
        <v>1</v>
      </c>
      <c r="E139" s="276">
        <v>67398.098568534639</v>
      </c>
      <c r="F139" s="281"/>
      <c r="G139" s="276">
        <v>0</v>
      </c>
      <c r="H139" s="281"/>
      <c r="I139" s="276">
        <v>0</v>
      </c>
      <c r="J139" s="281"/>
      <c r="K139" s="276">
        <v>0</v>
      </c>
      <c r="L139" s="281"/>
      <c r="M139" s="276">
        <v>0</v>
      </c>
      <c r="N139" s="281"/>
      <c r="O139" s="276">
        <v>0</v>
      </c>
      <c r="P139" s="281"/>
      <c r="Q139" s="276">
        <v>0</v>
      </c>
      <c r="R139" s="281"/>
      <c r="S139" s="276">
        <v>0</v>
      </c>
      <c r="T139" s="281"/>
      <c r="U139" s="276">
        <v>0</v>
      </c>
      <c r="V139" s="281"/>
      <c r="W139" s="276">
        <v>0</v>
      </c>
      <c r="X139" s="281"/>
      <c r="Y139" s="276">
        <v>0</v>
      </c>
      <c r="Z139" s="281"/>
      <c r="AA139" s="276">
        <v>0</v>
      </c>
      <c r="AB139" s="304">
        <v>67398.098568534639</v>
      </c>
      <c r="AC139" s="305">
        <v>1</v>
      </c>
      <c r="AD139" s="277" t="s">
        <v>319</v>
      </c>
      <c r="AE139" s="329">
        <v>0.52513966480446927</v>
      </c>
      <c r="AF139" s="306">
        <v>35393.414890738859</v>
      </c>
      <c r="AG139" s="307" t="s">
        <v>331</v>
      </c>
      <c r="AH139" s="333">
        <v>12</v>
      </c>
    </row>
    <row r="140" spans="1:34" x14ac:dyDescent="0.3">
      <c r="A140" s="419" t="s">
        <v>52</v>
      </c>
      <c r="B140" s="274" t="s">
        <v>191</v>
      </c>
      <c r="C140" s="274" t="s">
        <v>342</v>
      </c>
      <c r="D140" s="281">
        <v>1</v>
      </c>
      <c r="E140" s="276">
        <v>26897.079640267821</v>
      </c>
      <c r="F140" s="281"/>
      <c r="G140" s="276">
        <v>0</v>
      </c>
      <c r="H140" s="281"/>
      <c r="I140" s="276">
        <v>0</v>
      </c>
      <c r="J140" s="281"/>
      <c r="K140" s="276">
        <v>0</v>
      </c>
      <c r="L140" s="281"/>
      <c r="M140" s="276">
        <v>0</v>
      </c>
      <c r="N140" s="281"/>
      <c r="O140" s="276">
        <v>0</v>
      </c>
      <c r="P140" s="281"/>
      <c r="Q140" s="276">
        <v>0</v>
      </c>
      <c r="R140" s="281"/>
      <c r="S140" s="276">
        <v>0</v>
      </c>
      <c r="T140" s="281"/>
      <c r="U140" s="276">
        <v>0</v>
      </c>
      <c r="V140" s="281"/>
      <c r="W140" s="276">
        <v>0</v>
      </c>
      <c r="X140" s="281"/>
      <c r="Y140" s="276">
        <v>0</v>
      </c>
      <c r="Z140" s="281"/>
      <c r="AA140" s="276">
        <v>0</v>
      </c>
      <c r="AB140" s="304">
        <v>26897.079640267821</v>
      </c>
      <c r="AC140" s="305">
        <v>1</v>
      </c>
      <c r="AD140" s="277" t="s">
        <v>319</v>
      </c>
      <c r="AE140" s="329">
        <v>0</v>
      </c>
      <c r="AF140" s="306">
        <v>0</v>
      </c>
      <c r="AG140" s="307" t="s">
        <v>331</v>
      </c>
      <c r="AH140" s="333">
        <v>12</v>
      </c>
    </row>
    <row r="141" spans="1:34" x14ac:dyDescent="0.3">
      <c r="A141" s="419" t="s">
        <v>53</v>
      </c>
      <c r="B141" s="274" t="s">
        <v>230</v>
      </c>
      <c r="C141" s="274" t="s">
        <v>342</v>
      </c>
      <c r="D141" s="281">
        <v>1</v>
      </c>
      <c r="E141" s="276">
        <v>26897.079640267817</v>
      </c>
      <c r="F141" s="281"/>
      <c r="G141" s="276">
        <v>0</v>
      </c>
      <c r="H141" s="281"/>
      <c r="I141" s="276">
        <v>0</v>
      </c>
      <c r="J141" s="281"/>
      <c r="K141" s="276">
        <v>0</v>
      </c>
      <c r="L141" s="281"/>
      <c r="M141" s="276">
        <v>0</v>
      </c>
      <c r="N141" s="281"/>
      <c r="O141" s="276">
        <v>0</v>
      </c>
      <c r="P141" s="281"/>
      <c r="Q141" s="276">
        <v>0</v>
      </c>
      <c r="R141" s="281"/>
      <c r="S141" s="276">
        <v>0</v>
      </c>
      <c r="T141" s="281"/>
      <c r="U141" s="276">
        <v>0</v>
      </c>
      <c r="V141" s="281"/>
      <c r="W141" s="276">
        <v>0</v>
      </c>
      <c r="X141" s="281"/>
      <c r="Y141" s="276">
        <v>0</v>
      </c>
      <c r="Z141" s="281"/>
      <c r="AA141" s="276">
        <v>0</v>
      </c>
      <c r="AB141" s="304">
        <v>26897.079640267817</v>
      </c>
      <c r="AC141" s="305">
        <v>1</v>
      </c>
      <c r="AD141" s="277" t="s">
        <v>319</v>
      </c>
      <c r="AE141" s="329">
        <v>5.5865921787709499E-3</v>
      </c>
      <c r="AF141" s="306">
        <v>150.26301475009953</v>
      </c>
      <c r="AG141" s="307" t="s">
        <v>331</v>
      </c>
      <c r="AH141" s="333">
        <v>12</v>
      </c>
    </row>
    <row r="142" spans="1:34" x14ac:dyDescent="0.3">
      <c r="A142" s="419" t="s">
        <v>5</v>
      </c>
      <c r="B142" s="274" t="s">
        <v>6</v>
      </c>
      <c r="C142" s="274" t="s">
        <v>342</v>
      </c>
      <c r="D142" s="281">
        <v>1</v>
      </c>
      <c r="E142" s="276">
        <v>18768.367820181349</v>
      </c>
      <c r="F142" s="281"/>
      <c r="G142" s="276">
        <v>0</v>
      </c>
      <c r="H142" s="281"/>
      <c r="I142" s="276">
        <v>0</v>
      </c>
      <c r="J142" s="281"/>
      <c r="K142" s="276">
        <v>0</v>
      </c>
      <c r="L142" s="281"/>
      <c r="M142" s="276">
        <v>0</v>
      </c>
      <c r="N142" s="281"/>
      <c r="O142" s="276">
        <v>0</v>
      </c>
      <c r="P142" s="280"/>
      <c r="Q142" s="276">
        <v>0</v>
      </c>
      <c r="R142" s="280"/>
      <c r="S142" s="276">
        <v>0</v>
      </c>
      <c r="T142" s="280"/>
      <c r="U142" s="276">
        <v>0</v>
      </c>
      <c r="V142" s="280"/>
      <c r="W142" s="276">
        <v>0</v>
      </c>
      <c r="X142" s="280"/>
      <c r="Y142" s="276">
        <v>0</v>
      </c>
      <c r="Z142" s="281"/>
      <c r="AA142" s="276">
        <v>0</v>
      </c>
      <c r="AB142" s="304">
        <v>18768.367820181349</v>
      </c>
      <c r="AC142" s="305">
        <v>1</v>
      </c>
      <c r="AD142" s="277" t="s">
        <v>318</v>
      </c>
      <c r="AE142" s="329">
        <v>1</v>
      </c>
      <c r="AF142" s="306">
        <v>18768.367820181349</v>
      </c>
      <c r="AG142" s="307" t="s">
        <v>331</v>
      </c>
      <c r="AH142" s="333">
        <v>12</v>
      </c>
    </row>
    <row r="143" spans="1:34" x14ac:dyDescent="0.3">
      <c r="A143" s="419" t="s">
        <v>17</v>
      </c>
      <c r="B143" s="274" t="s">
        <v>18</v>
      </c>
      <c r="C143" s="274" t="s">
        <v>342</v>
      </c>
      <c r="D143" s="281"/>
      <c r="E143" s="276">
        <v>0</v>
      </c>
      <c r="F143" s="281"/>
      <c r="G143" s="276">
        <v>0</v>
      </c>
      <c r="H143" s="281"/>
      <c r="I143" s="276">
        <v>0</v>
      </c>
      <c r="J143" s="281"/>
      <c r="K143" s="276">
        <v>0</v>
      </c>
      <c r="L143" s="281"/>
      <c r="M143" s="276">
        <v>0</v>
      </c>
      <c r="N143" s="281">
        <v>1</v>
      </c>
      <c r="O143" s="276">
        <v>20414.75585737115</v>
      </c>
      <c r="P143" s="280"/>
      <c r="Q143" s="276">
        <v>0</v>
      </c>
      <c r="R143" s="280"/>
      <c r="S143" s="276">
        <v>0</v>
      </c>
      <c r="T143" s="280"/>
      <c r="U143" s="276">
        <v>0</v>
      </c>
      <c r="V143" s="280"/>
      <c r="W143" s="276">
        <v>0</v>
      </c>
      <c r="X143" s="280"/>
      <c r="Y143" s="276">
        <v>0</v>
      </c>
      <c r="Z143" s="281">
        <v>1</v>
      </c>
      <c r="AA143" s="276">
        <v>20414.75585737115</v>
      </c>
      <c r="AB143" s="304">
        <v>40829.511714742301</v>
      </c>
      <c r="AC143" s="305">
        <v>2</v>
      </c>
      <c r="AD143" s="277" t="s">
        <v>318</v>
      </c>
      <c r="AE143" s="329">
        <v>1</v>
      </c>
      <c r="AF143" s="306">
        <v>40829.511714742301</v>
      </c>
      <c r="AG143" s="307" t="s">
        <v>331</v>
      </c>
      <c r="AH143" s="333">
        <v>12</v>
      </c>
    </row>
    <row r="144" spans="1:34" x14ac:dyDescent="0.3">
      <c r="A144" s="419" t="s">
        <v>113</v>
      </c>
      <c r="B144" s="295" t="s">
        <v>139</v>
      </c>
      <c r="C144" s="274" t="s">
        <v>342</v>
      </c>
      <c r="D144" s="281">
        <v>1</v>
      </c>
      <c r="E144" s="276">
        <v>60236.092716419647</v>
      </c>
      <c r="F144" s="281"/>
      <c r="G144" s="276">
        <v>0</v>
      </c>
      <c r="H144" s="281"/>
      <c r="I144" s="276">
        <v>0</v>
      </c>
      <c r="J144" s="281"/>
      <c r="K144" s="276">
        <v>0</v>
      </c>
      <c r="L144" s="281"/>
      <c r="M144" s="276">
        <v>0</v>
      </c>
      <c r="N144" s="281"/>
      <c r="O144" s="276">
        <v>0</v>
      </c>
      <c r="P144" s="281"/>
      <c r="Q144" s="276">
        <v>0</v>
      </c>
      <c r="R144" s="281"/>
      <c r="S144" s="276">
        <v>0</v>
      </c>
      <c r="T144" s="281"/>
      <c r="U144" s="276">
        <v>0</v>
      </c>
      <c r="V144" s="281"/>
      <c r="W144" s="276">
        <v>0</v>
      </c>
      <c r="X144" s="281"/>
      <c r="Y144" s="276">
        <v>0</v>
      </c>
      <c r="Z144" s="281"/>
      <c r="AA144" s="276">
        <v>0</v>
      </c>
      <c r="AB144" s="304">
        <v>60236.092716419647</v>
      </c>
      <c r="AC144" s="305">
        <v>1</v>
      </c>
      <c r="AD144" s="277" t="s">
        <v>319</v>
      </c>
      <c r="AE144" s="329">
        <v>1.11731843575419E-2</v>
      </c>
      <c r="AF144" s="306">
        <v>673.02896889854355</v>
      </c>
      <c r="AG144" s="307" t="s">
        <v>331</v>
      </c>
      <c r="AH144" s="333">
        <v>12</v>
      </c>
    </row>
    <row r="145" spans="1:34" x14ac:dyDescent="0.3">
      <c r="A145" s="419" t="s">
        <v>114</v>
      </c>
      <c r="B145" s="274" t="s">
        <v>140</v>
      </c>
      <c r="C145" s="274" t="s">
        <v>342</v>
      </c>
      <c r="D145" s="281"/>
      <c r="E145" s="276">
        <v>0</v>
      </c>
      <c r="F145" s="281"/>
      <c r="G145" s="276">
        <v>0</v>
      </c>
      <c r="H145" s="281"/>
      <c r="I145" s="276">
        <v>0</v>
      </c>
      <c r="J145" s="281"/>
      <c r="K145" s="276">
        <v>0</v>
      </c>
      <c r="L145" s="281"/>
      <c r="M145" s="276">
        <v>0</v>
      </c>
      <c r="N145" s="281"/>
      <c r="O145" s="276">
        <v>0</v>
      </c>
      <c r="P145" s="281"/>
      <c r="Q145" s="276">
        <v>0</v>
      </c>
      <c r="R145" s="281"/>
      <c r="S145" s="276">
        <v>0</v>
      </c>
      <c r="T145" s="281"/>
      <c r="U145" s="276">
        <v>0</v>
      </c>
      <c r="V145" s="281"/>
      <c r="W145" s="276">
        <v>0</v>
      </c>
      <c r="X145" s="281"/>
      <c r="Y145" s="276">
        <v>0</v>
      </c>
      <c r="Z145" s="281"/>
      <c r="AA145" s="276">
        <v>0</v>
      </c>
      <c r="AB145" s="304">
        <v>0</v>
      </c>
      <c r="AC145" s="305">
        <v>0</v>
      </c>
      <c r="AD145" s="277" t="s">
        <v>319</v>
      </c>
      <c r="AE145" s="329">
        <v>1</v>
      </c>
      <c r="AF145" s="306">
        <v>0</v>
      </c>
      <c r="AG145" s="307" t="s">
        <v>331</v>
      </c>
      <c r="AH145" s="333">
        <v>12</v>
      </c>
    </row>
    <row r="146" spans="1:34" x14ac:dyDescent="0.3">
      <c r="A146" s="419" t="s">
        <v>115</v>
      </c>
      <c r="B146" s="274" t="s">
        <v>141</v>
      </c>
      <c r="C146" s="274" t="s">
        <v>342</v>
      </c>
      <c r="D146" s="281"/>
      <c r="E146" s="276">
        <v>0</v>
      </c>
      <c r="F146" s="281"/>
      <c r="G146" s="276">
        <v>0</v>
      </c>
      <c r="H146" s="281"/>
      <c r="I146" s="276">
        <v>0</v>
      </c>
      <c r="J146" s="281"/>
      <c r="K146" s="276">
        <v>0</v>
      </c>
      <c r="L146" s="281"/>
      <c r="M146" s="276">
        <v>0</v>
      </c>
      <c r="N146" s="281"/>
      <c r="O146" s="276">
        <v>0</v>
      </c>
      <c r="P146" s="281"/>
      <c r="Q146" s="276">
        <v>0</v>
      </c>
      <c r="R146" s="281"/>
      <c r="S146" s="276">
        <v>0</v>
      </c>
      <c r="T146" s="281"/>
      <c r="U146" s="276">
        <v>0</v>
      </c>
      <c r="V146" s="281"/>
      <c r="W146" s="276">
        <v>0</v>
      </c>
      <c r="X146" s="281"/>
      <c r="Y146" s="276">
        <v>0</v>
      </c>
      <c r="Z146" s="281">
        <v>1</v>
      </c>
      <c r="AA146" s="276">
        <v>62748.232282880919</v>
      </c>
      <c r="AB146" s="304">
        <v>62748.232282880919</v>
      </c>
      <c r="AC146" s="305">
        <v>1</v>
      </c>
      <c r="AD146" s="277" t="s">
        <v>319</v>
      </c>
      <c r="AE146" s="329">
        <v>1.11731843575419E-2</v>
      </c>
      <c r="AF146" s="306">
        <v>701.09756740649073</v>
      </c>
      <c r="AG146" s="307" t="s">
        <v>331</v>
      </c>
      <c r="AH146" s="333">
        <v>12</v>
      </c>
    </row>
    <row r="147" spans="1:34" x14ac:dyDescent="0.3">
      <c r="A147" s="419" t="s">
        <v>34</v>
      </c>
      <c r="B147" s="274" t="s">
        <v>35</v>
      </c>
      <c r="C147" s="274" t="s">
        <v>342</v>
      </c>
      <c r="D147" s="281">
        <v>1</v>
      </c>
      <c r="E147" s="276">
        <v>24009.730401318589</v>
      </c>
      <c r="F147" s="281"/>
      <c r="G147" s="276">
        <v>0</v>
      </c>
      <c r="H147" s="281"/>
      <c r="I147" s="276">
        <v>0</v>
      </c>
      <c r="J147" s="281"/>
      <c r="K147" s="276">
        <v>0</v>
      </c>
      <c r="L147" s="281"/>
      <c r="M147" s="276">
        <v>0</v>
      </c>
      <c r="N147" s="281"/>
      <c r="O147" s="276">
        <v>0</v>
      </c>
      <c r="P147" s="281"/>
      <c r="Q147" s="276">
        <v>0</v>
      </c>
      <c r="R147" s="281"/>
      <c r="S147" s="276">
        <v>0</v>
      </c>
      <c r="T147" s="281"/>
      <c r="U147" s="276">
        <v>0</v>
      </c>
      <c r="V147" s="281"/>
      <c r="W147" s="276">
        <v>0</v>
      </c>
      <c r="X147" s="281"/>
      <c r="Y147" s="276">
        <v>0</v>
      </c>
      <c r="Z147" s="281"/>
      <c r="AA147" s="276">
        <v>0</v>
      </c>
      <c r="AB147" s="304">
        <v>24009.730401318589</v>
      </c>
      <c r="AC147" s="305">
        <v>1</v>
      </c>
      <c r="AD147" s="277" t="s">
        <v>318</v>
      </c>
      <c r="AE147" s="329">
        <v>1</v>
      </c>
      <c r="AF147" s="306">
        <v>24009.730401318589</v>
      </c>
      <c r="AG147" s="307" t="s">
        <v>331</v>
      </c>
      <c r="AH147" s="333">
        <v>12</v>
      </c>
    </row>
    <row r="148" spans="1:34" x14ac:dyDescent="0.3">
      <c r="A148" s="419" t="s">
        <v>32</v>
      </c>
      <c r="B148" s="274" t="s">
        <v>143</v>
      </c>
      <c r="C148" s="274" t="s">
        <v>342</v>
      </c>
      <c r="D148" s="281">
        <v>1</v>
      </c>
      <c r="E148" s="276">
        <v>24009.730401318589</v>
      </c>
      <c r="F148" s="281"/>
      <c r="G148" s="276">
        <v>0</v>
      </c>
      <c r="H148" s="281"/>
      <c r="I148" s="276">
        <v>0</v>
      </c>
      <c r="J148" s="281"/>
      <c r="K148" s="276">
        <v>0</v>
      </c>
      <c r="L148" s="281"/>
      <c r="M148" s="276">
        <v>0</v>
      </c>
      <c r="N148" s="281"/>
      <c r="O148" s="276">
        <v>0</v>
      </c>
      <c r="P148" s="281"/>
      <c r="Q148" s="276">
        <v>0</v>
      </c>
      <c r="R148" s="281"/>
      <c r="S148" s="276">
        <v>0</v>
      </c>
      <c r="T148" s="281"/>
      <c r="U148" s="276">
        <v>0</v>
      </c>
      <c r="V148" s="281"/>
      <c r="W148" s="276">
        <v>0</v>
      </c>
      <c r="X148" s="281"/>
      <c r="Y148" s="276">
        <v>0</v>
      </c>
      <c r="Z148" s="281"/>
      <c r="AA148" s="276">
        <v>0</v>
      </c>
      <c r="AB148" s="304">
        <v>24009.730401318589</v>
      </c>
      <c r="AC148" s="305">
        <v>1</v>
      </c>
      <c r="AD148" s="277" t="s">
        <v>319</v>
      </c>
      <c r="AE148" s="329">
        <v>1.11731843575419E-2</v>
      </c>
      <c r="AF148" s="306">
        <v>268.26514414881109</v>
      </c>
      <c r="AG148" s="307" t="s">
        <v>331</v>
      </c>
      <c r="AH148" s="333">
        <v>12</v>
      </c>
    </row>
    <row r="149" spans="1:34" x14ac:dyDescent="0.3">
      <c r="A149" s="419" t="s">
        <v>38</v>
      </c>
      <c r="B149" s="274" t="s">
        <v>137</v>
      </c>
      <c r="C149" s="274" t="s">
        <v>342</v>
      </c>
      <c r="D149" s="281">
        <v>1</v>
      </c>
      <c r="E149" s="276">
        <v>56420.692787682223</v>
      </c>
      <c r="F149" s="281"/>
      <c r="G149" s="276">
        <v>0</v>
      </c>
      <c r="H149" s="281"/>
      <c r="I149" s="276">
        <v>0</v>
      </c>
      <c r="J149" s="281"/>
      <c r="K149" s="276">
        <v>0</v>
      </c>
      <c r="L149" s="281"/>
      <c r="M149" s="276">
        <v>0</v>
      </c>
      <c r="N149" s="281"/>
      <c r="O149" s="276">
        <v>0</v>
      </c>
      <c r="P149" s="281"/>
      <c r="Q149" s="276">
        <v>0</v>
      </c>
      <c r="R149" s="281"/>
      <c r="S149" s="276">
        <v>0</v>
      </c>
      <c r="T149" s="281"/>
      <c r="U149" s="276">
        <v>0</v>
      </c>
      <c r="V149" s="281"/>
      <c r="W149" s="276">
        <v>0</v>
      </c>
      <c r="X149" s="281"/>
      <c r="Y149" s="276">
        <v>0</v>
      </c>
      <c r="Z149" s="281"/>
      <c r="AA149" s="276">
        <v>0</v>
      </c>
      <c r="AB149" s="304">
        <v>56420.692787682223</v>
      </c>
      <c r="AC149" s="305">
        <v>1</v>
      </c>
      <c r="AD149" s="277" t="s">
        <v>319</v>
      </c>
      <c r="AE149" s="329">
        <v>0.11173184357541899</v>
      </c>
      <c r="AF149" s="306">
        <v>6303.9880209700805</v>
      </c>
      <c r="AG149" s="307" t="s">
        <v>331</v>
      </c>
      <c r="AH149" s="333">
        <v>12</v>
      </c>
    </row>
    <row r="150" spans="1:34" x14ac:dyDescent="0.3">
      <c r="A150" s="419" t="s">
        <v>42</v>
      </c>
      <c r="B150" s="274" t="s">
        <v>228</v>
      </c>
      <c r="C150" s="274" t="s">
        <v>344</v>
      </c>
      <c r="D150" s="281">
        <v>1</v>
      </c>
      <c r="E150" s="276">
        <v>31714.220952863223</v>
      </c>
      <c r="F150" s="281"/>
      <c r="G150" s="276">
        <v>0</v>
      </c>
      <c r="H150" s="281"/>
      <c r="I150" s="276">
        <v>0</v>
      </c>
      <c r="J150" s="281"/>
      <c r="K150" s="276">
        <v>0</v>
      </c>
      <c r="L150" s="281"/>
      <c r="M150" s="276">
        <v>0</v>
      </c>
      <c r="N150" s="281"/>
      <c r="O150" s="276">
        <v>0</v>
      </c>
      <c r="P150" s="281"/>
      <c r="Q150" s="276">
        <v>0</v>
      </c>
      <c r="R150" s="281"/>
      <c r="S150" s="276">
        <v>0</v>
      </c>
      <c r="T150" s="281"/>
      <c r="U150" s="276">
        <v>0</v>
      </c>
      <c r="V150" s="281"/>
      <c r="W150" s="276">
        <v>0</v>
      </c>
      <c r="X150" s="281"/>
      <c r="Y150" s="276">
        <v>0</v>
      </c>
      <c r="Z150" s="281"/>
      <c r="AA150" s="276">
        <v>0</v>
      </c>
      <c r="AB150" s="304">
        <v>31714.220952863223</v>
      </c>
      <c r="AC150" s="305">
        <v>1</v>
      </c>
      <c r="AD150" s="277" t="s">
        <v>319</v>
      </c>
      <c r="AE150" s="329">
        <v>2.793296089385475E-2</v>
      </c>
      <c r="AF150" s="306">
        <v>885.87209365539729</v>
      </c>
      <c r="AG150" s="307" t="s">
        <v>331</v>
      </c>
      <c r="AH150" s="333">
        <v>12</v>
      </c>
    </row>
    <row r="151" spans="1:34" x14ac:dyDescent="0.3">
      <c r="A151" s="419" t="s">
        <v>44</v>
      </c>
      <c r="B151" s="274" t="s">
        <v>229</v>
      </c>
      <c r="C151" s="274" t="s">
        <v>344</v>
      </c>
      <c r="D151" s="281">
        <v>1</v>
      </c>
      <c r="E151" s="276">
        <v>31714.220952863223</v>
      </c>
      <c r="F151" s="281"/>
      <c r="G151" s="276">
        <v>0</v>
      </c>
      <c r="H151" s="281"/>
      <c r="I151" s="276">
        <v>0</v>
      </c>
      <c r="J151" s="281"/>
      <c r="K151" s="276">
        <v>0</v>
      </c>
      <c r="L151" s="281"/>
      <c r="M151" s="276">
        <v>0</v>
      </c>
      <c r="N151" s="281"/>
      <c r="O151" s="276">
        <v>0</v>
      </c>
      <c r="P151" s="281"/>
      <c r="Q151" s="276">
        <v>0</v>
      </c>
      <c r="R151" s="281"/>
      <c r="S151" s="276">
        <v>0</v>
      </c>
      <c r="T151" s="281"/>
      <c r="U151" s="276">
        <v>0</v>
      </c>
      <c r="V151" s="281"/>
      <c r="W151" s="276">
        <v>0</v>
      </c>
      <c r="X151" s="281"/>
      <c r="Y151" s="276">
        <v>0</v>
      </c>
      <c r="Z151" s="281"/>
      <c r="AA151" s="276">
        <v>0</v>
      </c>
      <c r="AB151" s="304">
        <v>31714.220952863223</v>
      </c>
      <c r="AC151" s="305">
        <v>1</v>
      </c>
      <c r="AD151" s="277" t="s">
        <v>319</v>
      </c>
      <c r="AE151" s="329">
        <v>8.9385474860335198E-2</v>
      </c>
      <c r="AF151" s="306">
        <v>2834.7906996972715</v>
      </c>
      <c r="AG151" s="307" t="s">
        <v>331</v>
      </c>
      <c r="AH151" s="333">
        <v>12</v>
      </c>
    </row>
    <row r="152" spans="1:34" x14ac:dyDescent="0.3">
      <c r="A152" s="419" t="s">
        <v>29</v>
      </c>
      <c r="B152" s="280" t="s">
        <v>196</v>
      </c>
      <c r="C152" s="274" t="s">
        <v>344</v>
      </c>
      <c r="D152" s="281"/>
      <c r="E152" s="276">
        <v>0</v>
      </c>
      <c r="F152" s="281"/>
      <c r="G152" s="276">
        <v>0</v>
      </c>
      <c r="H152" s="281"/>
      <c r="I152" s="276">
        <v>0</v>
      </c>
      <c r="J152" s="281"/>
      <c r="K152" s="276">
        <v>0</v>
      </c>
      <c r="L152" s="281"/>
      <c r="M152" s="276">
        <v>0</v>
      </c>
      <c r="N152" s="281">
        <v>1</v>
      </c>
      <c r="O152" s="276">
        <v>31881.451880098426</v>
      </c>
      <c r="P152" s="281"/>
      <c r="Q152" s="276">
        <v>0</v>
      </c>
      <c r="R152" s="281"/>
      <c r="S152" s="276">
        <v>0</v>
      </c>
      <c r="T152" s="281"/>
      <c r="U152" s="276">
        <v>0</v>
      </c>
      <c r="V152" s="281"/>
      <c r="W152" s="276">
        <v>0</v>
      </c>
      <c r="X152" s="281"/>
      <c r="Y152" s="276">
        <v>0</v>
      </c>
      <c r="Z152" s="281">
        <v>1</v>
      </c>
      <c r="AA152" s="276">
        <v>31881.451880098426</v>
      </c>
      <c r="AB152" s="304">
        <v>63762.903760196852</v>
      </c>
      <c r="AC152" s="305">
        <v>2</v>
      </c>
      <c r="AD152" s="277" t="s">
        <v>318</v>
      </c>
      <c r="AE152" s="329">
        <v>1</v>
      </c>
      <c r="AF152" s="306">
        <v>63762.903760196852</v>
      </c>
      <c r="AG152" s="307" t="s">
        <v>331</v>
      </c>
      <c r="AH152" s="333">
        <v>12</v>
      </c>
    </row>
    <row r="153" spans="1:34" x14ac:dyDescent="0.3">
      <c r="A153" s="414" t="s">
        <v>421</v>
      </c>
      <c r="B153" s="96" t="s">
        <v>422</v>
      </c>
      <c r="C153" s="96" t="s">
        <v>423</v>
      </c>
      <c r="D153" s="181"/>
      <c r="E153" s="56"/>
      <c r="F153" s="181"/>
      <c r="G153" s="56"/>
      <c r="H153" s="181"/>
      <c r="I153" s="56"/>
      <c r="J153" s="181"/>
      <c r="K153" s="56"/>
      <c r="L153" s="181"/>
      <c r="M153" s="56"/>
      <c r="N153" s="181"/>
      <c r="O153" s="56"/>
      <c r="P153" s="181"/>
      <c r="Q153" s="56"/>
      <c r="R153" s="181"/>
      <c r="S153" s="56"/>
      <c r="T153" s="181"/>
      <c r="U153" s="56"/>
      <c r="V153" s="181"/>
      <c r="W153" s="56"/>
      <c r="X153" s="181"/>
      <c r="Y153" s="56"/>
      <c r="Z153" s="181"/>
      <c r="AA153" s="56"/>
      <c r="AB153" s="81"/>
      <c r="AC153" s="106"/>
      <c r="AD153" s="104" t="s">
        <v>318</v>
      </c>
      <c r="AE153" s="119"/>
      <c r="AF153" s="47"/>
      <c r="AG153" s="307" t="s">
        <v>331</v>
      </c>
      <c r="AH153" s="333">
        <v>12</v>
      </c>
    </row>
    <row r="154" spans="1:34" x14ac:dyDescent="0.3">
      <c r="A154" s="420" t="s">
        <v>78</v>
      </c>
      <c r="B154" s="274" t="s">
        <v>194</v>
      </c>
      <c r="C154" s="274" t="s">
        <v>343</v>
      </c>
      <c r="D154" s="281">
        <v>1</v>
      </c>
      <c r="E154" s="276">
        <v>32019.45168009842</v>
      </c>
      <c r="F154" s="281"/>
      <c r="G154" s="276">
        <v>0</v>
      </c>
      <c r="H154" s="281"/>
      <c r="I154" s="276">
        <v>0</v>
      </c>
      <c r="J154" s="281"/>
      <c r="K154" s="276">
        <v>0</v>
      </c>
      <c r="L154" s="281"/>
      <c r="M154" s="276">
        <v>0</v>
      </c>
      <c r="N154" s="281"/>
      <c r="O154" s="276">
        <v>0</v>
      </c>
      <c r="P154" s="281"/>
      <c r="Q154" s="276">
        <v>0</v>
      </c>
      <c r="R154" s="281"/>
      <c r="S154" s="276">
        <v>0</v>
      </c>
      <c r="T154" s="281"/>
      <c r="U154" s="276">
        <v>0</v>
      </c>
      <c r="V154" s="281"/>
      <c r="W154" s="276">
        <v>0</v>
      </c>
      <c r="X154" s="281"/>
      <c r="Y154" s="276">
        <v>0</v>
      </c>
      <c r="Z154" s="281"/>
      <c r="AA154" s="276">
        <v>0</v>
      </c>
      <c r="AB154" s="309">
        <v>32019.45168009842</v>
      </c>
      <c r="AC154" s="310">
        <v>1</v>
      </c>
      <c r="AD154" s="277" t="s">
        <v>318</v>
      </c>
      <c r="AE154" s="329">
        <v>1</v>
      </c>
      <c r="AF154" s="306">
        <v>32019.45168009842</v>
      </c>
      <c r="AG154" s="307" t="s">
        <v>353</v>
      </c>
      <c r="AH154" s="333">
        <v>12</v>
      </c>
    </row>
    <row r="155" spans="1:34" x14ac:dyDescent="0.3">
      <c r="A155" s="420" t="s">
        <v>98</v>
      </c>
      <c r="B155" s="274" t="s">
        <v>99</v>
      </c>
      <c r="C155" s="274" t="s">
        <v>342</v>
      </c>
      <c r="D155" s="281">
        <v>1</v>
      </c>
      <c r="E155" s="276">
        <v>17887.388810409495</v>
      </c>
      <c r="F155" s="280"/>
      <c r="G155" s="276">
        <v>0</v>
      </c>
      <c r="H155" s="280"/>
      <c r="I155" s="276">
        <v>0</v>
      </c>
      <c r="J155" s="280"/>
      <c r="K155" s="276">
        <v>0</v>
      </c>
      <c r="L155" s="280"/>
      <c r="M155" s="276">
        <v>0</v>
      </c>
      <c r="N155" s="280"/>
      <c r="O155" s="276">
        <v>0</v>
      </c>
      <c r="P155" s="280"/>
      <c r="Q155" s="276">
        <v>0</v>
      </c>
      <c r="R155" s="280"/>
      <c r="S155" s="276">
        <v>0</v>
      </c>
      <c r="T155" s="280"/>
      <c r="U155" s="276">
        <v>0</v>
      </c>
      <c r="V155" s="280"/>
      <c r="W155" s="276">
        <v>0</v>
      </c>
      <c r="X155" s="280"/>
      <c r="Y155" s="276">
        <v>0</v>
      </c>
      <c r="Z155" s="280"/>
      <c r="AA155" s="276">
        <v>0</v>
      </c>
      <c r="AB155" s="309">
        <v>17887.388810409495</v>
      </c>
      <c r="AC155" s="310">
        <v>1</v>
      </c>
      <c r="AD155" s="277" t="s">
        <v>318</v>
      </c>
      <c r="AE155" s="329">
        <v>1</v>
      </c>
      <c r="AF155" s="306">
        <v>17887.388810409495</v>
      </c>
      <c r="AG155" s="307" t="s">
        <v>353</v>
      </c>
      <c r="AH155" s="333">
        <v>12</v>
      </c>
    </row>
    <row r="156" spans="1:34" x14ac:dyDescent="0.3">
      <c r="A156" s="420" t="s">
        <v>104</v>
      </c>
      <c r="B156" s="274" t="s">
        <v>105</v>
      </c>
      <c r="C156" s="274" t="s">
        <v>342</v>
      </c>
      <c r="D156" s="281"/>
      <c r="E156" s="276">
        <v>0</v>
      </c>
      <c r="F156" s="280"/>
      <c r="G156" s="276">
        <v>0</v>
      </c>
      <c r="H156" s="280"/>
      <c r="I156" s="276">
        <v>0</v>
      </c>
      <c r="J156" s="280"/>
      <c r="K156" s="276">
        <v>0</v>
      </c>
      <c r="L156" s="280"/>
      <c r="M156" s="276">
        <v>0</v>
      </c>
      <c r="N156" s="281"/>
      <c r="O156" s="276">
        <v>0</v>
      </c>
      <c r="P156" s="280"/>
      <c r="Q156" s="276">
        <v>0</v>
      </c>
      <c r="R156" s="280"/>
      <c r="S156" s="276">
        <v>0</v>
      </c>
      <c r="T156" s="280"/>
      <c r="U156" s="276">
        <v>0</v>
      </c>
      <c r="V156" s="280"/>
      <c r="W156" s="276">
        <v>0</v>
      </c>
      <c r="X156" s="280"/>
      <c r="Y156" s="276">
        <v>0</v>
      </c>
      <c r="Z156" s="287">
        <v>1</v>
      </c>
      <c r="AA156" s="276">
        <v>17887.388810409495</v>
      </c>
      <c r="AB156" s="309">
        <v>17887.388810409495</v>
      </c>
      <c r="AC156" s="310">
        <v>1</v>
      </c>
      <c r="AD156" s="277" t="s">
        <v>319</v>
      </c>
      <c r="AE156" s="329">
        <v>2.5000000000000001E-2</v>
      </c>
      <c r="AF156" s="306">
        <v>447.18472026023738</v>
      </c>
      <c r="AG156" s="307" t="s">
        <v>353</v>
      </c>
      <c r="AH156" s="333">
        <v>12</v>
      </c>
    </row>
    <row r="157" spans="1:34" x14ac:dyDescent="0.3">
      <c r="A157" s="420" t="s">
        <v>3</v>
      </c>
      <c r="B157" s="274" t="s">
        <v>4</v>
      </c>
      <c r="C157" s="274" t="s">
        <v>342</v>
      </c>
      <c r="D157" s="281">
        <v>1</v>
      </c>
      <c r="E157" s="276">
        <v>20406.13276336317</v>
      </c>
      <c r="F157" s="281"/>
      <c r="G157" s="276">
        <v>0</v>
      </c>
      <c r="H157" s="281"/>
      <c r="I157" s="276">
        <v>0</v>
      </c>
      <c r="J157" s="281"/>
      <c r="K157" s="276">
        <v>0</v>
      </c>
      <c r="L157" s="281"/>
      <c r="M157" s="276">
        <v>0</v>
      </c>
      <c r="N157" s="281"/>
      <c r="O157" s="276">
        <v>0</v>
      </c>
      <c r="P157" s="281"/>
      <c r="Q157" s="276">
        <v>0</v>
      </c>
      <c r="R157" s="281"/>
      <c r="S157" s="276">
        <v>0</v>
      </c>
      <c r="T157" s="281"/>
      <c r="U157" s="276">
        <v>0</v>
      </c>
      <c r="V157" s="281"/>
      <c r="W157" s="276">
        <v>0</v>
      </c>
      <c r="X157" s="281"/>
      <c r="Y157" s="276">
        <v>0</v>
      </c>
      <c r="Z157" s="281"/>
      <c r="AA157" s="276">
        <v>0</v>
      </c>
      <c r="AB157" s="309">
        <v>20406.13276336317</v>
      </c>
      <c r="AC157" s="310">
        <v>1</v>
      </c>
      <c r="AD157" s="277" t="s">
        <v>318</v>
      </c>
      <c r="AE157" s="329">
        <v>1</v>
      </c>
      <c r="AF157" s="306">
        <v>20406.13276336317</v>
      </c>
      <c r="AG157" s="307" t="s">
        <v>353</v>
      </c>
      <c r="AH157" s="333">
        <v>12</v>
      </c>
    </row>
    <row r="158" spans="1:34" x14ac:dyDescent="0.3">
      <c r="A158" s="420" t="s">
        <v>15</v>
      </c>
      <c r="B158" s="274" t="s">
        <v>16</v>
      </c>
      <c r="C158" s="274" t="s">
        <v>342</v>
      </c>
      <c r="D158" s="281"/>
      <c r="E158" s="276">
        <v>0</v>
      </c>
      <c r="F158" s="281"/>
      <c r="G158" s="276">
        <v>0</v>
      </c>
      <c r="H158" s="281"/>
      <c r="I158" s="276">
        <v>0</v>
      </c>
      <c r="J158" s="281"/>
      <c r="K158" s="276">
        <v>0</v>
      </c>
      <c r="L158" s="281"/>
      <c r="M158" s="276">
        <v>0</v>
      </c>
      <c r="N158" s="281">
        <v>1</v>
      </c>
      <c r="O158" s="276">
        <v>22052.520800552971</v>
      </c>
      <c r="P158" s="281"/>
      <c r="Q158" s="276">
        <v>0</v>
      </c>
      <c r="R158" s="281"/>
      <c r="S158" s="276">
        <v>0</v>
      </c>
      <c r="T158" s="281"/>
      <c r="U158" s="276">
        <v>0</v>
      </c>
      <c r="V158" s="281"/>
      <c r="W158" s="276">
        <v>0</v>
      </c>
      <c r="X158" s="281"/>
      <c r="Y158" s="276">
        <v>0</v>
      </c>
      <c r="Z158" s="281">
        <v>1</v>
      </c>
      <c r="AA158" s="276">
        <v>22052.520800552971</v>
      </c>
      <c r="AB158" s="309">
        <v>44105.041601105942</v>
      </c>
      <c r="AC158" s="310">
        <v>2</v>
      </c>
      <c r="AD158" s="277" t="s">
        <v>318</v>
      </c>
      <c r="AE158" s="329">
        <v>1</v>
      </c>
      <c r="AF158" s="306">
        <v>44105.041601105942</v>
      </c>
      <c r="AG158" s="307" t="s">
        <v>353</v>
      </c>
      <c r="AH158" s="333">
        <v>12</v>
      </c>
    </row>
    <row r="159" spans="1:34" x14ac:dyDescent="0.3">
      <c r="A159" s="420" t="s">
        <v>74</v>
      </c>
      <c r="B159" s="274" t="s">
        <v>75</v>
      </c>
      <c r="C159" s="274" t="s">
        <v>342</v>
      </c>
      <c r="D159" s="281">
        <v>1</v>
      </c>
      <c r="E159" s="276">
        <v>19368.008636848015</v>
      </c>
      <c r="F159" s="281"/>
      <c r="G159" s="276">
        <v>0</v>
      </c>
      <c r="H159" s="281"/>
      <c r="I159" s="276">
        <v>0</v>
      </c>
      <c r="J159" s="281"/>
      <c r="K159" s="276">
        <v>0</v>
      </c>
      <c r="L159" s="281"/>
      <c r="M159" s="276">
        <v>0</v>
      </c>
      <c r="N159" s="281"/>
      <c r="O159" s="276">
        <v>0</v>
      </c>
      <c r="P159" s="281"/>
      <c r="Q159" s="276">
        <v>0</v>
      </c>
      <c r="R159" s="281"/>
      <c r="S159" s="276">
        <v>0</v>
      </c>
      <c r="T159" s="281"/>
      <c r="U159" s="276">
        <v>0</v>
      </c>
      <c r="V159" s="281"/>
      <c r="W159" s="276">
        <v>0</v>
      </c>
      <c r="X159" s="281"/>
      <c r="Y159" s="276">
        <v>0</v>
      </c>
      <c r="Z159" s="281"/>
      <c r="AA159" s="276">
        <v>0</v>
      </c>
      <c r="AB159" s="309">
        <v>19368.008636848015</v>
      </c>
      <c r="AC159" s="310">
        <v>1</v>
      </c>
      <c r="AD159" s="277" t="s">
        <v>319</v>
      </c>
      <c r="AE159" s="329">
        <v>0</v>
      </c>
      <c r="AF159" s="306">
        <v>0</v>
      </c>
      <c r="AG159" s="307" t="s">
        <v>353</v>
      </c>
      <c r="AH159" s="333">
        <v>12</v>
      </c>
    </row>
    <row r="160" spans="1:34" x14ac:dyDescent="0.3">
      <c r="A160" s="420" t="s">
        <v>23</v>
      </c>
      <c r="B160" s="274" t="s">
        <v>24</v>
      </c>
      <c r="C160" s="274" t="s">
        <v>344</v>
      </c>
      <c r="D160" s="281">
        <v>1</v>
      </c>
      <c r="E160" s="276">
        <v>31881.451880098426</v>
      </c>
      <c r="F160" s="281"/>
      <c r="G160" s="276">
        <v>0</v>
      </c>
      <c r="H160" s="281"/>
      <c r="I160" s="276">
        <v>0</v>
      </c>
      <c r="J160" s="281"/>
      <c r="K160" s="276">
        <v>0</v>
      </c>
      <c r="L160" s="281"/>
      <c r="M160" s="276">
        <v>0</v>
      </c>
      <c r="N160" s="281"/>
      <c r="O160" s="276">
        <v>0</v>
      </c>
      <c r="P160" s="281"/>
      <c r="Q160" s="276">
        <v>0</v>
      </c>
      <c r="R160" s="281"/>
      <c r="S160" s="276">
        <v>0</v>
      </c>
      <c r="T160" s="281"/>
      <c r="U160" s="276">
        <v>0</v>
      </c>
      <c r="V160" s="281"/>
      <c r="W160" s="276">
        <v>0</v>
      </c>
      <c r="X160" s="281"/>
      <c r="Y160" s="276">
        <v>0</v>
      </c>
      <c r="Z160" s="281"/>
      <c r="AA160" s="276">
        <v>0</v>
      </c>
      <c r="AB160" s="309">
        <v>31881.451880098426</v>
      </c>
      <c r="AC160" s="310">
        <v>1</v>
      </c>
      <c r="AD160" s="277" t="s">
        <v>318</v>
      </c>
      <c r="AE160" s="329">
        <v>1</v>
      </c>
      <c r="AF160" s="306">
        <v>31881.451880098426</v>
      </c>
      <c r="AG160" s="307" t="s">
        <v>353</v>
      </c>
      <c r="AH160" s="333">
        <v>12</v>
      </c>
    </row>
    <row r="161" spans="1:34" x14ac:dyDescent="0.3">
      <c r="A161" s="420" t="s">
        <v>36</v>
      </c>
      <c r="B161" s="274" t="s">
        <v>136</v>
      </c>
      <c r="C161" s="274" t="s">
        <v>344</v>
      </c>
      <c r="D161" s="308">
        <v>8</v>
      </c>
      <c r="E161" s="276">
        <v>70240.958933331596</v>
      </c>
      <c r="F161" s="308">
        <v>8</v>
      </c>
      <c r="G161" s="276">
        <v>70240.958933331596</v>
      </c>
      <c r="H161" s="308">
        <v>8</v>
      </c>
      <c r="I161" s="276">
        <v>70240.958933331596</v>
      </c>
      <c r="J161" s="308">
        <v>8</v>
      </c>
      <c r="K161" s="276">
        <v>70240.958933331596</v>
      </c>
      <c r="L161" s="308">
        <v>8</v>
      </c>
      <c r="M161" s="276">
        <v>70240.958933331596</v>
      </c>
      <c r="N161" s="308">
        <v>8</v>
      </c>
      <c r="O161" s="276">
        <v>70240.958933331596</v>
      </c>
      <c r="P161" s="308">
        <v>8</v>
      </c>
      <c r="Q161" s="276">
        <v>70240.958933331596</v>
      </c>
      <c r="R161" s="308">
        <v>8</v>
      </c>
      <c r="S161" s="276">
        <v>70240.958933331596</v>
      </c>
      <c r="T161" s="308">
        <v>8</v>
      </c>
      <c r="U161" s="276">
        <v>70240.958933331596</v>
      </c>
      <c r="V161" s="308">
        <v>8</v>
      </c>
      <c r="W161" s="276">
        <v>70240.958933331596</v>
      </c>
      <c r="X161" s="308">
        <v>8</v>
      </c>
      <c r="Y161" s="276">
        <v>70240.958933331596</v>
      </c>
      <c r="Z161" s="308">
        <v>8</v>
      </c>
      <c r="AA161" s="276">
        <v>70240.958933331596</v>
      </c>
      <c r="AB161" s="309">
        <v>842891.50719997892</v>
      </c>
      <c r="AC161" s="310">
        <v>96</v>
      </c>
      <c r="AD161" s="277" t="s">
        <v>318</v>
      </c>
      <c r="AE161" s="329">
        <v>1</v>
      </c>
      <c r="AF161" s="306">
        <v>842891.50719997892</v>
      </c>
      <c r="AG161" s="307" t="s">
        <v>353</v>
      </c>
      <c r="AH161" s="333">
        <v>12</v>
      </c>
    </row>
    <row r="162" spans="1:34" x14ac:dyDescent="0.3">
      <c r="A162" s="420" t="s">
        <v>11</v>
      </c>
      <c r="B162" s="274" t="s">
        <v>138</v>
      </c>
      <c r="C162" s="274" t="s">
        <v>345</v>
      </c>
      <c r="D162" s="281">
        <v>2</v>
      </c>
      <c r="E162" s="276">
        <v>25486.843284439274</v>
      </c>
      <c r="F162" s="281">
        <v>2</v>
      </c>
      <c r="G162" s="276">
        <v>25486.843284439274</v>
      </c>
      <c r="H162" s="281">
        <v>2</v>
      </c>
      <c r="I162" s="276">
        <v>25486.843284439274</v>
      </c>
      <c r="J162" s="281">
        <v>2</v>
      </c>
      <c r="K162" s="276">
        <v>25486.843284439274</v>
      </c>
      <c r="L162" s="281">
        <v>2</v>
      </c>
      <c r="M162" s="276">
        <v>25486.843284439274</v>
      </c>
      <c r="N162" s="281">
        <v>2</v>
      </c>
      <c r="O162" s="276">
        <v>25486.843284439274</v>
      </c>
      <c r="P162" s="281">
        <v>2</v>
      </c>
      <c r="Q162" s="276">
        <v>25486.843284439274</v>
      </c>
      <c r="R162" s="281">
        <v>2</v>
      </c>
      <c r="S162" s="276">
        <v>25486.843284439274</v>
      </c>
      <c r="T162" s="281">
        <v>2</v>
      </c>
      <c r="U162" s="276">
        <v>25486.843284439274</v>
      </c>
      <c r="V162" s="281">
        <v>2</v>
      </c>
      <c r="W162" s="276">
        <v>25486.843284439274</v>
      </c>
      <c r="X162" s="281">
        <v>2</v>
      </c>
      <c r="Y162" s="276">
        <v>25486.843284439274</v>
      </c>
      <c r="Z162" s="281">
        <v>2</v>
      </c>
      <c r="AA162" s="276">
        <v>25486.843284439274</v>
      </c>
      <c r="AB162" s="309">
        <v>305842.11941327131</v>
      </c>
      <c r="AC162" s="310">
        <v>24</v>
      </c>
      <c r="AD162" s="277" t="s">
        <v>318</v>
      </c>
      <c r="AE162" s="329">
        <v>1</v>
      </c>
      <c r="AF162" s="306">
        <v>305842.11941327131</v>
      </c>
      <c r="AG162" s="307" t="s">
        <v>353</v>
      </c>
      <c r="AH162" s="333">
        <v>12</v>
      </c>
    </row>
    <row r="163" spans="1:34" x14ac:dyDescent="0.3">
      <c r="A163" s="420" t="s">
        <v>19</v>
      </c>
      <c r="B163" s="274" t="s">
        <v>20</v>
      </c>
      <c r="C163" s="274" t="s">
        <v>342</v>
      </c>
      <c r="D163" s="281">
        <v>1</v>
      </c>
      <c r="E163" s="276">
        <v>67398.098568534639</v>
      </c>
      <c r="F163" s="281"/>
      <c r="G163" s="276">
        <v>0</v>
      </c>
      <c r="H163" s="281"/>
      <c r="I163" s="276">
        <v>0</v>
      </c>
      <c r="J163" s="281"/>
      <c r="K163" s="276">
        <v>0</v>
      </c>
      <c r="L163" s="281"/>
      <c r="M163" s="276">
        <v>0</v>
      </c>
      <c r="N163" s="281"/>
      <c r="O163" s="276">
        <v>0</v>
      </c>
      <c r="P163" s="281"/>
      <c r="Q163" s="276">
        <v>0</v>
      </c>
      <c r="R163" s="281"/>
      <c r="S163" s="276">
        <v>0</v>
      </c>
      <c r="T163" s="281"/>
      <c r="U163" s="276">
        <v>0</v>
      </c>
      <c r="V163" s="281"/>
      <c r="W163" s="276">
        <v>0</v>
      </c>
      <c r="X163" s="281"/>
      <c r="Y163" s="276">
        <v>0</v>
      </c>
      <c r="Z163" s="281"/>
      <c r="AA163" s="276">
        <v>0</v>
      </c>
      <c r="AB163" s="309">
        <v>67398.098568534639</v>
      </c>
      <c r="AC163" s="310">
        <v>1</v>
      </c>
      <c r="AD163" s="277" t="s">
        <v>319</v>
      </c>
      <c r="AE163" s="329">
        <v>0.1</v>
      </c>
      <c r="AF163" s="306">
        <v>6739.8098568534642</v>
      </c>
      <c r="AG163" s="307" t="s">
        <v>353</v>
      </c>
      <c r="AH163" s="333">
        <v>12</v>
      </c>
    </row>
    <row r="164" spans="1:34" x14ac:dyDescent="0.3">
      <c r="A164" s="420" t="s">
        <v>21</v>
      </c>
      <c r="B164" s="274" t="s">
        <v>221</v>
      </c>
      <c r="C164" s="274" t="s">
        <v>342</v>
      </c>
      <c r="D164" s="281">
        <v>1</v>
      </c>
      <c r="E164" s="276">
        <v>67398.098568534639</v>
      </c>
      <c r="F164" s="281"/>
      <c r="G164" s="276">
        <v>0</v>
      </c>
      <c r="H164" s="281"/>
      <c r="I164" s="276">
        <v>0</v>
      </c>
      <c r="J164" s="281"/>
      <c r="K164" s="276">
        <v>0</v>
      </c>
      <c r="L164" s="281"/>
      <c r="M164" s="276">
        <v>0</v>
      </c>
      <c r="N164" s="281"/>
      <c r="O164" s="276">
        <v>0</v>
      </c>
      <c r="P164" s="281"/>
      <c r="Q164" s="276">
        <v>0</v>
      </c>
      <c r="R164" s="281"/>
      <c r="S164" s="276">
        <v>0</v>
      </c>
      <c r="T164" s="281"/>
      <c r="U164" s="276">
        <v>0</v>
      </c>
      <c r="V164" s="281"/>
      <c r="W164" s="276">
        <v>0</v>
      </c>
      <c r="X164" s="281"/>
      <c r="Y164" s="276">
        <v>0</v>
      </c>
      <c r="Z164" s="281"/>
      <c r="AA164" s="276">
        <v>0</v>
      </c>
      <c r="AB164" s="309">
        <v>67398.098568534639</v>
      </c>
      <c r="AC164" s="310">
        <v>1</v>
      </c>
      <c r="AD164" s="277" t="s">
        <v>319</v>
      </c>
      <c r="AE164" s="329">
        <v>1.1375</v>
      </c>
      <c r="AF164" s="306">
        <v>76665.337121708144</v>
      </c>
      <c r="AG164" s="307" t="s">
        <v>353</v>
      </c>
      <c r="AH164" s="333">
        <v>12</v>
      </c>
    </row>
    <row r="165" spans="1:34" x14ac:dyDescent="0.3">
      <c r="A165" s="420" t="s">
        <v>34</v>
      </c>
      <c r="B165" s="274" t="s">
        <v>35</v>
      </c>
      <c r="C165" s="274" t="s">
        <v>342</v>
      </c>
      <c r="D165" s="281">
        <v>1</v>
      </c>
      <c r="E165" s="276">
        <v>24009.730401318589</v>
      </c>
      <c r="F165" s="281"/>
      <c r="G165" s="276">
        <v>0</v>
      </c>
      <c r="H165" s="281"/>
      <c r="I165" s="276">
        <v>0</v>
      </c>
      <c r="J165" s="281"/>
      <c r="K165" s="276">
        <v>0</v>
      </c>
      <c r="L165" s="281"/>
      <c r="M165" s="276">
        <v>0</v>
      </c>
      <c r="N165" s="281"/>
      <c r="O165" s="276">
        <v>0</v>
      </c>
      <c r="P165" s="281"/>
      <c r="Q165" s="276">
        <v>0</v>
      </c>
      <c r="R165" s="281"/>
      <c r="S165" s="276">
        <v>0</v>
      </c>
      <c r="T165" s="281"/>
      <c r="U165" s="276">
        <v>0</v>
      </c>
      <c r="V165" s="281"/>
      <c r="W165" s="276">
        <v>0</v>
      </c>
      <c r="X165" s="281"/>
      <c r="Y165" s="276">
        <v>0</v>
      </c>
      <c r="Z165" s="281"/>
      <c r="AA165" s="276">
        <v>0</v>
      </c>
      <c r="AB165" s="309">
        <v>24009.730401318589</v>
      </c>
      <c r="AC165" s="310">
        <v>1</v>
      </c>
      <c r="AD165" s="277" t="s">
        <v>318</v>
      </c>
      <c r="AE165" s="329">
        <v>1</v>
      </c>
      <c r="AF165" s="306">
        <v>24009.730401318589</v>
      </c>
      <c r="AG165" s="307" t="s">
        <v>353</v>
      </c>
      <c r="AH165" s="333">
        <v>12</v>
      </c>
    </row>
    <row r="166" spans="1:34" x14ac:dyDescent="0.3">
      <c r="A166" s="420" t="s">
        <v>32</v>
      </c>
      <c r="B166" s="274" t="s">
        <v>33</v>
      </c>
      <c r="C166" s="274" t="s">
        <v>342</v>
      </c>
      <c r="D166" s="281"/>
      <c r="E166" s="276">
        <v>0</v>
      </c>
      <c r="F166" s="281"/>
      <c r="G166" s="276">
        <v>0</v>
      </c>
      <c r="H166" s="281">
        <v>1</v>
      </c>
      <c r="I166" s="276">
        <v>24009.730401318589</v>
      </c>
      <c r="J166" s="281"/>
      <c r="K166" s="276">
        <v>0</v>
      </c>
      <c r="L166" s="281"/>
      <c r="M166" s="276">
        <v>0</v>
      </c>
      <c r="N166" s="281"/>
      <c r="O166" s="276">
        <v>0</v>
      </c>
      <c r="P166" s="281"/>
      <c r="Q166" s="276">
        <v>0</v>
      </c>
      <c r="R166" s="281"/>
      <c r="S166" s="276">
        <v>0</v>
      </c>
      <c r="T166" s="281"/>
      <c r="U166" s="276">
        <v>0</v>
      </c>
      <c r="V166" s="281"/>
      <c r="W166" s="276">
        <v>0</v>
      </c>
      <c r="X166" s="281"/>
      <c r="Y166" s="276">
        <v>0</v>
      </c>
      <c r="Z166" s="281"/>
      <c r="AA166" s="276">
        <v>0</v>
      </c>
      <c r="AB166" s="309">
        <v>24009.730401318589</v>
      </c>
      <c r="AC166" s="310">
        <v>1</v>
      </c>
      <c r="AD166" s="277" t="s">
        <v>319</v>
      </c>
      <c r="AE166" s="329">
        <v>0</v>
      </c>
      <c r="AF166" s="306">
        <v>0</v>
      </c>
      <c r="AG166" s="307" t="s">
        <v>353</v>
      </c>
      <c r="AH166" s="333">
        <v>12</v>
      </c>
    </row>
    <row r="167" spans="1:34" x14ac:dyDescent="0.3">
      <c r="A167" s="420" t="s">
        <v>79</v>
      </c>
      <c r="B167" s="274" t="s">
        <v>197</v>
      </c>
      <c r="C167" s="274" t="s">
        <v>344</v>
      </c>
      <c r="D167" s="281">
        <v>4</v>
      </c>
      <c r="E167" s="276">
        <v>82211.022629484622</v>
      </c>
      <c r="F167" s="281">
        <v>4</v>
      </c>
      <c r="G167" s="276">
        <v>82211.022629484622</v>
      </c>
      <c r="H167" s="281">
        <v>4</v>
      </c>
      <c r="I167" s="276">
        <v>82211.022629484622</v>
      </c>
      <c r="J167" s="281">
        <v>4</v>
      </c>
      <c r="K167" s="276">
        <v>82211.022629484622</v>
      </c>
      <c r="L167" s="281">
        <v>4</v>
      </c>
      <c r="M167" s="276">
        <v>82211.022629484622</v>
      </c>
      <c r="N167" s="281">
        <v>4</v>
      </c>
      <c r="O167" s="276">
        <v>82211.022629484622</v>
      </c>
      <c r="P167" s="281">
        <v>4</v>
      </c>
      <c r="Q167" s="276">
        <v>82211.022629484622</v>
      </c>
      <c r="R167" s="281">
        <v>4</v>
      </c>
      <c r="S167" s="276">
        <v>82211.022629484622</v>
      </c>
      <c r="T167" s="281">
        <v>4</v>
      </c>
      <c r="U167" s="276">
        <v>82211.022629484622</v>
      </c>
      <c r="V167" s="281">
        <v>4</v>
      </c>
      <c r="W167" s="276">
        <v>82211.022629484622</v>
      </c>
      <c r="X167" s="281">
        <v>4</v>
      </c>
      <c r="Y167" s="276">
        <v>82211.022629484622</v>
      </c>
      <c r="Z167" s="281">
        <v>4</v>
      </c>
      <c r="AA167" s="276">
        <v>82211.022629484622</v>
      </c>
      <c r="AB167" s="309">
        <v>986532.27155381569</v>
      </c>
      <c r="AC167" s="310">
        <v>48</v>
      </c>
      <c r="AD167" s="277" t="s">
        <v>318</v>
      </c>
      <c r="AE167" s="329">
        <v>1</v>
      </c>
      <c r="AF167" s="306">
        <v>986532.27155381569</v>
      </c>
      <c r="AG167" s="307" t="s">
        <v>353</v>
      </c>
      <c r="AH167" s="333">
        <v>12</v>
      </c>
    </row>
    <row r="168" spans="1:34" x14ac:dyDescent="0.3">
      <c r="A168" s="420" t="s">
        <v>27</v>
      </c>
      <c r="B168" s="274" t="s">
        <v>28</v>
      </c>
      <c r="C168" s="274" t="s">
        <v>346</v>
      </c>
      <c r="D168" s="281">
        <v>1</v>
      </c>
      <c r="E168" s="276">
        <v>43480.816890660324</v>
      </c>
      <c r="F168" s="281"/>
      <c r="G168" s="276">
        <v>0</v>
      </c>
      <c r="H168" s="281"/>
      <c r="I168" s="276">
        <v>0</v>
      </c>
      <c r="J168" s="281"/>
      <c r="K168" s="276">
        <v>0</v>
      </c>
      <c r="L168" s="281"/>
      <c r="M168" s="276">
        <v>0</v>
      </c>
      <c r="N168" s="281"/>
      <c r="O168" s="276">
        <v>0</v>
      </c>
      <c r="P168" s="281"/>
      <c r="Q168" s="276">
        <v>0</v>
      </c>
      <c r="R168" s="281"/>
      <c r="S168" s="276">
        <v>0</v>
      </c>
      <c r="T168" s="281"/>
      <c r="U168" s="276">
        <v>0</v>
      </c>
      <c r="V168" s="281"/>
      <c r="W168" s="276">
        <v>0</v>
      </c>
      <c r="X168" s="281"/>
      <c r="Y168" s="276">
        <v>0</v>
      </c>
      <c r="Z168" s="281">
        <v>1</v>
      </c>
      <c r="AA168" s="276">
        <v>43480.816890660324</v>
      </c>
      <c r="AB168" s="309">
        <v>86961.633781320648</v>
      </c>
      <c r="AC168" s="310">
        <v>2</v>
      </c>
      <c r="AD168" s="277" t="s">
        <v>318</v>
      </c>
      <c r="AE168" s="329">
        <v>1</v>
      </c>
      <c r="AF168" s="306">
        <v>86961.633781320648</v>
      </c>
      <c r="AG168" s="307" t="s">
        <v>353</v>
      </c>
      <c r="AH168" s="333">
        <v>12</v>
      </c>
    </row>
    <row r="169" spans="1:34" x14ac:dyDescent="0.3">
      <c r="A169" s="420" t="s">
        <v>25</v>
      </c>
      <c r="B169" s="274" t="s">
        <v>26</v>
      </c>
      <c r="C169" s="274" t="s">
        <v>346</v>
      </c>
      <c r="D169" s="281">
        <v>1</v>
      </c>
      <c r="E169" s="276">
        <v>19392.627189167735</v>
      </c>
      <c r="F169" s="281"/>
      <c r="G169" s="276">
        <v>0</v>
      </c>
      <c r="H169" s="281"/>
      <c r="I169" s="276">
        <v>0</v>
      </c>
      <c r="J169" s="281"/>
      <c r="K169" s="276">
        <v>0</v>
      </c>
      <c r="L169" s="281"/>
      <c r="M169" s="276">
        <v>0</v>
      </c>
      <c r="N169" s="281"/>
      <c r="O169" s="276">
        <v>0</v>
      </c>
      <c r="P169" s="281"/>
      <c r="Q169" s="276">
        <v>0</v>
      </c>
      <c r="R169" s="281"/>
      <c r="S169" s="276">
        <v>0</v>
      </c>
      <c r="T169" s="281"/>
      <c r="U169" s="276">
        <v>0</v>
      </c>
      <c r="V169" s="281"/>
      <c r="W169" s="276">
        <v>0</v>
      </c>
      <c r="X169" s="281"/>
      <c r="Y169" s="276">
        <v>0</v>
      </c>
      <c r="Z169" s="281">
        <v>1</v>
      </c>
      <c r="AA169" s="276">
        <v>19392.627189167735</v>
      </c>
      <c r="AB169" s="309">
        <v>38785.25437833547</v>
      </c>
      <c r="AC169" s="310">
        <v>2</v>
      </c>
      <c r="AD169" s="277" t="s">
        <v>318</v>
      </c>
      <c r="AE169" s="329">
        <v>1</v>
      </c>
      <c r="AF169" s="306">
        <v>38785.25437833547</v>
      </c>
      <c r="AG169" s="307" t="s">
        <v>353</v>
      </c>
      <c r="AH169" s="333">
        <v>12</v>
      </c>
    </row>
    <row r="170" spans="1:34" x14ac:dyDescent="0.3">
      <c r="A170" s="420" t="s">
        <v>113</v>
      </c>
      <c r="B170" s="295" t="s">
        <v>139</v>
      </c>
      <c r="C170" s="274" t="s">
        <v>342</v>
      </c>
      <c r="D170" s="281">
        <v>1</v>
      </c>
      <c r="E170" s="276">
        <v>60236.092716419647</v>
      </c>
      <c r="F170" s="281"/>
      <c r="G170" s="276">
        <v>0</v>
      </c>
      <c r="H170" s="281"/>
      <c r="I170" s="276">
        <v>0</v>
      </c>
      <c r="J170" s="281"/>
      <c r="K170" s="276">
        <v>0</v>
      </c>
      <c r="L170" s="281"/>
      <c r="M170" s="276">
        <v>0</v>
      </c>
      <c r="N170" s="281"/>
      <c r="O170" s="276">
        <v>0</v>
      </c>
      <c r="P170" s="281"/>
      <c r="Q170" s="276">
        <v>0</v>
      </c>
      <c r="R170" s="281"/>
      <c r="S170" s="276">
        <v>0</v>
      </c>
      <c r="T170" s="281"/>
      <c r="U170" s="276">
        <v>0</v>
      </c>
      <c r="V170" s="281"/>
      <c r="W170" s="276">
        <v>0</v>
      </c>
      <c r="X170" s="281"/>
      <c r="Y170" s="276">
        <v>0</v>
      </c>
      <c r="Z170" s="281"/>
      <c r="AA170" s="276">
        <v>0</v>
      </c>
      <c r="AB170" s="309">
        <v>60236.092716419647</v>
      </c>
      <c r="AC170" s="310">
        <v>1</v>
      </c>
      <c r="AD170" s="277" t="s">
        <v>319</v>
      </c>
      <c r="AE170" s="329">
        <v>0.05</v>
      </c>
      <c r="AF170" s="306">
        <v>3011.8046358209826</v>
      </c>
      <c r="AG170" s="307" t="s">
        <v>353</v>
      </c>
      <c r="AH170" s="333">
        <v>12</v>
      </c>
    </row>
    <row r="171" spans="1:34" x14ac:dyDescent="0.3">
      <c r="A171" s="420" t="s">
        <v>114</v>
      </c>
      <c r="B171" s="274" t="s">
        <v>140</v>
      </c>
      <c r="C171" s="274" t="s">
        <v>342</v>
      </c>
      <c r="D171" s="281"/>
      <c r="E171" s="276">
        <v>0</v>
      </c>
      <c r="F171" s="281"/>
      <c r="G171" s="276">
        <v>0</v>
      </c>
      <c r="H171" s="281"/>
      <c r="I171" s="276">
        <v>0</v>
      </c>
      <c r="J171" s="281"/>
      <c r="K171" s="276">
        <v>0</v>
      </c>
      <c r="L171" s="281"/>
      <c r="M171" s="276">
        <v>0</v>
      </c>
      <c r="N171" s="281"/>
      <c r="O171" s="276">
        <v>0</v>
      </c>
      <c r="P171" s="281"/>
      <c r="Q171" s="276">
        <v>0</v>
      </c>
      <c r="R171" s="281"/>
      <c r="S171" s="276">
        <v>0</v>
      </c>
      <c r="T171" s="281"/>
      <c r="U171" s="276">
        <v>0</v>
      </c>
      <c r="V171" s="281"/>
      <c r="W171" s="276">
        <v>0</v>
      </c>
      <c r="X171" s="281"/>
      <c r="Y171" s="276">
        <v>0</v>
      </c>
      <c r="Z171" s="281"/>
      <c r="AA171" s="276">
        <v>0</v>
      </c>
      <c r="AB171" s="309">
        <v>0</v>
      </c>
      <c r="AC171" s="310">
        <v>0</v>
      </c>
      <c r="AD171" s="277" t="s">
        <v>319</v>
      </c>
      <c r="AE171" s="329">
        <v>0</v>
      </c>
      <c r="AF171" s="306">
        <v>0</v>
      </c>
      <c r="AG171" s="307" t="s">
        <v>353</v>
      </c>
      <c r="AH171" s="333">
        <v>12</v>
      </c>
    </row>
    <row r="172" spans="1:34" x14ac:dyDescent="0.3">
      <c r="A172" s="420" t="s">
        <v>115</v>
      </c>
      <c r="B172" s="274" t="s">
        <v>141</v>
      </c>
      <c r="C172" s="274" t="s">
        <v>342</v>
      </c>
      <c r="D172" s="281"/>
      <c r="E172" s="276">
        <v>0</v>
      </c>
      <c r="F172" s="281"/>
      <c r="G172" s="276">
        <v>0</v>
      </c>
      <c r="H172" s="281"/>
      <c r="I172" s="276">
        <v>0</v>
      </c>
      <c r="J172" s="281"/>
      <c r="K172" s="276">
        <v>0</v>
      </c>
      <c r="L172" s="281"/>
      <c r="M172" s="276">
        <v>0</v>
      </c>
      <c r="N172" s="281"/>
      <c r="O172" s="276">
        <v>0</v>
      </c>
      <c r="P172" s="281"/>
      <c r="Q172" s="276">
        <v>0</v>
      </c>
      <c r="R172" s="281"/>
      <c r="S172" s="276">
        <v>0</v>
      </c>
      <c r="T172" s="281"/>
      <c r="U172" s="276">
        <v>0</v>
      </c>
      <c r="V172" s="281"/>
      <c r="W172" s="276">
        <v>0</v>
      </c>
      <c r="X172" s="281"/>
      <c r="Y172" s="276">
        <v>0</v>
      </c>
      <c r="Z172" s="281">
        <v>1</v>
      </c>
      <c r="AA172" s="276">
        <v>62748.232282880919</v>
      </c>
      <c r="AB172" s="309">
        <v>62748.232282880919</v>
      </c>
      <c r="AC172" s="310">
        <v>1</v>
      </c>
      <c r="AD172" s="277" t="s">
        <v>319</v>
      </c>
      <c r="AE172" s="329">
        <v>0</v>
      </c>
      <c r="AF172" s="306">
        <v>0</v>
      </c>
      <c r="AG172" s="307" t="s">
        <v>353</v>
      </c>
      <c r="AH172" s="333">
        <v>12</v>
      </c>
    </row>
    <row r="173" spans="1:34" x14ac:dyDescent="0.3">
      <c r="A173" s="420" t="s">
        <v>52</v>
      </c>
      <c r="B173" s="274" t="s">
        <v>191</v>
      </c>
      <c r="C173" s="274" t="s">
        <v>342</v>
      </c>
      <c r="D173" s="281">
        <v>1</v>
      </c>
      <c r="E173" s="276">
        <v>26897.079640267821</v>
      </c>
      <c r="F173" s="281"/>
      <c r="G173" s="276">
        <v>0</v>
      </c>
      <c r="H173" s="281"/>
      <c r="I173" s="276">
        <v>0</v>
      </c>
      <c r="J173" s="281"/>
      <c r="K173" s="276">
        <v>0</v>
      </c>
      <c r="L173" s="281"/>
      <c r="M173" s="276">
        <v>0</v>
      </c>
      <c r="N173" s="281"/>
      <c r="O173" s="276">
        <v>0</v>
      </c>
      <c r="P173" s="281"/>
      <c r="Q173" s="276">
        <v>0</v>
      </c>
      <c r="R173" s="281"/>
      <c r="S173" s="276">
        <v>0</v>
      </c>
      <c r="T173" s="281"/>
      <c r="U173" s="276">
        <v>0</v>
      </c>
      <c r="V173" s="281"/>
      <c r="W173" s="276">
        <v>0</v>
      </c>
      <c r="X173" s="281"/>
      <c r="Y173" s="276">
        <v>0</v>
      </c>
      <c r="Z173" s="281"/>
      <c r="AA173" s="276">
        <v>0</v>
      </c>
      <c r="AB173" s="309">
        <v>26897.079640267821</v>
      </c>
      <c r="AC173" s="310">
        <v>1</v>
      </c>
      <c r="AD173" s="277" t="s">
        <v>319</v>
      </c>
      <c r="AE173" s="329">
        <v>0</v>
      </c>
      <c r="AF173" s="306">
        <v>0</v>
      </c>
      <c r="AG173" s="307" t="s">
        <v>353</v>
      </c>
      <c r="AH173" s="333">
        <v>12</v>
      </c>
    </row>
    <row r="174" spans="1:34" x14ac:dyDescent="0.3">
      <c r="A174" s="420" t="s">
        <v>53</v>
      </c>
      <c r="B174" s="274" t="s">
        <v>190</v>
      </c>
      <c r="C174" s="274" t="s">
        <v>342</v>
      </c>
      <c r="D174" s="281">
        <v>1</v>
      </c>
      <c r="E174" s="276">
        <v>26897.079640267817</v>
      </c>
      <c r="F174" s="281"/>
      <c r="G174" s="276">
        <v>0</v>
      </c>
      <c r="H174" s="281"/>
      <c r="I174" s="276">
        <v>0</v>
      </c>
      <c r="J174" s="281"/>
      <c r="K174" s="276">
        <v>0</v>
      </c>
      <c r="L174" s="281"/>
      <c r="M174" s="276">
        <v>0</v>
      </c>
      <c r="N174" s="281"/>
      <c r="O174" s="276">
        <v>0</v>
      </c>
      <c r="P174" s="281"/>
      <c r="Q174" s="276">
        <v>0</v>
      </c>
      <c r="R174" s="281"/>
      <c r="S174" s="276">
        <v>0</v>
      </c>
      <c r="T174" s="281"/>
      <c r="U174" s="276">
        <v>0</v>
      </c>
      <c r="V174" s="281"/>
      <c r="W174" s="276">
        <v>0</v>
      </c>
      <c r="X174" s="281"/>
      <c r="Y174" s="276">
        <v>0</v>
      </c>
      <c r="Z174" s="281"/>
      <c r="AA174" s="276">
        <v>0</v>
      </c>
      <c r="AB174" s="309">
        <v>26897.079640267817</v>
      </c>
      <c r="AC174" s="310">
        <v>1</v>
      </c>
      <c r="AD174" s="277" t="s">
        <v>319</v>
      </c>
      <c r="AE174" s="329">
        <v>1</v>
      </c>
      <c r="AF174" s="306">
        <v>26897.079640267817</v>
      </c>
      <c r="AG174" s="307" t="s">
        <v>353</v>
      </c>
      <c r="AH174" s="333">
        <v>12</v>
      </c>
    </row>
    <row r="175" spans="1:34" x14ac:dyDescent="0.3">
      <c r="A175" s="420" t="s">
        <v>29</v>
      </c>
      <c r="B175" s="274" t="s">
        <v>196</v>
      </c>
      <c r="C175" s="274" t="s">
        <v>344</v>
      </c>
      <c r="D175" s="281"/>
      <c r="E175" s="276">
        <v>0</v>
      </c>
      <c r="F175" s="281"/>
      <c r="G175" s="276">
        <v>0</v>
      </c>
      <c r="H175" s="281"/>
      <c r="I175" s="276">
        <v>0</v>
      </c>
      <c r="J175" s="281"/>
      <c r="K175" s="276">
        <v>0</v>
      </c>
      <c r="L175" s="281"/>
      <c r="M175" s="276">
        <v>0</v>
      </c>
      <c r="N175" s="281"/>
      <c r="O175" s="276">
        <v>0</v>
      </c>
      <c r="P175" s="281"/>
      <c r="Q175" s="276">
        <v>0</v>
      </c>
      <c r="R175" s="281"/>
      <c r="S175" s="276">
        <v>0</v>
      </c>
      <c r="T175" s="281"/>
      <c r="U175" s="276">
        <v>0</v>
      </c>
      <c r="V175" s="281"/>
      <c r="W175" s="276">
        <v>0</v>
      </c>
      <c r="X175" s="281"/>
      <c r="Y175" s="276">
        <v>0</v>
      </c>
      <c r="Z175" s="281">
        <v>1</v>
      </c>
      <c r="AA175" s="276">
        <v>31881.451880098426</v>
      </c>
      <c r="AB175" s="309">
        <v>31881.451880098426</v>
      </c>
      <c r="AC175" s="310">
        <v>1</v>
      </c>
      <c r="AD175" s="277" t="s">
        <v>318</v>
      </c>
      <c r="AE175" s="329">
        <v>1</v>
      </c>
      <c r="AF175" s="306">
        <v>31881.451880098426</v>
      </c>
      <c r="AG175" s="307" t="s">
        <v>353</v>
      </c>
      <c r="AH175" s="333">
        <v>12</v>
      </c>
    </row>
    <row r="176" spans="1:34" x14ac:dyDescent="0.3">
      <c r="A176" s="420" t="s">
        <v>38</v>
      </c>
      <c r="B176" s="274" t="s">
        <v>137</v>
      </c>
      <c r="C176" s="274" t="s">
        <v>342</v>
      </c>
      <c r="D176" s="281">
        <v>1</v>
      </c>
      <c r="E176" s="276">
        <v>56420.692787682223</v>
      </c>
      <c r="F176" s="281"/>
      <c r="G176" s="276">
        <v>0</v>
      </c>
      <c r="H176" s="281"/>
      <c r="I176" s="276">
        <v>0</v>
      </c>
      <c r="J176" s="281"/>
      <c r="K176" s="276">
        <v>0</v>
      </c>
      <c r="L176" s="281"/>
      <c r="M176" s="276">
        <v>0</v>
      </c>
      <c r="N176" s="281"/>
      <c r="O176" s="276">
        <v>0</v>
      </c>
      <c r="P176" s="281"/>
      <c r="Q176" s="276">
        <v>0</v>
      </c>
      <c r="R176" s="281"/>
      <c r="S176" s="276">
        <v>0</v>
      </c>
      <c r="T176" s="281"/>
      <c r="U176" s="276">
        <v>0</v>
      </c>
      <c r="V176" s="281"/>
      <c r="W176" s="276">
        <v>0</v>
      </c>
      <c r="X176" s="281"/>
      <c r="Y176" s="276">
        <v>0</v>
      </c>
      <c r="Z176" s="281"/>
      <c r="AA176" s="276">
        <v>0</v>
      </c>
      <c r="AB176" s="309">
        <v>56420.692787682223</v>
      </c>
      <c r="AC176" s="310">
        <v>1</v>
      </c>
      <c r="AD176" s="277" t="s">
        <v>319</v>
      </c>
      <c r="AE176" s="329">
        <v>0.23749999999999999</v>
      </c>
      <c r="AF176" s="306">
        <v>13399.914537074528</v>
      </c>
      <c r="AG176" s="307" t="s">
        <v>353</v>
      </c>
      <c r="AH176" s="333">
        <v>12</v>
      </c>
    </row>
    <row r="177" spans="1:34" x14ac:dyDescent="0.3">
      <c r="A177" s="420" t="s">
        <v>46</v>
      </c>
      <c r="B177" s="274" t="s">
        <v>47</v>
      </c>
      <c r="C177" s="274" t="s">
        <v>342</v>
      </c>
      <c r="D177" s="281"/>
      <c r="E177" s="276">
        <v>0</v>
      </c>
      <c r="F177" s="280"/>
      <c r="G177" s="276">
        <v>0</v>
      </c>
      <c r="H177" s="280"/>
      <c r="I177" s="276">
        <v>0</v>
      </c>
      <c r="J177" s="280"/>
      <c r="K177" s="276">
        <v>0</v>
      </c>
      <c r="L177" s="280"/>
      <c r="M177" s="276">
        <v>0</v>
      </c>
      <c r="N177" s="280"/>
      <c r="O177" s="276">
        <v>0</v>
      </c>
      <c r="P177" s="280"/>
      <c r="Q177" s="276">
        <v>0</v>
      </c>
      <c r="R177" s="280"/>
      <c r="S177" s="276">
        <v>0</v>
      </c>
      <c r="T177" s="280"/>
      <c r="U177" s="276">
        <v>0</v>
      </c>
      <c r="V177" s="280"/>
      <c r="W177" s="276">
        <v>0</v>
      </c>
      <c r="X177" s="280"/>
      <c r="Y177" s="276">
        <v>0</v>
      </c>
      <c r="Z177" s="280"/>
      <c r="AA177" s="276">
        <v>0</v>
      </c>
      <c r="AB177" s="309">
        <v>0</v>
      </c>
      <c r="AC177" s="310">
        <v>0</v>
      </c>
      <c r="AD177" s="277" t="s">
        <v>319</v>
      </c>
      <c r="AE177" s="329">
        <v>0</v>
      </c>
      <c r="AF177" s="306">
        <v>0</v>
      </c>
      <c r="AG177" s="307" t="s">
        <v>353</v>
      </c>
      <c r="AH177" s="333">
        <v>12</v>
      </c>
    </row>
    <row r="178" spans="1:34" x14ac:dyDescent="0.3">
      <c r="A178" s="420" t="s">
        <v>48</v>
      </c>
      <c r="B178" s="274" t="s">
        <v>222</v>
      </c>
      <c r="C178" s="274" t="s">
        <v>342</v>
      </c>
      <c r="D178" s="281"/>
      <c r="E178" s="276">
        <v>0</v>
      </c>
      <c r="F178" s="281"/>
      <c r="G178" s="276">
        <v>0</v>
      </c>
      <c r="H178" s="281"/>
      <c r="I178" s="276">
        <v>0</v>
      </c>
      <c r="J178" s="281"/>
      <c r="K178" s="276">
        <v>0</v>
      </c>
      <c r="L178" s="281"/>
      <c r="M178" s="276">
        <v>0</v>
      </c>
      <c r="N178" s="281"/>
      <c r="O178" s="276">
        <v>0</v>
      </c>
      <c r="P178" s="281"/>
      <c r="Q178" s="276">
        <v>0</v>
      </c>
      <c r="R178" s="281"/>
      <c r="S178" s="276">
        <v>0</v>
      </c>
      <c r="T178" s="281"/>
      <c r="U178" s="276">
        <v>0</v>
      </c>
      <c r="V178" s="281"/>
      <c r="W178" s="276">
        <v>0</v>
      </c>
      <c r="X178" s="281"/>
      <c r="Y178" s="276">
        <v>0</v>
      </c>
      <c r="Z178" s="281"/>
      <c r="AA178" s="276">
        <v>0</v>
      </c>
      <c r="AB178" s="309">
        <v>0</v>
      </c>
      <c r="AC178" s="310">
        <v>0</v>
      </c>
      <c r="AD178" s="277" t="s">
        <v>319</v>
      </c>
      <c r="AE178" s="329">
        <v>1</v>
      </c>
      <c r="AF178" s="306">
        <v>0</v>
      </c>
      <c r="AG178" s="307" t="s">
        <v>353</v>
      </c>
      <c r="AH178" s="333">
        <v>12</v>
      </c>
    </row>
    <row r="179" spans="1:34" x14ac:dyDescent="0.3">
      <c r="A179" s="421" t="s">
        <v>80</v>
      </c>
      <c r="B179" s="311" t="s">
        <v>193</v>
      </c>
      <c r="C179" s="274" t="s">
        <v>343</v>
      </c>
      <c r="D179" s="289"/>
      <c r="E179" s="276">
        <v>0</v>
      </c>
      <c r="F179" s="289"/>
      <c r="G179" s="276">
        <v>0</v>
      </c>
      <c r="H179" s="289"/>
      <c r="I179" s="276">
        <v>0</v>
      </c>
      <c r="J179" s="289"/>
      <c r="K179" s="276">
        <v>0</v>
      </c>
      <c r="L179" s="289"/>
      <c r="M179" s="276">
        <v>0</v>
      </c>
      <c r="N179" s="289"/>
      <c r="O179" s="276">
        <v>0</v>
      </c>
      <c r="P179" s="289"/>
      <c r="Q179" s="276">
        <v>0</v>
      </c>
      <c r="R179" s="289"/>
      <c r="S179" s="276">
        <v>0</v>
      </c>
      <c r="T179" s="289"/>
      <c r="U179" s="276">
        <v>0</v>
      </c>
      <c r="V179" s="289"/>
      <c r="W179" s="276">
        <v>0</v>
      </c>
      <c r="X179" s="289"/>
      <c r="Y179" s="276">
        <v>0</v>
      </c>
      <c r="Z179" s="289">
        <v>1</v>
      </c>
      <c r="AA179" s="276">
        <v>12908.291642219636</v>
      </c>
      <c r="AB179" s="309">
        <v>12908.291642219636</v>
      </c>
      <c r="AC179" s="310">
        <v>1</v>
      </c>
      <c r="AD179" s="277" t="s">
        <v>318</v>
      </c>
      <c r="AE179" s="329">
        <v>1</v>
      </c>
      <c r="AF179" s="306">
        <v>12908.291642219636</v>
      </c>
      <c r="AG179" s="307" t="s">
        <v>353</v>
      </c>
      <c r="AH179" s="333">
        <v>12</v>
      </c>
    </row>
    <row r="180" spans="1:34" x14ac:dyDescent="0.3">
      <c r="A180" s="414" t="s">
        <v>421</v>
      </c>
      <c r="B180" s="96" t="s">
        <v>422</v>
      </c>
      <c r="C180" s="96" t="s">
        <v>423</v>
      </c>
      <c r="D180" s="181"/>
      <c r="E180" s="56"/>
      <c r="F180" s="181"/>
      <c r="G180" s="56"/>
      <c r="H180" s="181"/>
      <c r="I180" s="56"/>
      <c r="J180" s="181"/>
      <c r="K180" s="56"/>
      <c r="L180" s="181"/>
      <c r="M180" s="56"/>
      <c r="N180" s="181"/>
      <c r="O180" s="56"/>
      <c r="P180" s="181"/>
      <c r="Q180" s="56"/>
      <c r="R180" s="181"/>
      <c r="S180" s="56"/>
      <c r="T180" s="181"/>
      <c r="U180" s="56"/>
      <c r="V180" s="181"/>
      <c r="W180" s="56"/>
      <c r="X180" s="181"/>
      <c r="Y180" s="56"/>
      <c r="Z180" s="181"/>
      <c r="AA180" s="56"/>
      <c r="AB180" s="81"/>
      <c r="AC180" s="106"/>
      <c r="AD180" s="104" t="s">
        <v>318</v>
      </c>
      <c r="AE180" s="119"/>
      <c r="AF180" s="47"/>
      <c r="AG180" s="307" t="s">
        <v>353</v>
      </c>
      <c r="AH180" s="333">
        <v>12</v>
      </c>
    </row>
    <row r="181" spans="1:34" x14ac:dyDescent="0.3">
      <c r="A181" s="422" t="s">
        <v>13</v>
      </c>
      <c r="B181" s="274" t="s">
        <v>14</v>
      </c>
      <c r="C181" s="274" t="s">
        <v>343</v>
      </c>
      <c r="D181" s="281">
        <v>1</v>
      </c>
      <c r="E181" s="276">
        <v>20552.755657371155</v>
      </c>
      <c r="F181" s="280"/>
      <c r="G181" s="276">
        <v>0</v>
      </c>
      <c r="H181" s="280"/>
      <c r="I181" s="276">
        <v>0</v>
      </c>
      <c r="J181" s="280"/>
      <c r="K181" s="276">
        <v>0</v>
      </c>
      <c r="L181" s="280"/>
      <c r="M181" s="276">
        <v>0</v>
      </c>
      <c r="N181" s="280"/>
      <c r="O181" s="276">
        <v>0</v>
      </c>
      <c r="P181" s="280"/>
      <c r="Q181" s="276">
        <v>0</v>
      </c>
      <c r="R181" s="280"/>
      <c r="S181" s="276">
        <v>0</v>
      </c>
      <c r="T181" s="280"/>
      <c r="U181" s="276">
        <v>0</v>
      </c>
      <c r="V181" s="280"/>
      <c r="W181" s="276">
        <v>0</v>
      </c>
      <c r="X181" s="280"/>
      <c r="Y181" s="276">
        <v>0</v>
      </c>
      <c r="Z181" s="280"/>
      <c r="AA181" s="312">
        <v>0</v>
      </c>
      <c r="AB181" s="304">
        <v>20552.755657371155</v>
      </c>
      <c r="AC181" s="305">
        <v>1</v>
      </c>
      <c r="AD181" s="313" t="s">
        <v>318</v>
      </c>
      <c r="AE181" s="329">
        <v>1</v>
      </c>
      <c r="AF181" s="285">
        <v>20552.755657371155</v>
      </c>
      <c r="AG181" s="314" t="s">
        <v>354</v>
      </c>
      <c r="AH181" s="333">
        <v>12</v>
      </c>
    </row>
    <row r="182" spans="1:34" x14ac:dyDescent="0.3">
      <c r="A182" s="422" t="s">
        <v>98</v>
      </c>
      <c r="B182" s="274" t="s">
        <v>99</v>
      </c>
      <c r="C182" s="274" t="s">
        <v>342</v>
      </c>
      <c r="D182" s="281">
        <v>1</v>
      </c>
      <c r="E182" s="276">
        <v>17887.388810409495</v>
      </c>
      <c r="F182" s="280"/>
      <c r="G182" s="276">
        <v>0</v>
      </c>
      <c r="H182" s="280"/>
      <c r="I182" s="276">
        <v>0</v>
      </c>
      <c r="J182" s="280"/>
      <c r="K182" s="276">
        <v>0</v>
      </c>
      <c r="L182" s="280"/>
      <c r="M182" s="276">
        <v>0</v>
      </c>
      <c r="N182" s="280"/>
      <c r="O182" s="276">
        <v>0</v>
      </c>
      <c r="P182" s="280"/>
      <c r="Q182" s="276">
        <v>0</v>
      </c>
      <c r="R182" s="280"/>
      <c r="S182" s="276">
        <v>0</v>
      </c>
      <c r="T182" s="280"/>
      <c r="U182" s="276">
        <v>0</v>
      </c>
      <c r="V182" s="280"/>
      <c r="W182" s="276">
        <v>0</v>
      </c>
      <c r="X182" s="280"/>
      <c r="Y182" s="276">
        <v>0</v>
      </c>
      <c r="Z182" s="280"/>
      <c r="AA182" s="306">
        <v>0</v>
      </c>
      <c r="AB182" s="304">
        <v>17887.388810409495</v>
      </c>
      <c r="AC182" s="305">
        <v>1</v>
      </c>
      <c r="AD182" s="313" t="s">
        <v>318</v>
      </c>
      <c r="AE182" s="329">
        <v>1</v>
      </c>
      <c r="AF182" s="285">
        <v>17887.388810409495</v>
      </c>
      <c r="AG182" s="307" t="s">
        <v>354</v>
      </c>
      <c r="AH182" s="333">
        <v>12</v>
      </c>
    </row>
    <row r="183" spans="1:34" x14ac:dyDescent="0.3">
      <c r="A183" s="422" t="s">
        <v>104</v>
      </c>
      <c r="B183" s="274" t="s">
        <v>105</v>
      </c>
      <c r="C183" s="274" t="s">
        <v>342</v>
      </c>
      <c r="D183" s="281"/>
      <c r="E183" s="276">
        <v>0</v>
      </c>
      <c r="F183" s="280"/>
      <c r="G183" s="276">
        <v>0</v>
      </c>
      <c r="H183" s="280"/>
      <c r="I183" s="276">
        <v>0</v>
      </c>
      <c r="J183" s="280"/>
      <c r="K183" s="276">
        <v>0</v>
      </c>
      <c r="L183" s="280"/>
      <c r="M183" s="276">
        <v>0</v>
      </c>
      <c r="N183" s="281"/>
      <c r="O183" s="276">
        <v>0</v>
      </c>
      <c r="P183" s="280"/>
      <c r="Q183" s="276">
        <v>0</v>
      </c>
      <c r="R183" s="280"/>
      <c r="S183" s="276">
        <v>0</v>
      </c>
      <c r="T183" s="280"/>
      <c r="U183" s="276">
        <v>0</v>
      </c>
      <c r="V183" s="280"/>
      <c r="W183" s="276">
        <v>0</v>
      </c>
      <c r="X183" s="280"/>
      <c r="Y183" s="276">
        <v>0</v>
      </c>
      <c r="Z183" s="287">
        <v>1</v>
      </c>
      <c r="AA183" s="306">
        <v>17887.388810409495</v>
      </c>
      <c r="AB183" s="304">
        <v>17887.388810409495</v>
      </c>
      <c r="AC183" s="305">
        <v>1</v>
      </c>
      <c r="AD183" s="315" t="s">
        <v>319</v>
      </c>
      <c r="AE183" s="329">
        <v>6.5359477124183009E-3</v>
      </c>
      <c r="AF183" s="285">
        <v>116.91103797653265</v>
      </c>
      <c r="AG183" s="307" t="s">
        <v>354</v>
      </c>
      <c r="AH183" s="333">
        <v>12</v>
      </c>
    </row>
    <row r="184" spans="1:34" x14ac:dyDescent="0.3">
      <c r="A184" s="422" t="s">
        <v>27</v>
      </c>
      <c r="B184" s="274" t="s">
        <v>28</v>
      </c>
      <c r="C184" s="274" t="s">
        <v>346</v>
      </c>
      <c r="D184" s="281">
        <v>1</v>
      </c>
      <c r="E184" s="276">
        <v>43480.816890660324</v>
      </c>
      <c r="F184" s="280"/>
      <c r="G184" s="276">
        <v>0</v>
      </c>
      <c r="H184" s="280"/>
      <c r="I184" s="276">
        <v>0</v>
      </c>
      <c r="J184" s="280"/>
      <c r="K184" s="276">
        <v>0</v>
      </c>
      <c r="L184" s="280"/>
      <c r="M184" s="276">
        <v>0</v>
      </c>
      <c r="N184" s="281">
        <v>1</v>
      </c>
      <c r="O184" s="276">
        <v>43480.816890660324</v>
      </c>
      <c r="P184" s="280"/>
      <c r="Q184" s="276">
        <v>0</v>
      </c>
      <c r="R184" s="280"/>
      <c r="S184" s="276">
        <v>0</v>
      </c>
      <c r="T184" s="280"/>
      <c r="U184" s="276">
        <v>0</v>
      </c>
      <c r="V184" s="280"/>
      <c r="W184" s="276">
        <v>0</v>
      </c>
      <c r="X184" s="280"/>
      <c r="Y184" s="276">
        <v>0</v>
      </c>
      <c r="Z184" s="281">
        <v>1</v>
      </c>
      <c r="AA184" s="306">
        <v>43480.816890660324</v>
      </c>
      <c r="AB184" s="304">
        <v>130442.45067198097</v>
      </c>
      <c r="AC184" s="305">
        <v>3</v>
      </c>
      <c r="AD184" s="313" t="s">
        <v>318</v>
      </c>
      <c r="AE184" s="329">
        <v>1</v>
      </c>
      <c r="AF184" s="285">
        <v>130442.45067198097</v>
      </c>
      <c r="AG184" s="307" t="s">
        <v>354</v>
      </c>
      <c r="AH184" s="333">
        <v>12</v>
      </c>
    </row>
    <row r="185" spans="1:34" x14ac:dyDescent="0.3">
      <c r="A185" s="422" t="s">
        <v>25</v>
      </c>
      <c r="B185" s="274" t="s">
        <v>26</v>
      </c>
      <c r="C185" s="274" t="s">
        <v>346</v>
      </c>
      <c r="D185" s="281">
        <v>1</v>
      </c>
      <c r="E185" s="276">
        <v>19392.627189167735</v>
      </c>
      <c r="F185" s="280"/>
      <c r="G185" s="276">
        <v>0</v>
      </c>
      <c r="H185" s="280"/>
      <c r="I185" s="276">
        <v>0</v>
      </c>
      <c r="J185" s="280"/>
      <c r="K185" s="276">
        <v>0</v>
      </c>
      <c r="L185" s="280"/>
      <c r="M185" s="276">
        <v>0</v>
      </c>
      <c r="N185" s="281">
        <v>1</v>
      </c>
      <c r="O185" s="276">
        <v>19392.627189167735</v>
      </c>
      <c r="P185" s="280"/>
      <c r="Q185" s="276">
        <v>0</v>
      </c>
      <c r="R185" s="280"/>
      <c r="S185" s="276">
        <v>0</v>
      </c>
      <c r="T185" s="280"/>
      <c r="U185" s="276">
        <v>0</v>
      </c>
      <c r="V185" s="280"/>
      <c r="W185" s="276">
        <v>0</v>
      </c>
      <c r="X185" s="280"/>
      <c r="Y185" s="276">
        <v>0</v>
      </c>
      <c r="Z185" s="281">
        <v>1</v>
      </c>
      <c r="AA185" s="306">
        <v>19392.627189167735</v>
      </c>
      <c r="AB185" s="304">
        <v>58177.881567503209</v>
      </c>
      <c r="AC185" s="305">
        <v>3</v>
      </c>
      <c r="AD185" s="313" t="s">
        <v>318</v>
      </c>
      <c r="AE185" s="329">
        <v>1</v>
      </c>
      <c r="AF185" s="285">
        <v>58177.881567503209</v>
      </c>
      <c r="AG185" s="307" t="s">
        <v>354</v>
      </c>
      <c r="AH185" s="333">
        <v>12</v>
      </c>
    </row>
    <row r="186" spans="1:34" x14ac:dyDescent="0.3">
      <c r="A186" s="422" t="s">
        <v>3</v>
      </c>
      <c r="B186" s="274" t="s">
        <v>4</v>
      </c>
      <c r="C186" s="274" t="s">
        <v>342</v>
      </c>
      <c r="D186" s="281">
        <v>1</v>
      </c>
      <c r="E186" s="276">
        <v>20406.13276336317</v>
      </c>
      <c r="F186" s="280"/>
      <c r="G186" s="276">
        <v>0</v>
      </c>
      <c r="H186" s="280"/>
      <c r="I186" s="276">
        <v>0</v>
      </c>
      <c r="J186" s="280"/>
      <c r="K186" s="276">
        <v>0</v>
      </c>
      <c r="L186" s="280"/>
      <c r="M186" s="276">
        <v>0</v>
      </c>
      <c r="N186" s="280"/>
      <c r="O186" s="276">
        <v>0</v>
      </c>
      <c r="P186" s="280"/>
      <c r="Q186" s="276">
        <v>0</v>
      </c>
      <c r="R186" s="280"/>
      <c r="S186" s="276">
        <v>0</v>
      </c>
      <c r="T186" s="280"/>
      <c r="U186" s="276">
        <v>0</v>
      </c>
      <c r="V186" s="280"/>
      <c r="W186" s="276">
        <v>0</v>
      </c>
      <c r="X186" s="280"/>
      <c r="Y186" s="276">
        <v>0</v>
      </c>
      <c r="Z186" s="280"/>
      <c r="AA186" s="306">
        <v>0</v>
      </c>
      <c r="AB186" s="304">
        <v>20406.13276336317</v>
      </c>
      <c r="AC186" s="305">
        <v>1</v>
      </c>
      <c r="AD186" s="313" t="s">
        <v>318</v>
      </c>
      <c r="AE186" s="329">
        <v>1</v>
      </c>
      <c r="AF186" s="285">
        <v>20406.13276336317</v>
      </c>
      <c r="AG186" s="307" t="s">
        <v>354</v>
      </c>
      <c r="AH186" s="333">
        <v>12</v>
      </c>
    </row>
    <row r="187" spans="1:34" x14ac:dyDescent="0.3">
      <c r="A187" s="422" t="s">
        <v>5</v>
      </c>
      <c r="B187" s="274" t="s">
        <v>6</v>
      </c>
      <c r="C187" s="274" t="s">
        <v>342</v>
      </c>
      <c r="D187" s="281">
        <v>1</v>
      </c>
      <c r="E187" s="276">
        <v>18768.367820181349</v>
      </c>
      <c r="F187" s="280"/>
      <c r="G187" s="276">
        <v>0</v>
      </c>
      <c r="H187" s="280"/>
      <c r="I187" s="276">
        <v>0</v>
      </c>
      <c r="J187" s="280"/>
      <c r="K187" s="276">
        <v>0</v>
      </c>
      <c r="L187" s="280"/>
      <c r="M187" s="276">
        <v>0</v>
      </c>
      <c r="N187" s="280"/>
      <c r="O187" s="276">
        <v>0</v>
      </c>
      <c r="P187" s="280"/>
      <c r="Q187" s="276">
        <v>0</v>
      </c>
      <c r="R187" s="280"/>
      <c r="S187" s="276">
        <v>0</v>
      </c>
      <c r="T187" s="280"/>
      <c r="U187" s="276">
        <v>0</v>
      </c>
      <c r="V187" s="280"/>
      <c r="W187" s="276">
        <v>0</v>
      </c>
      <c r="X187" s="280"/>
      <c r="Y187" s="276">
        <v>0</v>
      </c>
      <c r="Z187" s="280"/>
      <c r="AA187" s="306">
        <v>0</v>
      </c>
      <c r="AB187" s="304">
        <v>18768.367820181349</v>
      </c>
      <c r="AC187" s="305">
        <v>1</v>
      </c>
      <c r="AD187" s="313" t="s">
        <v>318</v>
      </c>
      <c r="AE187" s="329">
        <v>1</v>
      </c>
      <c r="AF187" s="285">
        <v>18768.367820181349</v>
      </c>
      <c r="AG187" s="307" t="s">
        <v>354</v>
      </c>
      <c r="AH187" s="333">
        <v>12</v>
      </c>
    </row>
    <row r="188" spans="1:34" x14ac:dyDescent="0.3">
      <c r="A188" s="422" t="s">
        <v>23</v>
      </c>
      <c r="B188" s="274" t="s">
        <v>24</v>
      </c>
      <c r="C188" s="274" t="s">
        <v>344</v>
      </c>
      <c r="D188" s="281">
        <v>1</v>
      </c>
      <c r="E188" s="276">
        <v>31881.451880098426</v>
      </c>
      <c r="F188" s="280"/>
      <c r="G188" s="276">
        <v>0</v>
      </c>
      <c r="H188" s="280"/>
      <c r="I188" s="276">
        <v>0</v>
      </c>
      <c r="J188" s="280"/>
      <c r="K188" s="276">
        <v>0</v>
      </c>
      <c r="L188" s="280"/>
      <c r="M188" s="276">
        <v>0</v>
      </c>
      <c r="N188" s="280"/>
      <c r="O188" s="276">
        <v>0</v>
      </c>
      <c r="P188" s="280"/>
      <c r="Q188" s="276">
        <v>0</v>
      </c>
      <c r="R188" s="280"/>
      <c r="S188" s="276">
        <v>0</v>
      </c>
      <c r="T188" s="280"/>
      <c r="U188" s="276">
        <v>0</v>
      </c>
      <c r="V188" s="280"/>
      <c r="W188" s="276">
        <v>0</v>
      </c>
      <c r="X188" s="280"/>
      <c r="Y188" s="276">
        <v>0</v>
      </c>
      <c r="Z188" s="280"/>
      <c r="AA188" s="306">
        <v>0</v>
      </c>
      <c r="AB188" s="304">
        <v>31881.451880098426</v>
      </c>
      <c r="AC188" s="305">
        <v>1</v>
      </c>
      <c r="AD188" s="313" t="s">
        <v>318</v>
      </c>
      <c r="AE188" s="329">
        <v>0.30593607305936071</v>
      </c>
      <c r="AF188" s="285">
        <v>9753.6861916282851</v>
      </c>
      <c r="AG188" s="307" t="s">
        <v>354</v>
      </c>
      <c r="AH188" s="333">
        <v>12</v>
      </c>
    </row>
    <row r="189" spans="1:34" x14ac:dyDescent="0.3">
      <c r="A189" s="422" t="s">
        <v>36</v>
      </c>
      <c r="B189" s="274" t="s">
        <v>136</v>
      </c>
      <c r="C189" s="274" t="s">
        <v>344</v>
      </c>
      <c r="D189" s="281"/>
      <c r="E189" s="276">
        <v>0</v>
      </c>
      <c r="F189" s="281">
        <v>8</v>
      </c>
      <c r="G189" s="276">
        <v>70240.958933331596</v>
      </c>
      <c r="H189" s="281">
        <v>8</v>
      </c>
      <c r="I189" s="276">
        <v>70240.958933331596</v>
      </c>
      <c r="J189" s="281">
        <v>8</v>
      </c>
      <c r="K189" s="276">
        <v>70240.958933331596</v>
      </c>
      <c r="L189" s="281">
        <v>8</v>
      </c>
      <c r="M189" s="276">
        <v>70240.958933331596</v>
      </c>
      <c r="N189" s="281">
        <v>8</v>
      </c>
      <c r="O189" s="276">
        <v>70240.958933331596</v>
      </c>
      <c r="P189" s="281">
        <v>8</v>
      </c>
      <c r="Q189" s="276">
        <v>70240.958933331596</v>
      </c>
      <c r="R189" s="281">
        <v>8</v>
      </c>
      <c r="S189" s="276">
        <v>70240.958933331596</v>
      </c>
      <c r="T189" s="281">
        <v>8</v>
      </c>
      <c r="U189" s="276">
        <v>70240.958933331596</v>
      </c>
      <c r="V189" s="281">
        <v>8</v>
      </c>
      <c r="W189" s="276">
        <v>70240.958933331596</v>
      </c>
      <c r="X189" s="281">
        <v>8</v>
      </c>
      <c r="Y189" s="276">
        <v>70240.958933331596</v>
      </c>
      <c r="Z189" s="281">
        <v>8</v>
      </c>
      <c r="AA189" s="306">
        <v>70240.958933331596</v>
      </c>
      <c r="AB189" s="304">
        <v>772650.54826664738</v>
      </c>
      <c r="AC189" s="305">
        <v>88</v>
      </c>
      <c r="AD189" s="313" t="s">
        <v>318</v>
      </c>
      <c r="AE189" s="329">
        <v>1</v>
      </c>
      <c r="AF189" s="285">
        <v>772650.54826664738</v>
      </c>
      <c r="AG189" s="307" t="s">
        <v>354</v>
      </c>
      <c r="AH189" s="333">
        <v>12</v>
      </c>
    </row>
    <row r="190" spans="1:34" x14ac:dyDescent="0.3">
      <c r="A190" s="422" t="s">
        <v>15</v>
      </c>
      <c r="B190" s="274" t="s">
        <v>16</v>
      </c>
      <c r="C190" s="274" t="s">
        <v>342</v>
      </c>
      <c r="D190" s="281"/>
      <c r="E190" s="276">
        <v>0</v>
      </c>
      <c r="F190" s="281"/>
      <c r="G190" s="276">
        <v>0</v>
      </c>
      <c r="H190" s="281"/>
      <c r="I190" s="276">
        <v>0</v>
      </c>
      <c r="J190" s="281">
        <v>1</v>
      </c>
      <c r="K190" s="276">
        <v>22052.520800552971</v>
      </c>
      <c r="L190" s="281"/>
      <c r="M190" s="276">
        <v>0</v>
      </c>
      <c r="N190" s="281"/>
      <c r="O190" s="276">
        <v>0</v>
      </c>
      <c r="P190" s="281"/>
      <c r="Q190" s="276">
        <v>0</v>
      </c>
      <c r="R190" s="281">
        <v>1</v>
      </c>
      <c r="S190" s="276">
        <v>22052.520800552971</v>
      </c>
      <c r="T190" s="281"/>
      <c r="U190" s="276">
        <v>0</v>
      </c>
      <c r="V190" s="281"/>
      <c r="W190" s="276">
        <v>0</v>
      </c>
      <c r="X190" s="281"/>
      <c r="Y190" s="276">
        <v>0</v>
      </c>
      <c r="Z190" s="281">
        <v>1</v>
      </c>
      <c r="AA190" s="306">
        <v>22052.520800552971</v>
      </c>
      <c r="AB190" s="304">
        <v>66157.562401658914</v>
      </c>
      <c r="AC190" s="305">
        <v>3</v>
      </c>
      <c r="AD190" s="313" t="s">
        <v>318</v>
      </c>
      <c r="AE190" s="329">
        <v>1.2648401826484019</v>
      </c>
      <c r="AF190" s="285">
        <v>83678.743311687314</v>
      </c>
      <c r="AG190" s="307" t="s">
        <v>354</v>
      </c>
      <c r="AH190" s="333">
        <v>12</v>
      </c>
    </row>
    <row r="191" spans="1:34" x14ac:dyDescent="0.3">
      <c r="A191" s="422" t="s">
        <v>17</v>
      </c>
      <c r="B191" s="274" t="s">
        <v>18</v>
      </c>
      <c r="C191" s="274" t="s">
        <v>342</v>
      </c>
      <c r="D191" s="280"/>
      <c r="E191" s="276">
        <v>0</v>
      </c>
      <c r="F191" s="280"/>
      <c r="G191" s="276">
        <v>0</v>
      </c>
      <c r="H191" s="280"/>
      <c r="I191" s="276">
        <v>0</v>
      </c>
      <c r="J191" s="280"/>
      <c r="K191" s="276">
        <v>0</v>
      </c>
      <c r="L191" s="280"/>
      <c r="M191" s="276">
        <v>0</v>
      </c>
      <c r="N191" s="281">
        <v>1</v>
      </c>
      <c r="O191" s="276">
        <v>20414.75585737115</v>
      </c>
      <c r="P191" s="280"/>
      <c r="Q191" s="276">
        <v>0</v>
      </c>
      <c r="R191" s="280"/>
      <c r="S191" s="276">
        <v>0</v>
      </c>
      <c r="T191" s="280"/>
      <c r="U191" s="276">
        <v>0</v>
      </c>
      <c r="V191" s="280"/>
      <c r="W191" s="276">
        <v>0</v>
      </c>
      <c r="X191" s="280"/>
      <c r="Y191" s="276">
        <v>0</v>
      </c>
      <c r="Z191" s="281">
        <v>1</v>
      </c>
      <c r="AA191" s="306">
        <v>20414.75585737115</v>
      </c>
      <c r="AB191" s="304">
        <v>40829.511714742301</v>
      </c>
      <c r="AC191" s="305">
        <v>2</v>
      </c>
      <c r="AD191" s="313" t="s">
        <v>318</v>
      </c>
      <c r="AE191" s="329">
        <v>6.5019505851755528E-4</v>
      </c>
      <c r="AF191" s="285">
        <v>26.547146758610079</v>
      </c>
      <c r="AG191" s="307" t="s">
        <v>354</v>
      </c>
      <c r="AH191" s="333">
        <v>12</v>
      </c>
    </row>
    <row r="192" spans="1:34" x14ac:dyDescent="0.3">
      <c r="A192" s="422" t="s">
        <v>19</v>
      </c>
      <c r="B192" s="274" t="s">
        <v>20</v>
      </c>
      <c r="C192" s="274" t="s">
        <v>342</v>
      </c>
      <c r="D192" s="281">
        <v>1</v>
      </c>
      <c r="E192" s="276">
        <v>67398.098568534639</v>
      </c>
      <c r="F192" s="280"/>
      <c r="G192" s="276">
        <v>0</v>
      </c>
      <c r="H192" s="280"/>
      <c r="I192" s="276">
        <v>0</v>
      </c>
      <c r="J192" s="280"/>
      <c r="K192" s="276">
        <v>0</v>
      </c>
      <c r="L192" s="280"/>
      <c r="M192" s="276">
        <v>0</v>
      </c>
      <c r="N192" s="280"/>
      <c r="O192" s="276">
        <v>0</v>
      </c>
      <c r="P192" s="280"/>
      <c r="Q192" s="276">
        <v>0</v>
      </c>
      <c r="R192" s="280"/>
      <c r="S192" s="276">
        <v>0</v>
      </c>
      <c r="T192" s="280"/>
      <c r="U192" s="276">
        <v>0</v>
      </c>
      <c r="V192" s="280"/>
      <c r="W192" s="276">
        <v>0</v>
      </c>
      <c r="X192" s="280"/>
      <c r="Y192" s="276">
        <v>0</v>
      </c>
      <c r="Z192" s="280"/>
      <c r="AA192" s="306">
        <v>0</v>
      </c>
      <c r="AB192" s="304">
        <v>67398.098568534639</v>
      </c>
      <c r="AC192" s="305">
        <v>1</v>
      </c>
      <c r="AD192" s="315" t="s">
        <v>318</v>
      </c>
      <c r="AE192" s="329">
        <v>1</v>
      </c>
      <c r="AF192" s="285">
        <v>67398.098568534639</v>
      </c>
      <c r="AG192" s="307" t="s">
        <v>354</v>
      </c>
      <c r="AH192" s="333">
        <v>12</v>
      </c>
    </row>
    <row r="193" spans="1:34" x14ac:dyDescent="0.3">
      <c r="A193" s="422" t="s">
        <v>21</v>
      </c>
      <c r="B193" s="274" t="s">
        <v>221</v>
      </c>
      <c r="C193" s="274" t="s">
        <v>342</v>
      </c>
      <c r="D193" s="281">
        <v>1</v>
      </c>
      <c r="E193" s="276">
        <v>67398.098568534639</v>
      </c>
      <c r="F193" s="281"/>
      <c r="G193" s="276">
        <v>0</v>
      </c>
      <c r="H193" s="281"/>
      <c r="I193" s="276">
        <v>0</v>
      </c>
      <c r="J193" s="281"/>
      <c r="K193" s="276">
        <v>0</v>
      </c>
      <c r="L193" s="281"/>
      <c r="M193" s="276">
        <v>0</v>
      </c>
      <c r="N193" s="281"/>
      <c r="O193" s="276">
        <v>0</v>
      </c>
      <c r="P193" s="281"/>
      <c r="Q193" s="276">
        <v>0</v>
      </c>
      <c r="R193" s="281"/>
      <c r="S193" s="276">
        <v>0</v>
      </c>
      <c r="T193" s="281"/>
      <c r="U193" s="276">
        <v>0</v>
      </c>
      <c r="V193" s="281"/>
      <c r="W193" s="276">
        <v>0</v>
      </c>
      <c r="X193" s="281"/>
      <c r="Y193" s="276">
        <v>0</v>
      </c>
      <c r="Z193" s="281"/>
      <c r="AA193" s="306">
        <v>0</v>
      </c>
      <c r="AB193" s="304">
        <v>67398.098568534639</v>
      </c>
      <c r="AC193" s="305">
        <v>1</v>
      </c>
      <c r="AD193" s="315" t="s">
        <v>319</v>
      </c>
      <c r="AE193" s="329">
        <v>0.64052287581699341</v>
      </c>
      <c r="AF193" s="285">
        <v>43170.023919714993</v>
      </c>
      <c r="AG193" s="307" t="s">
        <v>354</v>
      </c>
      <c r="AH193" s="333">
        <v>12</v>
      </c>
    </row>
    <row r="194" spans="1:34" x14ac:dyDescent="0.3">
      <c r="A194" s="422" t="s">
        <v>29</v>
      </c>
      <c r="B194" s="274" t="s">
        <v>196</v>
      </c>
      <c r="C194" s="274" t="s">
        <v>344</v>
      </c>
      <c r="D194" s="280"/>
      <c r="E194" s="276">
        <v>0</v>
      </c>
      <c r="F194" s="280"/>
      <c r="G194" s="276">
        <v>0</v>
      </c>
      <c r="H194" s="280"/>
      <c r="I194" s="276">
        <v>0</v>
      </c>
      <c r="J194" s="280"/>
      <c r="K194" s="276">
        <v>0</v>
      </c>
      <c r="L194" s="280"/>
      <c r="M194" s="276">
        <v>0</v>
      </c>
      <c r="N194" s="280"/>
      <c r="O194" s="276">
        <v>0</v>
      </c>
      <c r="P194" s="280"/>
      <c r="Q194" s="276">
        <v>0</v>
      </c>
      <c r="R194" s="280"/>
      <c r="S194" s="276">
        <v>0</v>
      </c>
      <c r="T194" s="280"/>
      <c r="U194" s="276">
        <v>0</v>
      </c>
      <c r="V194" s="280"/>
      <c r="W194" s="276">
        <v>0</v>
      </c>
      <c r="X194" s="280"/>
      <c r="Y194" s="276">
        <v>0</v>
      </c>
      <c r="Z194" s="281">
        <v>1</v>
      </c>
      <c r="AA194" s="306">
        <v>31881.451880098426</v>
      </c>
      <c r="AB194" s="304">
        <v>31881.451880098426</v>
      </c>
      <c r="AC194" s="305">
        <v>1</v>
      </c>
      <c r="AD194" s="313" t="s">
        <v>318</v>
      </c>
      <c r="AE194" s="329">
        <v>2.6940639269406392</v>
      </c>
      <c r="AF194" s="285">
        <v>85890.669448666988</v>
      </c>
      <c r="AG194" s="307" t="s">
        <v>354</v>
      </c>
      <c r="AH194" s="333">
        <v>12</v>
      </c>
    </row>
    <row r="195" spans="1:34" x14ac:dyDescent="0.3">
      <c r="A195" s="422" t="s">
        <v>34</v>
      </c>
      <c r="B195" s="274" t="s">
        <v>35</v>
      </c>
      <c r="C195" s="274" t="s">
        <v>342</v>
      </c>
      <c r="D195" s="281">
        <v>1</v>
      </c>
      <c r="E195" s="276">
        <v>24009.730401318589</v>
      </c>
      <c r="F195" s="280"/>
      <c r="G195" s="276">
        <v>0</v>
      </c>
      <c r="H195" s="280"/>
      <c r="I195" s="276">
        <v>0</v>
      </c>
      <c r="J195" s="280"/>
      <c r="K195" s="276">
        <v>0</v>
      </c>
      <c r="L195" s="280"/>
      <c r="M195" s="276">
        <v>0</v>
      </c>
      <c r="N195" s="280"/>
      <c r="O195" s="276">
        <v>0</v>
      </c>
      <c r="P195" s="280"/>
      <c r="Q195" s="276">
        <v>0</v>
      </c>
      <c r="R195" s="280"/>
      <c r="S195" s="276">
        <v>0</v>
      </c>
      <c r="T195" s="280"/>
      <c r="U195" s="276">
        <v>0</v>
      </c>
      <c r="V195" s="280"/>
      <c r="W195" s="276">
        <v>0</v>
      </c>
      <c r="X195" s="280"/>
      <c r="Y195" s="276">
        <v>0</v>
      </c>
      <c r="Z195" s="280"/>
      <c r="AA195" s="306">
        <v>0</v>
      </c>
      <c r="AB195" s="304">
        <v>24009.730401318589</v>
      </c>
      <c r="AC195" s="305">
        <v>1</v>
      </c>
      <c r="AD195" s="313" t="s">
        <v>318</v>
      </c>
      <c r="AE195" s="329">
        <v>0.13698630136986301</v>
      </c>
      <c r="AF195" s="285">
        <v>3289.00416456419</v>
      </c>
      <c r="AG195" s="307" t="s">
        <v>354</v>
      </c>
      <c r="AH195" s="333">
        <v>12</v>
      </c>
    </row>
    <row r="196" spans="1:34" x14ac:dyDescent="0.3">
      <c r="A196" s="422" t="s">
        <v>38</v>
      </c>
      <c r="B196" s="274" t="s">
        <v>137</v>
      </c>
      <c r="C196" s="274" t="s">
        <v>342</v>
      </c>
      <c r="D196" s="281">
        <v>1</v>
      </c>
      <c r="E196" s="276">
        <v>56420.692787682223</v>
      </c>
      <c r="F196" s="281"/>
      <c r="G196" s="276">
        <v>0</v>
      </c>
      <c r="H196" s="281"/>
      <c r="I196" s="276">
        <v>0</v>
      </c>
      <c r="J196" s="281"/>
      <c r="K196" s="276">
        <v>0</v>
      </c>
      <c r="L196" s="281"/>
      <c r="M196" s="276">
        <v>0</v>
      </c>
      <c r="N196" s="281"/>
      <c r="O196" s="276">
        <v>0</v>
      </c>
      <c r="P196" s="281"/>
      <c r="Q196" s="276">
        <v>0</v>
      </c>
      <c r="R196" s="281"/>
      <c r="S196" s="276">
        <v>0</v>
      </c>
      <c r="T196" s="281"/>
      <c r="U196" s="276">
        <v>0</v>
      </c>
      <c r="V196" s="281"/>
      <c r="W196" s="276">
        <v>0</v>
      </c>
      <c r="X196" s="281"/>
      <c r="Y196" s="276">
        <v>0</v>
      </c>
      <c r="Z196" s="281"/>
      <c r="AA196" s="306">
        <v>0</v>
      </c>
      <c r="AB196" s="304">
        <v>56420.692787682223</v>
      </c>
      <c r="AC196" s="305">
        <v>1</v>
      </c>
      <c r="AD196" s="315" t="s">
        <v>319</v>
      </c>
      <c r="AE196" s="329">
        <v>9.8039215686274508E-2</v>
      </c>
      <c r="AF196" s="285">
        <v>5531.44046938061</v>
      </c>
      <c r="AG196" s="307" t="s">
        <v>354</v>
      </c>
      <c r="AH196" s="333">
        <v>12</v>
      </c>
    </row>
    <row r="197" spans="1:34" x14ac:dyDescent="0.3">
      <c r="A197" s="422" t="s">
        <v>32</v>
      </c>
      <c r="B197" s="274" t="s">
        <v>33</v>
      </c>
      <c r="C197" s="274" t="s">
        <v>342</v>
      </c>
      <c r="D197" s="281">
        <v>1</v>
      </c>
      <c r="E197" s="276">
        <v>24009.730401318589</v>
      </c>
      <c r="F197" s="281"/>
      <c r="G197" s="276">
        <v>0</v>
      </c>
      <c r="H197" s="281"/>
      <c r="I197" s="276">
        <v>0</v>
      </c>
      <c r="J197" s="281"/>
      <c r="K197" s="276">
        <v>0</v>
      </c>
      <c r="L197" s="281"/>
      <c r="M197" s="276">
        <v>0</v>
      </c>
      <c r="N197" s="281"/>
      <c r="O197" s="276">
        <v>0</v>
      </c>
      <c r="P197" s="281"/>
      <c r="Q197" s="276">
        <v>0</v>
      </c>
      <c r="R197" s="281"/>
      <c r="S197" s="276">
        <v>0</v>
      </c>
      <c r="T197" s="281"/>
      <c r="U197" s="276">
        <v>0</v>
      </c>
      <c r="V197" s="281"/>
      <c r="W197" s="276">
        <v>0</v>
      </c>
      <c r="X197" s="281"/>
      <c r="Y197" s="276">
        <v>0</v>
      </c>
      <c r="Z197" s="281"/>
      <c r="AA197" s="306">
        <v>0</v>
      </c>
      <c r="AB197" s="304">
        <v>24009.730401318589</v>
      </c>
      <c r="AC197" s="305">
        <v>1</v>
      </c>
      <c r="AD197" s="315" t="s">
        <v>318</v>
      </c>
      <c r="AE197" s="329">
        <v>1</v>
      </c>
      <c r="AF197" s="285">
        <v>24009.730401318589</v>
      </c>
      <c r="AG197" s="307" t="s">
        <v>354</v>
      </c>
      <c r="AH197" s="333">
        <v>12</v>
      </c>
    </row>
    <row r="198" spans="1:34" x14ac:dyDescent="0.3">
      <c r="A198" s="422" t="s">
        <v>1</v>
      </c>
      <c r="B198" s="274" t="s">
        <v>2</v>
      </c>
      <c r="C198" s="274" t="s">
        <v>342</v>
      </c>
      <c r="D198" s="280"/>
      <c r="E198" s="276">
        <v>0</v>
      </c>
      <c r="F198" s="280"/>
      <c r="G198" s="276">
        <v>0</v>
      </c>
      <c r="H198" s="280"/>
      <c r="I198" s="276">
        <v>0</v>
      </c>
      <c r="J198" s="280"/>
      <c r="K198" s="276">
        <v>0</v>
      </c>
      <c r="L198" s="280"/>
      <c r="M198" s="276">
        <v>0</v>
      </c>
      <c r="N198" s="280"/>
      <c r="O198" s="276">
        <v>0</v>
      </c>
      <c r="P198" s="280"/>
      <c r="Q198" s="276">
        <v>0</v>
      </c>
      <c r="R198" s="280"/>
      <c r="S198" s="276">
        <v>0</v>
      </c>
      <c r="T198" s="280"/>
      <c r="U198" s="276">
        <v>0</v>
      </c>
      <c r="V198" s="280"/>
      <c r="W198" s="276">
        <v>0</v>
      </c>
      <c r="X198" s="280"/>
      <c r="Y198" s="276">
        <v>0</v>
      </c>
      <c r="Z198" s="281">
        <v>1</v>
      </c>
      <c r="AA198" s="306">
        <v>21014.39667403782</v>
      </c>
      <c r="AB198" s="304">
        <v>21014.39667403782</v>
      </c>
      <c r="AC198" s="305">
        <v>1</v>
      </c>
      <c r="AD198" s="313" t="s">
        <v>318</v>
      </c>
      <c r="AE198" s="329">
        <v>1</v>
      </c>
      <c r="AF198" s="285">
        <v>21014.39667403782</v>
      </c>
      <c r="AG198" s="307" t="s">
        <v>354</v>
      </c>
      <c r="AH198" s="333">
        <v>12</v>
      </c>
    </row>
    <row r="199" spans="1:34" x14ac:dyDescent="0.3">
      <c r="A199" s="422" t="s">
        <v>46</v>
      </c>
      <c r="B199" s="274" t="s">
        <v>47</v>
      </c>
      <c r="C199" s="274" t="s">
        <v>342</v>
      </c>
      <c r="D199" s="281">
        <v>1</v>
      </c>
      <c r="E199" s="276">
        <v>83398.098568534639</v>
      </c>
      <c r="F199" s="280"/>
      <c r="G199" s="276">
        <v>0</v>
      </c>
      <c r="H199" s="280"/>
      <c r="I199" s="276">
        <v>0</v>
      </c>
      <c r="J199" s="280"/>
      <c r="K199" s="276">
        <v>0</v>
      </c>
      <c r="L199" s="280"/>
      <c r="M199" s="276">
        <v>0</v>
      </c>
      <c r="N199" s="280"/>
      <c r="O199" s="276">
        <v>0</v>
      </c>
      <c r="P199" s="280"/>
      <c r="Q199" s="276">
        <v>0</v>
      </c>
      <c r="R199" s="280"/>
      <c r="S199" s="276">
        <v>0</v>
      </c>
      <c r="T199" s="280"/>
      <c r="U199" s="276">
        <v>0</v>
      </c>
      <c r="V199" s="280"/>
      <c r="W199" s="276">
        <v>0</v>
      </c>
      <c r="X199" s="280"/>
      <c r="Y199" s="276">
        <v>0</v>
      </c>
      <c r="Z199" s="280"/>
      <c r="AA199" s="306">
        <v>0</v>
      </c>
      <c r="AB199" s="304">
        <v>83398.098568534639</v>
      </c>
      <c r="AC199" s="305">
        <v>1</v>
      </c>
      <c r="AD199" s="315" t="s">
        <v>319</v>
      </c>
      <c r="AE199" s="329">
        <v>0.1095890410958904</v>
      </c>
      <c r="AF199" s="285">
        <v>9139.5176513462611</v>
      </c>
      <c r="AG199" s="307" t="s">
        <v>354</v>
      </c>
      <c r="AH199" s="333">
        <v>12</v>
      </c>
    </row>
    <row r="200" spans="1:34" x14ac:dyDescent="0.3">
      <c r="A200" s="422" t="s">
        <v>48</v>
      </c>
      <c r="B200" s="274" t="s">
        <v>222</v>
      </c>
      <c r="C200" s="274" t="s">
        <v>342</v>
      </c>
      <c r="D200" s="281">
        <v>1</v>
      </c>
      <c r="E200" s="276">
        <v>77398.098568534639</v>
      </c>
      <c r="F200" s="281"/>
      <c r="G200" s="276">
        <v>0</v>
      </c>
      <c r="H200" s="281"/>
      <c r="I200" s="276">
        <v>0</v>
      </c>
      <c r="J200" s="281"/>
      <c r="K200" s="276">
        <v>0</v>
      </c>
      <c r="L200" s="281"/>
      <c r="M200" s="276">
        <v>0</v>
      </c>
      <c r="N200" s="281"/>
      <c r="O200" s="276">
        <v>0</v>
      </c>
      <c r="P200" s="281"/>
      <c r="Q200" s="276">
        <v>0</v>
      </c>
      <c r="R200" s="281"/>
      <c r="S200" s="276">
        <v>0</v>
      </c>
      <c r="T200" s="281"/>
      <c r="U200" s="276">
        <v>0</v>
      </c>
      <c r="V200" s="281"/>
      <c r="W200" s="276">
        <v>0</v>
      </c>
      <c r="X200" s="281"/>
      <c r="Y200" s="276">
        <v>0</v>
      </c>
      <c r="Z200" s="281"/>
      <c r="AA200" s="306">
        <v>0</v>
      </c>
      <c r="AB200" s="304">
        <v>77398.098568534639</v>
      </c>
      <c r="AC200" s="305">
        <v>1</v>
      </c>
      <c r="AD200" s="315" t="s">
        <v>319</v>
      </c>
      <c r="AE200" s="329">
        <v>2.6143790849673203E-2</v>
      </c>
      <c r="AF200" s="285">
        <v>2023.4797011381606</v>
      </c>
      <c r="AG200" s="307" t="s">
        <v>354</v>
      </c>
      <c r="AH200" s="333">
        <v>12</v>
      </c>
    </row>
    <row r="201" spans="1:34" x14ac:dyDescent="0.3">
      <c r="A201" s="422" t="s">
        <v>9</v>
      </c>
      <c r="B201" s="274" t="s">
        <v>220</v>
      </c>
      <c r="C201" s="274" t="s">
        <v>342</v>
      </c>
      <c r="D201" s="281"/>
      <c r="E201" s="276">
        <v>0</v>
      </c>
      <c r="F201" s="281"/>
      <c r="G201" s="276">
        <v>0</v>
      </c>
      <c r="H201" s="281">
        <v>1</v>
      </c>
      <c r="I201" s="276">
        <v>55794.181771015559</v>
      </c>
      <c r="J201" s="281"/>
      <c r="K201" s="276">
        <v>0</v>
      </c>
      <c r="L201" s="281"/>
      <c r="M201" s="276">
        <v>0</v>
      </c>
      <c r="N201" s="281">
        <v>1</v>
      </c>
      <c r="O201" s="276">
        <v>55794.181771015559</v>
      </c>
      <c r="P201" s="281"/>
      <c r="Q201" s="276">
        <v>0</v>
      </c>
      <c r="R201" s="281"/>
      <c r="S201" s="276">
        <v>0</v>
      </c>
      <c r="T201" s="281">
        <v>1</v>
      </c>
      <c r="U201" s="276">
        <v>55794.181771015559</v>
      </c>
      <c r="V201" s="281"/>
      <c r="W201" s="276">
        <v>0</v>
      </c>
      <c r="X201" s="281"/>
      <c r="Y201" s="276">
        <v>0</v>
      </c>
      <c r="Z201" s="281">
        <v>1</v>
      </c>
      <c r="AA201" s="306">
        <v>55794.181771015559</v>
      </c>
      <c r="AB201" s="304">
        <v>223176.72708406224</v>
      </c>
      <c r="AC201" s="305">
        <v>4</v>
      </c>
      <c r="AD201" s="313" t="s">
        <v>318</v>
      </c>
      <c r="AE201" s="329">
        <v>3.1963470319634701E-2</v>
      </c>
      <c r="AF201" s="285">
        <v>7133.5026921846375</v>
      </c>
      <c r="AG201" s="307" t="s">
        <v>354</v>
      </c>
      <c r="AH201" s="333">
        <v>12</v>
      </c>
    </row>
    <row r="202" spans="1:34" x14ac:dyDescent="0.3">
      <c r="A202" s="422" t="s">
        <v>7</v>
      </c>
      <c r="B202" s="274" t="s">
        <v>8</v>
      </c>
      <c r="C202" s="274" t="s">
        <v>342</v>
      </c>
      <c r="D202" s="281">
        <v>1</v>
      </c>
      <c r="E202" s="276">
        <v>55794.181771015559</v>
      </c>
      <c r="F202" s="280"/>
      <c r="G202" s="276">
        <v>0</v>
      </c>
      <c r="H202" s="280"/>
      <c r="I202" s="276">
        <v>0</v>
      </c>
      <c r="J202" s="280"/>
      <c r="K202" s="276">
        <v>0</v>
      </c>
      <c r="L202" s="280"/>
      <c r="M202" s="276">
        <v>0</v>
      </c>
      <c r="N202" s="280"/>
      <c r="O202" s="276">
        <v>0</v>
      </c>
      <c r="P202" s="280"/>
      <c r="Q202" s="276">
        <v>0</v>
      </c>
      <c r="R202" s="280"/>
      <c r="S202" s="276">
        <v>0</v>
      </c>
      <c r="T202" s="280"/>
      <c r="U202" s="276">
        <v>0</v>
      </c>
      <c r="V202" s="280"/>
      <c r="W202" s="276">
        <v>0</v>
      </c>
      <c r="X202" s="280"/>
      <c r="Y202" s="276">
        <v>0</v>
      </c>
      <c r="Z202" s="280"/>
      <c r="AA202" s="306">
        <v>0</v>
      </c>
      <c r="AB202" s="304">
        <v>55794.181771015559</v>
      </c>
      <c r="AC202" s="305">
        <v>1</v>
      </c>
      <c r="AD202" s="313" t="s">
        <v>318</v>
      </c>
      <c r="AE202" s="329">
        <v>1</v>
      </c>
      <c r="AF202" s="285">
        <v>55794.181771015559</v>
      </c>
      <c r="AG202" s="307" t="s">
        <v>354</v>
      </c>
      <c r="AH202" s="333">
        <v>12</v>
      </c>
    </row>
    <row r="203" spans="1:34" x14ac:dyDescent="0.3">
      <c r="A203" s="422" t="s">
        <v>52</v>
      </c>
      <c r="B203" s="274" t="s">
        <v>191</v>
      </c>
      <c r="C203" s="274" t="s">
        <v>342</v>
      </c>
      <c r="D203" s="281">
        <v>1</v>
      </c>
      <c r="E203" s="276">
        <v>26897.079640267821</v>
      </c>
      <c r="F203" s="280"/>
      <c r="G203" s="276">
        <v>0</v>
      </c>
      <c r="H203" s="280"/>
      <c r="I203" s="276">
        <v>0</v>
      </c>
      <c r="J203" s="280"/>
      <c r="K203" s="276">
        <v>0</v>
      </c>
      <c r="L203" s="280"/>
      <c r="M203" s="276">
        <v>0</v>
      </c>
      <c r="N203" s="280"/>
      <c r="O203" s="276">
        <v>0</v>
      </c>
      <c r="P203" s="280"/>
      <c r="Q203" s="276">
        <v>0</v>
      </c>
      <c r="R203" s="280"/>
      <c r="S203" s="276">
        <v>0</v>
      </c>
      <c r="T203" s="280"/>
      <c r="U203" s="276">
        <v>0</v>
      </c>
      <c r="V203" s="280"/>
      <c r="W203" s="276">
        <v>0</v>
      </c>
      <c r="X203" s="280"/>
      <c r="Y203" s="276">
        <v>0</v>
      </c>
      <c r="Z203" s="280"/>
      <c r="AA203" s="306">
        <v>0</v>
      </c>
      <c r="AB203" s="304">
        <v>26897.079640267821</v>
      </c>
      <c r="AC203" s="305">
        <v>1</v>
      </c>
      <c r="AD203" s="315" t="s">
        <v>319</v>
      </c>
      <c r="AE203" s="329">
        <v>6.5359477124183009E-3</v>
      </c>
      <c r="AF203" s="285">
        <v>175.7979061455413</v>
      </c>
      <c r="AG203" s="307" t="s">
        <v>354</v>
      </c>
      <c r="AH203" s="333">
        <v>12</v>
      </c>
    </row>
    <row r="204" spans="1:34" x14ac:dyDescent="0.3">
      <c r="A204" s="422" t="s">
        <v>53</v>
      </c>
      <c r="B204" s="274" t="s">
        <v>230</v>
      </c>
      <c r="C204" s="274" t="s">
        <v>342</v>
      </c>
      <c r="D204" s="281">
        <v>1</v>
      </c>
      <c r="E204" s="276">
        <v>26897.079640267817</v>
      </c>
      <c r="F204" s="281"/>
      <c r="G204" s="276">
        <v>0</v>
      </c>
      <c r="H204" s="281"/>
      <c r="I204" s="276">
        <v>0</v>
      </c>
      <c r="J204" s="281"/>
      <c r="K204" s="276">
        <v>0</v>
      </c>
      <c r="L204" s="281"/>
      <c r="M204" s="276">
        <v>0</v>
      </c>
      <c r="N204" s="281"/>
      <c r="O204" s="276">
        <v>0</v>
      </c>
      <c r="P204" s="281"/>
      <c r="Q204" s="276">
        <v>0</v>
      </c>
      <c r="R204" s="281"/>
      <c r="S204" s="276">
        <v>0</v>
      </c>
      <c r="T204" s="281"/>
      <c r="U204" s="276">
        <v>0</v>
      </c>
      <c r="V204" s="281"/>
      <c r="W204" s="276">
        <v>0</v>
      </c>
      <c r="X204" s="281"/>
      <c r="Y204" s="276">
        <v>0</v>
      </c>
      <c r="Z204" s="281"/>
      <c r="AA204" s="306">
        <v>0</v>
      </c>
      <c r="AB204" s="304">
        <v>26897.079640267817</v>
      </c>
      <c r="AC204" s="305">
        <v>1</v>
      </c>
      <c r="AD204" s="315" t="s">
        <v>319</v>
      </c>
      <c r="AE204" s="329">
        <v>6.5359477124183009E-3</v>
      </c>
      <c r="AF204" s="285">
        <v>175.7979061455413</v>
      </c>
      <c r="AG204" s="307" t="s">
        <v>354</v>
      </c>
      <c r="AH204" s="333">
        <v>12</v>
      </c>
    </row>
    <row r="205" spans="1:34" x14ac:dyDescent="0.3">
      <c r="A205" s="422" t="s">
        <v>113</v>
      </c>
      <c r="B205" s="295" t="s">
        <v>139</v>
      </c>
      <c r="C205" s="274" t="s">
        <v>342</v>
      </c>
      <c r="D205" s="281">
        <v>1</v>
      </c>
      <c r="E205" s="276">
        <v>60236.092716419647</v>
      </c>
      <c r="F205" s="281"/>
      <c r="G205" s="276">
        <v>0</v>
      </c>
      <c r="H205" s="281"/>
      <c r="I205" s="276">
        <v>0</v>
      </c>
      <c r="J205" s="281"/>
      <c r="K205" s="276">
        <v>0</v>
      </c>
      <c r="L205" s="281"/>
      <c r="M205" s="276">
        <v>0</v>
      </c>
      <c r="N205" s="281"/>
      <c r="O205" s="276">
        <v>0</v>
      </c>
      <c r="P205" s="281"/>
      <c r="Q205" s="276">
        <v>0</v>
      </c>
      <c r="R205" s="281"/>
      <c r="S205" s="276">
        <v>0</v>
      </c>
      <c r="T205" s="281"/>
      <c r="U205" s="276">
        <v>0</v>
      </c>
      <c r="V205" s="281"/>
      <c r="W205" s="276">
        <v>0</v>
      </c>
      <c r="X205" s="281"/>
      <c r="Y205" s="276">
        <v>0</v>
      </c>
      <c r="Z205" s="281"/>
      <c r="AA205" s="306">
        <v>0</v>
      </c>
      <c r="AB205" s="304">
        <v>60236.092716419647</v>
      </c>
      <c r="AC205" s="305">
        <v>1</v>
      </c>
      <c r="AD205" s="315" t="s">
        <v>319</v>
      </c>
      <c r="AE205" s="329">
        <v>9.1503267973856203E-2</v>
      </c>
      <c r="AF205" s="285">
        <v>5511.7993335285946</v>
      </c>
      <c r="AG205" s="307" t="s">
        <v>354</v>
      </c>
      <c r="AH205" s="333">
        <v>12</v>
      </c>
    </row>
    <row r="206" spans="1:34" x14ac:dyDescent="0.3">
      <c r="A206" s="422" t="s">
        <v>114</v>
      </c>
      <c r="B206" s="274" t="s">
        <v>140</v>
      </c>
      <c r="C206" s="274" t="s">
        <v>342</v>
      </c>
      <c r="D206" s="281"/>
      <c r="E206" s="276">
        <v>0</v>
      </c>
      <c r="F206" s="281"/>
      <c r="G206" s="276">
        <v>0</v>
      </c>
      <c r="H206" s="281"/>
      <c r="I206" s="276">
        <v>0</v>
      </c>
      <c r="J206" s="281">
        <v>1</v>
      </c>
      <c r="K206" s="276">
        <v>62748.232282880919</v>
      </c>
      <c r="L206" s="281"/>
      <c r="M206" s="276">
        <v>0</v>
      </c>
      <c r="N206" s="281"/>
      <c r="O206" s="276">
        <v>0</v>
      </c>
      <c r="P206" s="281">
        <v>1</v>
      </c>
      <c r="Q206" s="276">
        <v>62748.232282880919</v>
      </c>
      <c r="R206" s="281"/>
      <c r="S206" s="276">
        <v>0</v>
      </c>
      <c r="T206" s="281"/>
      <c r="U206" s="276">
        <v>0</v>
      </c>
      <c r="V206" s="281">
        <v>1</v>
      </c>
      <c r="W206" s="276">
        <v>62748.232282880919</v>
      </c>
      <c r="X206" s="281"/>
      <c r="Y206" s="276">
        <v>0</v>
      </c>
      <c r="Z206" s="281"/>
      <c r="AA206" s="306">
        <v>0</v>
      </c>
      <c r="AB206" s="304">
        <v>188244.69684864275</v>
      </c>
      <c r="AC206" s="305">
        <v>3</v>
      </c>
      <c r="AD206" s="315" t="s">
        <v>319</v>
      </c>
      <c r="AE206" s="329">
        <v>4.5751633986928102E-2</v>
      </c>
      <c r="AF206" s="285">
        <v>8612.5024701993407</v>
      </c>
      <c r="AG206" s="307" t="s">
        <v>354</v>
      </c>
      <c r="AH206" s="333">
        <v>12</v>
      </c>
    </row>
    <row r="207" spans="1:34" x14ac:dyDescent="0.3">
      <c r="A207" s="422" t="s">
        <v>115</v>
      </c>
      <c r="B207" s="274" t="s">
        <v>141</v>
      </c>
      <c r="C207" s="274" t="s">
        <v>342</v>
      </c>
      <c r="D207" s="281"/>
      <c r="E207" s="276">
        <v>0</v>
      </c>
      <c r="F207" s="281"/>
      <c r="G207" s="276">
        <v>0</v>
      </c>
      <c r="H207" s="281"/>
      <c r="I207" s="276">
        <v>0</v>
      </c>
      <c r="J207" s="281"/>
      <c r="K207" s="276">
        <v>0</v>
      </c>
      <c r="L207" s="281"/>
      <c r="M207" s="276">
        <v>0</v>
      </c>
      <c r="N207" s="281"/>
      <c r="O207" s="276">
        <v>0</v>
      </c>
      <c r="P207" s="281"/>
      <c r="Q207" s="276">
        <v>0</v>
      </c>
      <c r="R207" s="281"/>
      <c r="S207" s="276">
        <v>0</v>
      </c>
      <c r="T207" s="281"/>
      <c r="U207" s="276">
        <v>0</v>
      </c>
      <c r="V207" s="281"/>
      <c r="W207" s="276">
        <v>0</v>
      </c>
      <c r="X207" s="281"/>
      <c r="Y207" s="276">
        <v>0</v>
      </c>
      <c r="Z207" s="281">
        <v>1</v>
      </c>
      <c r="AA207" s="316">
        <v>62748.232282880919</v>
      </c>
      <c r="AB207" s="304">
        <v>62748.232282880919</v>
      </c>
      <c r="AC207" s="305">
        <v>1</v>
      </c>
      <c r="AD207" s="315" t="s">
        <v>319</v>
      </c>
      <c r="AE207" s="329">
        <v>0</v>
      </c>
      <c r="AF207" s="285">
        <v>0</v>
      </c>
      <c r="AG207" s="317" t="s">
        <v>354</v>
      </c>
      <c r="AH207" s="333">
        <v>12</v>
      </c>
    </row>
    <row r="208" spans="1:34" x14ac:dyDescent="0.3">
      <c r="A208" s="414" t="s">
        <v>421</v>
      </c>
      <c r="B208" s="96" t="s">
        <v>422</v>
      </c>
      <c r="C208" s="96" t="s">
        <v>423</v>
      </c>
      <c r="D208" s="181"/>
      <c r="E208" s="56"/>
      <c r="F208" s="181"/>
      <c r="G208" s="56"/>
      <c r="H208" s="181"/>
      <c r="I208" s="56"/>
      <c r="J208" s="181"/>
      <c r="K208" s="56"/>
      <c r="L208" s="181"/>
      <c r="M208" s="56"/>
      <c r="N208" s="181"/>
      <c r="O208" s="56"/>
      <c r="P208" s="181"/>
      <c r="Q208" s="56"/>
      <c r="R208" s="181"/>
      <c r="S208" s="56"/>
      <c r="T208" s="181"/>
      <c r="U208" s="56"/>
      <c r="V208" s="181"/>
      <c r="W208" s="56"/>
      <c r="X208" s="181"/>
      <c r="Y208" s="56"/>
      <c r="Z208" s="181"/>
      <c r="AA208" s="56"/>
      <c r="AB208" s="81"/>
      <c r="AC208" s="106"/>
      <c r="AD208" s="104" t="s">
        <v>318</v>
      </c>
      <c r="AE208" s="119"/>
      <c r="AF208" s="47"/>
      <c r="AG208" s="317" t="s">
        <v>354</v>
      </c>
      <c r="AH208" s="333">
        <v>12</v>
      </c>
    </row>
    <row r="209" spans="1:34" x14ac:dyDescent="0.3">
      <c r="A209" s="423" t="s">
        <v>13</v>
      </c>
      <c r="B209" s="274" t="s">
        <v>14</v>
      </c>
      <c r="C209" s="274" t="s">
        <v>343</v>
      </c>
      <c r="D209" s="281">
        <v>1</v>
      </c>
      <c r="E209" s="276">
        <v>20552.755657371155</v>
      </c>
      <c r="F209" s="291"/>
      <c r="G209" s="276">
        <v>0</v>
      </c>
      <c r="H209" s="291"/>
      <c r="I209" s="276">
        <v>0</v>
      </c>
      <c r="J209" s="291"/>
      <c r="K209" s="276">
        <v>0</v>
      </c>
      <c r="L209" s="291"/>
      <c r="M209" s="276">
        <v>0</v>
      </c>
      <c r="N209" s="291"/>
      <c r="O209" s="276">
        <v>0</v>
      </c>
      <c r="P209" s="291"/>
      <c r="Q209" s="276">
        <v>0</v>
      </c>
      <c r="R209" s="291"/>
      <c r="S209" s="276">
        <v>0</v>
      </c>
      <c r="T209" s="291"/>
      <c r="U209" s="276">
        <v>0</v>
      </c>
      <c r="V209" s="291"/>
      <c r="W209" s="276">
        <v>0</v>
      </c>
      <c r="X209" s="291"/>
      <c r="Y209" s="276">
        <v>0</v>
      </c>
      <c r="Z209" s="291"/>
      <c r="AA209" s="276">
        <v>0</v>
      </c>
      <c r="AB209" s="309">
        <v>20552.755657371155</v>
      </c>
      <c r="AC209" s="305">
        <v>1</v>
      </c>
      <c r="AD209" s="284" t="s">
        <v>318</v>
      </c>
      <c r="AE209" s="329">
        <v>1</v>
      </c>
      <c r="AF209" s="285">
        <v>20552.755657371155</v>
      </c>
      <c r="AG209" s="314" t="s">
        <v>355</v>
      </c>
      <c r="AH209" s="333">
        <v>12</v>
      </c>
    </row>
    <row r="210" spans="1:34" x14ac:dyDescent="0.3">
      <c r="A210" s="423" t="s">
        <v>98</v>
      </c>
      <c r="B210" s="274" t="s">
        <v>99</v>
      </c>
      <c r="C210" s="274" t="s">
        <v>342</v>
      </c>
      <c r="D210" s="281">
        <v>1</v>
      </c>
      <c r="E210" s="276">
        <v>17887.388810409495</v>
      </c>
      <c r="F210" s="291"/>
      <c r="G210" s="276">
        <v>0</v>
      </c>
      <c r="H210" s="291"/>
      <c r="I210" s="276">
        <v>0</v>
      </c>
      <c r="J210" s="291"/>
      <c r="K210" s="276">
        <v>0</v>
      </c>
      <c r="L210" s="291"/>
      <c r="M210" s="276">
        <v>0</v>
      </c>
      <c r="N210" s="291"/>
      <c r="O210" s="276">
        <v>0</v>
      </c>
      <c r="P210" s="291"/>
      <c r="Q210" s="276">
        <v>0</v>
      </c>
      <c r="R210" s="291"/>
      <c r="S210" s="276">
        <v>0</v>
      </c>
      <c r="T210" s="291"/>
      <c r="U210" s="276">
        <v>0</v>
      </c>
      <c r="V210" s="291"/>
      <c r="W210" s="276">
        <v>0</v>
      </c>
      <c r="X210" s="291"/>
      <c r="Y210" s="276">
        <v>0</v>
      </c>
      <c r="Z210" s="291"/>
      <c r="AA210" s="276">
        <v>0</v>
      </c>
      <c r="AB210" s="309">
        <v>17887.388810409495</v>
      </c>
      <c r="AC210" s="305">
        <v>1</v>
      </c>
      <c r="AD210" s="284" t="s">
        <v>318</v>
      </c>
      <c r="AE210" s="329">
        <v>1</v>
      </c>
      <c r="AF210" s="285">
        <v>17887.388810409495</v>
      </c>
      <c r="AG210" s="314" t="s">
        <v>355</v>
      </c>
      <c r="AH210" s="333">
        <v>12</v>
      </c>
    </row>
    <row r="211" spans="1:34" x14ac:dyDescent="0.3">
      <c r="A211" s="423" t="s">
        <v>104</v>
      </c>
      <c r="B211" s="274" t="s">
        <v>105</v>
      </c>
      <c r="C211" s="274" t="s">
        <v>342</v>
      </c>
      <c r="D211" s="281"/>
      <c r="E211" s="276">
        <v>0</v>
      </c>
      <c r="F211" s="291"/>
      <c r="G211" s="276">
        <v>0</v>
      </c>
      <c r="H211" s="291"/>
      <c r="I211" s="276">
        <v>0</v>
      </c>
      <c r="J211" s="291"/>
      <c r="K211" s="276">
        <v>0</v>
      </c>
      <c r="L211" s="291"/>
      <c r="M211" s="276">
        <v>0</v>
      </c>
      <c r="N211" s="290"/>
      <c r="O211" s="276">
        <v>0</v>
      </c>
      <c r="P211" s="291"/>
      <c r="Q211" s="276">
        <v>0</v>
      </c>
      <c r="R211" s="291"/>
      <c r="S211" s="276">
        <v>0</v>
      </c>
      <c r="T211" s="291"/>
      <c r="U211" s="276">
        <v>0</v>
      </c>
      <c r="V211" s="291"/>
      <c r="W211" s="276">
        <v>0</v>
      </c>
      <c r="X211" s="291"/>
      <c r="Y211" s="276">
        <v>0</v>
      </c>
      <c r="Z211" s="294">
        <v>1</v>
      </c>
      <c r="AA211" s="276">
        <v>17887.388810409495</v>
      </c>
      <c r="AB211" s="309">
        <v>17887.388810409495</v>
      </c>
      <c r="AC211" s="305">
        <v>1</v>
      </c>
      <c r="AD211" s="315" t="s">
        <v>319</v>
      </c>
      <c r="AE211" s="329">
        <v>0.25</v>
      </c>
      <c r="AF211" s="285">
        <v>4471.8472026023737</v>
      </c>
      <c r="AG211" s="314" t="s">
        <v>355</v>
      </c>
      <c r="AH211" s="333">
        <v>12</v>
      </c>
    </row>
    <row r="212" spans="1:34" x14ac:dyDescent="0.3">
      <c r="A212" s="423" t="s">
        <v>3</v>
      </c>
      <c r="B212" s="274" t="s">
        <v>4</v>
      </c>
      <c r="C212" s="274" t="s">
        <v>342</v>
      </c>
      <c r="D212" s="281">
        <v>1</v>
      </c>
      <c r="E212" s="276">
        <v>20406.13276336317</v>
      </c>
      <c r="F212" s="290"/>
      <c r="G212" s="276">
        <v>0</v>
      </c>
      <c r="H212" s="290"/>
      <c r="I212" s="276">
        <v>0</v>
      </c>
      <c r="J212" s="290"/>
      <c r="K212" s="276">
        <v>0</v>
      </c>
      <c r="L212" s="290"/>
      <c r="M212" s="276">
        <v>0</v>
      </c>
      <c r="N212" s="290"/>
      <c r="O212" s="276">
        <v>0</v>
      </c>
      <c r="P212" s="290"/>
      <c r="Q212" s="276">
        <v>0</v>
      </c>
      <c r="R212" s="290"/>
      <c r="S212" s="276">
        <v>0</v>
      </c>
      <c r="T212" s="290"/>
      <c r="U212" s="276">
        <v>0</v>
      </c>
      <c r="V212" s="290"/>
      <c r="W212" s="276">
        <v>0</v>
      </c>
      <c r="X212" s="290"/>
      <c r="Y212" s="276">
        <v>0</v>
      </c>
      <c r="Z212" s="290"/>
      <c r="AA212" s="276">
        <v>0</v>
      </c>
      <c r="AB212" s="309">
        <v>20406.13276336317</v>
      </c>
      <c r="AC212" s="305">
        <v>1</v>
      </c>
      <c r="AD212" s="284" t="s">
        <v>318</v>
      </c>
      <c r="AE212" s="329">
        <v>1</v>
      </c>
      <c r="AF212" s="285">
        <v>20406.13276336317</v>
      </c>
      <c r="AG212" s="314" t="s">
        <v>355</v>
      </c>
      <c r="AH212" s="333">
        <v>12</v>
      </c>
    </row>
    <row r="213" spans="1:34" x14ac:dyDescent="0.3">
      <c r="A213" s="423" t="s">
        <v>15</v>
      </c>
      <c r="B213" s="274" t="s">
        <v>16</v>
      </c>
      <c r="C213" s="274" t="s">
        <v>342</v>
      </c>
      <c r="D213" s="281"/>
      <c r="E213" s="276">
        <v>0</v>
      </c>
      <c r="F213" s="290"/>
      <c r="G213" s="276">
        <v>0</v>
      </c>
      <c r="H213" s="290"/>
      <c r="I213" s="276">
        <v>0</v>
      </c>
      <c r="J213" s="290"/>
      <c r="K213" s="276">
        <v>0</v>
      </c>
      <c r="L213" s="290"/>
      <c r="M213" s="276">
        <v>0</v>
      </c>
      <c r="N213" s="290">
        <v>1</v>
      </c>
      <c r="O213" s="276">
        <v>22052.520800552971</v>
      </c>
      <c r="P213" s="290"/>
      <c r="Q213" s="276">
        <v>0</v>
      </c>
      <c r="R213" s="290"/>
      <c r="S213" s="276">
        <v>0</v>
      </c>
      <c r="T213" s="290"/>
      <c r="U213" s="276">
        <v>0</v>
      </c>
      <c r="V213" s="290"/>
      <c r="W213" s="276">
        <v>0</v>
      </c>
      <c r="X213" s="290"/>
      <c r="Y213" s="276">
        <v>0</v>
      </c>
      <c r="Z213" s="290">
        <v>1</v>
      </c>
      <c r="AA213" s="276">
        <v>22052.520800552971</v>
      </c>
      <c r="AB213" s="309">
        <v>44105.041601105942</v>
      </c>
      <c r="AC213" s="305">
        <v>2</v>
      </c>
      <c r="AD213" s="284" t="s">
        <v>318</v>
      </c>
      <c r="AE213" s="329">
        <v>1</v>
      </c>
      <c r="AF213" s="285">
        <v>44105.041601105942</v>
      </c>
      <c r="AG213" s="314" t="s">
        <v>355</v>
      </c>
      <c r="AH213" s="333">
        <v>12</v>
      </c>
    </row>
    <row r="214" spans="1:34" x14ac:dyDescent="0.3">
      <c r="A214" s="423" t="s">
        <v>74</v>
      </c>
      <c r="B214" s="274" t="s">
        <v>75</v>
      </c>
      <c r="C214" s="274" t="s">
        <v>342</v>
      </c>
      <c r="D214" s="281">
        <v>1</v>
      </c>
      <c r="E214" s="276">
        <v>19368.008636848015</v>
      </c>
      <c r="F214" s="290"/>
      <c r="G214" s="276">
        <v>0</v>
      </c>
      <c r="H214" s="290"/>
      <c r="I214" s="276">
        <v>0</v>
      </c>
      <c r="J214" s="290"/>
      <c r="K214" s="276">
        <v>0</v>
      </c>
      <c r="L214" s="290"/>
      <c r="M214" s="276">
        <v>0</v>
      </c>
      <c r="N214" s="290"/>
      <c r="O214" s="276">
        <v>0</v>
      </c>
      <c r="P214" s="290"/>
      <c r="Q214" s="276">
        <v>0</v>
      </c>
      <c r="R214" s="290"/>
      <c r="S214" s="276">
        <v>0</v>
      </c>
      <c r="T214" s="290"/>
      <c r="U214" s="276">
        <v>0</v>
      </c>
      <c r="V214" s="290"/>
      <c r="W214" s="276">
        <v>0</v>
      </c>
      <c r="X214" s="290"/>
      <c r="Y214" s="276">
        <v>0</v>
      </c>
      <c r="Z214" s="290"/>
      <c r="AA214" s="276">
        <v>0</v>
      </c>
      <c r="AB214" s="309">
        <v>19368.008636848015</v>
      </c>
      <c r="AC214" s="305">
        <v>1</v>
      </c>
      <c r="AD214" s="315" t="s">
        <v>319</v>
      </c>
      <c r="AE214" s="329">
        <v>1</v>
      </c>
      <c r="AF214" s="285">
        <v>19368.008636848015</v>
      </c>
      <c r="AG214" s="314" t="s">
        <v>355</v>
      </c>
      <c r="AH214" s="333">
        <v>12</v>
      </c>
    </row>
    <row r="215" spans="1:34" x14ac:dyDescent="0.3">
      <c r="A215" s="423" t="s">
        <v>23</v>
      </c>
      <c r="B215" s="274" t="s">
        <v>24</v>
      </c>
      <c r="C215" s="274" t="s">
        <v>344</v>
      </c>
      <c r="D215" s="281">
        <v>1</v>
      </c>
      <c r="E215" s="276">
        <v>31881.451880098426</v>
      </c>
      <c r="F215" s="290"/>
      <c r="G215" s="276">
        <v>0</v>
      </c>
      <c r="H215" s="290"/>
      <c r="I215" s="276">
        <v>0</v>
      </c>
      <c r="J215" s="290"/>
      <c r="K215" s="276">
        <v>0</v>
      </c>
      <c r="L215" s="290"/>
      <c r="M215" s="276">
        <v>0</v>
      </c>
      <c r="N215" s="290"/>
      <c r="O215" s="276">
        <v>0</v>
      </c>
      <c r="P215" s="290"/>
      <c r="Q215" s="276">
        <v>0</v>
      </c>
      <c r="R215" s="290"/>
      <c r="S215" s="276">
        <v>0</v>
      </c>
      <c r="T215" s="290"/>
      <c r="U215" s="276">
        <v>0</v>
      </c>
      <c r="V215" s="290"/>
      <c r="W215" s="276">
        <v>0</v>
      </c>
      <c r="X215" s="290"/>
      <c r="Y215" s="276">
        <v>0</v>
      </c>
      <c r="Z215" s="290"/>
      <c r="AA215" s="276">
        <v>0</v>
      </c>
      <c r="AB215" s="309">
        <v>31881.451880098426</v>
      </c>
      <c r="AC215" s="305">
        <v>1</v>
      </c>
      <c r="AD215" s="284" t="s">
        <v>318</v>
      </c>
      <c r="AE215" s="329">
        <v>1</v>
      </c>
      <c r="AF215" s="285">
        <v>31881.451880098426</v>
      </c>
      <c r="AG215" s="314" t="s">
        <v>355</v>
      </c>
      <c r="AH215" s="333">
        <v>12</v>
      </c>
    </row>
    <row r="216" spans="1:34" x14ac:dyDescent="0.3">
      <c r="A216" s="423" t="s">
        <v>36</v>
      </c>
      <c r="B216" s="274" t="s">
        <v>136</v>
      </c>
      <c r="C216" s="274" t="s">
        <v>344</v>
      </c>
      <c r="D216" s="281">
        <v>8</v>
      </c>
      <c r="E216" s="276">
        <v>70240.958933331596</v>
      </c>
      <c r="F216" s="290">
        <v>8</v>
      </c>
      <c r="G216" s="276">
        <v>70240.958933331596</v>
      </c>
      <c r="H216" s="290">
        <v>8</v>
      </c>
      <c r="I216" s="276">
        <v>70240.958933331596</v>
      </c>
      <c r="J216" s="290">
        <v>8</v>
      </c>
      <c r="K216" s="276">
        <v>70240.958933331596</v>
      </c>
      <c r="L216" s="290">
        <v>8</v>
      </c>
      <c r="M216" s="276">
        <v>70240.958933331596</v>
      </c>
      <c r="N216" s="290">
        <v>8</v>
      </c>
      <c r="O216" s="276">
        <v>70240.958933331596</v>
      </c>
      <c r="P216" s="290">
        <v>8</v>
      </c>
      <c r="Q216" s="276">
        <v>70240.958933331596</v>
      </c>
      <c r="R216" s="290">
        <v>8</v>
      </c>
      <c r="S216" s="276">
        <v>70240.958933331596</v>
      </c>
      <c r="T216" s="290">
        <v>8</v>
      </c>
      <c r="U216" s="276">
        <v>70240.958933331596</v>
      </c>
      <c r="V216" s="290">
        <v>8</v>
      </c>
      <c r="W216" s="276">
        <v>70240.958933331596</v>
      </c>
      <c r="X216" s="290">
        <v>8</v>
      </c>
      <c r="Y216" s="276">
        <v>70240.958933331596</v>
      </c>
      <c r="Z216" s="290">
        <v>8</v>
      </c>
      <c r="AA216" s="276">
        <v>70240.958933331596</v>
      </c>
      <c r="AB216" s="309">
        <v>842891.50719997892</v>
      </c>
      <c r="AC216" s="305">
        <v>96</v>
      </c>
      <c r="AD216" s="284" t="s">
        <v>318</v>
      </c>
      <c r="AE216" s="329">
        <v>1</v>
      </c>
      <c r="AF216" s="285">
        <v>842891.50719997892</v>
      </c>
      <c r="AG216" s="314" t="s">
        <v>355</v>
      </c>
      <c r="AH216" s="333">
        <v>12</v>
      </c>
    </row>
    <row r="217" spans="1:34" x14ac:dyDescent="0.3">
      <c r="A217" s="423" t="s">
        <v>11</v>
      </c>
      <c r="B217" s="274" t="s">
        <v>138</v>
      </c>
      <c r="C217" s="274" t="s">
        <v>345</v>
      </c>
      <c r="D217" s="281">
        <v>2</v>
      </c>
      <c r="E217" s="276">
        <v>25486.843284439274</v>
      </c>
      <c r="F217" s="290">
        <v>2</v>
      </c>
      <c r="G217" s="276">
        <v>25486.843284439274</v>
      </c>
      <c r="H217" s="290">
        <v>2</v>
      </c>
      <c r="I217" s="276">
        <v>25486.843284439274</v>
      </c>
      <c r="J217" s="290">
        <v>2</v>
      </c>
      <c r="K217" s="276">
        <v>25486.843284439274</v>
      </c>
      <c r="L217" s="290">
        <v>2</v>
      </c>
      <c r="M217" s="276">
        <v>25486.843284439274</v>
      </c>
      <c r="N217" s="290">
        <v>2</v>
      </c>
      <c r="O217" s="276">
        <v>25486.843284439274</v>
      </c>
      <c r="P217" s="290">
        <v>2</v>
      </c>
      <c r="Q217" s="276">
        <v>25486.843284439274</v>
      </c>
      <c r="R217" s="290">
        <v>2</v>
      </c>
      <c r="S217" s="276">
        <v>25486.843284439274</v>
      </c>
      <c r="T217" s="290">
        <v>2</v>
      </c>
      <c r="U217" s="276">
        <v>25486.843284439274</v>
      </c>
      <c r="V217" s="290">
        <v>2</v>
      </c>
      <c r="W217" s="276">
        <v>25486.843284439274</v>
      </c>
      <c r="X217" s="290">
        <v>2</v>
      </c>
      <c r="Y217" s="276">
        <v>25486.843284439274</v>
      </c>
      <c r="Z217" s="290">
        <v>2</v>
      </c>
      <c r="AA217" s="276">
        <v>25486.843284439274</v>
      </c>
      <c r="AB217" s="309">
        <v>305842.11941327131</v>
      </c>
      <c r="AC217" s="305">
        <v>24</v>
      </c>
      <c r="AD217" s="284" t="s">
        <v>318</v>
      </c>
      <c r="AE217" s="329">
        <v>1</v>
      </c>
      <c r="AF217" s="285">
        <v>305842.11941327131</v>
      </c>
      <c r="AG217" s="314" t="s">
        <v>355</v>
      </c>
      <c r="AH217" s="333">
        <v>12</v>
      </c>
    </row>
    <row r="218" spans="1:34" x14ac:dyDescent="0.3">
      <c r="A218" s="423" t="s">
        <v>19</v>
      </c>
      <c r="B218" s="274" t="s">
        <v>20</v>
      </c>
      <c r="C218" s="274" t="s">
        <v>342</v>
      </c>
      <c r="D218" s="281">
        <v>1</v>
      </c>
      <c r="E218" s="276">
        <v>67398.098568534639</v>
      </c>
      <c r="F218" s="290"/>
      <c r="G218" s="276">
        <v>0</v>
      </c>
      <c r="H218" s="290"/>
      <c r="I218" s="276">
        <v>0</v>
      </c>
      <c r="J218" s="290"/>
      <c r="K218" s="276">
        <v>0</v>
      </c>
      <c r="L218" s="290"/>
      <c r="M218" s="276">
        <v>0</v>
      </c>
      <c r="N218" s="290"/>
      <c r="O218" s="276">
        <v>0</v>
      </c>
      <c r="P218" s="290"/>
      <c r="Q218" s="276">
        <v>0</v>
      </c>
      <c r="R218" s="290"/>
      <c r="S218" s="276">
        <v>0</v>
      </c>
      <c r="T218" s="290"/>
      <c r="U218" s="276">
        <v>0</v>
      </c>
      <c r="V218" s="290"/>
      <c r="W218" s="276">
        <v>0</v>
      </c>
      <c r="X218" s="290"/>
      <c r="Y218" s="276">
        <v>0</v>
      </c>
      <c r="Z218" s="290"/>
      <c r="AA218" s="276">
        <v>0</v>
      </c>
      <c r="AB218" s="309">
        <v>67398.098568534639</v>
      </c>
      <c r="AC218" s="305">
        <v>1</v>
      </c>
      <c r="AD218" s="315" t="s">
        <v>319</v>
      </c>
      <c r="AE218" s="329">
        <v>0.10714285714285714</v>
      </c>
      <c r="AF218" s="285">
        <v>7221.224846628711</v>
      </c>
      <c r="AG218" s="314" t="s">
        <v>355</v>
      </c>
      <c r="AH218" s="333">
        <v>12</v>
      </c>
    </row>
    <row r="219" spans="1:34" x14ac:dyDescent="0.3">
      <c r="A219" s="423" t="s">
        <v>21</v>
      </c>
      <c r="B219" s="274" t="s">
        <v>221</v>
      </c>
      <c r="C219" s="274" t="s">
        <v>342</v>
      </c>
      <c r="D219" s="281">
        <v>1</v>
      </c>
      <c r="E219" s="276">
        <v>67398.098568534639</v>
      </c>
      <c r="F219" s="290"/>
      <c r="G219" s="276">
        <v>0</v>
      </c>
      <c r="H219" s="290"/>
      <c r="I219" s="276">
        <v>0</v>
      </c>
      <c r="J219" s="290"/>
      <c r="K219" s="276">
        <v>0</v>
      </c>
      <c r="L219" s="290"/>
      <c r="M219" s="276">
        <v>0</v>
      </c>
      <c r="N219" s="290"/>
      <c r="O219" s="276">
        <v>0</v>
      </c>
      <c r="P219" s="290"/>
      <c r="Q219" s="276">
        <v>0</v>
      </c>
      <c r="R219" s="290"/>
      <c r="S219" s="276">
        <v>0</v>
      </c>
      <c r="T219" s="290"/>
      <c r="U219" s="276">
        <v>0</v>
      </c>
      <c r="V219" s="290"/>
      <c r="W219" s="276">
        <v>0</v>
      </c>
      <c r="X219" s="290"/>
      <c r="Y219" s="276">
        <v>0</v>
      </c>
      <c r="Z219" s="290"/>
      <c r="AA219" s="276">
        <v>0</v>
      </c>
      <c r="AB219" s="309">
        <v>67398.098568534639</v>
      </c>
      <c r="AC219" s="305">
        <v>1</v>
      </c>
      <c r="AD219" s="315" t="s">
        <v>319</v>
      </c>
      <c r="AE219" s="329">
        <v>1</v>
      </c>
      <c r="AF219" s="285">
        <v>67398.098568534639</v>
      </c>
      <c r="AG219" s="314" t="s">
        <v>355</v>
      </c>
      <c r="AH219" s="333">
        <v>12</v>
      </c>
    </row>
    <row r="220" spans="1:34" x14ac:dyDescent="0.3">
      <c r="A220" s="423" t="s">
        <v>34</v>
      </c>
      <c r="B220" s="274" t="s">
        <v>35</v>
      </c>
      <c r="C220" s="274" t="s">
        <v>342</v>
      </c>
      <c r="D220" s="281">
        <v>1</v>
      </c>
      <c r="E220" s="276">
        <v>24009.730401318589</v>
      </c>
      <c r="F220" s="290"/>
      <c r="G220" s="276">
        <v>0</v>
      </c>
      <c r="H220" s="290"/>
      <c r="I220" s="276">
        <v>0</v>
      </c>
      <c r="J220" s="290"/>
      <c r="K220" s="276">
        <v>0</v>
      </c>
      <c r="L220" s="290"/>
      <c r="M220" s="276">
        <v>0</v>
      </c>
      <c r="N220" s="290"/>
      <c r="O220" s="276">
        <v>0</v>
      </c>
      <c r="P220" s="290"/>
      <c r="Q220" s="276">
        <v>0</v>
      </c>
      <c r="R220" s="290"/>
      <c r="S220" s="276">
        <v>0</v>
      </c>
      <c r="T220" s="290"/>
      <c r="U220" s="276">
        <v>0</v>
      </c>
      <c r="V220" s="290"/>
      <c r="W220" s="276">
        <v>0</v>
      </c>
      <c r="X220" s="290"/>
      <c r="Y220" s="276">
        <v>0</v>
      </c>
      <c r="Z220" s="290"/>
      <c r="AA220" s="276">
        <v>0</v>
      </c>
      <c r="AB220" s="309">
        <v>24009.730401318589</v>
      </c>
      <c r="AC220" s="305">
        <v>1</v>
      </c>
      <c r="AD220" s="284" t="s">
        <v>318</v>
      </c>
      <c r="AE220" s="329">
        <v>1</v>
      </c>
      <c r="AF220" s="285">
        <v>24009.730401318589</v>
      </c>
      <c r="AG220" s="314" t="s">
        <v>355</v>
      </c>
      <c r="AH220" s="333">
        <v>12</v>
      </c>
    </row>
    <row r="221" spans="1:34" x14ac:dyDescent="0.3">
      <c r="A221" s="423" t="s">
        <v>32</v>
      </c>
      <c r="B221" s="274" t="s">
        <v>33</v>
      </c>
      <c r="C221" s="274" t="s">
        <v>342</v>
      </c>
      <c r="D221" s="281"/>
      <c r="E221" s="276">
        <v>0</v>
      </c>
      <c r="F221" s="290"/>
      <c r="G221" s="276">
        <v>0</v>
      </c>
      <c r="H221" s="290">
        <v>1</v>
      </c>
      <c r="I221" s="276">
        <v>24009.730401318589</v>
      </c>
      <c r="J221" s="290"/>
      <c r="K221" s="276">
        <v>0</v>
      </c>
      <c r="L221" s="290"/>
      <c r="M221" s="276">
        <v>0</v>
      </c>
      <c r="N221" s="290">
        <v>1</v>
      </c>
      <c r="O221" s="276">
        <v>24009.730401318589</v>
      </c>
      <c r="P221" s="290"/>
      <c r="Q221" s="276">
        <v>0</v>
      </c>
      <c r="R221" s="290"/>
      <c r="S221" s="276">
        <v>0</v>
      </c>
      <c r="T221" s="290">
        <v>1</v>
      </c>
      <c r="U221" s="276">
        <v>24009.730401318589</v>
      </c>
      <c r="V221" s="290"/>
      <c r="W221" s="276">
        <v>0</v>
      </c>
      <c r="X221" s="290"/>
      <c r="Y221" s="276">
        <v>0</v>
      </c>
      <c r="Z221" s="290">
        <v>1</v>
      </c>
      <c r="AA221" s="276">
        <v>24009.730401318589</v>
      </c>
      <c r="AB221" s="309">
        <v>96038.921605274358</v>
      </c>
      <c r="AC221" s="305">
        <v>4</v>
      </c>
      <c r="AD221" s="315" t="s">
        <v>319</v>
      </c>
      <c r="AE221" s="329">
        <v>1</v>
      </c>
      <c r="AF221" s="285">
        <v>96038.921605274358</v>
      </c>
      <c r="AG221" s="314" t="s">
        <v>355</v>
      </c>
      <c r="AH221" s="333">
        <v>12</v>
      </c>
    </row>
    <row r="222" spans="1:34" x14ac:dyDescent="0.3">
      <c r="A222" s="423" t="s">
        <v>79</v>
      </c>
      <c r="B222" s="274" t="s">
        <v>197</v>
      </c>
      <c r="C222" s="274" t="s">
        <v>344</v>
      </c>
      <c r="D222" s="281">
        <v>4</v>
      </c>
      <c r="E222" s="276">
        <v>82211.022629484622</v>
      </c>
      <c r="F222" s="290">
        <v>4</v>
      </c>
      <c r="G222" s="276">
        <v>82211.022629484622</v>
      </c>
      <c r="H222" s="290">
        <v>4</v>
      </c>
      <c r="I222" s="276">
        <v>82211.022629484622</v>
      </c>
      <c r="J222" s="290">
        <v>4</v>
      </c>
      <c r="K222" s="276">
        <v>82211.022629484622</v>
      </c>
      <c r="L222" s="290">
        <v>4</v>
      </c>
      <c r="M222" s="276">
        <v>82211.022629484622</v>
      </c>
      <c r="N222" s="290">
        <v>4</v>
      </c>
      <c r="O222" s="276">
        <v>82211.022629484622</v>
      </c>
      <c r="P222" s="290">
        <v>4</v>
      </c>
      <c r="Q222" s="276">
        <v>82211.022629484622</v>
      </c>
      <c r="R222" s="290">
        <v>4</v>
      </c>
      <c r="S222" s="276">
        <v>82211.022629484622</v>
      </c>
      <c r="T222" s="290">
        <v>4</v>
      </c>
      <c r="U222" s="276">
        <v>82211.022629484622</v>
      </c>
      <c r="V222" s="290">
        <v>4</v>
      </c>
      <c r="W222" s="276">
        <v>82211.022629484622</v>
      </c>
      <c r="X222" s="290">
        <v>4</v>
      </c>
      <c r="Y222" s="276">
        <v>82211.022629484622</v>
      </c>
      <c r="Z222" s="290">
        <v>4</v>
      </c>
      <c r="AA222" s="276">
        <v>82211.022629484622</v>
      </c>
      <c r="AB222" s="309">
        <v>986532.27155381569</v>
      </c>
      <c r="AC222" s="305">
        <v>48</v>
      </c>
      <c r="AD222" s="315" t="s">
        <v>318</v>
      </c>
      <c r="AE222" s="329">
        <v>1</v>
      </c>
      <c r="AF222" s="285">
        <v>986532.27155381569</v>
      </c>
      <c r="AG222" s="314" t="s">
        <v>355</v>
      </c>
      <c r="AH222" s="333">
        <v>12</v>
      </c>
    </row>
    <row r="223" spans="1:34" x14ac:dyDescent="0.3">
      <c r="A223" s="423" t="s">
        <v>27</v>
      </c>
      <c r="B223" s="274" t="s">
        <v>28</v>
      </c>
      <c r="C223" s="274" t="s">
        <v>346</v>
      </c>
      <c r="D223" s="281">
        <v>1</v>
      </c>
      <c r="E223" s="276">
        <v>43480.816890660324</v>
      </c>
      <c r="F223" s="290"/>
      <c r="G223" s="276">
        <v>0</v>
      </c>
      <c r="H223" s="290"/>
      <c r="I223" s="276">
        <v>0</v>
      </c>
      <c r="J223" s="290"/>
      <c r="K223" s="276">
        <v>0</v>
      </c>
      <c r="L223" s="290"/>
      <c r="M223" s="276">
        <v>0</v>
      </c>
      <c r="N223" s="290"/>
      <c r="O223" s="276">
        <v>0</v>
      </c>
      <c r="P223" s="290"/>
      <c r="Q223" s="276">
        <v>0</v>
      </c>
      <c r="R223" s="290"/>
      <c r="S223" s="276">
        <v>0</v>
      </c>
      <c r="T223" s="290"/>
      <c r="U223" s="276">
        <v>0</v>
      </c>
      <c r="V223" s="290"/>
      <c r="W223" s="276">
        <v>0</v>
      </c>
      <c r="X223" s="290"/>
      <c r="Y223" s="276">
        <v>0</v>
      </c>
      <c r="Z223" s="290">
        <v>1</v>
      </c>
      <c r="AA223" s="276">
        <v>43480.816890660324</v>
      </c>
      <c r="AB223" s="309">
        <v>86961.633781320648</v>
      </c>
      <c r="AC223" s="305">
        <v>2</v>
      </c>
      <c r="AD223" s="284" t="s">
        <v>318</v>
      </c>
      <c r="AE223" s="329">
        <v>1</v>
      </c>
      <c r="AF223" s="285">
        <v>86961.633781320648</v>
      </c>
      <c r="AG223" s="314" t="s">
        <v>355</v>
      </c>
      <c r="AH223" s="333">
        <v>12</v>
      </c>
    </row>
    <row r="224" spans="1:34" x14ac:dyDescent="0.3">
      <c r="A224" s="423" t="s">
        <v>25</v>
      </c>
      <c r="B224" s="274" t="s">
        <v>26</v>
      </c>
      <c r="C224" s="274" t="s">
        <v>346</v>
      </c>
      <c r="D224" s="281">
        <v>1</v>
      </c>
      <c r="E224" s="276">
        <v>19392.627189167735</v>
      </c>
      <c r="F224" s="290"/>
      <c r="G224" s="276">
        <v>0</v>
      </c>
      <c r="H224" s="290"/>
      <c r="I224" s="276">
        <v>0</v>
      </c>
      <c r="J224" s="290"/>
      <c r="K224" s="276">
        <v>0</v>
      </c>
      <c r="L224" s="290"/>
      <c r="M224" s="276">
        <v>0</v>
      </c>
      <c r="N224" s="290"/>
      <c r="O224" s="276">
        <v>0</v>
      </c>
      <c r="P224" s="290"/>
      <c r="Q224" s="276">
        <v>0</v>
      </c>
      <c r="R224" s="290"/>
      <c r="S224" s="276">
        <v>0</v>
      </c>
      <c r="T224" s="290"/>
      <c r="U224" s="276">
        <v>0</v>
      </c>
      <c r="V224" s="290"/>
      <c r="W224" s="276">
        <v>0</v>
      </c>
      <c r="X224" s="290"/>
      <c r="Y224" s="276">
        <v>0</v>
      </c>
      <c r="Z224" s="290">
        <v>1</v>
      </c>
      <c r="AA224" s="276">
        <v>19392.627189167735</v>
      </c>
      <c r="AB224" s="309">
        <v>38785.25437833547</v>
      </c>
      <c r="AC224" s="305">
        <v>2</v>
      </c>
      <c r="AD224" s="284" t="s">
        <v>318</v>
      </c>
      <c r="AE224" s="329">
        <v>1</v>
      </c>
      <c r="AF224" s="285">
        <v>38785.25437833547</v>
      </c>
      <c r="AG224" s="314" t="s">
        <v>355</v>
      </c>
      <c r="AH224" s="333">
        <v>12</v>
      </c>
    </row>
    <row r="225" spans="1:34" x14ac:dyDescent="0.3">
      <c r="A225" s="423" t="s">
        <v>1</v>
      </c>
      <c r="B225" s="274" t="s">
        <v>2</v>
      </c>
      <c r="C225" s="274" t="s">
        <v>342</v>
      </c>
      <c r="D225" s="281"/>
      <c r="E225" s="276">
        <v>0</v>
      </c>
      <c r="F225" s="290"/>
      <c r="G225" s="276">
        <v>0</v>
      </c>
      <c r="H225" s="290"/>
      <c r="I225" s="276">
        <v>0</v>
      </c>
      <c r="J225" s="290"/>
      <c r="K225" s="276">
        <v>0</v>
      </c>
      <c r="L225" s="290"/>
      <c r="M225" s="276">
        <v>0</v>
      </c>
      <c r="N225" s="290"/>
      <c r="O225" s="276">
        <v>0</v>
      </c>
      <c r="P225" s="290"/>
      <c r="Q225" s="276">
        <v>0</v>
      </c>
      <c r="R225" s="290"/>
      <c r="S225" s="276">
        <v>0</v>
      </c>
      <c r="T225" s="290"/>
      <c r="U225" s="276">
        <v>0</v>
      </c>
      <c r="V225" s="290"/>
      <c r="W225" s="276">
        <v>0</v>
      </c>
      <c r="X225" s="290"/>
      <c r="Y225" s="276">
        <v>0</v>
      </c>
      <c r="Z225" s="290">
        <v>1</v>
      </c>
      <c r="AA225" s="276">
        <v>21014.39667403782</v>
      </c>
      <c r="AB225" s="309">
        <v>21014.39667403782</v>
      </c>
      <c r="AC225" s="305">
        <v>1</v>
      </c>
      <c r="AD225" s="284" t="s">
        <v>318</v>
      </c>
      <c r="AE225" s="329">
        <v>1</v>
      </c>
      <c r="AF225" s="285">
        <v>21014.39667403782</v>
      </c>
      <c r="AG225" s="314" t="s">
        <v>355</v>
      </c>
      <c r="AH225" s="333">
        <v>12</v>
      </c>
    </row>
    <row r="226" spans="1:34" x14ac:dyDescent="0.3">
      <c r="A226" s="423" t="s">
        <v>113</v>
      </c>
      <c r="B226" s="295" t="s">
        <v>139</v>
      </c>
      <c r="C226" s="274" t="s">
        <v>342</v>
      </c>
      <c r="D226" s="281">
        <v>1</v>
      </c>
      <c r="E226" s="276">
        <v>60236.092716419647</v>
      </c>
      <c r="F226" s="290"/>
      <c r="G226" s="276">
        <v>0</v>
      </c>
      <c r="H226" s="290"/>
      <c r="I226" s="276">
        <v>0</v>
      </c>
      <c r="J226" s="290"/>
      <c r="K226" s="276">
        <v>0</v>
      </c>
      <c r="L226" s="290"/>
      <c r="M226" s="276">
        <v>0</v>
      </c>
      <c r="N226" s="290"/>
      <c r="O226" s="276">
        <v>0</v>
      </c>
      <c r="P226" s="290"/>
      <c r="Q226" s="276">
        <v>0</v>
      </c>
      <c r="R226" s="290"/>
      <c r="S226" s="276">
        <v>0</v>
      </c>
      <c r="T226" s="290"/>
      <c r="U226" s="276">
        <v>0</v>
      </c>
      <c r="V226" s="290"/>
      <c r="W226" s="276">
        <v>0</v>
      </c>
      <c r="X226" s="290"/>
      <c r="Y226" s="276">
        <v>0</v>
      </c>
      <c r="Z226" s="290"/>
      <c r="AA226" s="276">
        <v>0</v>
      </c>
      <c r="AB226" s="309">
        <v>60236.092716419647</v>
      </c>
      <c r="AC226" s="305">
        <v>1</v>
      </c>
      <c r="AD226" s="315" t="s">
        <v>319</v>
      </c>
      <c r="AE226" s="329">
        <v>3.5714285714285712E-2</v>
      </c>
      <c r="AF226" s="285">
        <v>2151.2890255864158</v>
      </c>
      <c r="AG226" s="314" t="s">
        <v>355</v>
      </c>
      <c r="AH226" s="333">
        <v>12</v>
      </c>
    </row>
    <row r="227" spans="1:34" x14ac:dyDescent="0.3">
      <c r="A227" s="423" t="s">
        <v>114</v>
      </c>
      <c r="B227" s="274" t="s">
        <v>140</v>
      </c>
      <c r="C227" s="274" t="s">
        <v>342</v>
      </c>
      <c r="D227" s="281"/>
      <c r="E227" s="276">
        <v>0</v>
      </c>
      <c r="F227" s="290"/>
      <c r="G227" s="276">
        <v>0</v>
      </c>
      <c r="H227" s="290"/>
      <c r="I227" s="276">
        <v>0</v>
      </c>
      <c r="J227" s="290"/>
      <c r="K227" s="276">
        <v>0</v>
      </c>
      <c r="L227" s="290"/>
      <c r="M227" s="276">
        <v>0</v>
      </c>
      <c r="N227" s="290"/>
      <c r="O227" s="276">
        <v>0</v>
      </c>
      <c r="P227" s="290"/>
      <c r="Q227" s="276">
        <v>0</v>
      </c>
      <c r="R227" s="290"/>
      <c r="S227" s="276">
        <v>0</v>
      </c>
      <c r="T227" s="290"/>
      <c r="U227" s="276">
        <v>0</v>
      </c>
      <c r="V227" s="290"/>
      <c r="W227" s="276">
        <v>0</v>
      </c>
      <c r="X227" s="290"/>
      <c r="Y227" s="276">
        <v>0</v>
      </c>
      <c r="Z227" s="290"/>
      <c r="AA227" s="276">
        <v>0</v>
      </c>
      <c r="AB227" s="309">
        <v>0</v>
      </c>
      <c r="AC227" s="305">
        <v>0</v>
      </c>
      <c r="AD227" s="315" t="s">
        <v>319</v>
      </c>
      <c r="AE227" s="329">
        <v>0</v>
      </c>
      <c r="AF227" s="285">
        <v>0</v>
      </c>
      <c r="AG227" s="314" t="s">
        <v>355</v>
      </c>
      <c r="AH227" s="333">
        <v>12</v>
      </c>
    </row>
    <row r="228" spans="1:34" x14ac:dyDescent="0.3">
      <c r="A228" s="423" t="s">
        <v>115</v>
      </c>
      <c r="B228" s="274" t="s">
        <v>141</v>
      </c>
      <c r="C228" s="274" t="s">
        <v>342</v>
      </c>
      <c r="D228" s="281"/>
      <c r="E228" s="276">
        <v>0</v>
      </c>
      <c r="F228" s="290"/>
      <c r="G228" s="276">
        <v>0</v>
      </c>
      <c r="H228" s="290"/>
      <c r="I228" s="276">
        <v>0</v>
      </c>
      <c r="J228" s="290"/>
      <c r="K228" s="276">
        <v>0</v>
      </c>
      <c r="L228" s="290"/>
      <c r="M228" s="276">
        <v>0</v>
      </c>
      <c r="N228" s="290"/>
      <c r="O228" s="276">
        <v>0</v>
      </c>
      <c r="P228" s="290"/>
      <c r="Q228" s="276">
        <v>0</v>
      </c>
      <c r="R228" s="290"/>
      <c r="S228" s="276">
        <v>0</v>
      </c>
      <c r="T228" s="290"/>
      <c r="U228" s="276">
        <v>0</v>
      </c>
      <c r="V228" s="290"/>
      <c r="W228" s="276">
        <v>0</v>
      </c>
      <c r="X228" s="290"/>
      <c r="Y228" s="276">
        <v>0</v>
      </c>
      <c r="Z228" s="290">
        <v>1</v>
      </c>
      <c r="AA228" s="276">
        <v>62748.232282880919</v>
      </c>
      <c r="AB228" s="309">
        <v>62748.232282880919</v>
      </c>
      <c r="AC228" s="305">
        <v>1</v>
      </c>
      <c r="AD228" s="315" t="s">
        <v>319</v>
      </c>
      <c r="AE228" s="329">
        <v>0</v>
      </c>
      <c r="AF228" s="285">
        <v>0</v>
      </c>
      <c r="AG228" s="314" t="s">
        <v>355</v>
      </c>
      <c r="AH228" s="333">
        <v>12</v>
      </c>
    </row>
    <row r="229" spans="1:34" x14ac:dyDescent="0.3">
      <c r="A229" s="423" t="s">
        <v>52</v>
      </c>
      <c r="B229" s="274" t="s">
        <v>191</v>
      </c>
      <c r="C229" s="274" t="s">
        <v>342</v>
      </c>
      <c r="D229" s="281">
        <v>1</v>
      </c>
      <c r="E229" s="276">
        <v>26897.079640267821</v>
      </c>
      <c r="F229" s="290"/>
      <c r="G229" s="276">
        <v>0</v>
      </c>
      <c r="H229" s="290"/>
      <c r="I229" s="276">
        <v>0</v>
      </c>
      <c r="J229" s="290"/>
      <c r="K229" s="276">
        <v>0</v>
      </c>
      <c r="L229" s="290"/>
      <c r="M229" s="276">
        <v>0</v>
      </c>
      <c r="N229" s="290"/>
      <c r="O229" s="276">
        <v>0</v>
      </c>
      <c r="P229" s="290"/>
      <c r="Q229" s="276">
        <v>0</v>
      </c>
      <c r="R229" s="290"/>
      <c r="S229" s="276">
        <v>0</v>
      </c>
      <c r="T229" s="290"/>
      <c r="U229" s="276">
        <v>0</v>
      </c>
      <c r="V229" s="290"/>
      <c r="W229" s="276">
        <v>0</v>
      </c>
      <c r="X229" s="290"/>
      <c r="Y229" s="276">
        <v>0</v>
      </c>
      <c r="Z229" s="290"/>
      <c r="AA229" s="276">
        <v>0</v>
      </c>
      <c r="AB229" s="309">
        <v>26897.079640267821</v>
      </c>
      <c r="AC229" s="305">
        <v>1</v>
      </c>
      <c r="AD229" s="315" t="s">
        <v>319</v>
      </c>
      <c r="AE229" s="329">
        <v>1</v>
      </c>
      <c r="AF229" s="285">
        <v>26897.079640267821</v>
      </c>
      <c r="AG229" s="314" t="s">
        <v>355</v>
      </c>
      <c r="AH229" s="333">
        <v>12</v>
      </c>
    </row>
    <row r="230" spans="1:34" x14ac:dyDescent="0.3">
      <c r="A230" s="423" t="s">
        <v>53</v>
      </c>
      <c r="B230" s="274" t="s">
        <v>230</v>
      </c>
      <c r="C230" s="274" t="s">
        <v>342</v>
      </c>
      <c r="D230" s="281">
        <v>1</v>
      </c>
      <c r="E230" s="276">
        <v>26897.079640267817</v>
      </c>
      <c r="F230" s="290"/>
      <c r="G230" s="276">
        <v>0</v>
      </c>
      <c r="H230" s="290"/>
      <c r="I230" s="276">
        <v>0</v>
      </c>
      <c r="J230" s="290"/>
      <c r="K230" s="276">
        <v>0</v>
      </c>
      <c r="L230" s="290"/>
      <c r="M230" s="276">
        <v>0</v>
      </c>
      <c r="N230" s="290"/>
      <c r="O230" s="276">
        <v>0</v>
      </c>
      <c r="P230" s="290"/>
      <c r="Q230" s="276">
        <v>0</v>
      </c>
      <c r="R230" s="290"/>
      <c r="S230" s="276">
        <v>0</v>
      </c>
      <c r="T230" s="290"/>
      <c r="U230" s="276">
        <v>0</v>
      </c>
      <c r="V230" s="290"/>
      <c r="W230" s="276">
        <v>0</v>
      </c>
      <c r="X230" s="290"/>
      <c r="Y230" s="276">
        <v>0</v>
      </c>
      <c r="Z230" s="290"/>
      <c r="AA230" s="276">
        <v>0</v>
      </c>
      <c r="AB230" s="309">
        <v>26897.079640267817</v>
      </c>
      <c r="AC230" s="305">
        <v>1</v>
      </c>
      <c r="AD230" s="315" t="s">
        <v>319</v>
      </c>
      <c r="AE230" s="329">
        <v>3.5714285714285712E-2</v>
      </c>
      <c r="AF230" s="285">
        <v>960.60998715242204</v>
      </c>
      <c r="AG230" s="314" t="s">
        <v>355</v>
      </c>
      <c r="AH230" s="333">
        <v>12</v>
      </c>
    </row>
    <row r="231" spans="1:34" x14ac:dyDescent="0.3">
      <c r="A231" s="423" t="s">
        <v>29</v>
      </c>
      <c r="B231" s="274" t="s">
        <v>196</v>
      </c>
      <c r="C231" s="274" t="s">
        <v>344</v>
      </c>
      <c r="D231" s="281"/>
      <c r="E231" s="276">
        <v>0</v>
      </c>
      <c r="F231" s="290"/>
      <c r="G231" s="276">
        <v>0</v>
      </c>
      <c r="H231" s="290"/>
      <c r="I231" s="276">
        <v>0</v>
      </c>
      <c r="J231" s="290"/>
      <c r="K231" s="276">
        <v>0</v>
      </c>
      <c r="L231" s="290"/>
      <c r="M231" s="276">
        <v>0</v>
      </c>
      <c r="N231" s="290"/>
      <c r="O231" s="276">
        <v>0</v>
      </c>
      <c r="P231" s="290"/>
      <c r="Q231" s="276">
        <v>0</v>
      </c>
      <c r="R231" s="290"/>
      <c r="S231" s="276">
        <v>0</v>
      </c>
      <c r="T231" s="290"/>
      <c r="U231" s="276">
        <v>0</v>
      </c>
      <c r="V231" s="290"/>
      <c r="W231" s="276">
        <v>0</v>
      </c>
      <c r="X231" s="290"/>
      <c r="Y231" s="276">
        <v>0</v>
      </c>
      <c r="Z231" s="290">
        <v>1</v>
      </c>
      <c r="AA231" s="276">
        <v>31881.451880098426</v>
      </c>
      <c r="AB231" s="309">
        <v>31881.451880098426</v>
      </c>
      <c r="AC231" s="305">
        <v>1</v>
      </c>
      <c r="AD231" s="284" t="s">
        <v>318</v>
      </c>
      <c r="AE231" s="329">
        <v>1</v>
      </c>
      <c r="AF231" s="285">
        <v>31881.451880098426</v>
      </c>
      <c r="AG231" s="314" t="s">
        <v>355</v>
      </c>
      <c r="AH231" s="333">
        <v>12</v>
      </c>
    </row>
    <row r="232" spans="1:34" x14ac:dyDescent="0.3">
      <c r="A232" s="423" t="s">
        <v>38</v>
      </c>
      <c r="B232" s="274" t="s">
        <v>137</v>
      </c>
      <c r="C232" s="274" t="s">
        <v>342</v>
      </c>
      <c r="D232" s="281">
        <v>1</v>
      </c>
      <c r="E232" s="276">
        <v>56420.692787682223</v>
      </c>
      <c r="F232" s="290"/>
      <c r="G232" s="276">
        <v>0</v>
      </c>
      <c r="H232" s="290"/>
      <c r="I232" s="276"/>
      <c r="J232" s="290"/>
      <c r="K232" s="276">
        <v>0</v>
      </c>
      <c r="L232" s="290"/>
      <c r="M232" s="276">
        <v>0</v>
      </c>
      <c r="N232" s="290"/>
      <c r="O232" s="276">
        <v>0</v>
      </c>
      <c r="P232" s="290"/>
      <c r="Q232" s="276">
        <v>0</v>
      </c>
      <c r="R232" s="290"/>
      <c r="S232" s="276">
        <v>0</v>
      </c>
      <c r="T232" s="290"/>
      <c r="U232" s="276">
        <v>0</v>
      </c>
      <c r="V232" s="290"/>
      <c r="W232" s="276">
        <v>0</v>
      </c>
      <c r="X232" s="290"/>
      <c r="Y232" s="276">
        <v>0</v>
      </c>
      <c r="Z232" s="290"/>
      <c r="AA232" s="276">
        <v>0</v>
      </c>
      <c r="AB232" s="309">
        <v>56420.692787682223</v>
      </c>
      <c r="AC232" s="305">
        <v>1</v>
      </c>
      <c r="AD232" s="315" t="s">
        <v>319</v>
      </c>
      <c r="AE232" s="329">
        <v>0.14285714285714285</v>
      </c>
      <c r="AF232" s="285">
        <v>8060.0989696688885</v>
      </c>
      <c r="AG232" s="314" t="s">
        <v>355</v>
      </c>
      <c r="AH232" s="333">
        <v>12</v>
      </c>
    </row>
    <row r="233" spans="1:34" x14ac:dyDescent="0.3">
      <c r="A233" s="423" t="s">
        <v>84</v>
      </c>
      <c r="B233" s="274" t="s">
        <v>85</v>
      </c>
      <c r="C233" s="274" t="s">
        <v>346</v>
      </c>
      <c r="D233" s="281">
        <v>1</v>
      </c>
      <c r="E233" s="276">
        <v>68748.387080831264</v>
      </c>
      <c r="F233" s="291"/>
      <c r="G233" s="276">
        <v>0</v>
      </c>
      <c r="H233" s="291"/>
      <c r="I233" s="276">
        <v>0</v>
      </c>
      <c r="J233" s="291"/>
      <c r="K233" s="276">
        <v>0</v>
      </c>
      <c r="L233" s="291"/>
      <c r="M233" s="276">
        <v>0</v>
      </c>
      <c r="N233" s="291"/>
      <c r="O233" s="276">
        <v>0</v>
      </c>
      <c r="P233" s="291"/>
      <c r="Q233" s="276">
        <v>0</v>
      </c>
      <c r="R233" s="291"/>
      <c r="S233" s="276">
        <v>0</v>
      </c>
      <c r="T233" s="291"/>
      <c r="U233" s="276">
        <v>0</v>
      </c>
      <c r="V233" s="291"/>
      <c r="W233" s="276">
        <v>0</v>
      </c>
      <c r="X233" s="291"/>
      <c r="Y233" s="276">
        <v>0</v>
      </c>
      <c r="Z233" s="291"/>
      <c r="AA233" s="276">
        <v>0</v>
      </c>
      <c r="AB233" s="309">
        <v>68748.387080831264</v>
      </c>
      <c r="AC233" s="305">
        <v>1</v>
      </c>
      <c r="AD233" s="315" t="s">
        <v>319</v>
      </c>
      <c r="AE233" s="329">
        <v>1.5037593984962405E-2</v>
      </c>
      <c r="AF233" s="285">
        <v>1033.8103320425753</v>
      </c>
      <c r="AG233" s="314" t="s">
        <v>355</v>
      </c>
      <c r="AH233" s="333">
        <v>12</v>
      </c>
    </row>
    <row r="234" spans="1:34" x14ac:dyDescent="0.3">
      <c r="A234" s="423" t="s">
        <v>82</v>
      </c>
      <c r="B234" s="274" t="s">
        <v>83</v>
      </c>
      <c r="C234" s="274" t="s">
        <v>346</v>
      </c>
      <c r="D234" s="281">
        <v>1</v>
      </c>
      <c r="E234" s="276">
        <v>65169.207262455195</v>
      </c>
      <c r="F234" s="291"/>
      <c r="G234" s="276">
        <v>0</v>
      </c>
      <c r="H234" s="291"/>
      <c r="I234" s="276">
        <v>0</v>
      </c>
      <c r="J234" s="291"/>
      <c r="K234" s="276">
        <v>0</v>
      </c>
      <c r="L234" s="291"/>
      <c r="M234" s="276">
        <v>0</v>
      </c>
      <c r="N234" s="291"/>
      <c r="O234" s="276">
        <v>0</v>
      </c>
      <c r="P234" s="291"/>
      <c r="Q234" s="276">
        <v>0</v>
      </c>
      <c r="R234" s="291"/>
      <c r="S234" s="276">
        <v>0</v>
      </c>
      <c r="T234" s="291"/>
      <c r="U234" s="276">
        <v>0</v>
      </c>
      <c r="V234" s="291"/>
      <c r="W234" s="276">
        <v>0</v>
      </c>
      <c r="X234" s="291"/>
      <c r="Y234" s="276">
        <v>0</v>
      </c>
      <c r="Z234" s="291"/>
      <c r="AA234" s="276">
        <v>0</v>
      </c>
      <c r="AB234" s="309">
        <v>65169.207262455195</v>
      </c>
      <c r="AC234" s="305">
        <v>1</v>
      </c>
      <c r="AD234" s="315" t="s">
        <v>319</v>
      </c>
      <c r="AE234" s="329">
        <v>2.0885547201336674E-2</v>
      </c>
      <c r="AF234" s="285">
        <v>1361.0945543537007</v>
      </c>
      <c r="AG234" s="314" t="s">
        <v>355</v>
      </c>
      <c r="AH234" s="333">
        <v>12</v>
      </c>
    </row>
    <row r="235" spans="1:34" x14ac:dyDescent="0.3">
      <c r="A235" s="423" t="s">
        <v>54</v>
      </c>
      <c r="B235" s="274" t="s">
        <v>195</v>
      </c>
      <c r="C235" s="274" t="s">
        <v>343</v>
      </c>
      <c r="D235" s="281">
        <v>1</v>
      </c>
      <c r="E235" s="276">
        <v>145259.19237771924</v>
      </c>
      <c r="F235" s="291"/>
      <c r="G235" s="276">
        <v>0</v>
      </c>
      <c r="H235" s="291"/>
      <c r="I235" s="276">
        <v>0</v>
      </c>
      <c r="J235" s="291"/>
      <c r="K235" s="276">
        <v>0</v>
      </c>
      <c r="L235" s="291"/>
      <c r="M235" s="276">
        <v>0</v>
      </c>
      <c r="N235" s="291"/>
      <c r="O235" s="276">
        <v>0</v>
      </c>
      <c r="P235" s="291"/>
      <c r="Q235" s="276">
        <v>0</v>
      </c>
      <c r="R235" s="291"/>
      <c r="S235" s="276">
        <v>0</v>
      </c>
      <c r="T235" s="291"/>
      <c r="U235" s="276">
        <v>0</v>
      </c>
      <c r="V235" s="291"/>
      <c r="W235" s="276">
        <v>0</v>
      </c>
      <c r="X235" s="291"/>
      <c r="Y235" s="276">
        <v>0</v>
      </c>
      <c r="Z235" s="291"/>
      <c r="AA235" s="276">
        <v>0</v>
      </c>
      <c r="AB235" s="309">
        <v>145259.19237771924</v>
      </c>
      <c r="AC235" s="305">
        <v>1</v>
      </c>
      <c r="AD235" s="315" t="s">
        <v>319</v>
      </c>
      <c r="AE235" s="329">
        <v>3.5714285714285712E-2</v>
      </c>
      <c r="AF235" s="285">
        <v>5187.8282992042587</v>
      </c>
      <c r="AG235" s="314" t="s">
        <v>355</v>
      </c>
      <c r="AH235" s="333">
        <v>12</v>
      </c>
    </row>
    <row r="236" spans="1:34" x14ac:dyDescent="0.3">
      <c r="A236" s="424" t="s">
        <v>30</v>
      </c>
      <c r="B236" s="311" t="s">
        <v>31</v>
      </c>
      <c r="C236" s="274" t="s">
        <v>343</v>
      </c>
      <c r="D236" s="288"/>
      <c r="E236" s="276">
        <v>0</v>
      </c>
      <c r="F236" s="318"/>
      <c r="G236" s="276">
        <v>0</v>
      </c>
      <c r="H236" s="318"/>
      <c r="I236" s="276">
        <v>0</v>
      </c>
      <c r="J236" s="318"/>
      <c r="K236" s="276">
        <v>0</v>
      </c>
      <c r="L236" s="318"/>
      <c r="M236" s="276">
        <v>0</v>
      </c>
      <c r="N236" s="318"/>
      <c r="O236" s="276">
        <v>0</v>
      </c>
      <c r="P236" s="318"/>
      <c r="Q236" s="276">
        <v>0</v>
      </c>
      <c r="R236" s="318"/>
      <c r="S236" s="276">
        <v>0</v>
      </c>
      <c r="T236" s="318"/>
      <c r="U236" s="276">
        <v>0</v>
      </c>
      <c r="V236" s="318"/>
      <c r="W236" s="276">
        <v>0</v>
      </c>
      <c r="X236" s="318"/>
      <c r="Y236" s="276">
        <v>0</v>
      </c>
      <c r="Z236" s="319">
        <v>1</v>
      </c>
      <c r="AA236" s="276">
        <v>12908.291642219636</v>
      </c>
      <c r="AB236" s="309">
        <v>12908.291642219636</v>
      </c>
      <c r="AC236" s="305">
        <v>1</v>
      </c>
      <c r="AD236" s="284" t="s">
        <v>318</v>
      </c>
      <c r="AE236" s="329">
        <v>1</v>
      </c>
      <c r="AF236" s="285">
        <v>12908.291642219636</v>
      </c>
      <c r="AG236" s="314" t="s">
        <v>355</v>
      </c>
      <c r="AH236" s="333">
        <v>12</v>
      </c>
    </row>
    <row r="237" spans="1:34" x14ac:dyDescent="0.3">
      <c r="A237" s="414" t="s">
        <v>421</v>
      </c>
      <c r="B237" s="96" t="s">
        <v>422</v>
      </c>
      <c r="C237" s="96" t="s">
        <v>423</v>
      </c>
      <c r="D237" s="181"/>
      <c r="E237" s="56"/>
      <c r="F237" s="181"/>
      <c r="G237" s="56"/>
      <c r="H237" s="181"/>
      <c r="I237" s="56"/>
      <c r="J237" s="181"/>
      <c r="K237" s="56"/>
      <c r="L237" s="181"/>
      <c r="M237" s="56"/>
      <c r="N237" s="181"/>
      <c r="O237" s="56"/>
      <c r="P237" s="181"/>
      <c r="Q237" s="56"/>
      <c r="R237" s="181"/>
      <c r="S237" s="56"/>
      <c r="T237" s="181"/>
      <c r="U237" s="56"/>
      <c r="V237" s="181"/>
      <c r="W237" s="56"/>
      <c r="X237" s="181"/>
      <c r="Y237" s="56"/>
      <c r="Z237" s="181"/>
      <c r="AA237" s="56"/>
      <c r="AB237" s="81"/>
      <c r="AC237" s="106"/>
      <c r="AD237" s="104" t="s">
        <v>318</v>
      </c>
      <c r="AE237" s="119"/>
      <c r="AF237" s="47"/>
      <c r="AG237" s="314" t="s">
        <v>355</v>
      </c>
      <c r="AH237" s="333">
        <v>12</v>
      </c>
    </row>
    <row r="238" spans="1:34" x14ac:dyDescent="0.3">
      <c r="A238" s="425" t="s">
        <v>13</v>
      </c>
      <c r="B238" s="274" t="s">
        <v>14</v>
      </c>
      <c r="C238" s="274" t="s">
        <v>343</v>
      </c>
      <c r="D238" s="281">
        <v>1</v>
      </c>
      <c r="E238" s="276">
        <v>20552.755657371155</v>
      </c>
      <c r="F238" s="281"/>
      <c r="G238" s="276">
        <v>0</v>
      </c>
      <c r="H238" s="281"/>
      <c r="I238" s="276">
        <v>0</v>
      </c>
      <c r="J238" s="281"/>
      <c r="K238" s="276">
        <v>0</v>
      </c>
      <c r="L238" s="281"/>
      <c r="M238" s="276">
        <v>0</v>
      </c>
      <c r="N238" s="281"/>
      <c r="O238" s="276">
        <v>0</v>
      </c>
      <c r="P238" s="281"/>
      <c r="Q238" s="276">
        <v>0</v>
      </c>
      <c r="R238" s="281"/>
      <c r="S238" s="276">
        <v>0</v>
      </c>
      <c r="T238" s="281"/>
      <c r="U238" s="276">
        <v>0</v>
      </c>
      <c r="V238" s="281"/>
      <c r="W238" s="276">
        <v>0</v>
      </c>
      <c r="X238" s="281"/>
      <c r="Y238" s="276">
        <v>0</v>
      </c>
      <c r="Z238" s="281"/>
      <c r="AA238" s="276">
        <v>0</v>
      </c>
      <c r="AB238" s="320">
        <v>20552.755657371155</v>
      </c>
      <c r="AC238" s="305">
        <v>1</v>
      </c>
      <c r="AD238" s="284" t="s">
        <v>318</v>
      </c>
      <c r="AE238" s="329">
        <v>1</v>
      </c>
      <c r="AF238" s="285">
        <v>20552.755657371155</v>
      </c>
      <c r="AG238" s="314" t="s">
        <v>356</v>
      </c>
      <c r="AH238" s="333">
        <v>12</v>
      </c>
    </row>
    <row r="239" spans="1:34" x14ac:dyDescent="0.3">
      <c r="A239" s="425" t="s">
        <v>98</v>
      </c>
      <c r="B239" s="274" t="s">
        <v>99</v>
      </c>
      <c r="C239" s="274" t="s">
        <v>342</v>
      </c>
      <c r="D239" s="281">
        <v>1</v>
      </c>
      <c r="E239" s="276">
        <v>17887.388810409495</v>
      </c>
      <c r="F239" s="280"/>
      <c r="G239" s="276">
        <v>0</v>
      </c>
      <c r="H239" s="280"/>
      <c r="I239" s="276">
        <v>0</v>
      </c>
      <c r="J239" s="280"/>
      <c r="K239" s="276">
        <v>0</v>
      </c>
      <c r="L239" s="280"/>
      <c r="M239" s="276">
        <v>0</v>
      </c>
      <c r="N239" s="280"/>
      <c r="O239" s="276">
        <v>0</v>
      </c>
      <c r="P239" s="280"/>
      <c r="Q239" s="276">
        <v>0</v>
      </c>
      <c r="R239" s="280"/>
      <c r="S239" s="276">
        <v>0</v>
      </c>
      <c r="T239" s="280"/>
      <c r="U239" s="276">
        <v>0</v>
      </c>
      <c r="V239" s="280"/>
      <c r="W239" s="276">
        <v>0</v>
      </c>
      <c r="X239" s="280"/>
      <c r="Y239" s="276">
        <v>0</v>
      </c>
      <c r="Z239" s="280"/>
      <c r="AA239" s="276">
        <v>0</v>
      </c>
      <c r="AB239" s="320">
        <v>17887.388810409495</v>
      </c>
      <c r="AC239" s="305">
        <v>1</v>
      </c>
      <c r="AD239" s="284" t="s">
        <v>318</v>
      </c>
      <c r="AE239" s="329">
        <v>1</v>
      </c>
      <c r="AF239" s="285">
        <v>17887.388810409495</v>
      </c>
      <c r="AG239" s="314" t="s">
        <v>356</v>
      </c>
      <c r="AH239" s="333">
        <v>12</v>
      </c>
    </row>
    <row r="240" spans="1:34" x14ac:dyDescent="0.3">
      <c r="A240" s="425" t="s">
        <v>104</v>
      </c>
      <c r="B240" s="274" t="s">
        <v>105</v>
      </c>
      <c r="C240" s="274" t="s">
        <v>342</v>
      </c>
      <c r="D240" s="281"/>
      <c r="E240" s="276">
        <v>0</v>
      </c>
      <c r="F240" s="280"/>
      <c r="G240" s="276">
        <v>0</v>
      </c>
      <c r="H240" s="280"/>
      <c r="I240" s="276">
        <v>0</v>
      </c>
      <c r="J240" s="280"/>
      <c r="K240" s="276">
        <v>0</v>
      </c>
      <c r="L240" s="280"/>
      <c r="M240" s="276">
        <v>0</v>
      </c>
      <c r="N240" s="281"/>
      <c r="O240" s="276">
        <v>0</v>
      </c>
      <c r="P240" s="280"/>
      <c r="Q240" s="276">
        <v>0</v>
      </c>
      <c r="R240" s="280"/>
      <c r="S240" s="276">
        <v>0</v>
      </c>
      <c r="T240" s="280"/>
      <c r="U240" s="276">
        <v>0</v>
      </c>
      <c r="V240" s="280"/>
      <c r="W240" s="276">
        <v>0</v>
      </c>
      <c r="X240" s="280"/>
      <c r="Y240" s="276">
        <v>0</v>
      </c>
      <c r="Z240" s="281">
        <v>1</v>
      </c>
      <c r="AA240" s="276">
        <v>17887.388810409495</v>
      </c>
      <c r="AB240" s="320">
        <v>17887.388810409495</v>
      </c>
      <c r="AC240" s="305">
        <v>1</v>
      </c>
      <c r="AD240" s="315" t="s">
        <v>319</v>
      </c>
      <c r="AE240" s="329">
        <v>0.26666666666666666</v>
      </c>
      <c r="AF240" s="285">
        <v>4769.9703494425321</v>
      </c>
      <c r="AG240" s="314" t="s">
        <v>356</v>
      </c>
      <c r="AH240" s="333">
        <v>12</v>
      </c>
    </row>
    <row r="241" spans="1:34" x14ac:dyDescent="0.3">
      <c r="A241" s="425" t="s">
        <v>25</v>
      </c>
      <c r="B241" s="274" t="s">
        <v>26</v>
      </c>
      <c r="C241" s="274" t="s">
        <v>342</v>
      </c>
      <c r="D241" s="281">
        <v>1</v>
      </c>
      <c r="E241" s="276">
        <v>19392.627189167735</v>
      </c>
      <c r="F241" s="280"/>
      <c r="G241" s="276">
        <v>0</v>
      </c>
      <c r="H241" s="280"/>
      <c r="I241" s="276">
        <v>0</v>
      </c>
      <c r="J241" s="280"/>
      <c r="K241" s="276">
        <v>0</v>
      </c>
      <c r="L241" s="280"/>
      <c r="M241" s="276">
        <v>0</v>
      </c>
      <c r="N241" s="281">
        <v>1</v>
      </c>
      <c r="O241" s="276">
        <v>19392.627189167735</v>
      </c>
      <c r="P241" s="280"/>
      <c r="Q241" s="276">
        <v>0</v>
      </c>
      <c r="R241" s="280"/>
      <c r="S241" s="276">
        <v>0</v>
      </c>
      <c r="T241" s="280"/>
      <c r="U241" s="276">
        <v>0</v>
      </c>
      <c r="V241" s="280"/>
      <c r="W241" s="276">
        <v>0</v>
      </c>
      <c r="X241" s="280"/>
      <c r="Y241" s="276">
        <v>0</v>
      </c>
      <c r="Z241" s="281">
        <v>1</v>
      </c>
      <c r="AA241" s="276">
        <v>19392.627189167735</v>
      </c>
      <c r="AB241" s="320">
        <v>58177.881567503209</v>
      </c>
      <c r="AC241" s="305">
        <v>3</v>
      </c>
      <c r="AD241" s="284" t="s">
        <v>318</v>
      </c>
      <c r="AE241" s="329">
        <v>1</v>
      </c>
      <c r="AF241" s="285">
        <v>58177.881567503209</v>
      </c>
      <c r="AG241" s="314" t="s">
        <v>356</v>
      </c>
      <c r="AH241" s="333">
        <v>12</v>
      </c>
    </row>
    <row r="242" spans="1:34" x14ac:dyDescent="0.3">
      <c r="A242" s="425" t="s">
        <v>27</v>
      </c>
      <c r="B242" s="274" t="s">
        <v>28</v>
      </c>
      <c r="C242" s="274" t="s">
        <v>342</v>
      </c>
      <c r="D242" s="281">
        <v>1</v>
      </c>
      <c r="E242" s="276">
        <v>43480.816890660324</v>
      </c>
      <c r="F242" s="280"/>
      <c r="G242" s="276">
        <v>0</v>
      </c>
      <c r="H242" s="280"/>
      <c r="I242" s="276">
        <v>0</v>
      </c>
      <c r="J242" s="280"/>
      <c r="K242" s="276">
        <v>0</v>
      </c>
      <c r="L242" s="280"/>
      <c r="M242" s="276">
        <v>0</v>
      </c>
      <c r="N242" s="281">
        <v>1</v>
      </c>
      <c r="O242" s="276">
        <v>43480.816890660324</v>
      </c>
      <c r="P242" s="280"/>
      <c r="Q242" s="276">
        <v>0</v>
      </c>
      <c r="R242" s="280"/>
      <c r="S242" s="276">
        <v>0</v>
      </c>
      <c r="T242" s="280"/>
      <c r="U242" s="276">
        <v>0</v>
      </c>
      <c r="V242" s="280"/>
      <c r="W242" s="276">
        <v>0</v>
      </c>
      <c r="X242" s="280"/>
      <c r="Y242" s="276">
        <v>0</v>
      </c>
      <c r="Z242" s="281">
        <v>1</v>
      </c>
      <c r="AA242" s="276">
        <v>43480.816890660324</v>
      </c>
      <c r="AB242" s="320">
        <v>130442.45067198097</v>
      </c>
      <c r="AC242" s="305">
        <v>3</v>
      </c>
      <c r="AD242" s="284" t="s">
        <v>318</v>
      </c>
      <c r="AE242" s="329">
        <v>1</v>
      </c>
      <c r="AF242" s="285">
        <v>130442.45067198097</v>
      </c>
      <c r="AG242" s="314" t="s">
        <v>356</v>
      </c>
      <c r="AH242" s="333">
        <v>12</v>
      </c>
    </row>
    <row r="243" spans="1:34" x14ac:dyDescent="0.3">
      <c r="A243" s="425" t="s">
        <v>84</v>
      </c>
      <c r="B243" s="274" t="s">
        <v>85</v>
      </c>
      <c r="C243" s="274" t="s">
        <v>342</v>
      </c>
      <c r="D243" s="281">
        <v>1</v>
      </c>
      <c r="E243" s="276">
        <v>68748.387080831264</v>
      </c>
      <c r="F243" s="280"/>
      <c r="G243" s="276">
        <v>0</v>
      </c>
      <c r="H243" s="280"/>
      <c r="I243" s="276">
        <v>0</v>
      </c>
      <c r="J243" s="280"/>
      <c r="K243" s="276">
        <v>0</v>
      </c>
      <c r="L243" s="280"/>
      <c r="M243" s="276">
        <v>0</v>
      </c>
      <c r="N243" s="281">
        <v>1</v>
      </c>
      <c r="O243" s="276">
        <v>68748.387080831264</v>
      </c>
      <c r="P243" s="280"/>
      <c r="Q243" s="276">
        <v>0</v>
      </c>
      <c r="R243" s="280"/>
      <c r="S243" s="276">
        <v>0</v>
      </c>
      <c r="T243" s="280"/>
      <c r="U243" s="276">
        <v>0</v>
      </c>
      <c r="V243" s="280"/>
      <c r="W243" s="276">
        <v>0</v>
      </c>
      <c r="X243" s="280"/>
      <c r="Y243" s="276">
        <v>0</v>
      </c>
      <c r="Z243" s="281">
        <v>1</v>
      </c>
      <c r="AA243" s="276">
        <v>68748.387080831264</v>
      </c>
      <c r="AB243" s="320">
        <v>206245.16124249378</v>
      </c>
      <c r="AC243" s="305">
        <v>3</v>
      </c>
      <c r="AD243" s="284" t="s">
        <v>318</v>
      </c>
      <c r="AE243" s="329">
        <v>1</v>
      </c>
      <c r="AF243" s="285">
        <v>206245.16124249378</v>
      </c>
      <c r="AG243" s="314" t="s">
        <v>356</v>
      </c>
      <c r="AH243" s="333">
        <v>12</v>
      </c>
    </row>
    <row r="244" spans="1:34" x14ac:dyDescent="0.3">
      <c r="A244" s="425" t="s">
        <v>23</v>
      </c>
      <c r="B244" s="274" t="s">
        <v>24</v>
      </c>
      <c r="C244" s="274" t="s">
        <v>344</v>
      </c>
      <c r="D244" s="281">
        <v>1</v>
      </c>
      <c r="E244" s="276">
        <v>31881.451880098426</v>
      </c>
      <c r="F244" s="281"/>
      <c r="G244" s="276">
        <v>0</v>
      </c>
      <c r="H244" s="281"/>
      <c r="I244" s="276">
        <v>0</v>
      </c>
      <c r="J244" s="281"/>
      <c r="K244" s="276">
        <v>0</v>
      </c>
      <c r="L244" s="281"/>
      <c r="M244" s="276">
        <v>0</v>
      </c>
      <c r="N244" s="281"/>
      <c r="O244" s="276">
        <v>0</v>
      </c>
      <c r="P244" s="281"/>
      <c r="Q244" s="276">
        <v>0</v>
      </c>
      <c r="R244" s="281"/>
      <c r="S244" s="276">
        <v>0</v>
      </c>
      <c r="T244" s="281"/>
      <c r="U244" s="276">
        <v>0</v>
      </c>
      <c r="V244" s="281"/>
      <c r="W244" s="276">
        <v>0</v>
      </c>
      <c r="X244" s="281"/>
      <c r="Y244" s="276">
        <v>0</v>
      </c>
      <c r="Z244" s="281"/>
      <c r="AA244" s="276">
        <v>0</v>
      </c>
      <c r="AB244" s="320">
        <v>31881.451880098426</v>
      </c>
      <c r="AC244" s="305">
        <v>1</v>
      </c>
      <c r="AD244" s="284" t="s">
        <v>318</v>
      </c>
      <c r="AE244" s="329">
        <v>1</v>
      </c>
      <c r="AF244" s="285">
        <v>31881.451880098426</v>
      </c>
      <c r="AG244" s="314" t="s">
        <v>356</v>
      </c>
      <c r="AH244" s="333">
        <v>12</v>
      </c>
    </row>
    <row r="245" spans="1:34" x14ac:dyDescent="0.3">
      <c r="A245" s="425" t="s">
        <v>36</v>
      </c>
      <c r="B245" s="274" t="s">
        <v>136</v>
      </c>
      <c r="C245" s="274" t="s">
        <v>344</v>
      </c>
      <c r="D245" s="281">
        <v>8</v>
      </c>
      <c r="E245" s="276">
        <v>70240.958933331596</v>
      </c>
      <c r="F245" s="281">
        <v>8</v>
      </c>
      <c r="G245" s="276">
        <v>70240.958933331596</v>
      </c>
      <c r="H245" s="281">
        <v>8</v>
      </c>
      <c r="I245" s="276">
        <v>70240.958933331596</v>
      </c>
      <c r="J245" s="281">
        <v>8</v>
      </c>
      <c r="K245" s="276">
        <v>70240.958933331596</v>
      </c>
      <c r="L245" s="281">
        <v>8</v>
      </c>
      <c r="M245" s="276">
        <v>70240.958933331596</v>
      </c>
      <c r="N245" s="281">
        <v>8</v>
      </c>
      <c r="O245" s="276">
        <v>70240.958933331596</v>
      </c>
      <c r="P245" s="281">
        <v>8</v>
      </c>
      <c r="Q245" s="276">
        <v>70240.958933331596</v>
      </c>
      <c r="R245" s="281">
        <v>8</v>
      </c>
      <c r="S245" s="276">
        <v>70240.958933331596</v>
      </c>
      <c r="T245" s="281">
        <v>8</v>
      </c>
      <c r="U245" s="276">
        <v>70240.958933331596</v>
      </c>
      <c r="V245" s="281">
        <v>8</v>
      </c>
      <c r="W245" s="276">
        <v>70240.958933331596</v>
      </c>
      <c r="X245" s="281">
        <v>8</v>
      </c>
      <c r="Y245" s="276">
        <v>70240.958933331596</v>
      </c>
      <c r="Z245" s="281">
        <v>8</v>
      </c>
      <c r="AA245" s="276">
        <v>70240.958933331596</v>
      </c>
      <c r="AB245" s="320">
        <v>842891.50719997892</v>
      </c>
      <c r="AC245" s="305">
        <v>96</v>
      </c>
      <c r="AD245" s="284" t="s">
        <v>318</v>
      </c>
      <c r="AE245" s="329">
        <v>1</v>
      </c>
      <c r="AF245" s="285">
        <v>842891.50719997892</v>
      </c>
      <c r="AG245" s="314" t="s">
        <v>356</v>
      </c>
      <c r="AH245" s="333">
        <v>12</v>
      </c>
    </row>
    <row r="246" spans="1:34" x14ac:dyDescent="0.3">
      <c r="A246" s="425" t="s">
        <v>3</v>
      </c>
      <c r="B246" s="274" t="s">
        <v>4</v>
      </c>
      <c r="C246" s="274" t="s">
        <v>345</v>
      </c>
      <c r="D246" s="281">
        <v>1</v>
      </c>
      <c r="E246" s="276">
        <v>20406.13276336317</v>
      </c>
      <c r="F246" s="281"/>
      <c r="G246" s="276">
        <v>0</v>
      </c>
      <c r="H246" s="281"/>
      <c r="I246" s="276">
        <v>0</v>
      </c>
      <c r="J246" s="281"/>
      <c r="K246" s="276">
        <v>0</v>
      </c>
      <c r="L246" s="281"/>
      <c r="M246" s="276">
        <v>0</v>
      </c>
      <c r="N246" s="281"/>
      <c r="O246" s="276">
        <v>0</v>
      </c>
      <c r="P246" s="281"/>
      <c r="Q246" s="276">
        <v>0</v>
      </c>
      <c r="R246" s="281"/>
      <c r="S246" s="276">
        <v>0</v>
      </c>
      <c r="T246" s="281"/>
      <c r="U246" s="276">
        <v>0</v>
      </c>
      <c r="V246" s="281"/>
      <c r="W246" s="276">
        <v>0</v>
      </c>
      <c r="X246" s="281"/>
      <c r="Y246" s="276">
        <v>0</v>
      </c>
      <c r="Z246" s="281"/>
      <c r="AA246" s="276">
        <v>0</v>
      </c>
      <c r="AB246" s="320">
        <v>20406.13276336317</v>
      </c>
      <c r="AC246" s="305">
        <v>1</v>
      </c>
      <c r="AD246" s="284" t="s">
        <v>318</v>
      </c>
      <c r="AE246" s="329">
        <v>1</v>
      </c>
      <c r="AF246" s="285">
        <v>20406.13276336317</v>
      </c>
      <c r="AG246" s="314" t="s">
        <v>356</v>
      </c>
      <c r="AH246" s="333">
        <v>12</v>
      </c>
    </row>
    <row r="247" spans="1:34" x14ac:dyDescent="0.3">
      <c r="A247" s="425" t="s">
        <v>15</v>
      </c>
      <c r="B247" s="274" t="s">
        <v>16</v>
      </c>
      <c r="C247" s="274" t="s">
        <v>342</v>
      </c>
      <c r="D247" s="280"/>
      <c r="E247" s="276">
        <v>0</v>
      </c>
      <c r="F247" s="280"/>
      <c r="G247" s="276">
        <v>0</v>
      </c>
      <c r="H247" s="280"/>
      <c r="I247" s="276">
        <v>0</v>
      </c>
      <c r="J247" s="280"/>
      <c r="K247" s="276">
        <v>0</v>
      </c>
      <c r="L247" s="280"/>
      <c r="M247" s="276">
        <v>0</v>
      </c>
      <c r="N247" s="281">
        <v>1</v>
      </c>
      <c r="O247" s="276">
        <v>22052.520800552971</v>
      </c>
      <c r="P247" s="280"/>
      <c r="Q247" s="276">
        <v>0</v>
      </c>
      <c r="R247" s="280"/>
      <c r="S247" s="276">
        <v>0</v>
      </c>
      <c r="T247" s="280"/>
      <c r="U247" s="276">
        <v>0</v>
      </c>
      <c r="V247" s="280"/>
      <c r="W247" s="276">
        <v>0</v>
      </c>
      <c r="X247" s="280"/>
      <c r="Y247" s="276">
        <v>0</v>
      </c>
      <c r="Z247" s="281">
        <v>1</v>
      </c>
      <c r="AA247" s="276">
        <v>22052.520800552971</v>
      </c>
      <c r="AB247" s="320">
        <v>44105.041601105942</v>
      </c>
      <c r="AC247" s="305">
        <v>2</v>
      </c>
      <c r="AD247" s="284" t="s">
        <v>318</v>
      </c>
      <c r="AE247" s="329">
        <v>1</v>
      </c>
      <c r="AF247" s="285">
        <v>44105.041601105942</v>
      </c>
      <c r="AG247" s="314" t="s">
        <v>356</v>
      </c>
      <c r="AH247" s="333">
        <v>12</v>
      </c>
    </row>
    <row r="248" spans="1:34" x14ac:dyDescent="0.3">
      <c r="A248" s="425" t="s">
        <v>1</v>
      </c>
      <c r="B248" s="274" t="s">
        <v>2</v>
      </c>
      <c r="C248" s="274" t="s">
        <v>342</v>
      </c>
      <c r="D248" s="281"/>
      <c r="E248" s="276">
        <v>0</v>
      </c>
      <c r="F248" s="281"/>
      <c r="G248" s="276">
        <v>0</v>
      </c>
      <c r="H248" s="281"/>
      <c r="I248" s="276">
        <v>0</v>
      </c>
      <c r="J248" s="281"/>
      <c r="K248" s="276">
        <v>0</v>
      </c>
      <c r="L248" s="281"/>
      <c r="M248" s="276">
        <v>0</v>
      </c>
      <c r="N248" s="281"/>
      <c r="O248" s="276">
        <v>0</v>
      </c>
      <c r="P248" s="281"/>
      <c r="Q248" s="276">
        <v>0</v>
      </c>
      <c r="R248" s="281"/>
      <c r="S248" s="276">
        <v>0</v>
      </c>
      <c r="T248" s="281"/>
      <c r="U248" s="276">
        <v>0</v>
      </c>
      <c r="V248" s="281"/>
      <c r="W248" s="276">
        <v>0</v>
      </c>
      <c r="X248" s="281"/>
      <c r="Y248" s="276">
        <v>0</v>
      </c>
      <c r="Z248" s="281">
        <v>1</v>
      </c>
      <c r="AA248" s="276">
        <v>21014.39667403782</v>
      </c>
      <c r="AB248" s="320">
        <v>21014.39667403782</v>
      </c>
      <c r="AC248" s="305">
        <v>1</v>
      </c>
      <c r="AD248" s="284" t="s">
        <v>318</v>
      </c>
      <c r="AE248" s="329">
        <v>1</v>
      </c>
      <c r="AF248" s="285">
        <v>21014.39667403782</v>
      </c>
      <c r="AG248" s="314" t="s">
        <v>356</v>
      </c>
      <c r="AH248" s="333">
        <v>12</v>
      </c>
    </row>
    <row r="249" spans="1:34" x14ac:dyDescent="0.3">
      <c r="A249" s="425" t="s">
        <v>19</v>
      </c>
      <c r="B249" s="274" t="s">
        <v>20</v>
      </c>
      <c r="C249" s="274" t="s">
        <v>342</v>
      </c>
      <c r="D249" s="281">
        <v>1</v>
      </c>
      <c r="E249" s="276">
        <v>67398.098568534639</v>
      </c>
      <c r="F249" s="281"/>
      <c r="G249" s="276">
        <v>0</v>
      </c>
      <c r="H249" s="281"/>
      <c r="I249" s="276">
        <v>0</v>
      </c>
      <c r="J249" s="281"/>
      <c r="K249" s="276">
        <v>0</v>
      </c>
      <c r="L249" s="281"/>
      <c r="M249" s="276">
        <v>0</v>
      </c>
      <c r="N249" s="281"/>
      <c r="O249" s="276">
        <v>0</v>
      </c>
      <c r="P249" s="281"/>
      <c r="Q249" s="276">
        <v>0</v>
      </c>
      <c r="R249" s="281"/>
      <c r="S249" s="276">
        <v>0</v>
      </c>
      <c r="T249" s="281"/>
      <c r="U249" s="276">
        <v>0</v>
      </c>
      <c r="V249" s="281"/>
      <c r="W249" s="276">
        <v>0</v>
      </c>
      <c r="X249" s="281"/>
      <c r="Y249" s="276">
        <v>0</v>
      </c>
      <c r="Z249" s="281"/>
      <c r="AA249" s="276">
        <v>0</v>
      </c>
      <c r="AB249" s="320">
        <v>67398.098568534639</v>
      </c>
      <c r="AC249" s="305">
        <v>1</v>
      </c>
      <c r="AD249" s="315" t="s">
        <v>319</v>
      </c>
      <c r="AE249" s="329">
        <v>6.6666666666666666E-2</v>
      </c>
      <c r="AF249" s="285">
        <v>4493.2065712356425</v>
      </c>
      <c r="AG249" s="314" t="s">
        <v>356</v>
      </c>
      <c r="AH249" s="333">
        <v>12</v>
      </c>
    </row>
    <row r="250" spans="1:34" x14ac:dyDescent="0.3">
      <c r="A250" s="425" t="s">
        <v>21</v>
      </c>
      <c r="B250" s="274" t="s">
        <v>221</v>
      </c>
      <c r="C250" s="274" t="s">
        <v>342</v>
      </c>
      <c r="D250" s="281">
        <v>1</v>
      </c>
      <c r="E250" s="276">
        <v>67398.098568534639</v>
      </c>
      <c r="F250" s="281">
        <v>1</v>
      </c>
      <c r="G250" s="276">
        <v>67398.098568534639</v>
      </c>
      <c r="H250" s="281">
        <v>1</v>
      </c>
      <c r="I250" s="276">
        <v>67398.098568534639</v>
      </c>
      <c r="J250" s="281">
        <v>1</v>
      </c>
      <c r="K250" s="276">
        <v>67398.098568534639</v>
      </c>
      <c r="L250" s="281">
        <v>1</v>
      </c>
      <c r="M250" s="276">
        <v>67398.098568534639</v>
      </c>
      <c r="N250" s="281">
        <v>1</v>
      </c>
      <c r="O250" s="276">
        <v>67398.098568534639</v>
      </c>
      <c r="P250" s="281">
        <v>1</v>
      </c>
      <c r="Q250" s="276">
        <v>67398.098568534639</v>
      </c>
      <c r="R250" s="281">
        <v>1</v>
      </c>
      <c r="S250" s="276">
        <v>67398.098568534639</v>
      </c>
      <c r="T250" s="281">
        <v>1</v>
      </c>
      <c r="U250" s="276">
        <v>67398.098568534639</v>
      </c>
      <c r="V250" s="281">
        <v>1</v>
      </c>
      <c r="W250" s="276">
        <v>67398.098568534639</v>
      </c>
      <c r="X250" s="281">
        <v>1</v>
      </c>
      <c r="Y250" s="276">
        <v>67398.098568534639</v>
      </c>
      <c r="Z250" s="281">
        <v>1</v>
      </c>
      <c r="AA250" s="276">
        <v>67398.098568534639</v>
      </c>
      <c r="AB250" s="320">
        <v>808777.18282241549</v>
      </c>
      <c r="AC250" s="305">
        <v>12</v>
      </c>
      <c r="AD250" s="315" t="s">
        <v>319</v>
      </c>
      <c r="AE250" s="329">
        <v>0.4</v>
      </c>
      <c r="AF250" s="285">
        <v>323510.8731289662</v>
      </c>
      <c r="AG250" s="314" t="s">
        <v>356</v>
      </c>
      <c r="AH250" s="333">
        <v>12</v>
      </c>
    </row>
    <row r="251" spans="1:34" x14ac:dyDescent="0.3">
      <c r="A251" s="425" t="s">
        <v>52</v>
      </c>
      <c r="B251" s="274" t="s">
        <v>191</v>
      </c>
      <c r="C251" s="274" t="s">
        <v>344</v>
      </c>
      <c r="D251" s="281">
        <v>1</v>
      </c>
      <c r="E251" s="276">
        <v>26897.079640267821</v>
      </c>
      <c r="F251" s="281"/>
      <c r="G251" s="276">
        <v>0</v>
      </c>
      <c r="H251" s="281"/>
      <c r="I251" s="276">
        <v>0</v>
      </c>
      <c r="J251" s="281"/>
      <c r="K251" s="276">
        <v>0</v>
      </c>
      <c r="L251" s="281"/>
      <c r="M251" s="276">
        <v>0</v>
      </c>
      <c r="N251" s="281"/>
      <c r="O251" s="276">
        <v>0</v>
      </c>
      <c r="P251" s="281"/>
      <c r="Q251" s="276">
        <v>0</v>
      </c>
      <c r="R251" s="281"/>
      <c r="S251" s="276">
        <v>0</v>
      </c>
      <c r="T251" s="281"/>
      <c r="U251" s="276">
        <v>0</v>
      </c>
      <c r="V251" s="281"/>
      <c r="W251" s="276">
        <v>0</v>
      </c>
      <c r="X251" s="281"/>
      <c r="Y251" s="276">
        <v>0</v>
      </c>
      <c r="Z251" s="281"/>
      <c r="AA251" s="276">
        <v>0</v>
      </c>
      <c r="AB251" s="320">
        <v>26897.079640267821</v>
      </c>
      <c r="AC251" s="305">
        <v>1</v>
      </c>
      <c r="AD251" s="315" t="s">
        <v>319</v>
      </c>
      <c r="AE251" s="329">
        <v>0</v>
      </c>
      <c r="AF251" s="285">
        <v>0</v>
      </c>
      <c r="AG251" s="314" t="s">
        <v>356</v>
      </c>
      <c r="AH251" s="333">
        <v>12</v>
      </c>
    </row>
    <row r="252" spans="1:34" x14ac:dyDescent="0.3">
      <c r="A252" s="425" t="s">
        <v>53</v>
      </c>
      <c r="B252" s="274" t="s">
        <v>230</v>
      </c>
      <c r="C252" s="274" t="s">
        <v>346</v>
      </c>
      <c r="D252" s="281">
        <v>1</v>
      </c>
      <c r="E252" s="276">
        <v>26897.079640267817</v>
      </c>
      <c r="F252" s="281"/>
      <c r="G252" s="276">
        <v>0</v>
      </c>
      <c r="H252" s="281"/>
      <c r="I252" s="276">
        <v>0</v>
      </c>
      <c r="J252" s="281"/>
      <c r="K252" s="276">
        <v>0</v>
      </c>
      <c r="L252" s="281"/>
      <c r="M252" s="276">
        <v>0</v>
      </c>
      <c r="N252" s="281"/>
      <c r="O252" s="276">
        <v>0</v>
      </c>
      <c r="P252" s="281"/>
      <c r="Q252" s="276">
        <v>0</v>
      </c>
      <c r="R252" s="281"/>
      <c r="S252" s="276">
        <v>0</v>
      </c>
      <c r="T252" s="281"/>
      <c r="U252" s="276">
        <v>0</v>
      </c>
      <c r="V252" s="281"/>
      <c r="W252" s="276">
        <v>0</v>
      </c>
      <c r="X252" s="281"/>
      <c r="Y252" s="276">
        <v>0</v>
      </c>
      <c r="Z252" s="281"/>
      <c r="AA252" s="276">
        <v>0</v>
      </c>
      <c r="AB252" s="320">
        <v>26897.079640267817</v>
      </c>
      <c r="AC252" s="305">
        <v>1</v>
      </c>
      <c r="AD252" s="315" t="s">
        <v>319</v>
      </c>
      <c r="AE252" s="329">
        <v>0</v>
      </c>
      <c r="AF252" s="285">
        <v>0</v>
      </c>
      <c r="AG252" s="314" t="s">
        <v>356</v>
      </c>
      <c r="AH252" s="333">
        <v>12</v>
      </c>
    </row>
    <row r="253" spans="1:34" x14ac:dyDescent="0.3">
      <c r="A253" s="425" t="s">
        <v>5</v>
      </c>
      <c r="B253" s="274" t="s">
        <v>6</v>
      </c>
      <c r="C253" s="274" t="s">
        <v>346</v>
      </c>
      <c r="D253" s="281">
        <v>1</v>
      </c>
      <c r="E253" s="276">
        <v>18768.367820181349</v>
      </c>
      <c r="F253" s="281"/>
      <c r="G253" s="276">
        <v>0</v>
      </c>
      <c r="H253" s="281"/>
      <c r="I253" s="276">
        <v>0</v>
      </c>
      <c r="J253" s="281"/>
      <c r="K253" s="276">
        <v>0</v>
      </c>
      <c r="L253" s="281"/>
      <c r="M253" s="276">
        <v>0</v>
      </c>
      <c r="N253" s="281"/>
      <c r="O253" s="276">
        <v>0</v>
      </c>
      <c r="P253" s="280"/>
      <c r="Q253" s="276">
        <v>0</v>
      </c>
      <c r="R253" s="280"/>
      <c r="S253" s="276">
        <v>0</v>
      </c>
      <c r="T253" s="280"/>
      <c r="U253" s="276">
        <v>0</v>
      </c>
      <c r="V253" s="280"/>
      <c r="W253" s="276">
        <v>0</v>
      </c>
      <c r="X253" s="280"/>
      <c r="Y253" s="276">
        <v>0</v>
      </c>
      <c r="Z253" s="281"/>
      <c r="AA253" s="276">
        <v>0</v>
      </c>
      <c r="AB253" s="320">
        <v>18768.367820181349</v>
      </c>
      <c r="AC253" s="305">
        <v>1</v>
      </c>
      <c r="AD253" s="284" t="s">
        <v>318</v>
      </c>
      <c r="AE253" s="329">
        <v>1</v>
      </c>
      <c r="AF253" s="285">
        <v>18768.367820181349</v>
      </c>
      <c r="AG253" s="314" t="s">
        <v>356</v>
      </c>
      <c r="AH253" s="333">
        <v>12</v>
      </c>
    </row>
    <row r="254" spans="1:34" x14ac:dyDescent="0.3">
      <c r="A254" s="425" t="s">
        <v>17</v>
      </c>
      <c r="B254" s="274" t="s">
        <v>18</v>
      </c>
      <c r="C254" s="274" t="s">
        <v>342</v>
      </c>
      <c r="D254" s="281"/>
      <c r="E254" s="276">
        <v>0</v>
      </c>
      <c r="F254" s="281"/>
      <c r="G254" s="276">
        <v>0</v>
      </c>
      <c r="H254" s="281"/>
      <c r="I254" s="276">
        <v>0</v>
      </c>
      <c r="J254" s="281"/>
      <c r="K254" s="276">
        <v>0</v>
      </c>
      <c r="L254" s="281"/>
      <c r="M254" s="276">
        <v>0</v>
      </c>
      <c r="N254" s="281">
        <v>1</v>
      </c>
      <c r="O254" s="276">
        <v>20414.75585737115</v>
      </c>
      <c r="P254" s="280"/>
      <c r="Q254" s="276">
        <v>0</v>
      </c>
      <c r="R254" s="280"/>
      <c r="S254" s="276">
        <v>0</v>
      </c>
      <c r="T254" s="280"/>
      <c r="U254" s="276">
        <v>0</v>
      </c>
      <c r="V254" s="280"/>
      <c r="W254" s="276">
        <v>0</v>
      </c>
      <c r="X254" s="280"/>
      <c r="Y254" s="276">
        <v>0</v>
      </c>
      <c r="Z254" s="281">
        <v>1</v>
      </c>
      <c r="AA254" s="276">
        <v>20414.75585737115</v>
      </c>
      <c r="AB254" s="320">
        <v>40829.511714742301</v>
      </c>
      <c r="AC254" s="305">
        <v>2</v>
      </c>
      <c r="AD254" s="284" t="s">
        <v>318</v>
      </c>
      <c r="AE254" s="329">
        <v>1</v>
      </c>
      <c r="AF254" s="285">
        <v>40829.511714742301</v>
      </c>
      <c r="AG254" s="314" t="s">
        <v>356</v>
      </c>
      <c r="AH254" s="333">
        <v>12</v>
      </c>
    </row>
    <row r="255" spans="1:34" x14ac:dyDescent="0.3">
      <c r="A255" s="425" t="s">
        <v>113</v>
      </c>
      <c r="B255" s="295" t="s">
        <v>139</v>
      </c>
      <c r="C255" s="274" t="s">
        <v>342</v>
      </c>
      <c r="D255" s="281">
        <v>1</v>
      </c>
      <c r="E255" s="276">
        <v>60236.092716419647</v>
      </c>
      <c r="F255" s="281"/>
      <c r="G255" s="276">
        <v>0</v>
      </c>
      <c r="H255" s="281"/>
      <c r="I255" s="276">
        <v>0</v>
      </c>
      <c r="J255" s="281"/>
      <c r="K255" s="276">
        <v>0</v>
      </c>
      <c r="L255" s="281"/>
      <c r="M255" s="276">
        <v>0</v>
      </c>
      <c r="N255" s="281"/>
      <c r="O255" s="276">
        <v>0</v>
      </c>
      <c r="P255" s="281"/>
      <c r="Q255" s="276">
        <v>0</v>
      </c>
      <c r="R255" s="281"/>
      <c r="S255" s="276">
        <v>0</v>
      </c>
      <c r="T255" s="281"/>
      <c r="U255" s="276">
        <v>0</v>
      </c>
      <c r="V255" s="281"/>
      <c r="W255" s="276">
        <v>0</v>
      </c>
      <c r="X255" s="281"/>
      <c r="Y255" s="276">
        <v>0</v>
      </c>
      <c r="Z255" s="281"/>
      <c r="AA255" s="276">
        <v>0</v>
      </c>
      <c r="AB255" s="320">
        <v>60236.092716419647</v>
      </c>
      <c r="AC255" s="305">
        <v>1</v>
      </c>
      <c r="AD255" s="315" t="s">
        <v>319</v>
      </c>
      <c r="AE255" s="329">
        <v>0</v>
      </c>
      <c r="AF255" s="285">
        <v>0</v>
      </c>
      <c r="AG255" s="314" t="s">
        <v>356</v>
      </c>
      <c r="AH255" s="333">
        <v>12</v>
      </c>
    </row>
    <row r="256" spans="1:34" x14ac:dyDescent="0.3">
      <c r="A256" s="425" t="s">
        <v>114</v>
      </c>
      <c r="B256" s="274" t="s">
        <v>140</v>
      </c>
      <c r="C256" s="274" t="s">
        <v>342</v>
      </c>
      <c r="D256" s="281">
        <v>1</v>
      </c>
      <c r="E256" s="276">
        <v>62748.232282880919</v>
      </c>
      <c r="F256" s="281"/>
      <c r="G256" s="276">
        <v>0</v>
      </c>
      <c r="H256" s="281"/>
      <c r="I256" s="276">
        <v>0</v>
      </c>
      <c r="J256" s="281"/>
      <c r="K256" s="276">
        <v>0</v>
      </c>
      <c r="L256" s="281"/>
      <c r="M256" s="276">
        <v>0</v>
      </c>
      <c r="N256" s="281"/>
      <c r="O256" s="276">
        <v>0</v>
      </c>
      <c r="P256" s="281"/>
      <c r="Q256" s="276">
        <v>0</v>
      </c>
      <c r="R256" s="281"/>
      <c r="S256" s="276">
        <v>0</v>
      </c>
      <c r="T256" s="281"/>
      <c r="U256" s="276">
        <v>0</v>
      </c>
      <c r="V256" s="281"/>
      <c r="W256" s="276">
        <v>0</v>
      </c>
      <c r="X256" s="281"/>
      <c r="Y256" s="276">
        <v>0</v>
      </c>
      <c r="Z256" s="281"/>
      <c r="AA256" s="276">
        <v>0</v>
      </c>
      <c r="AB256" s="320">
        <v>62748.232282880919</v>
      </c>
      <c r="AC256" s="305">
        <v>1</v>
      </c>
      <c r="AD256" s="315" t="s">
        <v>319</v>
      </c>
      <c r="AE256" s="329">
        <v>0</v>
      </c>
      <c r="AF256" s="285">
        <v>0</v>
      </c>
      <c r="AG256" s="314" t="s">
        <v>356</v>
      </c>
      <c r="AH256" s="333">
        <v>12</v>
      </c>
    </row>
    <row r="257" spans="1:34" x14ac:dyDescent="0.3">
      <c r="A257" s="425" t="s">
        <v>115</v>
      </c>
      <c r="B257" s="274" t="s">
        <v>141</v>
      </c>
      <c r="C257" s="274" t="s">
        <v>342</v>
      </c>
      <c r="D257" s="281"/>
      <c r="E257" s="276">
        <v>0</v>
      </c>
      <c r="F257" s="281"/>
      <c r="G257" s="276">
        <v>0</v>
      </c>
      <c r="H257" s="281"/>
      <c r="I257" s="276">
        <v>0</v>
      </c>
      <c r="J257" s="281"/>
      <c r="K257" s="276">
        <v>0</v>
      </c>
      <c r="L257" s="281"/>
      <c r="M257" s="276">
        <v>0</v>
      </c>
      <c r="N257" s="281"/>
      <c r="O257" s="276">
        <v>0</v>
      </c>
      <c r="P257" s="281"/>
      <c r="Q257" s="276">
        <v>0</v>
      </c>
      <c r="R257" s="281"/>
      <c r="S257" s="276">
        <v>0</v>
      </c>
      <c r="T257" s="281"/>
      <c r="U257" s="276">
        <v>0</v>
      </c>
      <c r="V257" s="281"/>
      <c r="W257" s="276">
        <v>0</v>
      </c>
      <c r="X257" s="281"/>
      <c r="Y257" s="276">
        <v>0</v>
      </c>
      <c r="Z257" s="281">
        <v>1</v>
      </c>
      <c r="AA257" s="276">
        <v>62748.232282880919</v>
      </c>
      <c r="AB257" s="320">
        <v>62748.232282880919</v>
      </c>
      <c r="AC257" s="305">
        <v>1</v>
      </c>
      <c r="AD257" s="315" t="s">
        <v>319</v>
      </c>
      <c r="AE257" s="329">
        <v>0</v>
      </c>
      <c r="AF257" s="285">
        <v>0</v>
      </c>
      <c r="AG257" s="314" t="s">
        <v>356</v>
      </c>
      <c r="AH257" s="333">
        <v>12</v>
      </c>
    </row>
    <row r="258" spans="1:34" x14ac:dyDescent="0.3">
      <c r="A258" s="425" t="s">
        <v>34</v>
      </c>
      <c r="B258" s="274" t="s">
        <v>35</v>
      </c>
      <c r="C258" s="274" t="s">
        <v>342</v>
      </c>
      <c r="D258" s="281">
        <v>1</v>
      </c>
      <c r="E258" s="276">
        <v>24009.730401318589</v>
      </c>
      <c r="F258" s="281"/>
      <c r="G258" s="276">
        <v>0</v>
      </c>
      <c r="H258" s="281"/>
      <c r="I258" s="276">
        <v>0</v>
      </c>
      <c r="J258" s="281"/>
      <c r="K258" s="276">
        <v>0</v>
      </c>
      <c r="L258" s="281"/>
      <c r="M258" s="276">
        <v>0</v>
      </c>
      <c r="N258" s="281"/>
      <c r="O258" s="276">
        <v>0</v>
      </c>
      <c r="P258" s="281"/>
      <c r="Q258" s="276">
        <v>0</v>
      </c>
      <c r="R258" s="281"/>
      <c r="S258" s="276">
        <v>0</v>
      </c>
      <c r="T258" s="281"/>
      <c r="U258" s="276">
        <v>0</v>
      </c>
      <c r="V258" s="281"/>
      <c r="W258" s="276">
        <v>0</v>
      </c>
      <c r="X258" s="281"/>
      <c r="Y258" s="276">
        <v>0</v>
      </c>
      <c r="Z258" s="281"/>
      <c r="AA258" s="276">
        <v>0</v>
      </c>
      <c r="AB258" s="320">
        <v>24009.730401318589</v>
      </c>
      <c r="AC258" s="305">
        <v>1</v>
      </c>
      <c r="AD258" s="284" t="s">
        <v>318</v>
      </c>
      <c r="AE258" s="329">
        <v>1</v>
      </c>
      <c r="AF258" s="285">
        <v>24009.730401318589</v>
      </c>
      <c r="AG258" s="314" t="s">
        <v>356</v>
      </c>
      <c r="AH258" s="333">
        <v>12</v>
      </c>
    </row>
    <row r="259" spans="1:34" x14ac:dyDescent="0.3">
      <c r="A259" s="425" t="s">
        <v>32</v>
      </c>
      <c r="B259" s="274" t="s">
        <v>143</v>
      </c>
      <c r="C259" s="274" t="s">
        <v>342</v>
      </c>
      <c r="D259" s="281">
        <v>1</v>
      </c>
      <c r="E259" s="276">
        <v>24009.730401318589</v>
      </c>
      <c r="F259" s="281"/>
      <c r="G259" s="276">
        <v>0</v>
      </c>
      <c r="H259" s="281"/>
      <c r="I259" s="276">
        <v>0</v>
      </c>
      <c r="J259" s="281"/>
      <c r="K259" s="276">
        <v>0</v>
      </c>
      <c r="L259" s="281"/>
      <c r="M259" s="276">
        <v>0</v>
      </c>
      <c r="N259" s="281"/>
      <c r="O259" s="276">
        <v>0</v>
      </c>
      <c r="P259" s="281"/>
      <c r="Q259" s="276">
        <v>0</v>
      </c>
      <c r="R259" s="281"/>
      <c r="S259" s="276">
        <v>0</v>
      </c>
      <c r="T259" s="281"/>
      <c r="U259" s="276">
        <v>0</v>
      </c>
      <c r="V259" s="281"/>
      <c r="W259" s="276">
        <v>0</v>
      </c>
      <c r="X259" s="281"/>
      <c r="Y259" s="276">
        <v>0</v>
      </c>
      <c r="Z259" s="281"/>
      <c r="AA259" s="276">
        <v>0</v>
      </c>
      <c r="AB259" s="320">
        <v>24009.730401318589</v>
      </c>
      <c r="AC259" s="305">
        <v>1</v>
      </c>
      <c r="AD259" s="315" t="s">
        <v>319</v>
      </c>
      <c r="AE259" s="329">
        <v>0</v>
      </c>
      <c r="AF259" s="285">
        <v>0</v>
      </c>
      <c r="AG259" s="314" t="s">
        <v>356</v>
      </c>
      <c r="AH259" s="333">
        <v>12</v>
      </c>
    </row>
    <row r="260" spans="1:34" x14ac:dyDescent="0.3">
      <c r="A260" s="425" t="s">
        <v>38</v>
      </c>
      <c r="B260" s="274" t="s">
        <v>137</v>
      </c>
      <c r="C260" s="274" t="s">
        <v>344</v>
      </c>
      <c r="D260" s="281">
        <v>1</v>
      </c>
      <c r="E260" s="276">
        <v>56420.692787682223</v>
      </c>
      <c r="F260" s="281"/>
      <c r="G260" s="276">
        <v>0</v>
      </c>
      <c r="H260" s="281"/>
      <c r="I260" s="276">
        <v>0</v>
      </c>
      <c r="J260" s="281"/>
      <c r="K260" s="276">
        <v>0</v>
      </c>
      <c r="L260" s="281"/>
      <c r="M260" s="276">
        <v>0</v>
      </c>
      <c r="N260" s="281"/>
      <c r="O260" s="276">
        <v>0</v>
      </c>
      <c r="P260" s="281"/>
      <c r="Q260" s="276">
        <v>0</v>
      </c>
      <c r="R260" s="281"/>
      <c r="S260" s="276">
        <v>0</v>
      </c>
      <c r="T260" s="281"/>
      <c r="U260" s="276">
        <v>0</v>
      </c>
      <c r="V260" s="281"/>
      <c r="W260" s="276">
        <v>0</v>
      </c>
      <c r="X260" s="281"/>
      <c r="Y260" s="276">
        <v>0</v>
      </c>
      <c r="Z260" s="281"/>
      <c r="AA260" s="276">
        <v>0</v>
      </c>
      <c r="AB260" s="320">
        <v>56420.692787682223</v>
      </c>
      <c r="AC260" s="305">
        <v>1</v>
      </c>
      <c r="AD260" s="315" t="s">
        <v>319</v>
      </c>
      <c r="AE260" s="329">
        <v>0.2</v>
      </c>
      <c r="AF260" s="285">
        <v>11284.138557536446</v>
      </c>
      <c r="AG260" s="314" t="s">
        <v>356</v>
      </c>
      <c r="AH260" s="333">
        <v>12</v>
      </c>
    </row>
    <row r="261" spans="1:34" x14ac:dyDescent="0.3">
      <c r="A261" s="425" t="s">
        <v>42</v>
      </c>
      <c r="B261" s="274" t="s">
        <v>228</v>
      </c>
      <c r="C261" s="274" t="s">
        <v>342</v>
      </c>
      <c r="D261" s="281">
        <v>1</v>
      </c>
      <c r="E261" s="276">
        <v>31714.220952863223</v>
      </c>
      <c r="F261" s="281"/>
      <c r="G261" s="276">
        <v>0</v>
      </c>
      <c r="H261" s="281"/>
      <c r="I261" s="276">
        <v>0</v>
      </c>
      <c r="J261" s="281"/>
      <c r="K261" s="276">
        <v>0</v>
      </c>
      <c r="L261" s="281"/>
      <c r="M261" s="276">
        <v>0</v>
      </c>
      <c r="N261" s="281"/>
      <c r="O261" s="276">
        <v>0</v>
      </c>
      <c r="P261" s="281"/>
      <c r="Q261" s="276">
        <v>0</v>
      </c>
      <c r="R261" s="281"/>
      <c r="S261" s="276">
        <v>0</v>
      </c>
      <c r="T261" s="281"/>
      <c r="U261" s="276">
        <v>0</v>
      </c>
      <c r="V261" s="281"/>
      <c r="W261" s="276">
        <v>0</v>
      </c>
      <c r="X261" s="281"/>
      <c r="Y261" s="276">
        <v>0</v>
      </c>
      <c r="Z261" s="281"/>
      <c r="AA261" s="276">
        <v>0</v>
      </c>
      <c r="AB261" s="320">
        <v>31714.220952863223</v>
      </c>
      <c r="AC261" s="305">
        <v>1</v>
      </c>
      <c r="AD261" s="315" t="s">
        <v>319</v>
      </c>
      <c r="AE261" s="329">
        <v>0</v>
      </c>
      <c r="AF261" s="285">
        <v>0</v>
      </c>
      <c r="AG261" s="314" t="s">
        <v>356</v>
      </c>
      <c r="AH261" s="333">
        <v>12</v>
      </c>
    </row>
    <row r="262" spans="1:34" x14ac:dyDescent="0.3">
      <c r="A262" s="425" t="s">
        <v>44</v>
      </c>
      <c r="B262" s="274" t="s">
        <v>229</v>
      </c>
      <c r="C262" s="274" t="s">
        <v>346</v>
      </c>
      <c r="D262" s="281">
        <v>1</v>
      </c>
      <c r="E262" s="276">
        <v>31714.220952863223</v>
      </c>
      <c r="F262" s="281"/>
      <c r="G262" s="276">
        <v>0</v>
      </c>
      <c r="H262" s="281"/>
      <c r="I262" s="276">
        <v>0</v>
      </c>
      <c r="J262" s="281"/>
      <c r="K262" s="276">
        <v>0</v>
      </c>
      <c r="L262" s="281"/>
      <c r="M262" s="276">
        <v>0</v>
      </c>
      <c r="N262" s="281"/>
      <c r="O262" s="276">
        <v>0</v>
      </c>
      <c r="P262" s="281"/>
      <c r="Q262" s="276">
        <v>0</v>
      </c>
      <c r="R262" s="281"/>
      <c r="S262" s="276">
        <v>0</v>
      </c>
      <c r="T262" s="281"/>
      <c r="U262" s="276">
        <v>0</v>
      </c>
      <c r="V262" s="281"/>
      <c r="W262" s="276">
        <v>0</v>
      </c>
      <c r="X262" s="281"/>
      <c r="Y262" s="276">
        <v>0</v>
      </c>
      <c r="Z262" s="281"/>
      <c r="AA262" s="276">
        <v>0</v>
      </c>
      <c r="AB262" s="320">
        <v>31714.220952863223</v>
      </c>
      <c r="AC262" s="305">
        <v>1</v>
      </c>
      <c r="AD262" s="315" t="s">
        <v>319</v>
      </c>
      <c r="AE262" s="329">
        <v>0</v>
      </c>
      <c r="AF262" s="285">
        <v>0</v>
      </c>
      <c r="AG262" s="314" t="s">
        <v>356</v>
      </c>
      <c r="AH262" s="333">
        <v>12</v>
      </c>
    </row>
    <row r="263" spans="1:34" x14ac:dyDescent="0.3">
      <c r="A263" s="425" t="s">
        <v>29</v>
      </c>
      <c r="B263" s="274" t="s">
        <v>196</v>
      </c>
      <c r="C263" s="274" t="s">
        <v>346</v>
      </c>
      <c r="D263" s="281"/>
      <c r="E263" s="276">
        <v>0</v>
      </c>
      <c r="F263" s="281"/>
      <c r="G263" s="276">
        <v>0</v>
      </c>
      <c r="H263" s="281"/>
      <c r="I263" s="276">
        <v>0</v>
      </c>
      <c r="J263" s="281"/>
      <c r="K263" s="276">
        <v>0</v>
      </c>
      <c r="L263" s="281"/>
      <c r="M263" s="276">
        <v>0</v>
      </c>
      <c r="N263" s="281"/>
      <c r="O263" s="276">
        <v>0</v>
      </c>
      <c r="P263" s="281"/>
      <c r="Q263" s="276">
        <v>0</v>
      </c>
      <c r="R263" s="281"/>
      <c r="S263" s="276">
        <v>0</v>
      </c>
      <c r="T263" s="281"/>
      <c r="U263" s="276">
        <v>0</v>
      </c>
      <c r="V263" s="281"/>
      <c r="W263" s="276">
        <v>0</v>
      </c>
      <c r="X263" s="281"/>
      <c r="Y263" s="276">
        <v>0</v>
      </c>
      <c r="Z263" s="281">
        <v>1</v>
      </c>
      <c r="AA263" s="276">
        <v>31881.451880098426</v>
      </c>
      <c r="AB263" s="320">
        <v>31881.451880098426</v>
      </c>
      <c r="AC263" s="305">
        <v>1</v>
      </c>
      <c r="AD263" s="284" t="s">
        <v>318</v>
      </c>
      <c r="AE263" s="329">
        <v>1</v>
      </c>
      <c r="AF263" s="285">
        <v>31881.451880098426</v>
      </c>
      <c r="AG263" s="314" t="s">
        <v>356</v>
      </c>
      <c r="AH263" s="333">
        <v>12</v>
      </c>
    </row>
    <row r="264" spans="1:34" x14ac:dyDescent="0.3">
      <c r="A264" s="414" t="s">
        <v>421</v>
      </c>
      <c r="B264" s="96" t="s">
        <v>422</v>
      </c>
      <c r="C264" s="96" t="s">
        <v>423</v>
      </c>
      <c r="D264" s="181"/>
      <c r="E264" s="56"/>
      <c r="F264" s="181"/>
      <c r="G264" s="56"/>
      <c r="H264" s="181"/>
      <c r="I264" s="56"/>
      <c r="J264" s="181"/>
      <c r="K264" s="56"/>
      <c r="L264" s="181"/>
      <c r="M264" s="56"/>
      <c r="N264" s="181"/>
      <c r="O264" s="56"/>
      <c r="P264" s="181"/>
      <c r="Q264" s="56"/>
      <c r="R264" s="181"/>
      <c r="S264" s="56"/>
      <c r="T264" s="181"/>
      <c r="U264" s="56"/>
      <c r="V264" s="181"/>
      <c r="W264" s="56"/>
      <c r="X264" s="181"/>
      <c r="Y264" s="56"/>
      <c r="Z264" s="181"/>
      <c r="AA264" s="56"/>
      <c r="AB264" s="81"/>
      <c r="AC264" s="106"/>
      <c r="AD264" s="104" t="s">
        <v>318</v>
      </c>
      <c r="AE264" s="119"/>
      <c r="AF264" s="47"/>
      <c r="AG264" s="314" t="s">
        <v>356</v>
      </c>
      <c r="AH264" s="333">
        <v>12</v>
      </c>
    </row>
    <row r="265" spans="1:34" x14ac:dyDescent="0.3">
      <c r="A265" s="426" t="s">
        <v>13</v>
      </c>
      <c r="B265" s="279" t="s">
        <v>14</v>
      </c>
      <c r="C265" s="274" t="s">
        <v>343</v>
      </c>
      <c r="D265" s="281">
        <v>1</v>
      </c>
      <c r="E265" s="276">
        <v>20552.755657371155</v>
      </c>
      <c r="F265" s="280"/>
      <c r="G265" s="276">
        <v>0</v>
      </c>
      <c r="H265" s="280"/>
      <c r="I265" s="276">
        <v>0</v>
      </c>
      <c r="J265" s="280"/>
      <c r="K265" s="276">
        <v>0</v>
      </c>
      <c r="L265" s="280"/>
      <c r="M265" s="276">
        <v>0</v>
      </c>
      <c r="N265" s="280"/>
      <c r="O265" s="276">
        <v>0</v>
      </c>
      <c r="P265" s="280"/>
      <c r="Q265" s="276">
        <v>0</v>
      </c>
      <c r="R265" s="280"/>
      <c r="S265" s="276">
        <v>0</v>
      </c>
      <c r="T265" s="280"/>
      <c r="U265" s="276">
        <v>0</v>
      </c>
      <c r="V265" s="280"/>
      <c r="W265" s="276">
        <v>0</v>
      </c>
      <c r="X265" s="280"/>
      <c r="Y265" s="276">
        <v>0</v>
      </c>
      <c r="Z265" s="280"/>
      <c r="AA265" s="276">
        <v>0</v>
      </c>
      <c r="AB265" s="320">
        <v>20552.755657371155</v>
      </c>
      <c r="AC265" s="305">
        <v>1</v>
      </c>
      <c r="AD265" s="284" t="s">
        <v>318</v>
      </c>
      <c r="AE265" s="329">
        <v>1</v>
      </c>
      <c r="AF265" s="285">
        <v>20552.755657371155</v>
      </c>
      <c r="AG265" s="314" t="s">
        <v>357</v>
      </c>
      <c r="AH265" s="333">
        <v>12</v>
      </c>
    </row>
    <row r="266" spans="1:34" x14ac:dyDescent="0.3">
      <c r="A266" s="426">
        <v>890305</v>
      </c>
      <c r="B266" s="279" t="s">
        <v>123</v>
      </c>
      <c r="C266" s="274" t="s">
        <v>342</v>
      </c>
      <c r="D266" s="281">
        <v>1</v>
      </c>
      <c r="E266" s="276">
        <v>21014.396674037816</v>
      </c>
      <c r="F266" s="280"/>
      <c r="G266" s="276">
        <v>0</v>
      </c>
      <c r="H266" s="280"/>
      <c r="I266" s="276">
        <v>0</v>
      </c>
      <c r="J266" s="280"/>
      <c r="K266" s="276">
        <v>0</v>
      </c>
      <c r="L266" s="280"/>
      <c r="M266" s="276">
        <v>0</v>
      </c>
      <c r="N266" s="280"/>
      <c r="O266" s="276">
        <v>0</v>
      </c>
      <c r="P266" s="280"/>
      <c r="Q266" s="276">
        <v>0</v>
      </c>
      <c r="R266" s="280"/>
      <c r="S266" s="276">
        <v>0</v>
      </c>
      <c r="T266" s="280"/>
      <c r="U266" s="276">
        <v>0</v>
      </c>
      <c r="V266" s="280"/>
      <c r="W266" s="276">
        <v>0</v>
      </c>
      <c r="X266" s="280"/>
      <c r="Y266" s="276">
        <v>0</v>
      </c>
      <c r="Z266" s="280"/>
      <c r="AA266" s="276">
        <v>0</v>
      </c>
      <c r="AB266" s="320">
        <v>21014.396674037816</v>
      </c>
      <c r="AC266" s="305">
        <v>1</v>
      </c>
      <c r="AD266" s="284" t="s">
        <v>318</v>
      </c>
      <c r="AE266" s="329">
        <v>1</v>
      </c>
      <c r="AF266" s="285">
        <v>21014.396674037816</v>
      </c>
      <c r="AG266" s="314" t="s">
        <v>357</v>
      </c>
      <c r="AH266" s="333">
        <v>12</v>
      </c>
    </row>
    <row r="267" spans="1:34" x14ac:dyDescent="0.3">
      <c r="A267" s="426" t="s">
        <v>98</v>
      </c>
      <c r="B267" s="279" t="s">
        <v>99</v>
      </c>
      <c r="C267" s="274" t="s">
        <v>342</v>
      </c>
      <c r="D267" s="281">
        <v>1</v>
      </c>
      <c r="E267" s="276">
        <v>17887.388810409495</v>
      </c>
      <c r="F267" s="280"/>
      <c r="G267" s="276">
        <v>0</v>
      </c>
      <c r="H267" s="280"/>
      <c r="I267" s="276">
        <v>0</v>
      </c>
      <c r="J267" s="280"/>
      <c r="K267" s="276">
        <v>0</v>
      </c>
      <c r="L267" s="280"/>
      <c r="M267" s="276">
        <v>0</v>
      </c>
      <c r="N267" s="280"/>
      <c r="O267" s="276">
        <v>0</v>
      </c>
      <c r="P267" s="280"/>
      <c r="Q267" s="276">
        <v>0</v>
      </c>
      <c r="R267" s="280"/>
      <c r="S267" s="276">
        <v>0</v>
      </c>
      <c r="T267" s="280"/>
      <c r="U267" s="276">
        <v>0</v>
      </c>
      <c r="V267" s="280"/>
      <c r="W267" s="276">
        <v>0</v>
      </c>
      <c r="X267" s="280"/>
      <c r="Y267" s="276">
        <v>0</v>
      </c>
      <c r="Z267" s="280"/>
      <c r="AA267" s="276">
        <v>0</v>
      </c>
      <c r="AB267" s="320">
        <v>17887.388810409495</v>
      </c>
      <c r="AC267" s="305">
        <v>1</v>
      </c>
      <c r="AD267" s="284" t="s">
        <v>318</v>
      </c>
      <c r="AE267" s="329">
        <v>1</v>
      </c>
      <c r="AF267" s="285">
        <v>17887.388810409495</v>
      </c>
      <c r="AG267" s="314" t="s">
        <v>357</v>
      </c>
      <c r="AH267" s="333">
        <v>12</v>
      </c>
    </row>
    <row r="268" spans="1:34" x14ac:dyDescent="0.3">
      <c r="A268" s="426" t="s">
        <v>104</v>
      </c>
      <c r="B268" s="274" t="s">
        <v>105</v>
      </c>
      <c r="C268" s="274" t="s">
        <v>342</v>
      </c>
      <c r="D268" s="281"/>
      <c r="E268" s="276">
        <v>0</v>
      </c>
      <c r="F268" s="280"/>
      <c r="G268" s="276">
        <v>0</v>
      </c>
      <c r="H268" s="280"/>
      <c r="I268" s="276">
        <v>0</v>
      </c>
      <c r="J268" s="280"/>
      <c r="K268" s="276">
        <v>0</v>
      </c>
      <c r="L268" s="280"/>
      <c r="M268" s="276">
        <v>0</v>
      </c>
      <c r="N268" s="281"/>
      <c r="O268" s="276">
        <v>0</v>
      </c>
      <c r="P268" s="280"/>
      <c r="Q268" s="276">
        <v>0</v>
      </c>
      <c r="R268" s="280"/>
      <c r="S268" s="276">
        <v>0</v>
      </c>
      <c r="T268" s="280"/>
      <c r="U268" s="276">
        <v>0</v>
      </c>
      <c r="V268" s="280"/>
      <c r="W268" s="276">
        <v>0</v>
      </c>
      <c r="X268" s="280"/>
      <c r="Y268" s="276">
        <v>0</v>
      </c>
      <c r="Z268" s="287">
        <v>1</v>
      </c>
      <c r="AA268" s="276">
        <v>17887.388810409495</v>
      </c>
      <c r="AB268" s="320">
        <v>17887.388810409495</v>
      </c>
      <c r="AC268" s="305">
        <v>1</v>
      </c>
      <c r="AD268" s="315" t="s">
        <v>319</v>
      </c>
      <c r="AE268" s="329">
        <v>0</v>
      </c>
      <c r="AF268" s="285">
        <v>0</v>
      </c>
      <c r="AG268" s="314" t="s">
        <v>357</v>
      </c>
      <c r="AH268" s="333">
        <v>12</v>
      </c>
    </row>
    <row r="269" spans="1:34" x14ac:dyDescent="0.3">
      <c r="A269" s="426" t="s">
        <v>3</v>
      </c>
      <c r="B269" s="279" t="s">
        <v>4</v>
      </c>
      <c r="C269" s="274" t="s">
        <v>342</v>
      </c>
      <c r="D269" s="281">
        <v>1</v>
      </c>
      <c r="E269" s="276">
        <v>20406.13276336317</v>
      </c>
      <c r="F269" s="280"/>
      <c r="G269" s="276">
        <v>0</v>
      </c>
      <c r="H269" s="280"/>
      <c r="I269" s="276">
        <v>0</v>
      </c>
      <c r="J269" s="280"/>
      <c r="K269" s="276">
        <v>0</v>
      </c>
      <c r="L269" s="280"/>
      <c r="M269" s="276">
        <v>0</v>
      </c>
      <c r="N269" s="280"/>
      <c r="O269" s="276">
        <v>0</v>
      </c>
      <c r="P269" s="280"/>
      <c r="Q269" s="276">
        <v>0</v>
      </c>
      <c r="R269" s="280"/>
      <c r="S269" s="276">
        <v>0</v>
      </c>
      <c r="T269" s="280"/>
      <c r="U269" s="276">
        <v>0</v>
      </c>
      <c r="V269" s="280"/>
      <c r="W269" s="276">
        <v>0</v>
      </c>
      <c r="X269" s="280"/>
      <c r="Y269" s="276">
        <v>0</v>
      </c>
      <c r="Z269" s="280"/>
      <c r="AA269" s="276">
        <v>0</v>
      </c>
      <c r="AB269" s="320">
        <v>20406.13276336317</v>
      </c>
      <c r="AC269" s="305">
        <v>1</v>
      </c>
      <c r="AD269" s="284" t="s">
        <v>318</v>
      </c>
      <c r="AE269" s="329">
        <v>1</v>
      </c>
      <c r="AF269" s="285">
        <v>20406.13276336317</v>
      </c>
      <c r="AG269" s="314" t="s">
        <v>357</v>
      </c>
      <c r="AH269" s="333">
        <v>12</v>
      </c>
    </row>
    <row r="270" spans="1:34" x14ac:dyDescent="0.3">
      <c r="A270" s="426" t="s">
        <v>15</v>
      </c>
      <c r="B270" s="279" t="s">
        <v>16</v>
      </c>
      <c r="C270" s="274" t="s">
        <v>342</v>
      </c>
      <c r="D270" s="280"/>
      <c r="E270" s="276">
        <v>0</v>
      </c>
      <c r="F270" s="280"/>
      <c r="G270" s="276">
        <v>0</v>
      </c>
      <c r="H270" s="280"/>
      <c r="I270" s="276">
        <v>0</v>
      </c>
      <c r="J270" s="280"/>
      <c r="K270" s="276">
        <v>0</v>
      </c>
      <c r="L270" s="280"/>
      <c r="M270" s="276">
        <v>0</v>
      </c>
      <c r="N270" s="281">
        <v>1</v>
      </c>
      <c r="O270" s="276">
        <v>22052.520800552971</v>
      </c>
      <c r="P270" s="280"/>
      <c r="Q270" s="276">
        <v>0</v>
      </c>
      <c r="R270" s="280"/>
      <c r="S270" s="276">
        <v>0</v>
      </c>
      <c r="T270" s="280"/>
      <c r="U270" s="276">
        <v>0</v>
      </c>
      <c r="V270" s="280"/>
      <c r="W270" s="276">
        <v>0</v>
      </c>
      <c r="X270" s="280"/>
      <c r="Y270" s="276">
        <v>0</v>
      </c>
      <c r="Z270" s="281">
        <v>1</v>
      </c>
      <c r="AA270" s="276">
        <v>22052.520800552971</v>
      </c>
      <c r="AB270" s="320">
        <v>44105.041601105942</v>
      </c>
      <c r="AC270" s="305">
        <v>2</v>
      </c>
      <c r="AD270" s="284" t="s">
        <v>318</v>
      </c>
      <c r="AE270" s="329">
        <v>1</v>
      </c>
      <c r="AF270" s="285">
        <v>44105.041601105942</v>
      </c>
      <c r="AG270" s="314" t="s">
        <v>357</v>
      </c>
      <c r="AH270" s="333">
        <v>12</v>
      </c>
    </row>
    <row r="271" spans="1:34" x14ac:dyDescent="0.3">
      <c r="A271" s="426" t="s">
        <v>5</v>
      </c>
      <c r="B271" s="279" t="s">
        <v>6</v>
      </c>
      <c r="C271" s="274" t="s">
        <v>342</v>
      </c>
      <c r="D271" s="281">
        <v>1</v>
      </c>
      <c r="E271" s="276">
        <v>18768.367820181349</v>
      </c>
      <c r="F271" s="280"/>
      <c r="G271" s="276">
        <v>0</v>
      </c>
      <c r="H271" s="280"/>
      <c r="I271" s="276">
        <v>0</v>
      </c>
      <c r="J271" s="280"/>
      <c r="K271" s="276">
        <v>0</v>
      </c>
      <c r="L271" s="280"/>
      <c r="M271" s="276">
        <v>0</v>
      </c>
      <c r="N271" s="280"/>
      <c r="O271" s="276">
        <v>0</v>
      </c>
      <c r="P271" s="280"/>
      <c r="Q271" s="276">
        <v>0</v>
      </c>
      <c r="R271" s="280"/>
      <c r="S271" s="276">
        <v>0</v>
      </c>
      <c r="T271" s="280"/>
      <c r="U271" s="276">
        <v>0</v>
      </c>
      <c r="V271" s="280"/>
      <c r="W271" s="276">
        <v>0</v>
      </c>
      <c r="X271" s="280"/>
      <c r="Y271" s="276">
        <v>0</v>
      </c>
      <c r="Z271" s="280"/>
      <c r="AA271" s="276">
        <v>0</v>
      </c>
      <c r="AB271" s="320">
        <v>18768.367820181349</v>
      </c>
      <c r="AC271" s="305">
        <v>1</v>
      </c>
      <c r="AD271" s="284" t="s">
        <v>318</v>
      </c>
      <c r="AE271" s="329">
        <v>1</v>
      </c>
      <c r="AF271" s="285">
        <v>18768.367820181349</v>
      </c>
      <c r="AG271" s="314" t="s">
        <v>357</v>
      </c>
      <c r="AH271" s="333">
        <v>12</v>
      </c>
    </row>
    <row r="272" spans="1:34" x14ac:dyDescent="0.3">
      <c r="A272" s="427" t="s">
        <v>17</v>
      </c>
      <c r="B272" s="321" t="s">
        <v>18</v>
      </c>
      <c r="C272" s="274" t="s">
        <v>342</v>
      </c>
      <c r="D272" s="322"/>
      <c r="E272" s="276">
        <v>0</v>
      </c>
      <c r="F272" s="322"/>
      <c r="G272" s="276">
        <v>0</v>
      </c>
      <c r="H272" s="322"/>
      <c r="I272" s="276">
        <v>0</v>
      </c>
      <c r="J272" s="322"/>
      <c r="K272" s="276">
        <v>0</v>
      </c>
      <c r="L272" s="322"/>
      <c r="M272" s="276">
        <v>0</v>
      </c>
      <c r="N272" s="281">
        <v>1</v>
      </c>
      <c r="O272" s="276">
        <v>20414.75585737115</v>
      </c>
      <c r="P272" s="322"/>
      <c r="Q272" s="276">
        <v>0</v>
      </c>
      <c r="R272" s="322"/>
      <c r="S272" s="276">
        <v>0</v>
      </c>
      <c r="T272" s="322"/>
      <c r="U272" s="276">
        <v>0</v>
      </c>
      <c r="V272" s="322"/>
      <c r="W272" s="276">
        <v>0</v>
      </c>
      <c r="X272" s="322"/>
      <c r="Y272" s="276">
        <v>0</v>
      </c>
      <c r="Z272" s="281">
        <v>1</v>
      </c>
      <c r="AA272" s="276">
        <v>20414.75585737115</v>
      </c>
      <c r="AB272" s="320">
        <v>40829.511714742301</v>
      </c>
      <c r="AC272" s="305">
        <v>2</v>
      </c>
      <c r="AD272" s="284" t="s">
        <v>318</v>
      </c>
      <c r="AE272" s="329">
        <v>1</v>
      </c>
      <c r="AF272" s="285">
        <v>40829.511714742301</v>
      </c>
      <c r="AG272" s="314" t="s">
        <v>357</v>
      </c>
      <c r="AH272" s="333">
        <v>12</v>
      </c>
    </row>
    <row r="273" spans="1:34" x14ac:dyDescent="0.3">
      <c r="A273" s="426" t="s">
        <v>74</v>
      </c>
      <c r="B273" s="279" t="s">
        <v>75</v>
      </c>
      <c r="C273" s="274" t="s">
        <v>342</v>
      </c>
      <c r="D273" s="281">
        <v>1</v>
      </c>
      <c r="E273" s="276">
        <v>19368.008636848015</v>
      </c>
      <c r="F273" s="280"/>
      <c r="G273" s="276">
        <v>0</v>
      </c>
      <c r="H273" s="280"/>
      <c r="I273" s="276">
        <v>0</v>
      </c>
      <c r="J273" s="280"/>
      <c r="K273" s="276">
        <v>0</v>
      </c>
      <c r="L273" s="280"/>
      <c r="M273" s="276">
        <v>0</v>
      </c>
      <c r="N273" s="280"/>
      <c r="O273" s="276">
        <v>0</v>
      </c>
      <c r="P273" s="280"/>
      <c r="Q273" s="276">
        <v>0</v>
      </c>
      <c r="R273" s="280"/>
      <c r="S273" s="276">
        <v>0</v>
      </c>
      <c r="T273" s="280"/>
      <c r="U273" s="276">
        <v>0</v>
      </c>
      <c r="V273" s="280"/>
      <c r="W273" s="276">
        <v>0</v>
      </c>
      <c r="X273" s="280"/>
      <c r="Y273" s="276">
        <v>0</v>
      </c>
      <c r="Z273" s="280"/>
      <c r="AA273" s="276">
        <v>0</v>
      </c>
      <c r="AB273" s="320">
        <v>19368.008636848015</v>
      </c>
      <c r="AC273" s="305">
        <v>1</v>
      </c>
      <c r="AD273" s="315" t="s">
        <v>319</v>
      </c>
      <c r="AE273" s="329">
        <v>0</v>
      </c>
      <c r="AF273" s="285">
        <v>0</v>
      </c>
      <c r="AG273" s="314" t="s">
        <v>357</v>
      </c>
      <c r="AH273" s="333">
        <v>12</v>
      </c>
    </row>
    <row r="274" spans="1:34" x14ac:dyDescent="0.3">
      <c r="A274" s="426" t="s">
        <v>76</v>
      </c>
      <c r="B274" s="274" t="s">
        <v>77</v>
      </c>
      <c r="C274" s="274" t="s">
        <v>342</v>
      </c>
      <c r="D274" s="280"/>
      <c r="E274" s="276">
        <v>0</v>
      </c>
      <c r="F274" s="280"/>
      <c r="G274" s="276">
        <v>0</v>
      </c>
      <c r="H274" s="280"/>
      <c r="I274" s="276">
        <v>0</v>
      </c>
      <c r="J274" s="280"/>
      <c r="K274" s="276">
        <v>0</v>
      </c>
      <c r="L274" s="280"/>
      <c r="M274" s="276">
        <v>0</v>
      </c>
      <c r="N274" s="280"/>
      <c r="O274" s="276">
        <v>0</v>
      </c>
      <c r="P274" s="280"/>
      <c r="Q274" s="276">
        <v>0</v>
      </c>
      <c r="R274" s="280"/>
      <c r="S274" s="276">
        <v>0</v>
      </c>
      <c r="T274" s="280"/>
      <c r="U274" s="276">
        <v>0</v>
      </c>
      <c r="V274" s="280"/>
      <c r="W274" s="276">
        <v>0</v>
      </c>
      <c r="X274" s="280"/>
      <c r="Y274" s="276">
        <v>0</v>
      </c>
      <c r="Z274" s="281">
        <v>1</v>
      </c>
      <c r="AA274" s="276">
        <v>21014.396674037816</v>
      </c>
      <c r="AB274" s="320">
        <v>21014.396674037816</v>
      </c>
      <c r="AC274" s="305">
        <v>1</v>
      </c>
      <c r="AD274" s="315" t="s">
        <v>319</v>
      </c>
      <c r="AE274" s="329">
        <v>0</v>
      </c>
      <c r="AF274" s="285">
        <v>0</v>
      </c>
      <c r="AG274" s="314" t="s">
        <v>357</v>
      </c>
      <c r="AH274" s="333">
        <v>12</v>
      </c>
    </row>
    <row r="275" spans="1:34" x14ac:dyDescent="0.3">
      <c r="A275" s="426" t="s">
        <v>40</v>
      </c>
      <c r="B275" s="279" t="s">
        <v>41</v>
      </c>
      <c r="C275" s="274" t="s">
        <v>343</v>
      </c>
      <c r="D275" s="281">
        <v>1</v>
      </c>
      <c r="E275" s="276">
        <v>15634.853025719462</v>
      </c>
      <c r="F275" s="281">
        <v>1</v>
      </c>
      <c r="G275" s="276">
        <v>15634.853025719462</v>
      </c>
      <c r="H275" s="281">
        <v>1</v>
      </c>
      <c r="I275" s="276">
        <v>15634.853025719462</v>
      </c>
      <c r="J275" s="281">
        <v>1</v>
      </c>
      <c r="K275" s="276">
        <v>15634.853025719462</v>
      </c>
      <c r="L275" s="281">
        <v>1</v>
      </c>
      <c r="M275" s="276">
        <v>15634.853025719462</v>
      </c>
      <c r="N275" s="281">
        <v>1</v>
      </c>
      <c r="O275" s="276">
        <v>15634.853025719462</v>
      </c>
      <c r="P275" s="281">
        <v>1</v>
      </c>
      <c r="Q275" s="276">
        <v>15634.853025719462</v>
      </c>
      <c r="R275" s="281">
        <v>1</v>
      </c>
      <c r="S275" s="276">
        <v>15634.853025719462</v>
      </c>
      <c r="T275" s="281">
        <v>1</v>
      </c>
      <c r="U275" s="276">
        <v>15634.853025719462</v>
      </c>
      <c r="V275" s="281">
        <v>1</v>
      </c>
      <c r="W275" s="276">
        <v>15634.853025719462</v>
      </c>
      <c r="X275" s="281">
        <v>1</v>
      </c>
      <c r="Y275" s="276">
        <v>15634.853025719462</v>
      </c>
      <c r="Z275" s="281">
        <v>1</v>
      </c>
      <c r="AA275" s="276">
        <v>15634.853025719462</v>
      </c>
      <c r="AB275" s="320">
        <v>187618.23630863355</v>
      </c>
      <c r="AC275" s="305">
        <v>12</v>
      </c>
      <c r="AD275" s="284" t="s">
        <v>318</v>
      </c>
      <c r="AE275" s="329">
        <v>1</v>
      </c>
      <c r="AF275" s="285">
        <v>187618.23630863355</v>
      </c>
      <c r="AG275" s="314" t="s">
        <v>357</v>
      </c>
      <c r="AH275" s="333">
        <v>12</v>
      </c>
    </row>
    <row r="276" spans="1:34" x14ac:dyDescent="0.3">
      <c r="A276" s="426" t="s">
        <v>11</v>
      </c>
      <c r="B276" s="279" t="s">
        <v>12</v>
      </c>
      <c r="C276" s="274" t="s">
        <v>345</v>
      </c>
      <c r="D276" s="281">
        <v>1</v>
      </c>
      <c r="E276" s="276">
        <v>12743.421642219637</v>
      </c>
      <c r="F276" s="281">
        <v>1</v>
      </c>
      <c r="G276" s="276">
        <v>12743.421642219637</v>
      </c>
      <c r="H276" s="281">
        <v>1</v>
      </c>
      <c r="I276" s="276">
        <v>12743.421642219637</v>
      </c>
      <c r="J276" s="281">
        <v>1</v>
      </c>
      <c r="K276" s="276">
        <v>12743.421642219637</v>
      </c>
      <c r="L276" s="281">
        <v>1</v>
      </c>
      <c r="M276" s="276">
        <v>12743.421642219637</v>
      </c>
      <c r="N276" s="281">
        <v>1</v>
      </c>
      <c r="O276" s="276">
        <v>12743.421642219637</v>
      </c>
      <c r="P276" s="281">
        <v>1</v>
      </c>
      <c r="Q276" s="276">
        <v>12743.421642219637</v>
      </c>
      <c r="R276" s="281">
        <v>1</v>
      </c>
      <c r="S276" s="276">
        <v>12743.421642219637</v>
      </c>
      <c r="T276" s="281">
        <v>1</v>
      </c>
      <c r="U276" s="276">
        <v>12743.421642219637</v>
      </c>
      <c r="V276" s="281">
        <v>1</v>
      </c>
      <c r="W276" s="276">
        <v>12743.421642219637</v>
      </c>
      <c r="X276" s="281">
        <v>1</v>
      </c>
      <c r="Y276" s="276">
        <v>12743.421642219637</v>
      </c>
      <c r="Z276" s="281">
        <v>1</v>
      </c>
      <c r="AA276" s="276">
        <v>12743.421642219637</v>
      </c>
      <c r="AB276" s="320">
        <v>152921.05970663566</v>
      </c>
      <c r="AC276" s="305">
        <v>12</v>
      </c>
      <c r="AD276" s="284" t="s">
        <v>318</v>
      </c>
      <c r="AE276" s="329">
        <v>1</v>
      </c>
      <c r="AF276" s="285">
        <v>152921.05970663566</v>
      </c>
      <c r="AG276" s="314" t="s">
        <v>357</v>
      </c>
      <c r="AH276" s="333">
        <v>12</v>
      </c>
    </row>
    <row r="277" spans="1:34" x14ac:dyDescent="0.3">
      <c r="A277" s="426" t="s">
        <v>38</v>
      </c>
      <c r="B277" s="279" t="s">
        <v>137</v>
      </c>
      <c r="C277" s="274" t="s">
        <v>342</v>
      </c>
      <c r="D277" s="281">
        <v>1</v>
      </c>
      <c r="E277" s="276">
        <v>56420.692787682223</v>
      </c>
      <c r="F277" s="281"/>
      <c r="G277" s="276">
        <v>0</v>
      </c>
      <c r="H277" s="281"/>
      <c r="I277" s="276">
        <v>0</v>
      </c>
      <c r="J277" s="281"/>
      <c r="K277" s="276">
        <v>0</v>
      </c>
      <c r="L277" s="281"/>
      <c r="M277" s="276">
        <v>0</v>
      </c>
      <c r="N277" s="281"/>
      <c r="O277" s="276">
        <v>0</v>
      </c>
      <c r="P277" s="281"/>
      <c r="Q277" s="276">
        <v>0</v>
      </c>
      <c r="R277" s="281"/>
      <c r="S277" s="276">
        <v>0</v>
      </c>
      <c r="T277" s="281"/>
      <c r="U277" s="276">
        <v>0</v>
      </c>
      <c r="V277" s="281"/>
      <c r="W277" s="276">
        <v>0</v>
      </c>
      <c r="X277" s="281"/>
      <c r="Y277" s="276">
        <v>0</v>
      </c>
      <c r="Z277" s="281"/>
      <c r="AA277" s="276">
        <v>0</v>
      </c>
      <c r="AB277" s="320">
        <v>56420.692787682223</v>
      </c>
      <c r="AC277" s="305">
        <v>1</v>
      </c>
      <c r="AD277" s="315" t="s">
        <v>319</v>
      </c>
      <c r="AE277" s="329">
        <v>6.8965517241379309E-2</v>
      </c>
      <c r="AF277" s="285">
        <v>3891.0822612194638</v>
      </c>
      <c r="AG277" s="314" t="s">
        <v>357</v>
      </c>
      <c r="AH277" s="333">
        <v>12</v>
      </c>
    </row>
    <row r="278" spans="1:34" x14ac:dyDescent="0.3">
      <c r="A278" s="426" t="s">
        <v>34</v>
      </c>
      <c r="B278" s="274" t="s">
        <v>35</v>
      </c>
      <c r="C278" s="274" t="s">
        <v>342</v>
      </c>
      <c r="D278" s="281">
        <v>1</v>
      </c>
      <c r="E278" s="276">
        <v>24009.730401318589</v>
      </c>
      <c r="F278" s="280"/>
      <c r="G278" s="276">
        <v>0</v>
      </c>
      <c r="H278" s="280"/>
      <c r="I278" s="276">
        <v>0</v>
      </c>
      <c r="J278" s="280"/>
      <c r="K278" s="276">
        <v>0</v>
      </c>
      <c r="L278" s="280"/>
      <c r="M278" s="276">
        <v>0</v>
      </c>
      <c r="N278" s="280"/>
      <c r="O278" s="276">
        <v>0</v>
      </c>
      <c r="P278" s="280"/>
      <c r="Q278" s="276">
        <v>0</v>
      </c>
      <c r="R278" s="280"/>
      <c r="S278" s="276">
        <v>0</v>
      </c>
      <c r="T278" s="280"/>
      <c r="U278" s="276">
        <v>0</v>
      </c>
      <c r="V278" s="280"/>
      <c r="W278" s="276">
        <v>0</v>
      </c>
      <c r="X278" s="280"/>
      <c r="Y278" s="276">
        <v>0</v>
      </c>
      <c r="Z278" s="280"/>
      <c r="AA278" s="276">
        <v>0</v>
      </c>
      <c r="AB278" s="320">
        <v>24009.730401318589</v>
      </c>
      <c r="AC278" s="305">
        <v>1</v>
      </c>
      <c r="AD278" s="315" t="s">
        <v>319</v>
      </c>
      <c r="AE278" s="329">
        <v>0</v>
      </c>
      <c r="AF278" s="285">
        <v>0</v>
      </c>
      <c r="AG278" s="314" t="s">
        <v>357</v>
      </c>
      <c r="AH278" s="333">
        <v>12</v>
      </c>
    </row>
    <row r="279" spans="1:34" x14ac:dyDescent="0.3">
      <c r="A279" s="426" t="s">
        <v>19</v>
      </c>
      <c r="B279" s="279" t="s">
        <v>20</v>
      </c>
      <c r="C279" s="274" t="s">
        <v>342</v>
      </c>
      <c r="D279" s="281">
        <v>1</v>
      </c>
      <c r="E279" s="276">
        <v>67398.098568534639</v>
      </c>
      <c r="F279" s="280"/>
      <c r="G279" s="276">
        <v>0</v>
      </c>
      <c r="H279" s="280"/>
      <c r="I279" s="276">
        <v>0</v>
      </c>
      <c r="J279" s="280"/>
      <c r="K279" s="276">
        <v>0</v>
      </c>
      <c r="L279" s="280"/>
      <c r="M279" s="276">
        <v>0</v>
      </c>
      <c r="N279" s="280"/>
      <c r="O279" s="276">
        <v>0</v>
      </c>
      <c r="P279" s="280"/>
      <c r="Q279" s="276">
        <v>0</v>
      </c>
      <c r="R279" s="280"/>
      <c r="S279" s="276">
        <v>0</v>
      </c>
      <c r="T279" s="280"/>
      <c r="U279" s="276">
        <v>0</v>
      </c>
      <c r="V279" s="280"/>
      <c r="W279" s="276">
        <v>0</v>
      </c>
      <c r="X279" s="280"/>
      <c r="Y279" s="276">
        <v>0</v>
      </c>
      <c r="Z279" s="280"/>
      <c r="AA279" s="276">
        <v>0</v>
      </c>
      <c r="AB279" s="320">
        <v>67398.098568534639</v>
      </c>
      <c r="AC279" s="305">
        <v>1</v>
      </c>
      <c r="AD279" s="315" t="s">
        <v>319</v>
      </c>
      <c r="AE279" s="329">
        <v>0.1206896551724138</v>
      </c>
      <c r="AF279" s="285">
        <v>8134.2532755128013</v>
      </c>
      <c r="AG279" s="314" t="s">
        <v>357</v>
      </c>
      <c r="AH279" s="333">
        <v>12</v>
      </c>
    </row>
    <row r="280" spans="1:34" x14ac:dyDescent="0.3">
      <c r="A280" s="426" t="s">
        <v>21</v>
      </c>
      <c r="B280" s="279" t="s">
        <v>221</v>
      </c>
      <c r="C280" s="274" t="s">
        <v>342</v>
      </c>
      <c r="D280" s="281">
        <v>1</v>
      </c>
      <c r="E280" s="276">
        <v>67398.098568534639</v>
      </c>
      <c r="F280" s="281"/>
      <c r="G280" s="276">
        <v>0</v>
      </c>
      <c r="H280" s="281"/>
      <c r="I280" s="276">
        <v>0</v>
      </c>
      <c r="J280" s="281"/>
      <c r="K280" s="276">
        <v>0</v>
      </c>
      <c r="L280" s="281"/>
      <c r="M280" s="276">
        <v>0</v>
      </c>
      <c r="N280" s="281"/>
      <c r="O280" s="276">
        <v>0</v>
      </c>
      <c r="P280" s="281"/>
      <c r="Q280" s="276">
        <v>0</v>
      </c>
      <c r="R280" s="281"/>
      <c r="S280" s="276">
        <v>0</v>
      </c>
      <c r="T280" s="281"/>
      <c r="U280" s="276">
        <v>0</v>
      </c>
      <c r="V280" s="281"/>
      <c r="W280" s="276">
        <v>0</v>
      </c>
      <c r="X280" s="281"/>
      <c r="Y280" s="276">
        <v>0</v>
      </c>
      <c r="Z280" s="281"/>
      <c r="AA280" s="276">
        <v>0</v>
      </c>
      <c r="AB280" s="320">
        <v>67398.098568534639</v>
      </c>
      <c r="AC280" s="305">
        <v>1</v>
      </c>
      <c r="AD280" s="315" t="s">
        <v>318</v>
      </c>
      <c r="AE280" s="329">
        <v>1</v>
      </c>
      <c r="AF280" s="285">
        <v>67398.098568534639</v>
      </c>
      <c r="AG280" s="314" t="s">
        <v>357</v>
      </c>
      <c r="AH280" s="333">
        <v>12</v>
      </c>
    </row>
    <row r="281" spans="1:34" x14ac:dyDescent="0.3">
      <c r="A281" s="426" t="s">
        <v>27</v>
      </c>
      <c r="B281" s="279" t="s">
        <v>223</v>
      </c>
      <c r="C281" s="274" t="s">
        <v>346</v>
      </c>
      <c r="D281" s="281">
        <v>1</v>
      </c>
      <c r="E281" s="276">
        <v>43480.816890660324</v>
      </c>
      <c r="F281" s="280"/>
      <c r="G281" s="276">
        <v>0</v>
      </c>
      <c r="H281" s="280"/>
      <c r="I281" s="276">
        <v>0</v>
      </c>
      <c r="J281" s="280"/>
      <c r="K281" s="276">
        <v>0</v>
      </c>
      <c r="L281" s="280"/>
      <c r="M281" s="276">
        <v>0</v>
      </c>
      <c r="N281" s="280"/>
      <c r="O281" s="276">
        <v>0</v>
      </c>
      <c r="P281" s="280"/>
      <c r="Q281" s="276">
        <v>0</v>
      </c>
      <c r="R281" s="280"/>
      <c r="S281" s="276">
        <v>0</v>
      </c>
      <c r="T281" s="280"/>
      <c r="U281" s="276">
        <v>0</v>
      </c>
      <c r="V281" s="280"/>
      <c r="W281" s="276">
        <v>0</v>
      </c>
      <c r="X281" s="280"/>
      <c r="Y281" s="276">
        <v>0</v>
      </c>
      <c r="Z281" s="281"/>
      <c r="AA281" s="276">
        <v>0</v>
      </c>
      <c r="AB281" s="320">
        <v>43480.816890660324</v>
      </c>
      <c r="AC281" s="305">
        <v>1</v>
      </c>
      <c r="AD281" s="315" t="s">
        <v>319</v>
      </c>
      <c r="AE281" s="329">
        <v>0.39655172413793105</v>
      </c>
      <c r="AF281" s="285">
        <v>17242.392904917026</v>
      </c>
      <c r="AG281" s="314" t="s">
        <v>357</v>
      </c>
      <c r="AH281" s="333">
        <v>12</v>
      </c>
    </row>
    <row r="282" spans="1:34" x14ac:dyDescent="0.3">
      <c r="A282" s="426" t="s">
        <v>25</v>
      </c>
      <c r="B282" s="279" t="s">
        <v>226</v>
      </c>
      <c r="C282" s="274" t="s">
        <v>346</v>
      </c>
      <c r="D282" s="281">
        <v>1</v>
      </c>
      <c r="E282" s="276">
        <v>19392.627189167735</v>
      </c>
      <c r="F282" s="280"/>
      <c r="G282" s="276">
        <v>0</v>
      </c>
      <c r="H282" s="280"/>
      <c r="I282" s="276">
        <v>0</v>
      </c>
      <c r="J282" s="280"/>
      <c r="K282" s="276">
        <v>0</v>
      </c>
      <c r="L282" s="280"/>
      <c r="M282" s="276">
        <v>0</v>
      </c>
      <c r="N282" s="280"/>
      <c r="O282" s="276">
        <v>0</v>
      </c>
      <c r="P282" s="280"/>
      <c r="Q282" s="276">
        <v>0</v>
      </c>
      <c r="R282" s="280"/>
      <c r="S282" s="276">
        <v>0</v>
      </c>
      <c r="T282" s="280"/>
      <c r="U282" s="276">
        <v>0</v>
      </c>
      <c r="V282" s="280"/>
      <c r="W282" s="276">
        <v>0</v>
      </c>
      <c r="X282" s="280"/>
      <c r="Y282" s="276">
        <v>0</v>
      </c>
      <c r="Z282" s="281"/>
      <c r="AA282" s="276">
        <v>0</v>
      </c>
      <c r="AB282" s="320">
        <v>19392.627189167735</v>
      </c>
      <c r="AC282" s="305">
        <v>1</v>
      </c>
      <c r="AD282" s="315" t="s">
        <v>319</v>
      </c>
      <c r="AE282" s="329">
        <v>0.22413793103448276</v>
      </c>
      <c r="AF282" s="285">
        <v>4346.6233355031127</v>
      </c>
      <c r="AG282" s="314" t="s">
        <v>357</v>
      </c>
      <c r="AH282" s="333">
        <v>12</v>
      </c>
    </row>
    <row r="283" spans="1:34" x14ac:dyDescent="0.3">
      <c r="A283" s="426" t="s">
        <v>42</v>
      </c>
      <c r="B283" s="279" t="s">
        <v>228</v>
      </c>
      <c r="C283" s="274" t="s">
        <v>344</v>
      </c>
      <c r="D283" s="281">
        <v>1</v>
      </c>
      <c r="E283" s="276">
        <v>31714.220952863223</v>
      </c>
      <c r="F283" s="280"/>
      <c r="G283" s="276">
        <v>0</v>
      </c>
      <c r="H283" s="280"/>
      <c r="I283" s="276">
        <v>0</v>
      </c>
      <c r="J283" s="280"/>
      <c r="K283" s="276">
        <v>0</v>
      </c>
      <c r="L283" s="280"/>
      <c r="M283" s="276">
        <v>0</v>
      </c>
      <c r="N283" s="280"/>
      <c r="O283" s="276">
        <v>0</v>
      </c>
      <c r="P283" s="280"/>
      <c r="Q283" s="276">
        <v>0</v>
      </c>
      <c r="R283" s="280"/>
      <c r="S283" s="276">
        <v>0</v>
      </c>
      <c r="T283" s="280"/>
      <c r="U283" s="276">
        <v>0</v>
      </c>
      <c r="V283" s="280"/>
      <c r="W283" s="276">
        <v>0</v>
      </c>
      <c r="X283" s="280"/>
      <c r="Y283" s="276">
        <v>0</v>
      </c>
      <c r="Z283" s="281"/>
      <c r="AA283" s="276">
        <v>0</v>
      </c>
      <c r="AB283" s="320">
        <v>31714.220952863223</v>
      </c>
      <c r="AC283" s="305">
        <v>1</v>
      </c>
      <c r="AD283" s="315" t="s">
        <v>319</v>
      </c>
      <c r="AE283" s="329">
        <v>1.7241379310344827E-2</v>
      </c>
      <c r="AF283" s="285">
        <v>546.79691298040041</v>
      </c>
      <c r="AG283" s="314" t="s">
        <v>357</v>
      </c>
      <c r="AH283" s="333">
        <v>12</v>
      </c>
    </row>
    <row r="284" spans="1:34" x14ac:dyDescent="0.3">
      <c r="A284" s="426" t="s">
        <v>44</v>
      </c>
      <c r="B284" s="279" t="s">
        <v>229</v>
      </c>
      <c r="C284" s="274" t="s">
        <v>344</v>
      </c>
      <c r="D284" s="281"/>
      <c r="E284" s="276">
        <v>0</v>
      </c>
      <c r="F284" s="281">
        <v>1</v>
      </c>
      <c r="G284" s="276">
        <v>31714.220952863223</v>
      </c>
      <c r="H284" s="281"/>
      <c r="I284" s="276">
        <v>0</v>
      </c>
      <c r="J284" s="281"/>
      <c r="K284" s="276">
        <v>0</v>
      </c>
      <c r="L284" s="281"/>
      <c r="M284" s="276">
        <v>0</v>
      </c>
      <c r="N284" s="281"/>
      <c r="O284" s="276">
        <v>0</v>
      </c>
      <c r="P284" s="281"/>
      <c r="Q284" s="276">
        <v>0</v>
      </c>
      <c r="R284" s="281"/>
      <c r="S284" s="276">
        <v>0</v>
      </c>
      <c r="T284" s="281"/>
      <c r="U284" s="276">
        <v>0</v>
      </c>
      <c r="V284" s="281"/>
      <c r="W284" s="276">
        <v>0</v>
      </c>
      <c r="X284" s="281"/>
      <c r="Y284" s="276">
        <v>0</v>
      </c>
      <c r="Z284" s="281"/>
      <c r="AA284" s="276">
        <v>0</v>
      </c>
      <c r="AB284" s="320">
        <v>31714.220952863223</v>
      </c>
      <c r="AC284" s="305">
        <v>1</v>
      </c>
      <c r="AD284" s="315" t="s">
        <v>319</v>
      </c>
      <c r="AE284" s="329">
        <v>0.13793103448275862</v>
      </c>
      <c r="AF284" s="285">
        <v>4374.3753038432033</v>
      </c>
      <c r="AG284" s="314" t="s">
        <v>357</v>
      </c>
      <c r="AH284" s="333">
        <v>12</v>
      </c>
    </row>
    <row r="285" spans="1:34" x14ac:dyDescent="0.3">
      <c r="A285" s="426" t="s">
        <v>52</v>
      </c>
      <c r="B285" s="279" t="s">
        <v>191</v>
      </c>
      <c r="C285" s="274" t="s">
        <v>342</v>
      </c>
      <c r="D285" s="281">
        <v>1</v>
      </c>
      <c r="E285" s="276">
        <v>26897.079640267821</v>
      </c>
      <c r="F285" s="280"/>
      <c r="G285" s="276">
        <v>0</v>
      </c>
      <c r="H285" s="280"/>
      <c r="I285" s="276">
        <v>0</v>
      </c>
      <c r="J285" s="280"/>
      <c r="K285" s="276">
        <v>0</v>
      </c>
      <c r="L285" s="280"/>
      <c r="M285" s="276">
        <v>0</v>
      </c>
      <c r="N285" s="280"/>
      <c r="O285" s="276">
        <v>0</v>
      </c>
      <c r="P285" s="280"/>
      <c r="Q285" s="276">
        <v>0</v>
      </c>
      <c r="R285" s="280"/>
      <c r="S285" s="276">
        <v>0</v>
      </c>
      <c r="T285" s="280"/>
      <c r="U285" s="276">
        <v>0</v>
      </c>
      <c r="V285" s="280"/>
      <c r="W285" s="276">
        <v>0</v>
      </c>
      <c r="X285" s="280"/>
      <c r="Y285" s="276">
        <v>0</v>
      </c>
      <c r="Z285" s="280"/>
      <c r="AA285" s="276">
        <v>0</v>
      </c>
      <c r="AB285" s="320">
        <v>26897.079640267821</v>
      </c>
      <c r="AC285" s="305">
        <v>1</v>
      </c>
      <c r="AD285" s="315" t="s">
        <v>319</v>
      </c>
      <c r="AE285" s="329">
        <v>0.15517241379310345</v>
      </c>
      <c r="AF285" s="285">
        <v>4173.6847717656965</v>
      </c>
      <c r="AG285" s="314" t="s">
        <v>357</v>
      </c>
      <c r="AH285" s="333">
        <v>12</v>
      </c>
    </row>
    <row r="286" spans="1:34" x14ac:dyDescent="0.3">
      <c r="A286" s="426" t="s">
        <v>53</v>
      </c>
      <c r="B286" s="279" t="s">
        <v>231</v>
      </c>
      <c r="C286" s="274" t="s">
        <v>342</v>
      </c>
      <c r="D286" s="281">
        <v>1</v>
      </c>
      <c r="E286" s="276">
        <v>26897.079640267817</v>
      </c>
      <c r="F286" s="281"/>
      <c r="G286" s="276">
        <v>0</v>
      </c>
      <c r="H286" s="281"/>
      <c r="I286" s="276">
        <v>0</v>
      </c>
      <c r="J286" s="281"/>
      <c r="K286" s="276">
        <v>0</v>
      </c>
      <c r="L286" s="281"/>
      <c r="M286" s="276">
        <v>0</v>
      </c>
      <c r="N286" s="281"/>
      <c r="O286" s="276">
        <v>0</v>
      </c>
      <c r="P286" s="281"/>
      <c r="Q286" s="276">
        <v>0</v>
      </c>
      <c r="R286" s="281"/>
      <c r="S286" s="276">
        <v>0</v>
      </c>
      <c r="T286" s="281"/>
      <c r="U286" s="276">
        <v>0</v>
      </c>
      <c r="V286" s="281"/>
      <c r="W286" s="276">
        <v>0</v>
      </c>
      <c r="X286" s="281"/>
      <c r="Y286" s="276">
        <v>0</v>
      </c>
      <c r="Z286" s="281"/>
      <c r="AA286" s="276">
        <v>0</v>
      </c>
      <c r="AB286" s="320">
        <v>26897.079640267817</v>
      </c>
      <c r="AC286" s="305">
        <v>1</v>
      </c>
      <c r="AD286" s="315" t="s">
        <v>318</v>
      </c>
      <c r="AE286" s="329">
        <v>1</v>
      </c>
      <c r="AF286" s="285">
        <v>26897.079640267817</v>
      </c>
      <c r="AG286" s="314" t="s">
        <v>357</v>
      </c>
      <c r="AH286" s="333">
        <v>12</v>
      </c>
    </row>
    <row r="287" spans="1:34" x14ac:dyDescent="0.3">
      <c r="A287" s="428" t="s">
        <v>30</v>
      </c>
      <c r="B287" s="323" t="s">
        <v>31</v>
      </c>
      <c r="C287" s="311" t="s">
        <v>343</v>
      </c>
      <c r="D287" s="288"/>
      <c r="E287" s="301">
        <v>0</v>
      </c>
      <c r="F287" s="288"/>
      <c r="G287" s="301">
        <v>0</v>
      </c>
      <c r="H287" s="288"/>
      <c r="I287" s="301">
        <v>0</v>
      </c>
      <c r="J287" s="288"/>
      <c r="K287" s="301">
        <v>0</v>
      </c>
      <c r="L287" s="288"/>
      <c r="M287" s="301">
        <v>0</v>
      </c>
      <c r="N287" s="288"/>
      <c r="O287" s="301">
        <v>0</v>
      </c>
      <c r="P287" s="288"/>
      <c r="Q287" s="301">
        <v>0</v>
      </c>
      <c r="R287" s="288"/>
      <c r="S287" s="301">
        <v>0</v>
      </c>
      <c r="T287" s="288"/>
      <c r="U287" s="301">
        <v>0</v>
      </c>
      <c r="V287" s="288"/>
      <c r="W287" s="301">
        <v>0</v>
      </c>
      <c r="X287" s="288"/>
      <c r="Y287" s="301">
        <v>0</v>
      </c>
      <c r="Z287" s="289">
        <v>1</v>
      </c>
      <c r="AA287" s="301">
        <v>12908.291642219636</v>
      </c>
      <c r="AB287" s="324">
        <v>12908.291642219636</v>
      </c>
      <c r="AC287" s="325">
        <v>1</v>
      </c>
      <c r="AD287" s="326" t="s">
        <v>318</v>
      </c>
      <c r="AE287" s="329">
        <v>1</v>
      </c>
      <c r="AF287" s="327">
        <v>12908.291642219636</v>
      </c>
      <c r="AG287" s="328" t="s">
        <v>357</v>
      </c>
      <c r="AH287" s="333">
        <v>12</v>
      </c>
    </row>
    <row r="288" spans="1:34" x14ac:dyDescent="0.3">
      <c r="A288" s="414" t="s">
        <v>421</v>
      </c>
      <c r="B288" s="323" t="s">
        <v>422</v>
      </c>
      <c r="C288" s="311" t="s">
        <v>423</v>
      </c>
      <c r="D288" s="289"/>
      <c r="E288" s="301"/>
      <c r="F288" s="289"/>
      <c r="G288" s="301"/>
      <c r="H288" s="289"/>
      <c r="I288" s="301"/>
      <c r="J288" s="289"/>
      <c r="K288" s="301"/>
      <c r="L288" s="289"/>
      <c r="M288" s="301"/>
      <c r="N288" s="289"/>
      <c r="O288" s="301"/>
      <c r="P288" s="289"/>
      <c r="Q288" s="301"/>
      <c r="R288" s="289"/>
      <c r="S288" s="301"/>
      <c r="T288" s="289"/>
      <c r="U288" s="301"/>
      <c r="V288" s="289"/>
      <c r="W288" s="301"/>
      <c r="X288" s="289"/>
      <c r="Y288" s="301"/>
      <c r="Z288" s="289"/>
      <c r="AA288" s="301"/>
      <c r="AB288" s="324"/>
      <c r="AC288" s="325"/>
      <c r="AD288" s="303" t="s">
        <v>318</v>
      </c>
      <c r="AE288" s="465"/>
      <c r="AF288" s="327"/>
      <c r="AG288" s="328" t="s">
        <v>357</v>
      </c>
      <c r="AH288" s="108">
        <v>12</v>
      </c>
    </row>
  </sheetData>
  <conditionalFormatting sqref="A2:A42">
    <cfRule type="duplicateValues" dxfId="137" priority="21"/>
  </conditionalFormatting>
  <conditionalFormatting sqref="A68">
    <cfRule type="duplicateValues" dxfId="136" priority="24"/>
  </conditionalFormatting>
  <conditionalFormatting sqref="A69 A43:A67">
    <cfRule type="duplicateValues" dxfId="135" priority="25"/>
  </conditionalFormatting>
  <conditionalFormatting sqref="A70">
    <cfRule type="duplicateValues" dxfId="134" priority="26"/>
  </conditionalFormatting>
  <conditionalFormatting sqref="A103">
    <cfRule type="duplicateValues" dxfId="133" priority="57"/>
  </conditionalFormatting>
  <conditionalFormatting sqref="A104">
    <cfRule type="duplicateValues" dxfId="132" priority="56"/>
  </conditionalFormatting>
  <conditionalFormatting sqref="A120:A122">
    <cfRule type="duplicateValues" dxfId="131" priority="55"/>
  </conditionalFormatting>
  <conditionalFormatting sqref="A130">
    <cfRule type="duplicateValues" dxfId="130" priority="53"/>
  </conditionalFormatting>
  <conditionalFormatting sqref="A144:A146">
    <cfRule type="duplicateValues" dxfId="129" priority="52"/>
  </conditionalFormatting>
  <conditionalFormatting sqref="A147:A152 A128:A129 A132:A143">
    <cfRule type="duplicateValues" dxfId="128" priority="54"/>
  </conditionalFormatting>
  <conditionalFormatting sqref="A156">
    <cfRule type="duplicateValues" dxfId="127" priority="48"/>
  </conditionalFormatting>
  <conditionalFormatting sqref="A170:A172">
    <cfRule type="duplicateValues" dxfId="126" priority="50"/>
  </conditionalFormatting>
  <conditionalFormatting sqref="A177:A178">
    <cfRule type="duplicateValues" dxfId="125" priority="49"/>
  </conditionalFormatting>
  <conditionalFormatting sqref="A181:A182 A184:A204">
    <cfRule type="duplicateValues" dxfId="124" priority="45"/>
  </conditionalFormatting>
  <conditionalFormatting sqref="A183">
    <cfRule type="duplicateValues" dxfId="123" priority="44"/>
  </conditionalFormatting>
  <conditionalFormatting sqref="A205:A207">
    <cfRule type="duplicateValues" dxfId="122" priority="43"/>
  </conditionalFormatting>
  <conditionalFormatting sqref="A209">
    <cfRule type="duplicateValues" dxfId="121" priority="40"/>
  </conditionalFormatting>
  <conditionalFormatting sqref="A211">
    <cfRule type="duplicateValues" dxfId="120" priority="41"/>
  </conditionalFormatting>
  <conditionalFormatting sqref="A226:A228">
    <cfRule type="duplicateValues" dxfId="119" priority="42"/>
  </conditionalFormatting>
  <conditionalFormatting sqref="A240">
    <cfRule type="duplicateValues" dxfId="118" priority="37"/>
  </conditionalFormatting>
  <conditionalFormatting sqref="A255:A257">
    <cfRule type="duplicateValues" dxfId="117" priority="36"/>
  </conditionalFormatting>
  <conditionalFormatting sqref="A258:A263 A238:A239 A242 A244:A254">
    <cfRule type="duplicateValues" dxfId="116" priority="38"/>
  </conditionalFormatting>
  <conditionalFormatting sqref="A266">
    <cfRule type="duplicateValues" dxfId="115" priority="34"/>
  </conditionalFormatting>
  <conditionalFormatting sqref="A268">
    <cfRule type="duplicateValues" dxfId="114" priority="31"/>
  </conditionalFormatting>
  <conditionalFormatting sqref="A269">
    <cfRule type="duplicateValues" dxfId="113" priority="33"/>
  </conditionalFormatting>
  <conditionalFormatting sqref="A283">
    <cfRule type="duplicateValues" dxfId="112" priority="30"/>
  </conditionalFormatting>
  <conditionalFormatting sqref="A287">
    <cfRule type="duplicateValues" dxfId="111" priority="32"/>
  </conditionalFormatting>
  <conditionalFormatting sqref="AF2:AF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3:AF7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2:AF10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02:AF12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8:AF15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4:AF17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81:AF20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9:AF23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8:AF26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5:AF28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1">
    <cfRule type="duplicateValues" dxfId="110" priority="19"/>
  </conditionalFormatting>
  <conditionalFormatting sqref="AF7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">
    <cfRule type="duplicateValues" dxfId="109" priority="17"/>
  </conditionalFormatting>
  <conditionalFormatting sqref="AF10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7">
    <cfRule type="duplicateValues" dxfId="108" priority="15"/>
  </conditionalFormatting>
  <conditionalFormatting sqref="AF12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3">
    <cfRule type="duplicateValues" dxfId="107" priority="13"/>
  </conditionalFormatting>
  <conditionalFormatting sqref="AF15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0">
    <cfRule type="duplicateValues" dxfId="106" priority="11"/>
  </conditionalFormatting>
  <conditionalFormatting sqref="AF18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8">
    <cfRule type="duplicateValues" dxfId="105" priority="9"/>
  </conditionalFormatting>
  <conditionalFormatting sqref="AF20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7">
    <cfRule type="duplicateValues" dxfId="104" priority="7"/>
  </conditionalFormatting>
  <conditionalFormatting sqref="AF2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4">
    <cfRule type="duplicateValues" dxfId="103" priority="5"/>
  </conditionalFormatting>
  <conditionalFormatting sqref="AF2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8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8">
    <cfRule type="duplicateValues" dxfId="102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4577-A605-4BD8-9952-88D14429B00F}">
  <dimension ref="A1:AT288"/>
  <sheetViews>
    <sheetView tabSelected="1" topLeftCell="A253" zoomScale="55" zoomScaleNormal="55" workbookViewId="0">
      <selection activeCell="G304" sqref="G304"/>
    </sheetView>
    <sheetView workbookViewId="1"/>
  </sheetViews>
  <sheetFormatPr baseColWidth="10" defaultRowHeight="16.5" x14ac:dyDescent="0.3"/>
  <cols>
    <col min="1" max="1" width="14.28515625" style="93" customWidth="1"/>
    <col min="2" max="2" width="39.7109375" style="93" customWidth="1"/>
    <col min="3" max="3" width="14" style="93" customWidth="1"/>
    <col min="4" max="4" width="4.140625" style="93" customWidth="1"/>
    <col min="5" max="5" width="11.42578125" style="93"/>
    <col min="6" max="6" width="4.140625" style="93" customWidth="1"/>
    <col min="7" max="7" width="11.42578125" style="93"/>
    <col min="8" max="8" width="4.140625" style="93" customWidth="1"/>
    <col min="9" max="9" width="11.42578125" style="93"/>
    <col min="10" max="10" width="4.140625" style="93" customWidth="1"/>
    <col min="11" max="11" width="11.42578125" style="93"/>
    <col min="12" max="12" width="4.140625" style="93" customWidth="1"/>
    <col min="13" max="13" width="11.42578125" style="93"/>
    <col min="14" max="14" width="4.140625" style="93" customWidth="1"/>
    <col min="15" max="15" width="11.42578125" style="93"/>
    <col min="16" max="16" width="4.140625" style="93" customWidth="1"/>
    <col min="17" max="17" width="11.42578125" style="93"/>
    <col min="18" max="18" width="4.140625" style="93" customWidth="1"/>
    <col min="19" max="19" width="11.42578125" style="93"/>
    <col min="20" max="20" width="4.140625" style="93" customWidth="1"/>
    <col min="21" max="21" width="11.42578125" style="93"/>
    <col min="22" max="22" width="4.140625" style="93" customWidth="1"/>
    <col min="23" max="23" width="11.5703125" style="93" customWidth="1"/>
    <col min="24" max="24" width="4.140625" style="93" customWidth="1"/>
    <col min="25" max="25" width="11.5703125" style="93" customWidth="1"/>
    <col min="26" max="26" width="4.140625" style="93" customWidth="1"/>
    <col min="27" max="27" width="11.5703125" style="93" customWidth="1"/>
    <col min="28" max="28" width="6.7109375" style="93" customWidth="1"/>
    <col min="29" max="29" width="14.42578125" style="93" customWidth="1"/>
    <col min="30" max="30" width="4.42578125" style="93" customWidth="1"/>
    <col min="31" max="31" width="18.85546875" style="93" customWidth="1"/>
    <col min="32" max="32" width="4.42578125" style="93" customWidth="1"/>
    <col min="33" max="33" width="15.28515625" style="93" customWidth="1"/>
    <col min="34" max="34" width="4.42578125" style="93" customWidth="1"/>
    <col min="35" max="35" width="11.42578125" style="93"/>
    <col min="36" max="36" width="4.42578125" style="93" customWidth="1"/>
    <col min="37" max="37" width="11.42578125" style="93"/>
    <col min="38" max="38" width="4.42578125" style="93" customWidth="1"/>
    <col min="39" max="41" width="11.42578125" style="93"/>
    <col min="42" max="42" width="15.85546875" style="93" customWidth="1"/>
    <col min="43" max="43" width="20.42578125" style="93" customWidth="1"/>
    <col min="44" max="44" width="14.28515625" style="93" customWidth="1"/>
    <col min="45" max="45" width="25.140625" style="334" bestFit="1" customWidth="1"/>
    <col min="46" max="16384" width="11.42578125" style="93"/>
  </cols>
  <sheetData>
    <row r="1" spans="1:46" s="273" customFormat="1" ht="50.25" customHeight="1" x14ac:dyDescent="0.2">
      <c r="A1" s="20" t="s">
        <v>0</v>
      </c>
      <c r="B1" s="147" t="s">
        <v>234</v>
      </c>
      <c r="C1" s="17" t="s">
        <v>347</v>
      </c>
      <c r="D1" s="94" t="s">
        <v>56</v>
      </c>
      <c r="E1" s="94" t="s">
        <v>249</v>
      </c>
      <c r="F1" s="94" t="s">
        <v>57</v>
      </c>
      <c r="G1" s="94" t="s">
        <v>250</v>
      </c>
      <c r="H1" s="94" t="s">
        <v>58</v>
      </c>
      <c r="I1" s="94" t="s">
        <v>251</v>
      </c>
      <c r="J1" s="94" t="s">
        <v>59</v>
      </c>
      <c r="K1" s="94" t="s">
        <v>252</v>
      </c>
      <c r="L1" s="94" t="s">
        <v>60</v>
      </c>
      <c r="M1" s="94" t="s">
        <v>253</v>
      </c>
      <c r="N1" s="94" t="s">
        <v>61</v>
      </c>
      <c r="O1" s="94" t="s">
        <v>254</v>
      </c>
      <c r="P1" s="94" t="s">
        <v>62</v>
      </c>
      <c r="Q1" s="94" t="s">
        <v>255</v>
      </c>
      <c r="R1" s="94" t="s">
        <v>63</v>
      </c>
      <c r="S1" s="94" t="s">
        <v>256</v>
      </c>
      <c r="T1" s="94" t="s">
        <v>64</v>
      </c>
      <c r="U1" s="94" t="s">
        <v>257</v>
      </c>
      <c r="V1" s="94" t="s">
        <v>65</v>
      </c>
      <c r="W1" s="94" t="s">
        <v>258</v>
      </c>
      <c r="X1" s="94" t="s">
        <v>66</v>
      </c>
      <c r="Y1" s="94" t="s">
        <v>259</v>
      </c>
      <c r="Z1" s="94" t="s">
        <v>67</v>
      </c>
      <c r="AA1" s="94" t="s">
        <v>260</v>
      </c>
      <c r="AB1" s="94" t="s">
        <v>68</v>
      </c>
      <c r="AC1" s="94" t="s">
        <v>261</v>
      </c>
      <c r="AD1" s="94" t="s">
        <v>69</v>
      </c>
      <c r="AE1" s="94" t="s">
        <v>262</v>
      </c>
      <c r="AF1" s="94" t="s">
        <v>70</v>
      </c>
      <c r="AG1" s="94" t="s">
        <v>263</v>
      </c>
      <c r="AH1" s="330" t="s">
        <v>71</v>
      </c>
      <c r="AI1" s="330" t="s">
        <v>264</v>
      </c>
      <c r="AJ1" s="330" t="s">
        <v>72</v>
      </c>
      <c r="AK1" s="330" t="s">
        <v>265</v>
      </c>
      <c r="AL1" s="331" t="s">
        <v>73</v>
      </c>
      <c r="AM1" s="330" t="s">
        <v>266</v>
      </c>
      <c r="AN1" s="330" t="s">
        <v>247</v>
      </c>
      <c r="AO1" s="332" t="s">
        <v>313</v>
      </c>
      <c r="AP1" s="332" t="s">
        <v>323</v>
      </c>
      <c r="AQ1" s="332" t="s">
        <v>316</v>
      </c>
      <c r="AR1" s="332" t="s">
        <v>317</v>
      </c>
      <c r="AS1" s="272" t="s">
        <v>348</v>
      </c>
      <c r="AT1" s="272" t="s">
        <v>406</v>
      </c>
    </row>
    <row r="2" spans="1:46" x14ac:dyDescent="0.3">
      <c r="A2" s="412" t="s">
        <v>13</v>
      </c>
      <c r="B2" s="8" t="s">
        <v>14</v>
      </c>
      <c r="C2" s="96" t="s">
        <v>343</v>
      </c>
      <c r="D2" s="144">
        <v>1</v>
      </c>
      <c r="E2" s="56">
        <v>20552.755657371155</v>
      </c>
      <c r="F2" s="144"/>
      <c r="G2" s="56">
        <v>0</v>
      </c>
      <c r="H2" s="144"/>
      <c r="I2" s="56">
        <v>0</v>
      </c>
      <c r="J2" s="144"/>
      <c r="K2" s="56">
        <v>0</v>
      </c>
      <c r="L2" s="144"/>
      <c r="M2" s="56">
        <v>0</v>
      </c>
      <c r="N2" s="144"/>
      <c r="O2" s="56">
        <v>0</v>
      </c>
      <c r="P2" s="144"/>
      <c r="Q2" s="56">
        <v>0</v>
      </c>
      <c r="R2" s="144"/>
      <c r="S2" s="56">
        <v>0</v>
      </c>
      <c r="T2" s="144"/>
      <c r="U2" s="56">
        <v>0</v>
      </c>
      <c r="V2" s="144"/>
      <c r="W2" s="56">
        <v>0</v>
      </c>
      <c r="X2" s="144"/>
      <c r="Y2" s="56">
        <v>0</v>
      </c>
      <c r="Z2" s="144"/>
      <c r="AA2" s="56">
        <v>0</v>
      </c>
      <c r="AB2" s="393"/>
      <c r="AC2" s="56">
        <v>0</v>
      </c>
      <c r="AD2" s="145"/>
      <c r="AE2" s="56">
        <v>0</v>
      </c>
      <c r="AF2" s="145"/>
      <c r="AG2" s="56">
        <v>0</v>
      </c>
      <c r="AH2" s="144"/>
      <c r="AI2" s="56">
        <v>0</v>
      </c>
      <c r="AJ2" s="144"/>
      <c r="AK2" s="56">
        <v>0</v>
      </c>
      <c r="AL2" s="144"/>
      <c r="AM2" s="56">
        <v>0</v>
      </c>
      <c r="AN2" s="81">
        <v>20552.755657371155</v>
      </c>
      <c r="AO2" s="106">
        <v>1</v>
      </c>
      <c r="AP2" s="122" t="s">
        <v>318</v>
      </c>
      <c r="AQ2" s="127">
        <v>1</v>
      </c>
      <c r="AR2" s="121">
        <v>20552.755657371155</v>
      </c>
      <c r="AS2" s="333" t="s">
        <v>349</v>
      </c>
      <c r="AT2" s="360">
        <v>18</v>
      </c>
    </row>
    <row r="3" spans="1:46" x14ac:dyDescent="0.3">
      <c r="A3" s="412" t="s">
        <v>98</v>
      </c>
      <c r="B3" s="8" t="s">
        <v>99</v>
      </c>
      <c r="C3" s="96" t="s">
        <v>342</v>
      </c>
      <c r="D3" s="144">
        <v>1</v>
      </c>
      <c r="E3" s="56">
        <v>17887.388810409495</v>
      </c>
      <c r="F3" s="144"/>
      <c r="G3" s="56">
        <v>0</v>
      </c>
      <c r="H3" s="144"/>
      <c r="I3" s="56">
        <v>0</v>
      </c>
      <c r="J3" s="144"/>
      <c r="K3" s="56">
        <v>0</v>
      </c>
      <c r="L3" s="144"/>
      <c r="M3" s="56">
        <v>0</v>
      </c>
      <c r="N3" s="144"/>
      <c r="O3" s="56">
        <v>0</v>
      </c>
      <c r="P3" s="144"/>
      <c r="Q3" s="56">
        <v>0</v>
      </c>
      <c r="R3" s="144"/>
      <c r="S3" s="56">
        <v>0</v>
      </c>
      <c r="T3" s="144"/>
      <c r="U3" s="56">
        <v>0</v>
      </c>
      <c r="V3" s="144"/>
      <c r="W3" s="56">
        <v>0</v>
      </c>
      <c r="X3" s="144"/>
      <c r="Y3" s="56">
        <v>0</v>
      </c>
      <c r="Z3" s="144"/>
      <c r="AA3" s="56">
        <v>0</v>
      </c>
      <c r="AB3" s="393"/>
      <c r="AC3" s="56">
        <v>0</v>
      </c>
      <c r="AD3" s="145"/>
      <c r="AE3" s="56">
        <v>0</v>
      </c>
      <c r="AF3" s="145"/>
      <c r="AG3" s="56">
        <v>0</v>
      </c>
      <c r="AH3" s="144"/>
      <c r="AI3" s="56">
        <v>0</v>
      </c>
      <c r="AJ3" s="144"/>
      <c r="AK3" s="56">
        <v>0</v>
      </c>
      <c r="AL3" s="144"/>
      <c r="AM3" s="56">
        <v>0</v>
      </c>
      <c r="AN3" s="81">
        <v>17887.388810409495</v>
      </c>
      <c r="AO3" s="106">
        <v>1</v>
      </c>
      <c r="AP3" s="122" t="s">
        <v>318</v>
      </c>
      <c r="AQ3" s="127">
        <v>1</v>
      </c>
      <c r="AR3" s="121">
        <v>17887.388810409495</v>
      </c>
      <c r="AS3" s="333" t="s">
        <v>349</v>
      </c>
      <c r="AT3" s="360">
        <v>18</v>
      </c>
    </row>
    <row r="4" spans="1:46" x14ac:dyDescent="0.3">
      <c r="A4" s="412" t="s">
        <v>104</v>
      </c>
      <c r="B4" s="8" t="s">
        <v>105</v>
      </c>
      <c r="C4" s="96" t="s">
        <v>342</v>
      </c>
      <c r="D4" s="144"/>
      <c r="E4" s="56">
        <v>0</v>
      </c>
      <c r="F4" s="144"/>
      <c r="G4" s="56">
        <v>0</v>
      </c>
      <c r="H4" s="144"/>
      <c r="I4" s="56">
        <v>0</v>
      </c>
      <c r="J4" s="144"/>
      <c r="K4" s="56">
        <v>0</v>
      </c>
      <c r="L4" s="144"/>
      <c r="M4" s="56">
        <v>0</v>
      </c>
      <c r="N4" s="144"/>
      <c r="O4" s="56">
        <v>0</v>
      </c>
      <c r="P4" s="144"/>
      <c r="Q4" s="56">
        <v>0</v>
      </c>
      <c r="R4" s="144"/>
      <c r="S4" s="56">
        <v>0</v>
      </c>
      <c r="T4" s="144"/>
      <c r="U4" s="56">
        <v>0</v>
      </c>
      <c r="V4" s="144"/>
      <c r="W4" s="56">
        <v>0</v>
      </c>
      <c r="X4" s="144"/>
      <c r="Y4" s="56">
        <v>0</v>
      </c>
      <c r="Z4" s="146"/>
      <c r="AA4" s="56">
        <v>0</v>
      </c>
      <c r="AB4" s="393"/>
      <c r="AC4" s="56">
        <v>0</v>
      </c>
      <c r="AD4" s="145"/>
      <c r="AE4" s="56">
        <v>0</v>
      </c>
      <c r="AF4" s="145"/>
      <c r="AG4" s="56">
        <v>0</v>
      </c>
      <c r="AH4" s="146"/>
      <c r="AI4" s="56">
        <v>0</v>
      </c>
      <c r="AJ4" s="146"/>
      <c r="AK4" s="56">
        <v>0</v>
      </c>
      <c r="AL4" s="146">
        <v>1</v>
      </c>
      <c r="AM4" s="56">
        <v>17887.388810409495</v>
      </c>
      <c r="AN4" s="81">
        <v>17887.388810409495</v>
      </c>
      <c r="AO4" s="106">
        <v>1</v>
      </c>
      <c r="AP4" s="122" t="s">
        <v>318</v>
      </c>
      <c r="AQ4" s="127">
        <v>1</v>
      </c>
      <c r="AR4" s="121">
        <v>17887.388810409495</v>
      </c>
      <c r="AS4" s="333" t="s">
        <v>349</v>
      </c>
      <c r="AT4" s="360">
        <v>18</v>
      </c>
    </row>
    <row r="5" spans="1:46" x14ac:dyDescent="0.3">
      <c r="A5" s="412" t="s">
        <v>121</v>
      </c>
      <c r="B5" s="8" t="s">
        <v>232</v>
      </c>
      <c r="C5" s="96" t="s">
        <v>343</v>
      </c>
      <c r="D5" s="144"/>
      <c r="E5" s="56">
        <v>0</v>
      </c>
      <c r="F5" s="144"/>
      <c r="G5" s="56">
        <v>0</v>
      </c>
      <c r="H5" s="144">
        <v>1</v>
      </c>
      <c r="I5" s="56">
        <v>17887.388810409495</v>
      </c>
      <c r="J5" s="144"/>
      <c r="K5" s="56">
        <v>0</v>
      </c>
      <c r="L5" s="144"/>
      <c r="M5" s="56">
        <v>0</v>
      </c>
      <c r="N5" s="144"/>
      <c r="O5" s="56">
        <v>0</v>
      </c>
      <c r="P5" s="144"/>
      <c r="Q5" s="56">
        <v>0</v>
      </c>
      <c r="R5" s="144"/>
      <c r="S5" s="56">
        <v>0</v>
      </c>
      <c r="T5" s="144"/>
      <c r="U5" s="56">
        <v>0</v>
      </c>
      <c r="V5" s="144"/>
      <c r="W5" s="56">
        <v>0</v>
      </c>
      <c r="X5" s="144"/>
      <c r="Y5" s="56">
        <v>0</v>
      </c>
      <c r="Z5" s="144"/>
      <c r="AA5" s="56">
        <v>0</v>
      </c>
      <c r="AB5" s="393"/>
      <c r="AC5" s="56">
        <v>0</v>
      </c>
      <c r="AD5" s="145"/>
      <c r="AE5" s="56">
        <v>0</v>
      </c>
      <c r="AF5" s="145"/>
      <c r="AG5" s="56">
        <v>0</v>
      </c>
      <c r="AH5" s="144"/>
      <c r="AI5" s="56">
        <v>0</v>
      </c>
      <c r="AJ5" s="144"/>
      <c r="AK5" s="56">
        <v>0</v>
      </c>
      <c r="AL5" s="144"/>
      <c r="AM5" s="56">
        <v>0</v>
      </c>
      <c r="AN5" s="81">
        <v>17887.388810409495</v>
      </c>
      <c r="AO5" s="106">
        <v>1</v>
      </c>
      <c r="AP5" s="122" t="s">
        <v>318</v>
      </c>
      <c r="AQ5" s="127">
        <v>1</v>
      </c>
      <c r="AR5" s="121">
        <v>17887.388810409495</v>
      </c>
      <c r="AS5" s="333" t="s">
        <v>349</v>
      </c>
      <c r="AT5" s="360">
        <v>18</v>
      </c>
    </row>
    <row r="6" spans="1:46" x14ac:dyDescent="0.3">
      <c r="A6" s="412" t="s">
        <v>40</v>
      </c>
      <c r="B6" s="8" t="s">
        <v>41</v>
      </c>
      <c r="C6" s="96" t="s">
        <v>343</v>
      </c>
      <c r="D6" s="144">
        <v>1</v>
      </c>
      <c r="E6" s="56">
        <v>15634.853025719462</v>
      </c>
      <c r="F6" s="144">
        <v>1</v>
      </c>
      <c r="G6" s="56">
        <v>15634.853025719462</v>
      </c>
      <c r="H6" s="144">
        <v>1</v>
      </c>
      <c r="I6" s="56">
        <v>15634.853025719462</v>
      </c>
      <c r="J6" s="144"/>
      <c r="K6" s="56">
        <v>0</v>
      </c>
      <c r="L6" s="144"/>
      <c r="M6" s="56">
        <v>0</v>
      </c>
      <c r="N6" s="144">
        <v>1</v>
      </c>
      <c r="O6" s="56">
        <v>15634.853025719462</v>
      </c>
      <c r="P6" s="144"/>
      <c r="Q6" s="56">
        <v>0</v>
      </c>
      <c r="R6" s="144"/>
      <c r="S6" s="56">
        <v>0</v>
      </c>
      <c r="T6" s="144">
        <v>1</v>
      </c>
      <c r="U6" s="56">
        <v>15634.853025719462</v>
      </c>
      <c r="V6" s="144"/>
      <c r="W6" s="56">
        <v>0</v>
      </c>
      <c r="X6" s="144"/>
      <c r="Y6" s="56">
        <v>0</v>
      </c>
      <c r="Z6" s="144">
        <v>1</v>
      </c>
      <c r="AA6" s="56">
        <v>15634.853025719462</v>
      </c>
      <c r="AB6" s="393"/>
      <c r="AC6" s="56">
        <v>0</v>
      </c>
      <c r="AD6" s="145"/>
      <c r="AE6" s="56">
        <v>0</v>
      </c>
      <c r="AF6" s="144"/>
      <c r="AG6" s="56">
        <v>0</v>
      </c>
      <c r="AH6" s="144"/>
      <c r="AI6" s="56">
        <v>0</v>
      </c>
      <c r="AJ6" s="144"/>
      <c r="AK6" s="56">
        <v>0</v>
      </c>
      <c r="AL6" s="144">
        <v>1</v>
      </c>
      <c r="AM6" s="56">
        <v>15634.853025719462</v>
      </c>
      <c r="AN6" s="81">
        <v>109443.97118003624</v>
      </c>
      <c r="AO6" s="106">
        <v>7</v>
      </c>
      <c r="AP6" s="122" t="s">
        <v>318</v>
      </c>
      <c r="AQ6" s="127">
        <v>1</v>
      </c>
      <c r="AR6" s="121">
        <v>109443.97118003624</v>
      </c>
      <c r="AS6" s="333" t="s">
        <v>349</v>
      </c>
      <c r="AT6" s="360">
        <v>18</v>
      </c>
    </row>
    <row r="7" spans="1:46" x14ac:dyDescent="0.3">
      <c r="A7" s="412" t="s">
        <v>11</v>
      </c>
      <c r="B7" s="8" t="s">
        <v>12</v>
      </c>
      <c r="C7" s="96" t="s">
        <v>345</v>
      </c>
      <c r="D7" s="144">
        <v>1</v>
      </c>
      <c r="E7" s="56">
        <v>10832.305638431757</v>
      </c>
      <c r="F7" s="144">
        <v>1</v>
      </c>
      <c r="G7" s="56">
        <v>10832.305638431757</v>
      </c>
      <c r="H7" s="144">
        <v>1</v>
      </c>
      <c r="I7" s="56">
        <v>10832.305638431757</v>
      </c>
      <c r="J7" s="144">
        <v>1</v>
      </c>
      <c r="K7" s="56">
        <v>10832.305638431757</v>
      </c>
      <c r="L7" s="144">
        <v>1</v>
      </c>
      <c r="M7" s="56">
        <v>10832.305638431757</v>
      </c>
      <c r="N7" s="144">
        <v>1</v>
      </c>
      <c r="O7" s="56">
        <v>10832.305638431757</v>
      </c>
      <c r="P7" s="144">
        <v>1</v>
      </c>
      <c r="Q7" s="56">
        <v>10832.305638431757</v>
      </c>
      <c r="R7" s="144">
        <v>1</v>
      </c>
      <c r="S7" s="56">
        <v>10832.305638431757</v>
      </c>
      <c r="T7" s="144">
        <v>1</v>
      </c>
      <c r="U7" s="56">
        <v>10832.305638431757</v>
      </c>
      <c r="V7" s="144">
        <v>1</v>
      </c>
      <c r="W7" s="56">
        <v>10832.305638431757</v>
      </c>
      <c r="X7" s="144">
        <v>1</v>
      </c>
      <c r="Y7" s="56">
        <v>10832.305638431757</v>
      </c>
      <c r="Z7" s="144">
        <v>1</v>
      </c>
      <c r="AA7" s="56">
        <v>10832.305638431757</v>
      </c>
      <c r="AB7" s="394">
        <v>1</v>
      </c>
      <c r="AC7" s="56">
        <v>10832.305638431757</v>
      </c>
      <c r="AD7" s="144">
        <v>1</v>
      </c>
      <c r="AE7" s="56">
        <v>10832.305638431757</v>
      </c>
      <c r="AF7" s="144">
        <v>1</v>
      </c>
      <c r="AG7" s="56">
        <v>10832.305638431757</v>
      </c>
      <c r="AH7" s="144">
        <v>1</v>
      </c>
      <c r="AI7" s="56">
        <v>10832.305638431757</v>
      </c>
      <c r="AJ7" s="144">
        <v>1</v>
      </c>
      <c r="AK7" s="56">
        <v>10832.305638431757</v>
      </c>
      <c r="AL7" s="144">
        <v>1</v>
      </c>
      <c r="AM7" s="56">
        <v>10832.305638431757</v>
      </c>
      <c r="AN7" s="81">
        <v>194981.5014917716</v>
      </c>
      <c r="AO7" s="106">
        <v>18</v>
      </c>
      <c r="AP7" s="122" t="s">
        <v>318</v>
      </c>
      <c r="AQ7" s="127">
        <v>1</v>
      </c>
      <c r="AR7" s="121">
        <v>194981.5014917716</v>
      </c>
      <c r="AS7" s="333" t="s">
        <v>349</v>
      </c>
      <c r="AT7" s="360">
        <v>18</v>
      </c>
    </row>
    <row r="8" spans="1:46" x14ac:dyDescent="0.3">
      <c r="A8" s="412" t="s">
        <v>3</v>
      </c>
      <c r="B8" s="8" t="s">
        <v>4</v>
      </c>
      <c r="C8" s="96" t="s">
        <v>342</v>
      </c>
      <c r="D8" s="144">
        <v>1</v>
      </c>
      <c r="E8" s="56">
        <v>20406.13276336317</v>
      </c>
      <c r="F8" s="144"/>
      <c r="G8" s="56">
        <v>0</v>
      </c>
      <c r="H8" s="144"/>
      <c r="I8" s="56">
        <v>0</v>
      </c>
      <c r="J8" s="144"/>
      <c r="K8" s="56">
        <v>0</v>
      </c>
      <c r="L8" s="144"/>
      <c r="M8" s="56">
        <v>0</v>
      </c>
      <c r="N8" s="144"/>
      <c r="O8" s="56">
        <v>0</v>
      </c>
      <c r="P8" s="144"/>
      <c r="Q8" s="56">
        <v>0</v>
      </c>
      <c r="R8" s="144"/>
      <c r="S8" s="56">
        <v>0</v>
      </c>
      <c r="T8" s="144"/>
      <c r="U8" s="56">
        <v>0</v>
      </c>
      <c r="V8" s="144"/>
      <c r="W8" s="56">
        <v>0</v>
      </c>
      <c r="X8" s="144"/>
      <c r="Y8" s="56">
        <v>0</v>
      </c>
      <c r="Z8" s="144"/>
      <c r="AA8" s="56">
        <v>0</v>
      </c>
      <c r="AB8" s="393"/>
      <c r="AC8" s="56">
        <v>0</v>
      </c>
      <c r="AD8" s="145"/>
      <c r="AE8" s="56">
        <v>0</v>
      </c>
      <c r="AF8" s="145"/>
      <c r="AG8" s="56">
        <v>0</v>
      </c>
      <c r="AH8" s="144"/>
      <c r="AI8" s="56">
        <v>0</v>
      </c>
      <c r="AJ8" s="144"/>
      <c r="AK8" s="56">
        <v>0</v>
      </c>
      <c r="AL8" s="144"/>
      <c r="AM8" s="56">
        <v>0</v>
      </c>
      <c r="AN8" s="81">
        <v>20406.13276336317</v>
      </c>
      <c r="AO8" s="106">
        <v>1</v>
      </c>
      <c r="AP8" s="122" t="s">
        <v>318</v>
      </c>
      <c r="AQ8" s="127">
        <v>1</v>
      </c>
      <c r="AR8" s="121">
        <v>20406.13276336317</v>
      </c>
      <c r="AS8" s="333" t="s">
        <v>349</v>
      </c>
      <c r="AT8" s="360">
        <v>18</v>
      </c>
    </row>
    <row r="9" spans="1:46" x14ac:dyDescent="0.3">
      <c r="A9" s="412" t="s">
        <v>5</v>
      </c>
      <c r="B9" s="8" t="s">
        <v>6</v>
      </c>
      <c r="C9" s="96" t="s">
        <v>342</v>
      </c>
      <c r="D9" s="144">
        <v>1</v>
      </c>
      <c r="E9" s="56">
        <v>18768.367820181349</v>
      </c>
      <c r="F9" s="144"/>
      <c r="G9" s="56">
        <v>0</v>
      </c>
      <c r="H9" s="144"/>
      <c r="I9" s="56">
        <v>0</v>
      </c>
      <c r="J9" s="144"/>
      <c r="K9" s="56">
        <v>0</v>
      </c>
      <c r="L9" s="144"/>
      <c r="M9" s="56">
        <v>0</v>
      </c>
      <c r="N9" s="144"/>
      <c r="O9" s="56">
        <v>0</v>
      </c>
      <c r="P9" s="144"/>
      <c r="Q9" s="56">
        <v>0</v>
      </c>
      <c r="R9" s="144"/>
      <c r="S9" s="56">
        <v>0</v>
      </c>
      <c r="T9" s="144"/>
      <c r="U9" s="56">
        <v>0</v>
      </c>
      <c r="V9" s="144"/>
      <c r="W9" s="56">
        <v>0</v>
      </c>
      <c r="X9" s="144"/>
      <c r="Y9" s="56">
        <v>0</v>
      </c>
      <c r="Z9" s="144"/>
      <c r="AA9" s="56">
        <v>0</v>
      </c>
      <c r="AB9" s="393"/>
      <c r="AC9" s="56">
        <v>0</v>
      </c>
      <c r="AD9" s="145"/>
      <c r="AE9" s="56">
        <v>0</v>
      </c>
      <c r="AF9" s="145"/>
      <c r="AG9" s="56">
        <v>0</v>
      </c>
      <c r="AH9" s="144"/>
      <c r="AI9" s="56">
        <v>0</v>
      </c>
      <c r="AJ9" s="144"/>
      <c r="AK9" s="56">
        <v>0</v>
      </c>
      <c r="AL9" s="144"/>
      <c r="AM9" s="56">
        <v>0</v>
      </c>
      <c r="AN9" s="81">
        <v>18768.367820181349</v>
      </c>
      <c r="AO9" s="106">
        <v>1</v>
      </c>
      <c r="AP9" s="122" t="s">
        <v>318</v>
      </c>
      <c r="AQ9" s="127">
        <v>1</v>
      </c>
      <c r="AR9" s="121">
        <v>18768.367820181349</v>
      </c>
      <c r="AS9" s="333" t="s">
        <v>349</v>
      </c>
      <c r="AT9" s="360">
        <v>18</v>
      </c>
    </row>
    <row r="10" spans="1:46" x14ac:dyDescent="0.3">
      <c r="A10" s="412" t="s">
        <v>74</v>
      </c>
      <c r="B10" s="8" t="s">
        <v>75</v>
      </c>
      <c r="C10" s="96" t="s">
        <v>342</v>
      </c>
      <c r="D10" s="144"/>
      <c r="E10" s="56">
        <v>0</v>
      </c>
      <c r="F10" s="144"/>
      <c r="G10" s="56">
        <v>0</v>
      </c>
      <c r="H10" s="144">
        <v>1</v>
      </c>
      <c r="I10" s="56">
        <v>21404.190244376427</v>
      </c>
      <c r="J10" s="144"/>
      <c r="K10" s="56">
        <v>0</v>
      </c>
      <c r="L10" s="144"/>
      <c r="M10" s="56">
        <v>0</v>
      </c>
      <c r="N10" s="144"/>
      <c r="O10" s="56">
        <v>0</v>
      </c>
      <c r="P10" s="144"/>
      <c r="Q10" s="56">
        <v>0</v>
      </c>
      <c r="R10" s="144"/>
      <c r="S10" s="56">
        <v>0</v>
      </c>
      <c r="T10" s="144"/>
      <c r="U10" s="56">
        <v>0</v>
      </c>
      <c r="V10" s="144"/>
      <c r="W10" s="56">
        <v>0</v>
      </c>
      <c r="X10" s="144"/>
      <c r="Y10" s="56">
        <v>0</v>
      </c>
      <c r="Z10" s="144"/>
      <c r="AA10" s="56">
        <v>0</v>
      </c>
      <c r="AB10" s="393"/>
      <c r="AC10" s="56">
        <v>0</v>
      </c>
      <c r="AD10" s="145"/>
      <c r="AE10" s="56">
        <v>0</v>
      </c>
      <c r="AF10" s="145"/>
      <c r="AG10" s="56">
        <v>0</v>
      </c>
      <c r="AH10" s="144"/>
      <c r="AI10" s="56">
        <v>0</v>
      </c>
      <c r="AJ10" s="144"/>
      <c r="AK10" s="56">
        <v>0</v>
      </c>
      <c r="AL10" s="144"/>
      <c r="AM10" s="56">
        <v>0</v>
      </c>
      <c r="AN10" s="81">
        <v>21404.190244376427</v>
      </c>
      <c r="AO10" s="106">
        <v>1</v>
      </c>
      <c r="AP10" s="122" t="s">
        <v>318</v>
      </c>
      <c r="AQ10" s="127">
        <v>1</v>
      </c>
      <c r="AR10" s="121">
        <v>21404.190244376427</v>
      </c>
      <c r="AS10" s="333" t="s">
        <v>349</v>
      </c>
      <c r="AT10" s="360">
        <v>18</v>
      </c>
    </row>
    <row r="11" spans="1:46" x14ac:dyDescent="0.3">
      <c r="A11" s="412" t="s">
        <v>36</v>
      </c>
      <c r="B11" s="8" t="s">
        <v>136</v>
      </c>
      <c r="C11" s="96" t="s">
        <v>344</v>
      </c>
      <c r="D11" s="144"/>
      <c r="E11" s="56">
        <v>0</v>
      </c>
      <c r="F11" s="144"/>
      <c r="G11" s="56">
        <v>0</v>
      </c>
      <c r="H11" s="144">
        <v>8</v>
      </c>
      <c r="I11" s="56">
        <v>70240.958933331567</v>
      </c>
      <c r="J11" s="144">
        <v>8</v>
      </c>
      <c r="K11" s="56">
        <v>70240.958933331567</v>
      </c>
      <c r="L11" s="144">
        <v>8</v>
      </c>
      <c r="M11" s="56">
        <v>70240.958933331567</v>
      </c>
      <c r="N11" s="144">
        <v>8</v>
      </c>
      <c r="O11" s="56">
        <v>70240.958933331567</v>
      </c>
      <c r="P11" s="144">
        <v>8</v>
      </c>
      <c r="Q11" s="56">
        <v>70240.958933331567</v>
      </c>
      <c r="R11" s="144">
        <v>8</v>
      </c>
      <c r="S11" s="56">
        <v>70240.958933331567</v>
      </c>
      <c r="T11" s="144">
        <v>8</v>
      </c>
      <c r="U11" s="56">
        <v>70240.958933331567</v>
      </c>
      <c r="V11" s="144">
        <v>8</v>
      </c>
      <c r="W11" s="56">
        <v>70240.958933331567</v>
      </c>
      <c r="X11" s="144">
        <v>8</v>
      </c>
      <c r="Y11" s="56">
        <v>70240.958933331567</v>
      </c>
      <c r="Z11" s="144">
        <v>8</v>
      </c>
      <c r="AA11" s="56">
        <v>70240.958933331567</v>
      </c>
      <c r="AB11" s="394">
        <v>8</v>
      </c>
      <c r="AC11" s="56">
        <v>70240.958933331567</v>
      </c>
      <c r="AD11" s="144">
        <v>8</v>
      </c>
      <c r="AE11" s="56">
        <v>70240.958933331567</v>
      </c>
      <c r="AF11" s="144">
        <v>8</v>
      </c>
      <c r="AG11" s="56">
        <v>70240.958933331567</v>
      </c>
      <c r="AH11" s="144">
        <v>8</v>
      </c>
      <c r="AI11" s="56">
        <v>70240.958933331567</v>
      </c>
      <c r="AJ11" s="144">
        <v>8</v>
      </c>
      <c r="AK11" s="56">
        <v>70240.958933331567</v>
      </c>
      <c r="AL11" s="144">
        <v>8</v>
      </c>
      <c r="AM11" s="56">
        <v>70240.958933331567</v>
      </c>
      <c r="AN11" s="81">
        <v>1123855.3429333048</v>
      </c>
      <c r="AO11" s="106">
        <v>128</v>
      </c>
      <c r="AP11" s="122" t="s">
        <v>318</v>
      </c>
      <c r="AQ11" s="127">
        <v>1</v>
      </c>
      <c r="AR11" s="121">
        <v>1123855.3429333048</v>
      </c>
      <c r="AS11" s="333" t="s">
        <v>349</v>
      </c>
      <c r="AT11" s="360">
        <v>18</v>
      </c>
    </row>
    <row r="12" spans="1:46" x14ac:dyDescent="0.3">
      <c r="A12" s="412" t="s">
        <v>15</v>
      </c>
      <c r="B12" s="8" t="s">
        <v>16</v>
      </c>
      <c r="C12" s="96" t="s">
        <v>342</v>
      </c>
      <c r="D12" s="144"/>
      <c r="E12" s="56">
        <v>0</v>
      </c>
      <c r="F12" s="144"/>
      <c r="G12" s="56">
        <v>0</v>
      </c>
      <c r="H12" s="144"/>
      <c r="I12" s="56">
        <v>0</v>
      </c>
      <c r="J12" s="144"/>
      <c r="K12" s="56">
        <v>0</v>
      </c>
      <c r="L12" s="144"/>
      <c r="M12" s="56">
        <v>0</v>
      </c>
      <c r="N12" s="144"/>
      <c r="O12" s="56">
        <v>0</v>
      </c>
      <c r="P12" s="144"/>
      <c r="Q12" s="56">
        <v>0</v>
      </c>
      <c r="R12" s="144"/>
      <c r="S12" s="56">
        <v>0</v>
      </c>
      <c r="T12" s="144"/>
      <c r="U12" s="56">
        <v>0</v>
      </c>
      <c r="V12" s="144"/>
      <c r="W12" s="56">
        <v>0</v>
      </c>
      <c r="X12" s="144"/>
      <c r="Y12" s="56">
        <v>0</v>
      </c>
      <c r="Z12" s="144"/>
      <c r="AA12" s="56">
        <v>0</v>
      </c>
      <c r="AB12" s="393"/>
      <c r="AC12" s="56">
        <v>0</v>
      </c>
      <c r="AD12" s="145"/>
      <c r="AE12" s="56">
        <v>0</v>
      </c>
      <c r="AF12" s="145"/>
      <c r="AG12" s="56">
        <v>0</v>
      </c>
      <c r="AH12" s="144"/>
      <c r="AI12" s="56">
        <v>0</v>
      </c>
      <c r="AJ12" s="144"/>
      <c r="AK12" s="56">
        <v>0</v>
      </c>
      <c r="AL12" s="144">
        <v>1</v>
      </c>
      <c r="AM12" s="56">
        <v>22052.520800552971</v>
      </c>
      <c r="AN12" s="81">
        <v>22052.520800552971</v>
      </c>
      <c r="AO12" s="106">
        <v>1</v>
      </c>
      <c r="AP12" s="122" t="s">
        <v>318</v>
      </c>
      <c r="AQ12" s="127">
        <v>1</v>
      </c>
      <c r="AR12" s="121">
        <v>22052.520800552971</v>
      </c>
      <c r="AS12" s="333" t="s">
        <v>349</v>
      </c>
      <c r="AT12" s="360">
        <v>18</v>
      </c>
    </row>
    <row r="13" spans="1:46" x14ac:dyDescent="0.3">
      <c r="A13" s="412" t="s">
        <v>17</v>
      </c>
      <c r="B13" s="8" t="s">
        <v>18</v>
      </c>
      <c r="C13" s="96" t="s">
        <v>342</v>
      </c>
      <c r="D13" s="144"/>
      <c r="E13" s="56">
        <v>0</v>
      </c>
      <c r="F13" s="144"/>
      <c r="G13" s="56">
        <v>0</v>
      </c>
      <c r="H13" s="144"/>
      <c r="I13" s="56">
        <v>0</v>
      </c>
      <c r="J13" s="144"/>
      <c r="K13" s="56">
        <v>0</v>
      </c>
      <c r="L13" s="144"/>
      <c r="M13" s="56">
        <v>0</v>
      </c>
      <c r="N13" s="144"/>
      <c r="O13" s="56">
        <v>0</v>
      </c>
      <c r="P13" s="144"/>
      <c r="Q13" s="56">
        <v>0</v>
      </c>
      <c r="R13" s="144"/>
      <c r="S13" s="56">
        <v>0</v>
      </c>
      <c r="T13" s="144"/>
      <c r="U13" s="56">
        <v>0</v>
      </c>
      <c r="V13" s="144"/>
      <c r="W13" s="56">
        <v>0</v>
      </c>
      <c r="X13" s="144"/>
      <c r="Y13" s="56">
        <v>0</v>
      </c>
      <c r="Z13" s="144"/>
      <c r="AA13" s="56">
        <v>0</v>
      </c>
      <c r="AB13" s="393"/>
      <c r="AC13" s="56">
        <v>0</v>
      </c>
      <c r="AD13" s="145"/>
      <c r="AE13" s="56">
        <v>0</v>
      </c>
      <c r="AF13" s="145"/>
      <c r="AG13" s="56">
        <v>0</v>
      </c>
      <c r="AH13" s="144"/>
      <c r="AI13" s="56">
        <v>0</v>
      </c>
      <c r="AJ13" s="144"/>
      <c r="AK13" s="56">
        <v>0</v>
      </c>
      <c r="AL13" s="144">
        <v>1</v>
      </c>
      <c r="AM13" s="56">
        <v>20414.75585737115</v>
      </c>
      <c r="AN13" s="81">
        <v>20414.75585737115</v>
      </c>
      <c r="AO13" s="106">
        <v>1</v>
      </c>
      <c r="AP13" s="122" t="s">
        <v>318</v>
      </c>
      <c r="AQ13" s="127">
        <v>1</v>
      </c>
      <c r="AR13" s="121">
        <v>20414.75585737115</v>
      </c>
      <c r="AS13" s="333" t="s">
        <v>349</v>
      </c>
      <c r="AT13" s="360">
        <v>18</v>
      </c>
    </row>
    <row r="14" spans="1:46" x14ac:dyDescent="0.3">
      <c r="A14" s="412" t="s">
        <v>27</v>
      </c>
      <c r="B14" s="8" t="s">
        <v>28</v>
      </c>
      <c r="C14" s="96" t="s">
        <v>346</v>
      </c>
      <c r="D14" s="144">
        <v>1</v>
      </c>
      <c r="E14" s="56">
        <v>43480.816890660324</v>
      </c>
      <c r="F14" s="144"/>
      <c r="G14" s="56">
        <v>0</v>
      </c>
      <c r="H14" s="144"/>
      <c r="I14" s="56">
        <v>0</v>
      </c>
      <c r="J14" s="144"/>
      <c r="K14" s="56">
        <v>0</v>
      </c>
      <c r="L14" s="144"/>
      <c r="M14" s="56">
        <v>0</v>
      </c>
      <c r="N14" s="144"/>
      <c r="O14" s="56">
        <v>0</v>
      </c>
      <c r="P14" s="144"/>
      <c r="Q14" s="56">
        <v>0</v>
      </c>
      <c r="R14" s="144"/>
      <c r="S14" s="56">
        <v>0</v>
      </c>
      <c r="T14" s="144"/>
      <c r="U14" s="56">
        <v>0</v>
      </c>
      <c r="V14" s="144"/>
      <c r="W14" s="56">
        <v>0</v>
      </c>
      <c r="X14" s="144"/>
      <c r="Y14" s="56">
        <v>0</v>
      </c>
      <c r="Z14" s="144"/>
      <c r="AA14" s="56">
        <v>0</v>
      </c>
      <c r="AB14" s="393"/>
      <c r="AC14" s="56">
        <v>0</v>
      </c>
      <c r="AD14" s="145"/>
      <c r="AE14" s="56">
        <v>0</v>
      </c>
      <c r="AF14" s="145"/>
      <c r="AG14" s="56">
        <v>0</v>
      </c>
      <c r="AH14" s="144"/>
      <c r="AI14" s="56">
        <v>0</v>
      </c>
      <c r="AJ14" s="144"/>
      <c r="AK14" s="56">
        <v>0</v>
      </c>
      <c r="AL14" s="144">
        <v>1</v>
      </c>
      <c r="AM14" s="56">
        <v>43480.816890660324</v>
      </c>
      <c r="AN14" s="81">
        <v>86961.633781320648</v>
      </c>
      <c r="AO14" s="106">
        <v>2</v>
      </c>
      <c r="AP14" s="122" t="s">
        <v>318</v>
      </c>
      <c r="AQ14" s="127">
        <v>1</v>
      </c>
      <c r="AR14" s="121">
        <v>86961.633781320648</v>
      </c>
      <c r="AS14" s="333" t="s">
        <v>349</v>
      </c>
      <c r="AT14" s="360">
        <v>18</v>
      </c>
    </row>
    <row r="15" spans="1:46" x14ac:dyDescent="0.3">
      <c r="A15" s="412" t="s">
        <v>25</v>
      </c>
      <c r="B15" s="8" t="s">
        <v>26</v>
      </c>
      <c r="C15" s="96" t="s">
        <v>346</v>
      </c>
      <c r="D15" s="144"/>
      <c r="E15" s="56">
        <v>0</v>
      </c>
      <c r="F15" s="144"/>
      <c r="G15" s="56">
        <v>0</v>
      </c>
      <c r="H15" s="144">
        <v>1</v>
      </c>
      <c r="I15" s="56">
        <v>32117.31737996532</v>
      </c>
      <c r="J15" s="144"/>
      <c r="K15" s="56">
        <v>0</v>
      </c>
      <c r="L15" s="144"/>
      <c r="M15" s="56">
        <v>0</v>
      </c>
      <c r="N15" s="144"/>
      <c r="O15" s="56">
        <v>0</v>
      </c>
      <c r="P15" s="144"/>
      <c r="Q15" s="56">
        <v>0</v>
      </c>
      <c r="R15" s="144"/>
      <c r="S15" s="56">
        <v>0</v>
      </c>
      <c r="T15" s="144"/>
      <c r="U15" s="56">
        <v>0</v>
      </c>
      <c r="V15" s="144"/>
      <c r="W15" s="56">
        <v>0</v>
      </c>
      <c r="X15" s="144"/>
      <c r="Y15" s="56">
        <v>0</v>
      </c>
      <c r="Z15" s="144"/>
      <c r="AA15" s="56">
        <v>0</v>
      </c>
      <c r="AB15" s="393"/>
      <c r="AC15" s="56">
        <v>0</v>
      </c>
      <c r="AD15" s="145"/>
      <c r="AE15" s="56">
        <v>0</v>
      </c>
      <c r="AF15" s="145"/>
      <c r="AG15" s="56">
        <v>0</v>
      </c>
      <c r="AH15" s="144"/>
      <c r="AI15" s="56">
        <v>0</v>
      </c>
      <c r="AJ15" s="144"/>
      <c r="AK15" s="56">
        <v>0</v>
      </c>
      <c r="AL15" s="144">
        <v>1</v>
      </c>
      <c r="AM15" s="56">
        <v>32117.31737996532</v>
      </c>
      <c r="AN15" s="81">
        <v>64234.634759930639</v>
      </c>
      <c r="AO15" s="106">
        <v>2</v>
      </c>
      <c r="AP15" s="122" t="s">
        <v>318</v>
      </c>
      <c r="AQ15" s="127">
        <v>1</v>
      </c>
      <c r="AR15" s="121">
        <v>64234.634759930639</v>
      </c>
      <c r="AS15" s="333" t="s">
        <v>349</v>
      </c>
      <c r="AT15" s="360">
        <v>18</v>
      </c>
    </row>
    <row r="16" spans="1:46" x14ac:dyDescent="0.3">
      <c r="A16" s="412" t="s">
        <v>81</v>
      </c>
      <c r="B16" s="8" t="s">
        <v>279</v>
      </c>
      <c r="C16" s="96" t="s">
        <v>346</v>
      </c>
      <c r="D16" s="144">
        <v>1</v>
      </c>
      <c r="E16" s="56">
        <v>37683.908143651206</v>
      </c>
      <c r="F16" s="144"/>
      <c r="G16" s="56">
        <v>0</v>
      </c>
      <c r="H16" s="144"/>
      <c r="I16" s="56">
        <v>0</v>
      </c>
      <c r="J16" s="144"/>
      <c r="K16" s="56">
        <v>0</v>
      </c>
      <c r="L16" s="144"/>
      <c r="M16" s="56">
        <v>0</v>
      </c>
      <c r="N16" s="144"/>
      <c r="O16" s="56">
        <v>0</v>
      </c>
      <c r="P16" s="144"/>
      <c r="Q16" s="56">
        <v>0</v>
      </c>
      <c r="R16" s="144"/>
      <c r="S16" s="56">
        <v>0</v>
      </c>
      <c r="T16" s="144"/>
      <c r="U16" s="56">
        <v>0</v>
      </c>
      <c r="V16" s="144"/>
      <c r="W16" s="56">
        <v>0</v>
      </c>
      <c r="X16" s="144"/>
      <c r="Y16" s="56">
        <v>0</v>
      </c>
      <c r="Z16" s="144"/>
      <c r="AA16" s="56">
        <v>0</v>
      </c>
      <c r="AB16" s="393"/>
      <c r="AC16" s="56">
        <v>0</v>
      </c>
      <c r="AD16" s="145"/>
      <c r="AE16" s="56">
        <v>0</v>
      </c>
      <c r="AF16" s="145"/>
      <c r="AG16" s="56">
        <v>0</v>
      </c>
      <c r="AH16" s="144"/>
      <c r="AI16" s="56">
        <v>0</v>
      </c>
      <c r="AJ16" s="144"/>
      <c r="AK16" s="56">
        <v>0</v>
      </c>
      <c r="AL16" s="144"/>
      <c r="AM16" s="56">
        <v>0</v>
      </c>
      <c r="AN16" s="81">
        <v>37683.908143651206</v>
      </c>
      <c r="AO16" s="106">
        <v>1</v>
      </c>
      <c r="AP16" s="122" t="s">
        <v>319</v>
      </c>
      <c r="AQ16" s="127">
        <v>0.13116123642439431</v>
      </c>
      <c r="AR16" s="121">
        <v>4942.667985424594</v>
      </c>
      <c r="AS16" s="333" t="s">
        <v>349</v>
      </c>
      <c r="AT16" s="360">
        <v>18</v>
      </c>
    </row>
    <row r="17" spans="1:46" x14ac:dyDescent="0.3">
      <c r="A17" s="412" t="s">
        <v>82</v>
      </c>
      <c r="B17" s="8" t="s">
        <v>83</v>
      </c>
      <c r="C17" s="96" t="s">
        <v>346</v>
      </c>
      <c r="D17" s="144">
        <v>1</v>
      </c>
      <c r="E17" s="56">
        <v>65169.207262455195</v>
      </c>
      <c r="F17" s="144"/>
      <c r="G17" s="56">
        <v>0</v>
      </c>
      <c r="H17" s="144"/>
      <c r="I17" s="56">
        <v>0</v>
      </c>
      <c r="J17" s="144"/>
      <c r="K17" s="56">
        <v>0</v>
      </c>
      <c r="L17" s="144"/>
      <c r="M17" s="56">
        <v>0</v>
      </c>
      <c r="N17" s="144"/>
      <c r="O17" s="56">
        <v>0</v>
      </c>
      <c r="P17" s="144"/>
      <c r="Q17" s="56">
        <v>0</v>
      </c>
      <c r="R17" s="144"/>
      <c r="S17" s="56">
        <v>0</v>
      </c>
      <c r="T17" s="144"/>
      <c r="U17" s="56">
        <v>0</v>
      </c>
      <c r="V17" s="144"/>
      <c r="W17" s="56">
        <v>0</v>
      </c>
      <c r="X17" s="144"/>
      <c r="Y17" s="56">
        <v>0</v>
      </c>
      <c r="Z17" s="144"/>
      <c r="AA17" s="56">
        <v>0</v>
      </c>
      <c r="AB17" s="393"/>
      <c r="AC17" s="56">
        <v>0</v>
      </c>
      <c r="AD17" s="145"/>
      <c r="AE17" s="56">
        <v>0</v>
      </c>
      <c r="AF17" s="145"/>
      <c r="AG17" s="56">
        <v>0</v>
      </c>
      <c r="AH17" s="144"/>
      <c r="AI17" s="56">
        <v>0</v>
      </c>
      <c r="AJ17" s="144"/>
      <c r="AK17" s="56">
        <v>0</v>
      </c>
      <c r="AL17" s="144"/>
      <c r="AM17" s="56">
        <v>0</v>
      </c>
      <c r="AN17" s="81">
        <v>65169.207262455195</v>
      </c>
      <c r="AO17" s="106">
        <v>1</v>
      </c>
      <c r="AP17" s="122" t="s">
        <v>319</v>
      </c>
      <c r="AQ17" s="127">
        <v>2.0885547201336674E-2</v>
      </c>
      <c r="AR17" s="121">
        <v>1361.0945543537007</v>
      </c>
      <c r="AS17" s="333" t="s">
        <v>349</v>
      </c>
      <c r="AT17" s="360">
        <v>18</v>
      </c>
    </row>
    <row r="18" spans="1:46" x14ac:dyDescent="0.3">
      <c r="A18" s="412" t="s">
        <v>84</v>
      </c>
      <c r="B18" s="8" t="s">
        <v>85</v>
      </c>
      <c r="C18" s="96" t="s">
        <v>346</v>
      </c>
      <c r="D18" s="144">
        <v>1</v>
      </c>
      <c r="E18" s="56">
        <v>68748.387080831264</v>
      </c>
      <c r="F18" s="144"/>
      <c r="G18" s="56">
        <v>0</v>
      </c>
      <c r="H18" s="144"/>
      <c r="I18" s="56">
        <v>0</v>
      </c>
      <c r="J18" s="144"/>
      <c r="K18" s="56">
        <v>0</v>
      </c>
      <c r="L18" s="144"/>
      <c r="M18" s="56">
        <v>0</v>
      </c>
      <c r="N18" s="144"/>
      <c r="O18" s="56">
        <v>0</v>
      </c>
      <c r="P18" s="144"/>
      <c r="Q18" s="56">
        <v>0</v>
      </c>
      <c r="R18" s="144"/>
      <c r="S18" s="56">
        <v>0</v>
      </c>
      <c r="T18" s="144"/>
      <c r="U18" s="56">
        <v>0</v>
      </c>
      <c r="V18" s="144"/>
      <c r="W18" s="56">
        <v>0</v>
      </c>
      <c r="X18" s="144"/>
      <c r="Y18" s="56">
        <v>0</v>
      </c>
      <c r="Z18" s="144"/>
      <c r="AA18" s="56">
        <v>0</v>
      </c>
      <c r="AB18" s="393"/>
      <c r="AC18" s="56">
        <v>0</v>
      </c>
      <c r="AD18" s="145"/>
      <c r="AE18" s="56">
        <v>0</v>
      </c>
      <c r="AF18" s="145"/>
      <c r="AG18" s="56">
        <v>0</v>
      </c>
      <c r="AH18" s="144"/>
      <c r="AI18" s="56">
        <v>0</v>
      </c>
      <c r="AJ18" s="144"/>
      <c r="AK18" s="56">
        <v>0</v>
      </c>
      <c r="AL18" s="144"/>
      <c r="AM18" s="56">
        <v>0</v>
      </c>
      <c r="AN18" s="81">
        <v>68748.387080831264</v>
      </c>
      <c r="AO18" s="106">
        <v>1</v>
      </c>
      <c r="AP18" s="122" t="s">
        <v>319</v>
      </c>
      <c r="AQ18" s="127">
        <v>1.5037593984962405E-2</v>
      </c>
      <c r="AR18" s="121">
        <v>1033.8103320425753</v>
      </c>
      <c r="AS18" s="333" t="s">
        <v>349</v>
      </c>
      <c r="AT18" s="360">
        <v>18</v>
      </c>
    </row>
    <row r="19" spans="1:46" x14ac:dyDescent="0.3">
      <c r="A19" s="412" t="s">
        <v>86</v>
      </c>
      <c r="B19" s="8" t="s">
        <v>225</v>
      </c>
      <c r="C19" s="96" t="s">
        <v>342</v>
      </c>
      <c r="D19" s="144">
        <v>1</v>
      </c>
      <c r="E19" s="56">
        <v>85060.59895480916</v>
      </c>
      <c r="F19" s="144"/>
      <c r="G19" s="56">
        <v>0</v>
      </c>
      <c r="H19" s="144"/>
      <c r="I19" s="56">
        <v>0</v>
      </c>
      <c r="J19" s="144"/>
      <c r="K19" s="56">
        <v>0</v>
      </c>
      <c r="L19" s="144"/>
      <c r="M19" s="56">
        <v>0</v>
      </c>
      <c r="N19" s="144"/>
      <c r="O19" s="56">
        <v>0</v>
      </c>
      <c r="P19" s="144"/>
      <c r="Q19" s="56">
        <v>0</v>
      </c>
      <c r="R19" s="144"/>
      <c r="S19" s="56">
        <v>0</v>
      </c>
      <c r="T19" s="144"/>
      <c r="U19" s="56">
        <v>0</v>
      </c>
      <c r="V19" s="144"/>
      <c r="W19" s="56">
        <v>0</v>
      </c>
      <c r="X19" s="144"/>
      <c r="Y19" s="56">
        <v>0</v>
      </c>
      <c r="Z19" s="144"/>
      <c r="AA19" s="56">
        <v>0</v>
      </c>
      <c r="AB19" s="394"/>
      <c r="AC19" s="56">
        <v>0</v>
      </c>
      <c r="AD19" s="144"/>
      <c r="AE19" s="56">
        <v>0</v>
      </c>
      <c r="AF19" s="144"/>
      <c r="AG19" s="56">
        <v>0</v>
      </c>
      <c r="AH19" s="144"/>
      <c r="AI19" s="56">
        <v>0</v>
      </c>
      <c r="AJ19" s="144"/>
      <c r="AK19" s="56">
        <v>0</v>
      </c>
      <c r="AL19" s="144"/>
      <c r="AM19" s="56">
        <v>0</v>
      </c>
      <c r="AN19" s="81">
        <v>85060.59895480916</v>
      </c>
      <c r="AO19" s="106">
        <v>1</v>
      </c>
      <c r="AP19" s="122" t="s">
        <v>319</v>
      </c>
      <c r="AQ19" s="127">
        <v>0.29741019214703424</v>
      </c>
      <c r="AR19" s="121">
        <v>25297.889079291614</v>
      </c>
      <c r="AS19" s="333" t="s">
        <v>349</v>
      </c>
      <c r="AT19" s="360">
        <v>18</v>
      </c>
    </row>
    <row r="20" spans="1:46" x14ac:dyDescent="0.3">
      <c r="A20" s="412" t="s">
        <v>88</v>
      </c>
      <c r="B20" s="8" t="s">
        <v>89</v>
      </c>
      <c r="C20" s="96" t="s">
        <v>346</v>
      </c>
      <c r="D20" s="144">
        <v>1</v>
      </c>
      <c r="E20" s="56">
        <v>76461.626557187497</v>
      </c>
      <c r="F20" s="144"/>
      <c r="G20" s="56">
        <v>0</v>
      </c>
      <c r="H20" s="144"/>
      <c r="I20" s="56">
        <v>0</v>
      </c>
      <c r="J20" s="144"/>
      <c r="K20" s="56">
        <v>0</v>
      </c>
      <c r="L20" s="144"/>
      <c r="M20" s="56">
        <v>0</v>
      </c>
      <c r="N20" s="144"/>
      <c r="O20" s="56">
        <v>0</v>
      </c>
      <c r="P20" s="144"/>
      <c r="Q20" s="56">
        <v>0</v>
      </c>
      <c r="R20" s="144"/>
      <c r="S20" s="56">
        <v>0</v>
      </c>
      <c r="T20" s="144"/>
      <c r="U20" s="56">
        <v>0</v>
      </c>
      <c r="V20" s="144"/>
      <c r="W20" s="56">
        <v>0</v>
      </c>
      <c r="X20" s="144"/>
      <c r="Y20" s="56">
        <v>0</v>
      </c>
      <c r="Z20" s="144"/>
      <c r="AA20" s="56">
        <v>0</v>
      </c>
      <c r="AB20" s="393"/>
      <c r="AC20" s="56">
        <v>0</v>
      </c>
      <c r="AD20" s="145"/>
      <c r="AE20" s="56">
        <v>0</v>
      </c>
      <c r="AF20" s="145"/>
      <c r="AG20" s="56">
        <v>0</v>
      </c>
      <c r="AH20" s="144"/>
      <c r="AI20" s="56">
        <v>0</v>
      </c>
      <c r="AJ20" s="144"/>
      <c r="AK20" s="56">
        <v>0</v>
      </c>
      <c r="AL20" s="144"/>
      <c r="AM20" s="56">
        <v>0</v>
      </c>
      <c r="AN20" s="81">
        <v>76461.626557187497</v>
      </c>
      <c r="AO20" s="106">
        <v>1</v>
      </c>
      <c r="AP20" s="122" t="s">
        <v>318</v>
      </c>
      <c r="AQ20" s="127">
        <v>1</v>
      </c>
      <c r="AR20" s="121">
        <v>76461.626557187497</v>
      </c>
      <c r="AS20" s="333" t="s">
        <v>349</v>
      </c>
      <c r="AT20" s="360">
        <v>18</v>
      </c>
    </row>
    <row r="21" spans="1:46" x14ac:dyDescent="0.3">
      <c r="A21" s="412" t="s">
        <v>46</v>
      </c>
      <c r="B21" s="8" t="s">
        <v>47</v>
      </c>
      <c r="C21" s="96" t="s">
        <v>342</v>
      </c>
      <c r="D21" s="144">
        <v>1</v>
      </c>
      <c r="E21" s="56">
        <v>83398.098568534639</v>
      </c>
      <c r="F21" s="144"/>
      <c r="G21" s="56">
        <v>0</v>
      </c>
      <c r="H21" s="144"/>
      <c r="I21" s="56">
        <v>0</v>
      </c>
      <c r="J21" s="144"/>
      <c r="K21" s="56">
        <v>0</v>
      </c>
      <c r="L21" s="144"/>
      <c r="M21" s="56">
        <v>0</v>
      </c>
      <c r="N21" s="144"/>
      <c r="O21" s="56">
        <v>0</v>
      </c>
      <c r="P21" s="144"/>
      <c r="Q21" s="56">
        <v>0</v>
      </c>
      <c r="R21" s="144"/>
      <c r="S21" s="56">
        <v>0</v>
      </c>
      <c r="T21" s="144"/>
      <c r="U21" s="56">
        <v>0</v>
      </c>
      <c r="V21" s="144"/>
      <c r="W21" s="56">
        <v>0</v>
      </c>
      <c r="X21" s="144"/>
      <c r="Y21" s="56">
        <v>0</v>
      </c>
      <c r="Z21" s="144"/>
      <c r="AA21" s="56">
        <v>0</v>
      </c>
      <c r="AB21" s="393"/>
      <c r="AC21" s="56">
        <v>0</v>
      </c>
      <c r="AD21" s="145"/>
      <c r="AE21" s="56">
        <v>0</v>
      </c>
      <c r="AF21" s="145"/>
      <c r="AG21" s="56">
        <v>0</v>
      </c>
      <c r="AH21" s="144"/>
      <c r="AI21" s="56">
        <v>0</v>
      </c>
      <c r="AJ21" s="144"/>
      <c r="AK21" s="56">
        <v>0</v>
      </c>
      <c r="AL21" s="144"/>
      <c r="AM21" s="56">
        <v>0</v>
      </c>
      <c r="AN21" s="81">
        <v>83398.098568534639</v>
      </c>
      <c r="AO21" s="106">
        <v>1</v>
      </c>
      <c r="AP21" s="122" t="s">
        <v>319</v>
      </c>
      <c r="AQ21" s="127">
        <v>2.1720969089390141E-2</v>
      </c>
      <c r="AR21" s="121">
        <v>1811.4875211210531</v>
      </c>
      <c r="AS21" s="333" t="s">
        <v>349</v>
      </c>
      <c r="AT21" s="360">
        <v>18</v>
      </c>
    </row>
    <row r="22" spans="1:46" x14ac:dyDescent="0.3">
      <c r="A22" s="412" t="s">
        <v>48</v>
      </c>
      <c r="B22" s="8" t="s">
        <v>222</v>
      </c>
      <c r="C22" s="96" t="s">
        <v>342</v>
      </c>
      <c r="D22" s="144"/>
      <c r="E22" s="56">
        <v>0</v>
      </c>
      <c r="F22" s="144"/>
      <c r="G22" s="56">
        <v>0</v>
      </c>
      <c r="H22" s="144"/>
      <c r="I22" s="56">
        <v>0</v>
      </c>
      <c r="J22" s="144"/>
      <c r="K22" s="56">
        <v>0</v>
      </c>
      <c r="L22" s="144"/>
      <c r="M22" s="56">
        <v>0</v>
      </c>
      <c r="N22" s="144"/>
      <c r="O22" s="56">
        <v>0</v>
      </c>
      <c r="P22" s="144"/>
      <c r="Q22" s="56">
        <v>0</v>
      </c>
      <c r="R22" s="144"/>
      <c r="S22" s="56">
        <v>0</v>
      </c>
      <c r="T22" s="144"/>
      <c r="U22" s="56">
        <v>0</v>
      </c>
      <c r="V22" s="144"/>
      <c r="W22" s="56">
        <v>0</v>
      </c>
      <c r="X22" s="144"/>
      <c r="Y22" s="56">
        <v>0</v>
      </c>
      <c r="Z22" s="144"/>
      <c r="AA22" s="56">
        <v>0</v>
      </c>
      <c r="AB22" s="394"/>
      <c r="AC22" s="56">
        <v>0</v>
      </c>
      <c r="AD22" s="144"/>
      <c r="AE22" s="56">
        <v>0</v>
      </c>
      <c r="AF22" s="144"/>
      <c r="AG22" s="56">
        <v>0</v>
      </c>
      <c r="AH22" s="144"/>
      <c r="AI22" s="56">
        <v>0</v>
      </c>
      <c r="AJ22" s="144"/>
      <c r="AK22" s="56">
        <v>0</v>
      </c>
      <c r="AL22" s="144">
        <v>1</v>
      </c>
      <c r="AM22" s="56">
        <v>77398.098568534639</v>
      </c>
      <c r="AN22" s="81">
        <v>77398.098568534639</v>
      </c>
      <c r="AO22" s="106">
        <v>1</v>
      </c>
      <c r="AP22" s="122" t="s">
        <v>319</v>
      </c>
      <c r="AQ22" s="127">
        <v>0.71345029239766078</v>
      </c>
      <c r="AR22" s="121">
        <v>55219.69605474401</v>
      </c>
      <c r="AS22" s="333" t="s">
        <v>349</v>
      </c>
      <c r="AT22" s="360">
        <v>18</v>
      </c>
    </row>
    <row r="23" spans="1:46" x14ac:dyDescent="0.3">
      <c r="A23" s="412" t="s">
        <v>21</v>
      </c>
      <c r="B23" s="8" t="s">
        <v>221</v>
      </c>
      <c r="C23" s="96" t="s">
        <v>342</v>
      </c>
      <c r="D23" s="144"/>
      <c r="E23" s="56">
        <v>0</v>
      </c>
      <c r="F23" s="144"/>
      <c r="G23" s="56">
        <v>0</v>
      </c>
      <c r="H23" s="144"/>
      <c r="I23" s="56">
        <v>0</v>
      </c>
      <c r="J23" s="144"/>
      <c r="K23" s="56">
        <v>0</v>
      </c>
      <c r="L23" s="144"/>
      <c r="M23" s="56">
        <v>0</v>
      </c>
      <c r="N23" s="144">
        <v>1</v>
      </c>
      <c r="O23" s="56">
        <v>67398.098568534639</v>
      </c>
      <c r="P23" s="144"/>
      <c r="Q23" s="56">
        <v>0</v>
      </c>
      <c r="R23" s="144"/>
      <c r="S23" s="56">
        <v>0</v>
      </c>
      <c r="T23" s="144"/>
      <c r="U23" s="56">
        <v>0</v>
      </c>
      <c r="V23" s="144"/>
      <c r="W23" s="56">
        <v>0</v>
      </c>
      <c r="X23" s="144"/>
      <c r="Y23" s="56">
        <v>0</v>
      </c>
      <c r="Z23" s="144">
        <v>1</v>
      </c>
      <c r="AA23" s="56">
        <v>67398.098568534639</v>
      </c>
      <c r="AB23" s="394"/>
      <c r="AC23" s="56">
        <v>0</v>
      </c>
      <c r="AD23" s="144"/>
      <c r="AE23" s="56">
        <v>0</v>
      </c>
      <c r="AF23" s="144"/>
      <c r="AG23" s="56">
        <v>0</v>
      </c>
      <c r="AH23" s="144"/>
      <c r="AI23" s="56">
        <v>0</v>
      </c>
      <c r="AJ23" s="144"/>
      <c r="AK23" s="56">
        <v>0</v>
      </c>
      <c r="AL23" s="144">
        <v>1</v>
      </c>
      <c r="AM23" s="56">
        <v>67398.098568534639</v>
      </c>
      <c r="AN23" s="81">
        <v>202194.2957056039</v>
      </c>
      <c r="AO23" s="106">
        <v>3</v>
      </c>
      <c r="AP23" s="179" t="s">
        <v>318</v>
      </c>
      <c r="AQ23" s="127">
        <v>1</v>
      </c>
      <c r="AR23" s="121">
        <v>202194.2957056039</v>
      </c>
      <c r="AS23" s="333" t="s">
        <v>349</v>
      </c>
      <c r="AT23" s="360">
        <v>18</v>
      </c>
    </row>
    <row r="24" spans="1:46" x14ac:dyDescent="0.3">
      <c r="A24" s="412" t="s">
        <v>19</v>
      </c>
      <c r="B24" s="8" t="s">
        <v>20</v>
      </c>
      <c r="C24" s="96" t="s">
        <v>342</v>
      </c>
      <c r="D24" s="144">
        <v>1</v>
      </c>
      <c r="E24" s="56">
        <v>67398.098568534639</v>
      </c>
      <c r="F24" s="144"/>
      <c r="G24" s="56">
        <v>0</v>
      </c>
      <c r="H24" s="144"/>
      <c r="I24" s="56">
        <v>0</v>
      </c>
      <c r="J24" s="144"/>
      <c r="K24" s="56">
        <v>0</v>
      </c>
      <c r="L24" s="144"/>
      <c r="M24" s="56">
        <v>0</v>
      </c>
      <c r="N24" s="144"/>
      <c r="O24" s="56">
        <v>0</v>
      </c>
      <c r="P24" s="144"/>
      <c r="Q24" s="56">
        <v>0</v>
      </c>
      <c r="R24" s="144"/>
      <c r="S24" s="56">
        <v>0</v>
      </c>
      <c r="T24" s="144"/>
      <c r="U24" s="56">
        <v>0</v>
      </c>
      <c r="V24" s="144"/>
      <c r="W24" s="56">
        <v>0</v>
      </c>
      <c r="X24" s="144"/>
      <c r="Y24" s="56">
        <v>0</v>
      </c>
      <c r="Z24" s="144"/>
      <c r="AA24" s="56">
        <v>0</v>
      </c>
      <c r="AB24" s="394"/>
      <c r="AC24" s="56">
        <v>0</v>
      </c>
      <c r="AD24" s="144"/>
      <c r="AE24" s="56">
        <v>0</v>
      </c>
      <c r="AF24" s="144"/>
      <c r="AG24" s="56">
        <v>0</v>
      </c>
      <c r="AH24" s="144"/>
      <c r="AI24" s="56">
        <v>0</v>
      </c>
      <c r="AJ24" s="144"/>
      <c r="AK24" s="56">
        <v>0</v>
      </c>
      <c r="AL24" s="144"/>
      <c r="AM24" s="56">
        <v>0</v>
      </c>
      <c r="AN24" s="81">
        <v>67398.098568534639</v>
      </c>
      <c r="AO24" s="106">
        <v>1</v>
      </c>
      <c r="AP24" s="179" t="s">
        <v>318</v>
      </c>
      <c r="AQ24" s="127">
        <v>1</v>
      </c>
      <c r="AR24" s="121">
        <v>67398.098568534639</v>
      </c>
      <c r="AS24" s="333" t="s">
        <v>349</v>
      </c>
      <c r="AT24" s="360">
        <v>18</v>
      </c>
    </row>
    <row r="25" spans="1:46" x14ac:dyDescent="0.3">
      <c r="A25" s="412" t="s">
        <v>1</v>
      </c>
      <c r="B25" s="8" t="s">
        <v>2</v>
      </c>
      <c r="C25" s="96" t="s">
        <v>342</v>
      </c>
      <c r="D25" s="144"/>
      <c r="E25" s="56">
        <v>0</v>
      </c>
      <c r="F25" s="144"/>
      <c r="G25" s="56">
        <v>0</v>
      </c>
      <c r="H25" s="144"/>
      <c r="I25" s="56">
        <v>0</v>
      </c>
      <c r="J25" s="144"/>
      <c r="K25" s="56">
        <v>0</v>
      </c>
      <c r="L25" s="144"/>
      <c r="M25" s="56">
        <v>0</v>
      </c>
      <c r="N25" s="144"/>
      <c r="O25" s="56">
        <v>0</v>
      </c>
      <c r="P25" s="144"/>
      <c r="Q25" s="56">
        <v>0</v>
      </c>
      <c r="R25" s="144"/>
      <c r="S25" s="56">
        <v>0</v>
      </c>
      <c r="T25" s="144"/>
      <c r="U25" s="56">
        <v>0</v>
      </c>
      <c r="V25" s="144"/>
      <c r="W25" s="56">
        <v>0</v>
      </c>
      <c r="X25" s="144"/>
      <c r="Y25" s="56">
        <v>0</v>
      </c>
      <c r="Z25" s="144"/>
      <c r="AA25" s="56">
        <v>0</v>
      </c>
      <c r="AB25" s="393"/>
      <c r="AC25" s="56">
        <v>0</v>
      </c>
      <c r="AD25" s="145"/>
      <c r="AE25" s="56">
        <v>0</v>
      </c>
      <c r="AF25" s="145"/>
      <c r="AG25" s="56">
        <v>0</v>
      </c>
      <c r="AH25" s="144"/>
      <c r="AI25" s="56">
        <v>0</v>
      </c>
      <c r="AJ25" s="144"/>
      <c r="AK25" s="56">
        <v>0</v>
      </c>
      <c r="AL25" s="144">
        <v>1</v>
      </c>
      <c r="AM25" s="56">
        <v>21014.39667403782</v>
      </c>
      <c r="AN25" s="81">
        <v>21014.39667403782</v>
      </c>
      <c r="AO25" s="106">
        <v>1</v>
      </c>
      <c r="AP25" s="122" t="s">
        <v>318</v>
      </c>
      <c r="AQ25" s="127">
        <v>0.72598162071846284</v>
      </c>
      <c r="AR25" s="121">
        <v>15256.065755838652</v>
      </c>
      <c r="AS25" s="333" t="s">
        <v>349</v>
      </c>
      <c r="AT25" s="360">
        <v>18</v>
      </c>
    </row>
    <row r="26" spans="1:46" x14ac:dyDescent="0.3">
      <c r="A26" s="412" t="s">
        <v>44</v>
      </c>
      <c r="B26" s="8" t="s">
        <v>229</v>
      </c>
      <c r="C26" s="96" t="s">
        <v>344</v>
      </c>
      <c r="D26" s="144">
        <v>1</v>
      </c>
      <c r="E26" s="56">
        <v>31714.220952863223</v>
      </c>
      <c r="F26" s="144"/>
      <c r="G26" s="56">
        <v>0</v>
      </c>
      <c r="H26" s="144"/>
      <c r="I26" s="56">
        <v>0</v>
      </c>
      <c r="J26" s="144"/>
      <c r="K26" s="56">
        <v>0</v>
      </c>
      <c r="L26" s="144"/>
      <c r="M26" s="56">
        <v>0</v>
      </c>
      <c r="N26" s="144"/>
      <c r="O26" s="56">
        <v>0</v>
      </c>
      <c r="P26" s="144"/>
      <c r="Q26" s="56">
        <v>0</v>
      </c>
      <c r="R26" s="144"/>
      <c r="S26" s="56">
        <v>0</v>
      </c>
      <c r="T26" s="144"/>
      <c r="U26" s="56">
        <v>0</v>
      </c>
      <c r="V26" s="144"/>
      <c r="W26" s="56">
        <v>0</v>
      </c>
      <c r="X26" s="144"/>
      <c r="Y26" s="56">
        <v>0</v>
      </c>
      <c r="Z26" s="144"/>
      <c r="AA26" s="56">
        <v>0</v>
      </c>
      <c r="AB26" s="394"/>
      <c r="AC26" s="56">
        <v>0</v>
      </c>
      <c r="AD26" s="144"/>
      <c r="AE26" s="56">
        <v>0</v>
      </c>
      <c r="AF26" s="144"/>
      <c r="AG26" s="56">
        <v>0</v>
      </c>
      <c r="AH26" s="144"/>
      <c r="AI26" s="56">
        <v>0</v>
      </c>
      <c r="AJ26" s="144"/>
      <c r="AK26" s="56">
        <v>0</v>
      </c>
      <c r="AL26" s="144"/>
      <c r="AM26" s="56">
        <v>0</v>
      </c>
      <c r="AN26" s="81">
        <v>31714.220952863223</v>
      </c>
      <c r="AO26" s="106">
        <v>1</v>
      </c>
      <c r="AP26" s="122" t="s">
        <v>319</v>
      </c>
      <c r="AQ26" s="127">
        <v>0.11445279866332497</v>
      </c>
      <c r="AR26" s="121">
        <v>3629.7813454822567</v>
      </c>
      <c r="AS26" s="333" t="s">
        <v>349</v>
      </c>
      <c r="AT26" s="360">
        <v>18</v>
      </c>
    </row>
    <row r="27" spans="1:46" x14ac:dyDescent="0.3">
      <c r="A27" s="412" t="s">
        <v>42</v>
      </c>
      <c r="B27" s="8" t="s">
        <v>228</v>
      </c>
      <c r="C27" s="96" t="s">
        <v>344</v>
      </c>
      <c r="D27" s="144">
        <v>1</v>
      </c>
      <c r="E27" s="56">
        <v>31714.220952863223</v>
      </c>
      <c r="F27" s="144"/>
      <c r="G27" s="56">
        <v>0</v>
      </c>
      <c r="H27" s="144"/>
      <c r="I27" s="56">
        <v>0</v>
      </c>
      <c r="J27" s="144"/>
      <c r="K27" s="56">
        <v>0</v>
      </c>
      <c r="L27" s="144"/>
      <c r="M27" s="56">
        <v>0</v>
      </c>
      <c r="N27" s="144"/>
      <c r="O27" s="56">
        <v>0</v>
      </c>
      <c r="P27" s="144"/>
      <c r="Q27" s="56">
        <v>0</v>
      </c>
      <c r="R27" s="144"/>
      <c r="S27" s="56">
        <v>0</v>
      </c>
      <c r="T27" s="144"/>
      <c r="U27" s="56">
        <v>0</v>
      </c>
      <c r="V27" s="144"/>
      <c r="W27" s="56">
        <v>0</v>
      </c>
      <c r="X27" s="144"/>
      <c r="Y27" s="56">
        <v>0</v>
      </c>
      <c r="Z27" s="144"/>
      <c r="AA27" s="56">
        <v>0</v>
      </c>
      <c r="AB27" s="394"/>
      <c r="AC27" s="56">
        <v>0</v>
      </c>
      <c r="AD27" s="144"/>
      <c r="AE27" s="56">
        <v>0</v>
      </c>
      <c r="AF27" s="144"/>
      <c r="AG27" s="56">
        <v>0</v>
      </c>
      <c r="AH27" s="144"/>
      <c r="AI27" s="56">
        <v>0</v>
      </c>
      <c r="AJ27" s="144"/>
      <c r="AK27" s="56">
        <v>0</v>
      </c>
      <c r="AL27" s="144"/>
      <c r="AM27" s="56">
        <v>0</v>
      </c>
      <c r="AN27" s="81">
        <v>31714.220952863223</v>
      </c>
      <c r="AO27" s="106">
        <v>1</v>
      </c>
      <c r="AP27" s="122" t="s">
        <v>319</v>
      </c>
      <c r="AQ27" s="127">
        <v>5.5973266499582286E-2</v>
      </c>
      <c r="AR27" s="121">
        <v>1775.1485412212496</v>
      </c>
      <c r="AS27" s="333" t="s">
        <v>349</v>
      </c>
      <c r="AT27" s="360">
        <v>18</v>
      </c>
    </row>
    <row r="28" spans="1:46" x14ac:dyDescent="0.3">
      <c r="A28" s="412" t="s">
        <v>50</v>
      </c>
      <c r="B28" s="8" t="s">
        <v>142</v>
      </c>
      <c r="C28" s="96" t="s">
        <v>346</v>
      </c>
      <c r="D28" s="144">
        <v>1</v>
      </c>
      <c r="E28" s="56">
        <v>67391.281653480837</v>
      </c>
      <c r="F28" s="144"/>
      <c r="G28" s="56">
        <v>0</v>
      </c>
      <c r="H28" s="144"/>
      <c r="I28" s="56">
        <v>0</v>
      </c>
      <c r="J28" s="144"/>
      <c r="K28" s="56">
        <v>0</v>
      </c>
      <c r="L28" s="144"/>
      <c r="M28" s="56">
        <v>0</v>
      </c>
      <c r="N28" s="144"/>
      <c r="O28" s="56">
        <v>0</v>
      </c>
      <c r="P28" s="144"/>
      <c r="Q28" s="56">
        <v>0</v>
      </c>
      <c r="R28" s="144"/>
      <c r="S28" s="56">
        <v>0</v>
      </c>
      <c r="T28" s="144"/>
      <c r="U28" s="56">
        <v>0</v>
      </c>
      <c r="V28" s="144"/>
      <c r="W28" s="56">
        <v>0</v>
      </c>
      <c r="X28" s="144"/>
      <c r="Y28" s="56">
        <v>0</v>
      </c>
      <c r="Z28" s="144"/>
      <c r="AA28" s="56">
        <v>0</v>
      </c>
      <c r="AB28" s="393"/>
      <c r="AC28" s="56">
        <v>0</v>
      </c>
      <c r="AD28" s="145"/>
      <c r="AE28" s="56">
        <v>0</v>
      </c>
      <c r="AF28" s="145"/>
      <c r="AG28" s="56">
        <v>0</v>
      </c>
      <c r="AH28" s="144"/>
      <c r="AI28" s="56">
        <v>0</v>
      </c>
      <c r="AJ28" s="144"/>
      <c r="AK28" s="56">
        <v>0</v>
      </c>
      <c r="AL28" s="144"/>
      <c r="AM28" s="56">
        <v>0</v>
      </c>
      <c r="AN28" s="81">
        <v>67391.281653480837</v>
      </c>
      <c r="AO28" s="106">
        <v>1</v>
      </c>
      <c r="AP28" s="122" t="s">
        <v>319</v>
      </c>
      <c r="AQ28" s="127">
        <v>5.5973266499582286E-2</v>
      </c>
      <c r="AR28" s="121">
        <v>3772.1101677386932</v>
      </c>
      <c r="AS28" s="333" t="s">
        <v>349</v>
      </c>
      <c r="AT28" s="360">
        <v>18</v>
      </c>
    </row>
    <row r="29" spans="1:46" x14ac:dyDescent="0.3">
      <c r="A29" s="412" t="s">
        <v>54</v>
      </c>
      <c r="B29" s="8" t="s">
        <v>227</v>
      </c>
      <c r="C29" s="96" t="s">
        <v>343</v>
      </c>
      <c r="D29" s="144"/>
      <c r="E29" s="56">
        <v>0</v>
      </c>
      <c r="F29" s="144"/>
      <c r="G29" s="56">
        <v>0</v>
      </c>
      <c r="H29" s="144"/>
      <c r="I29" s="56">
        <v>0</v>
      </c>
      <c r="J29" s="144"/>
      <c r="K29" s="56">
        <v>0</v>
      </c>
      <c r="L29" s="144"/>
      <c r="M29" s="56">
        <v>0</v>
      </c>
      <c r="N29" s="144">
        <v>1</v>
      </c>
      <c r="O29" s="56">
        <v>145259.19237771924</v>
      </c>
      <c r="P29" s="144"/>
      <c r="Q29" s="56">
        <v>0</v>
      </c>
      <c r="R29" s="144"/>
      <c r="S29" s="56">
        <v>0</v>
      </c>
      <c r="T29" s="144"/>
      <c r="U29" s="56">
        <v>0</v>
      </c>
      <c r="V29" s="144"/>
      <c r="W29" s="56">
        <v>0</v>
      </c>
      <c r="X29" s="144"/>
      <c r="Y29" s="56">
        <v>0</v>
      </c>
      <c r="Z29" s="144"/>
      <c r="AA29" s="56">
        <v>0</v>
      </c>
      <c r="AB29" s="393"/>
      <c r="AC29" s="56">
        <v>0</v>
      </c>
      <c r="AD29" s="145"/>
      <c r="AE29" s="56">
        <v>0</v>
      </c>
      <c r="AF29" s="145"/>
      <c r="AG29" s="56">
        <v>0</v>
      </c>
      <c r="AH29" s="144"/>
      <c r="AI29" s="56">
        <v>0</v>
      </c>
      <c r="AJ29" s="144"/>
      <c r="AK29" s="56">
        <v>0</v>
      </c>
      <c r="AL29" s="144"/>
      <c r="AM29" s="56">
        <v>0</v>
      </c>
      <c r="AN29" s="81">
        <v>145259.19237771924</v>
      </c>
      <c r="AO29" s="106">
        <v>1</v>
      </c>
      <c r="AP29" s="122" t="s">
        <v>319</v>
      </c>
      <c r="AQ29" s="127">
        <v>3.5087719298245612E-2</v>
      </c>
      <c r="AR29" s="121">
        <v>5096.8137676392716</v>
      </c>
      <c r="AS29" s="333" t="s">
        <v>349</v>
      </c>
      <c r="AT29" s="360">
        <v>18</v>
      </c>
    </row>
    <row r="30" spans="1:46" x14ac:dyDescent="0.3">
      <c r="A30" s="412" t="s">
        <v>38</v>
      </c>
      <c r="B30" s="8" t="s">
        <v>137</v>
      </c>
      <c r="C30" s="96" t="s">
        <v>342</v>
      </c>
      <c r="D30" s="144"/>
      <c r="E30" s="56">
        <v>0</v>
      </c>
      <c r="F30" s="144"/>
      <c r="G30" s="56">
        <v>0</v>
      </c>
      <c r="H30" s="144"/>
      <c r="I30" s="56">
        <v>0</v>
      </c>
      <c r="J30" s="144"/>
      <c r="K30" s="56">
        <v>0</v>
      </c>
      <c r="L30" s="144"/>
      <c r="M30" s="56">
        <v>0</v>
      </c>
      <c r="N30" s="144"/>
      <c r="O30" s="56">
        <v>0</v>
      </c>
      <c r="P30" s="144">
        <v>1</v>
      </c>
      <c r="Q30" s="56">
        <v>56420.692787682223</v>
      </c>
      <c r="R30" s="144"/>
      <c r="S30" s="56">
        <v>0</v>
      </c>
      <c r="T30" s="144"/>
      <c r="U30" s="56">
        <v>0</v>
      </c>
      <c r="V30" s="144"/>
      <c r="W30" s="56">
        <v>0</v>
      </c>
      <c r="X30" s="144"/>
      <c r="Y30" s="56">
        <v>0</v>
      </c>
      <c r="Z30" s="144"/>
      <c r="AA30" s="56">
        <v>0</v>
      </c>
      <c r="AB30" s="393"/>
      <c r="AC30" s="56">
        <v>0</v>
      </c>
      <c r="AD30" s="145"/>
      <c r="AE30" s="56">
        <v>0</v>
      </c>
      <c r="AF30" s="145"/>
      <c r="AG30" s="56">
        <v>0</v>
      </c>
      <c r="AH30" s="144"/>
      <c r="AI30" s="56">
        <v>0</v>
      </c>
      <c r="AJ30" s="144"/>
      <c r="AK30" s="56">
        <v>0</v>
      </c>
      <c r="AL30" s="144"/>
      <c r="AM30" s="56">
        <v>0</v>
      </c>
      <c r="AN30" s="81">
        <v>56420.692787682223</v>
      </c>
      <c r="AO30" s="106">
        <v>1</v>
      </c>
      <c r="AP30" s="122" t="s">
        <v>319</v>
      </c>
      <c r="AQ30" s="127">
        <v>0.46031746031746029</v>
      </c>
      <c r="AR30" s="121">
        <v>25971.430013377529</v>
      </c>
      <c r="AS30" s="333" t="s">
        <v>349</v>
      </c>
      <c r="AT30" s="360">
        <v>18</v>
      </c>
    </row>
    <row r="31" spans="1:46" x14ac:dyDescent="0.3">
      <c r="A31" s="412" t="s">
        <v>34</v>
      </c>
      <c r="B31" s="8" t="s">
        <v>35</v>
      </c>
      <c r="C31" s="96" t="s">
        <v>342</v>
      </c>
      <c r="D31" s="144">
        <v>1</v>
      </c>
      <c r="E31" s="56">
        <v>18146.717863439797</v>
      </c>
      <c r="F31" s="144"/>
      <c r="G31" s="56">
        <v>0</v>
      </c>
      <c r="H31" s="144"/>
      <c r="I31" s="56">
        <v>0</v>
      </c>
      <c r="J31" s="144"/>
      <c r="K31" s="56">
        <v>0</v>
      </c>
      <c r="L31" s="144"/>
      <c r="M31" s="56">
        <v>0</v>
      </c>
      <c r="N31" s="144"/>
      <c r="O31" s="56">
        <v>0</v>
      </c>
      <c r="P31" s="144"/>
      <c r="Q31" s="56">
        <v>0</v>
      </c>
      <c r="R31" s="144"/>
      <c r="S31" s="56">
        <v>0</v>
      </c>
      <c r="T31" s="144"/>
      <c r="U31" s="56">
        <v>0</v>
      </c>
      <c r="V31" s="144"/>
      <c r="W31" s="56">
        <v>0</v>
      </c>
      <c r="X31" s="144"/>
      <c r="Y31" s="56">
        <v>0</v>
      </c>
      <c r="Z31" s="144"/>
      <c r="AA31" s="56">
        <v>0</v>
      </c>
      <c r="AB31" s="393"/>
      <c r="AC31" s="56">
        <v>0</v>
      </c>
      <c r="AD31" s="145"/>
      <c r="AE31" s="56">
        <v>0</v>
      </c>
      <c r="AF31" s="145"/>
      <c r="AG31" s="56">
        <v>0</v>
      </c>
      <c r="AH31" s="144"/>
      <c r="AI31" s="56">
        <v>0</v>
      </c>
      <c r="AJ31" s="144"/>
      <c r="AK31" s="56">
        <v>0</v>
      </c>
      <c r="AL31" s="144"/>
      <c r="AM31" s="56">
        <v>0</v>
      </c>
      <c r="AN31" s="81">
        <v>18146.717863439797</v>
      </c>
      <c r="AO31" s="106">
        <v>1</v>
      </c>
      <c r="AP31" s="122" t="s">
        <v>319</v>
      </c>
      <c r="AQ31" s="127">
        <v>2.5062656641604009E-3</v>
      </c>
      <c r="AR31" s="121">
        <v>45.480495898345353</v>
      </c>
      <c r="AS31" s="333" t="s">
        <v>349</v>
      </c>
      <c r="AT31" s="360">
        <v>18</v>
      </c>
    </row>
    <row r="32" spans="1:46" x14ac:dyDescent="0.3">
      <c r="A32" s="412" t="s">
        <v>113</v>
      </c>
      <c r="B32" s="25" t="s">
        <v>139</v>
      </c>
      <c r="C32" s="96" t="s">
        <v>342</v>
      </c>
      <c r="D32" s="144">
        <v>1</v>
      </c>
      <c r="E32" s="56">
        <v>60236.092716419647</v>
      </c>
      <c r="F32" s="144"/>
      <c r="G32" s="56">
        <v>0</v>
      </c>
      <c r="H32" s="144"/>
      <c r="I32" s="56">
        <v>0</v>
      </c>
      <c r="J32" s="144"/>
      <c r="K32" s="56">
        <v>0</v>
      </c>
      <c r="L32" s="144"/>
      <c r="M32" s="56">
        <v>0</v>
      </c>
      <c r="N32" s="144"/>
      <c r="O32" s="56">
        <v>0</v>
      </c>
      <c r="P32" s="144"/>
      <c r="Q32" s="56">
        <v>0</v>
      </c>
      <c r="R32" s="144"/>
      <c r="S32" s="56">
        <v>0</v>
      </c>
      <c r="T32" s="144"/>
      <c r="U32" s="56">
        <v>0</v>
      </c>
      <c r="V32" s="144"/>
      <c r="W32" s="56">
        <v>0</v>
      </c>
      <c r="X32" s="144"/>
      <c r="Y32" s="56">
        <v>0</v>
      </c>
      <c r="Z32" s="144"/>
      <c r="AA32" s="56">
        <v>0</v>
      </c>
      <c r="AB32" s="393"/>
      <c r="AC32" s="56">
        <v>0</v>
      </c>
      <c r="AD32" s="145"/>
      <c r="AE32" s="56">
        <v>0</v>
      </c>
      <c r="AF32" s="145"/>
      <c r="AG32" s="56">
        <v>0</v>
      </c>
      <c r="AH32" s="144"/>
      <c r="AI32" s="56">
        <v>0</v>
      </c>
      <c r="AJ32" s="144"/>
      <c r="AK32" s="56">
        <v>0</v>
      </c>
      <c r="AL32" s="144"/>
      <c r="AM32" s="56">
        <v>0</v>
      </c>
      <c r="AN32" s="81">
        <v>60236.092716419647</v>
      </c>
      <c r="AO32" s="106">
        <v>1</v>
      </c>
      <c r="AP32" s="122" t="s">
        <v>319</v>
      </c>
      <c r="AQ32" s="127">
        <v>2.5062656641604009E-2</v>
      </c>
      <c r="AR32" s="121">
        <v>1509.6765091834498</v>
      </c>
      <c r="AS32" s="333" t="s">
        <v>349</v>
      </c>
      <c r="AT32" s="360">
        <v>18</v>
      </c>
    </row>
    <row r="33" spans="1:46" x14ac:dyDescent="0.3">
      <c r="A33" s="412" t="s">
        <v>114</v>
      </c>
      <c r="B33" s="8" t="s">
        <v>140</v>
      </c>
      <c r="C33" s="96" t="s">
        <v>342</v>
      </c>
      <c r="D33" s="144"/>
      <c r="E33" s="56">
        <v>0</v>
      </c>
      <c r="F33" s="144"/>
      <c r="G33" s="56">
        <v>0</v>
      </c>
      <c r="H33" s="144"/>
      <c r="I33" s="56">
        <v>0</v>
      </c>
      <c r="J33" s="144"/>
      <c r="K33" s="56">
        <v>0</v>
      </c>
      <c r="L33" s="144"/>
      <c r="M33" s="56">
        <v>0</v>
      </c>
      <c r="N33" s="144"/>
      <c r="O33" s="56">
        <v>0</v>
      </c>
      <c r="P33" s="144">
        <v>1</v>
      </c>
      <c r="Q33" s="56">
        <v>62748.232282880919</v>
      </c>
      <c r="R33" s="144"/>
      <c r="S33" s="56">
        <v>0</v>
      </c>
      <c r="T33" s="144"/>
      <c r="U33" s="56">
        <v>0</v>
      </c>
      <c r="V33" s="144"/>
      <c r="W33" s="56">
        <v>0</v>
      </c>
      <c r="X33" s="144"/>
      <c r="Y33" s="56">
        <v>0</v>
      </c>
      <c r="Z33" s="144"/>
      <c r="AA33" s="56">
        <v>0</v>
      </c>
      <c r="AB33" s="394"/>
      <c r="AC33" s="56">
        <v>0</v>
      </c>
      <c r="AD33" s="145"/>
      <c r="AE33" s="56">
        <v>0</v>
      </c>
      <c r="AF33" s="145"/>
      <c r="AG33" s="56">
        <v>0</v>
      </c>
      <c r="AH33" s="144"/>
      <c r="AI33" s="56">
        <v>0</v>
      </c>
      <c r="AJ33" s="144"/>
      <c r="AK33" s="56">
        <v>0</v>
      </c>
      <c r="AL33" s="144"/>
      <c r="AM33" s="56">
        <v>0</v>
      </c>
      <c r="AN33" s="81">
        <v>62748.232282880919</v>
      </c>
      <c r="AO33" s="106">
        <v>1</v>
      </c>
      <c r="AP33" s="122" t="s">
        <v>319</v>
      </c>
      <c r="AQ33" s="127">
        <v>8.3542188805346695E-3</v>
      </c>
      <c r="AR33" s="121">
        <v>524.21246685781887</v>
      </c>
      <c r="AS33" s="333" t="s">
        <v>349</v>
      </c>
      <c r="AT33" s="360">
        <v>18</v>
      </c>
    </row>
    <row r="34" spans="1:46" x14ac:dyDescent="0.3">
      <c r="A34" s="412" t="s">
        <v>115</v>
      </c>
      <c r="B34" s="8" t="s">
        <v>141</v>
      </c>
      <c r="C34" s="96" t="s">
        <v>342</v>
      </c>
      <c r="D34" s="144"/>
      <c r="E34" s="56">
        <v>0</v>
      </c>
      <c r="F34" s="144"/>
      <c r="G34" s="56">
        <v>0</v>
      </c>
      <c r="H34" s="144"/>
      <c r="I34" s="56">
        <v>0</v>
      </c>
      <c r="J34" s="144"/>
      <c r="K34" s="56">
        <v>0</v>
      </c>
      <c r="L34" s="144"/>
      <c r="M34" s="56">
        <v>0</v>
      </c>
      <c r="N34" s="144"/>
      <c r="O34" s="56">
        <v>0</v>
      </c>
      <c r="P34" s="144"/>
      <c r="Q34" s="56">
        <v>0</v>
      </c>
      <c r="R34" s="144"/>
      <c r="S34" s="56">
        <v>0</v>
      </c>
      <c r="T34" s="144"/>
      <c r="U34" s="56">
        <v>0</v>
      </c>
      <c r="V34" s="144"/>
      <c r="W34" s="56">
        <v>0</v>
      </c>
      <c r="X34" s="144"/>
      <c r="Y34" s="56">
        <v>0</v>
      </c>
      <c r="Z34" s="144"/>
      <c r="AA34" s="56">
        <v>0</v>
      </c>
      <c r="AB34" s="393"/>
      <c r="AC34" s="56">
        <v>0</v>
      </c>
      <c r="AD34" s="145"/>
      <c r="AE34" s="56">
        <v>0</v>
      </c>
      <c r="AF34" s="145"/>
      <c r="AG34" s="56">
        <v>0</v>
      </c>
      <c r="AH34" s="144"/>
      <c r="AI34" s="56">
        <v>0</v>
      </c>
      <c r="AJ34" s="144"/>
      <c r="AK34" s="56">
        <v>0</v>
      </c>
      <c r="AL34" s="144">
        <v>1</v>
      </c>
      <c r="AM34" s="56">
        <v>62748.232282880919</v>
      </c>
      <c r="AN34" s="81">
        <v>62748.232282880919</v>
      </c>
      <c r="AO34" s="106">
        <v>1</v>
      </c>
      <c r="AP34" s="122" t="s">
        <v>319</v>
      </c>
      <c r="AQ34" s="127">
        <v>0</v>
      </c>
      <c r="AR34" s="121">
        <v>0</v>
      </c>
      <c r="AS34" s="333" t="s">
        <v>349</v>
      </c>
      <c r="AT34" s="360">
        <v>18</v>
      </c>
    </row>
    <row r="35" spans="1:46" x14ac:dyDescent="0.3">
      <c r="A35" s="412" t="s">
        <v>29</v>
      </c>
      <c r="B35" s="8" t="s">
        <v>196</v>
      </c>
      <c r="C35" s="96" t="s">
        <v>344</v>
      </c>
      <c r="D35" s="144"/>
      <c r="E35" s="56">
        <v>0</v>
      </c>
      <c r="F35" s="144"/>
      <c r="G35" s="56">
        <v>0</v>
      </c>
      <c r="H35" s="144"/>
      <c r="I35" s="56">
        <v>0</v>
      </c>
      <c r="J35" s="144"/>
      <c r="K35" s="56">
        <v>0</v>
      </c>
      <c r="L35" s="144"/>
      <c r="M35" s="56">
        <v>0</v>
      </c>
      <c r="N35" s="144"/>
      <c r="O35" s="56">
        <v>0</v>
      </c>
      <c r="P35" s="144"/>
      <c r="Q35" s="56">
        <v>0</v>
      </c>
      <c r="R35" s="144"/>
      <c r="S35" s="56">
        <v>0</v>
      </c>
      <c r="T35" s="144"/>
      <c r="U35" s="56">
        <v>0</v>
      </c>
      <c r="V35" s="144"/>
      <c r="W35" s="56">
        <v>0</v>
      </c>
      <c r="X35" s="144"/>
      <c r="Y35" s="56">
        <v>0</v>
      </c>
      <c r="Z35" s="144"/>
      <c r="AA35" s="56">
        <v>0</v>
      </c>
      <c r="AB35" s="393"/>
      <c r="AC35" s="56">
        <v>0</v>
      </c>
      <c r="AD35" s="145"/>
      <c r="AE35" s="56">
        <v>0</v>
      </c>
      <c r="AF35" s="145"/>
      <c r="AG35" s="56">
        <v>0</v>
      </c>
      <c r="AH35" s="144"/>
      <c r="AI35" s="56">
        <v>0</v>
      </c>
      <c r="AJ35" s="144"/>
      <c r="AK35" s="56">
        <v>0</v>
      </c>
      <c r="AL35" s="144">
        <v>1</v>
      </c>
      <c r="AM35" s="56">
        <v>31881.451880098426</v>
      </c>
      <c r="AN35" s="81">
        <v>31881.451880098426</v>
      </c>
      <c r="AO35" s="106">
        <v>1</v>
      </c>
      <c r="AP35" s="122" t="s">
        <v>318</v>
      </c>
      <c r="AQ35" s="127">
        <v>1</v>
      </c>
      <c r="AR35" s="121">
        <v>31881.451880098426</v>
      </c>
      <c r="AS35" s="333" t="s">
        <v>349</v>
      </c>
      <c r="AT35" s="360">
        <v>18</v>
      </c>
    </row>
    <row r="36" spans="1:46" x14ac:dyDescent="0.3">
      <c r="A36" s="412" t="s">
        <v>23</v>
      </c>
      <c r="B36" s="8" t="s">
        <v>24</v>
      </c>
      <c r="C36" s="96" t="s">
        <v>344</v>
      </c>
      <c r="D36" s="144"/>
      <c r="E36" s="56">
        <v>0</v>
      </c>
      <c r="F36" s="144"/>
      <c r="G36" s="56">
        <v>0</v>
      </c>
      <c r="H36" s="144">
        <v>1</v>
      </c>
      <c r="I36" s="56">
        <v>31881.451880098426</v>
      </c>
      <c r="J36" s="144"/>
      <c r="K36" s="56">
        <v>0</v>
      </c>
      <c r="L36" s="144"/>
      <c r="M36" s="56">
        <v>0</v>
      </c>
      <c r="N36" s="144"/>
      <c r="O36" s="56">
        <v>0</v>
      </c>
      <c r="P36" s="144"/>
      <c r="Q36" s="56">
        <v>0</v>
      </c>
      <c r="R36" s="144"/>
      <c r="S36" s="56">
        <v>0</v>
      </c>
      <c r="T36" s="144"/>
      <c r="U36" s="56">
        <v>0</v>
      </c>
      <c r="V36" s="144"/>
      <c r="W36" s="56">
        <v>0</v>
      </c>
      <c r="X36" s="144"/>
      <c r="Y36" s="56">
        <v>0</v>
      </c>
      <c r="Z36" s="144"/>
      <c r="AA36" s="56">
        <v>0</v>
      </c>
      <c r="AB36" s="393"/>
      <c r="AC36" s="56">
        <v>0</v>
      </c>
      <c r="AD36" s="145"/>
      <c r="AE36" s="56">
        <v>0</v>
      </c>
      <c r="AF36" s="145"/>
      <c r="AG36" s="56">
        <v>0</v>
      </c>
      <c r="AH36" s="144"/>
      <c r="AI36" s="56">
        <v>0</v>
      </c>
      <c r="AJ36" s="144"/>
      <c r="AK36" s="56">
        <v>0</v>
      </c>
      <c r="AL36" s="144"/>
      <c r="AM36" s="56">
        <v>0</v>
      </c>
      <c r="AN36" s="81">
        <v>31881.451880098426</v>
      </c>
      <c r="AO36" s="106">
        <v>1</v>
      </c>
      <c r="AP36" s="122" t="s">
        <v>318</v>
      </c>
      <c r="AQ36" s="127">
        <v>1</v>
      </c>
      <c r="AR36" s="121">
        <v>31881.451880098426</v>
      </c>
      <c r="AS36" s="333" t="s">
        <v>349</v>
      </c>
      <c r="AT36" s="360">
        <v>18</v>
      </c>
    </row>
    <row r="37" spans="1:46" x14ac:dyDescent="0.3">
      <c r="A37" s="412" t="s">
        <v>32</v>
      </c>
      <c r="B37" s="8" t="s">
        <v>143</v>
      </c>
      <c r="C37" s="96" t="s">
        <v>342</v>
      </c>
      <c r="D37" s="144"/>
      <c r="E37" s="56">
        <v>0</v>
      </c>
      <c r="F37" s="144"/>
      <c r="G37" s="56">
        <v>0</v>
      </c>
      <c r="H37" s="144"/>
      <c r="I37" s="56">
        <v>0</v>
      </c>
      <c r="J37" s="144"/>
      <c r="K37" s="56">
        <v>0</v>
      </c>
      <c r="L37" s="144"/>
      <c r="M37" s="56">
        <v>0</v>
      </c>
      <c r="N37" s="144"/>
      <c r="O37" s="56">
        <v>0</v>
      </c>
      <c r="P37" s="144"/>
      <c r="Q37" s="56">
        <v>0</v>
      </c>
      <c r="R37" s="144"/>
      <c r="S37" s="56">
        <v>0</v>
      </c>
      <c r="T37" s="144"/>
      <c r="U37" s="56">
        <v>0</v>
      </c>
      <c r="V37" s="144"/>
      <c r="W37" s="56">
        <v>0</v>
      </c>
      <c r="X37" s="144"/>
      <c r="Y37" s="56">
        <v>0</v>
      </c>
      <c r="Z37" s="144"/>
      <c r="AA37" s="56">
        <v>0</v>
      </c>
      <c r="AB37" s="394"/>
      <c r="AC37" s="56">
        <v>0</v>
      </c>
      <c r="AD37" s="145"/>
      <c r="AE37" s="56">
        <v>0</v>
      </c>
      <c r="AF37" s="145"/>
      <c r="AG37" s="56">
        <v>0</v>
      </c>
      <c r="AH37" s="144"/>
      <c r="AI37" s="56">
        <v>0</v>
      </c>
      <c r="AJ37" s="144"/>
      <c r="AK37" s="56">
        <v>0</v>
      </c>
      <c r="AL37" s="144"/>
      <c r="AM37" s="56">
        <v>0</v>
      </c>
      <c r="AN37" s="81">
        <v>0</v>
      </c>
      <c r="AO37" s="106">
        <v>0</v>
      </c>
      <c r="AP37" s="122" t="s">
        <v>319</v>
      </c>
      <c r="AQ37" s="127">
        <v>0</v>
      </c>
      <c r="AR37" s="121">
        <v>0</v>
      </c>
      <c r="AS37" s="333" t="s">
        <v>349</v>
      </c>
      <c r="AT37" s="360">
        <v>18</v>
      </c>
    </row>
    <row r="38" spans="1:46" x14ac:dyDescent="0.3">
      <c r="A38" s="413" t="s">
        <v>90</v>
      </c>
      <c r="B38" s="112" t="s">
        <v>280</v>
      </c>
      <c r="C38" s="96" t="s">
        <v>346</v>
      </c>
      <c r="D38" s="180">
        <v>1</v>
      </c>
      <c r="E38" s="113">
        <v>232601.87077978876</v>
      </c>
      <c r="F38" s="180"/>
      <c r="G38" s="113">
        <v>0</v>
      </c>
      <c r="H38" s="180"/>
      <c r="I38" s="113">
        <v>0</v>
      </c>
      <c r="J38" s="180"/>
      <c r="K38" s="113">
        <v>0</v>
      </c>
      <c r="L38" s="180"/>
      <c r="M38" s="113">
        <v>0</v>
      </c>
      <c r="N38" s="180"/>
      <c r="O38" s="113">
        <v>0</v>
      </c>
      <c r="P38" s="180"/>
      <c r="Q38" s="113">
        <v>0</v>
      </c>
      <c r="R38" s="180"/>
      <c r="S38" s="113">
        <v>0</v>
      </c>
      <c r="T38" s="180"/>
      <c r="U38" s="113">
        <v>0</v>
      </c>
      <c r="V38" s="180"/>
      <c r="W38" s="113">
        <v>0</v>
      </c>
      <c r="X38" s="180"/>
      <c r="Y38" s="113">
        <v>0</v>
      </c>
      <c r="Z38" s="144"/>
      <c r="AA38" s="56">
        <v>0</v>
      </c>
      <c r="AB38" s="393"/>
      <c r="AC38" s="56">
        <v>0</v>
      </c>
      <c r="AD38" s="145"/>
      <c r="AE38" s="56">
        <v>0</v>
      </c>
      <c r="AF38" s="145"/>
      <c r="AG38" s="56">
        <v>0</v>
      </c>
      <c r="AH38" s="144"/>
      <c r="AI38" s="56">
        <v>0</v>
      </c>
      <c r="AJ38" s="144"/>
      <c r="AK38" s="56">
        <v>0</v>
      </c>
      <c r="AL38" s="180"/>
      <c r="AM38" s="113">
        <v>0</v>
      </c>
      <c r="AN38" s="81">
        <v>232601.87077978876</v>
      </c>
      <c r="AO38" s="106">
        <v>1</v>
      </c>
      <c r="AP38" s="122" t="s">
        <v>319</v>
      </c>
      <c r="AQ38" s="127">
        <v>1.5037593984962405E-2</v>
      </c>
      <c r="AR38" s="121">
        <v>3497.7724929291539</v>
      </c>
      <c r="AS38" s="333" t="s">
        <v>349</v>
      </c>
      <c r="AT38" s="360">
        <v>18</v>
      </c>
    </row>
    <row r="39" spans="1:46" x14ac:dyDescent="0.3">
      <c r="A39" s="412" t="s">
        <v>92</v>
      </c>
      <c r="B39" s="8" t="s">
        <v>93</v>
      </c>
      <c r="C39" s="96" t="s">
        <v>342</v>
      </c>
      <c r="D39" s="144">
        <v>1</v>
      </c>
      <c r="E39" s="56">
        <v>85060.59895480916</v>
      </c>
      <c r="F39" s="144"/>
      <c r="G39" s="56">
        <v>0</v>
      </c>
      <c r="H39" s="144"/>
      <c r="I39" s="56">
        <v>0</v>
      </c>
      <c r="J39" s="144"/>
      <c r="K39" s="56">
        <v>0</v>
      </c>
      <c r="L39" s="144"/>
      <c r="M39" s="56">
        <v>0</v>
      </c>
      <c r="N39" s="144"/>
      <c r="O39" s="56">
        <v>0</v>
      </c>
      <c r="P39" s="144"/>
      <c r="Q39" s="56">
        <v>0</v>
      </c>
      <c r="R39" s="144"/>
      <c r="S39" s="56">
        <v>0</v>
      </c>
      <c r="T39" s="144"/>
      <c r="U39" s="56">
        <v>0</v>
      </c>
      <c r="V39" s="144"/>
      <c r="W39" s="56">
        <v>0</v>
      </c>
      <c r="X39" s="144"/>
      <c r="Y39" s="56">
        <v>0</v>
      </c>
      <c r="Z39" s="144"/>
      <c r="AA39" s="56">
        <v>0</v>
      </c>
      <c r="AB39" s="395"/>
      <c r="AC39" s="56">
        <v>0</v>
      </c>
      <c r="AD39" s="177"/>
      <c r="AE39" s="56">
        <v>0</v>
      </c>
      <c r="AF39" s="177"/>
      <c r="AG39" s="56">
        <v>0</v>
      </c>
      <c r="AH39" s="144"/>
      <c r="AI39" s="56">
        <v>0</v>
      </c>
      <c r="AJ39" s="144"/>
      <c r="AK39" s="56">
        <v>0</v>
      </c>
      <c r="AL39" s="144"/>
      <c r="AM39" s="56">
        <v>0</v>
      </c>
      <c r="AN39" s="81">
        <v>85060.59895480916</v>
      </c>
      <c r="AO39" s="106">
        <v>1</v>
      </c>
      <c r="AP39" s="122" t="s">
        <v>318</v>
      </c>
      <c r="AQ39" s="127">
        <v>1</v>
      </c>
      <c r="AR39" s="121">
        <v>85060.59895480916</v>
      </c>
      <c r="AS39" s="333" t="s">
        <v>349</v>
      </c>
      <c r="AT39" s="360">
        <v>18</v>
      </c>
    </row>
    <row r="40" spans="1:46" x14ac:dyDescent="0.3">
      <c r="A40" s="412" t="s">
        <v>52</v>
      </c>
      <c r="B40" s="8" t="s">
        <v>191</v>
      </c>
      <c r="C40" s="96" t="s">
        <v>342</v>
      </c>
      <c r="D40" s="144">
        <v>1</v>
      </c>
      <c r="E40" s="56">
        <v>26897.079640267821</v>
      </c>
      <c r="F40" s="144"/>
      <c r="G40" s="56">
        <v>0</v>
      </c>
      <c r="H40" s="144"/>
      <c r="I40" s="56">
        <v>0</v>
      </c>
      <c r="J40" s="144"/>
      <c r="K40" s="56">
        <v>0</v>
      </c>
      <c r="L40" s="144"/>
      <c r="M40" s="56">
        <v>0</v>
      </c>
      <c r="N40" s="144"/>
      <c r="O40" s="56">
        <v>0</v>
      </c>
      <c r="P40" s="144"/>
      <c r="Q40" s="56">
        <v>0</v>
      </c>
      <c r="R40" s="144"/>
      <c r="S40" s="56">
        <v>0</v>
      </c>
      <c r="T40" s="144"/>
      <c r="U40" s="56">
        <v>0</v>
      </c>
      <c r="V40" s="144"/>
      <c r="W40" s="56">
        <v>0</v>
      </c>
      <c r="X40" s="144"/>
      <c r="Y40" s="56">
        <v>0</v>
      </c>
      <c r="Z40" s="144"/>
      <c r="AA40" s="56">
        <v>0</v>
      </c>
      <c r="AB40" s="393"/>
      <c r="AC40" s="56">
        <v>0</v>
      </c>
      <c r="AD40" s="145"/>
      <c r="AE40" s="56">
        <v>0</v>
      </c>
      <c r="AF40" s="145"/>
      <c r="AG40" s="56">
        <v>0</v>
      </c>
      <c r="AH40" s="144"/>
      <c r="AI40" s="56">
        <v>0</v>
      </c>
      <c r="AJ40" s="144"/>
      <c r="AK40" s="56">
        <v>0</v>
      </c>
      <c r="AL40" s="144"/>
      <c r="AM40" s="56">
        <v>0</v>
      </c>
      <c r="AN40" s="81">
        <v>26897.079640267821</v>
      </c>
      <c r="AO40" s="106">
        <v>1</v>
      </c>
      <c r="AP40" s="122" t="s">
        <v>319</v>
      </c>
      <c r="AQ40" s="127">
        <v>0</v>
      </c>
      <c r="AR40" s="121">
        <v>0</v>
      </c>
      <c r="AS40" s="333" t="s">
        <v>349</v>
      </c>
      <c r="AT40" s="360">
        <v>18</v>
      </c>
    </row>
    <row r="41" spans="1:46" x14ac:dyDescent="0.3">
      <c r="A41" s="414" t="s">
        <v>53</v>
      </c>
      <c r="B41" s="8" t="s">
        <v>230</v>
      </c>
      <c r="C41" s="96" t="s">
        <v>342</v>
      </c>
      <c r="D41" s="181">
        <v>1</v>
      </c>
      <c r="E41" s="56">
        <v>26897.079640267817</v>
      </c>
      <c r="F41" s="181"/>
      <c r="G41" s="56">
        <v>0</v>
      </c>
      <c r="H41" s="181"/>
      <c r="I41" s="56">
        <v>0</v>
      </c>
      <c r="J41" s="181"/>
      <c r="K41" s="56">
        <v>0</v>
      </c>
      <c r="L41" s="181"/>
      <c r="M41" s="56">
        <v>0</v>
      </c>
      <c r="N41" s="181"/>
      <c r="O41" s="56">
        <v>0</v>
      </c>
      <c r="P41" s="181"/>
      <c r="Q41" s="56">
        <v>0</v>
      </c>
      <c r="R41" s="181"/>
      <c r="S41" s="56">
        <v>0</v>
      </c>
      <c r="T41" s="181"/>
      <c r="U41" s="56">
        <v>0</v>
      </c>
      <c r="V41" s="181"/>
      <c r="W41" s="56">
        <v>0</v>
      </c>
      <c r="X41" s="181"/>
      <c r="Y41" s="56">
        <v>0</v>
      </c>
      <c r="Z41" s="144"/>
      <c r="AA41" s="56">
        <v>0</v>
      </c>
      <c r="AB41" s="394"/>
      <c r="AC41" s="56">
        <v>0</v>
      </c>
      <c r="AD41" s="144"/>
      <c r="AE41" s="56">
        <v>0</v>
      </c>
      <c r="AF41" s="144"/>
      <c r="AG41" s="56">
        <v>0</v>
      </c>
      <c r="AH41" s="144"/>
      <c r="AI41" s="56">
        <v>0</v>
      </c>
      <c r="AJ41" s="144"/>
      <c r="AK41" s="56">
        <v>0</v>
      </c>
      <c r="AL41" s="181"/>
      <c r="AM41" s="56">
        <v>0</v>
      </c>
      <c r="AN41" s="81">
        <v>26897.079640267817</v>
      </c>
      <c r="AO41" s="106">
        <v>1</v>
      </c>
      <c r="AP41" s="122" t="s">
        <v>319</v>
      </c>
      <c r="AQ41" s="127">
        <v>1.6708437761069339E-3</v>
      </c>
      <c r="AR41" s="121">
        <v>44.940818112394012</v>
      </c>
      <c r="AS41" s="333" t="s">
        <v>349</v>
      </c>
      <c r="AT41" s="360">
        <v>18</v>
      </c>
    </row>
    <row r="42" spans="1:46" x14ac:dyDescent="0.3">
      <c r="A42" s="414" t="s">
        <v>421</v>
      </c>
      <c r="B42" s="96" t="s">
        <v>422</v>
      </c>
      <c r="C42" s="96" t="s">
        <v>423</v>
      </c>
      <c r="D42" s="181"/>
      <c r="E42" s="56"/>
      <c r="F42" s="181"/>
      <c r="G42" s="56"/>
      <c r="H42" s="181"/>
      <c r="I42" s="56"/>
      <c r="J42" s="181"/>
      <c r="K42" s="56"/>
      <c r="L42" s="181"/>
      <c r="M42" s="56"/>
      <c r="N42" s="181"/>
      <c r="O42" s="56"/>
      <c r="P42" s="181"/>
      <c r="Q42" s="56"/>
      <c r="R42" s="181"/>
      <c r="S42" s="56"/>
      <c r="T42" s="181"/>
      <c r="U42" s="56"/>
      <c r="V42" s="181"/>
      <c r="W42" s="56"/>
      <c r="X42" s="181"/>
      <c r="Y42" s="56"/>
      <c r="Z42" s="181"/>
      <c r="AA42" s="56"/>
      <c r="AB42" s="81"/>
      <c r="AC42" s="106"/>
      <c r="AD42" s="315"/>
      <c r="AE42" s="329"/>
      <c r="AF42" s="285"/>
      <c r="AG42" s="314"/>
      <c r="AI42" s="56"/>
      <c r="AJ42" s="144"/>
      <c r="AK42" s="56"/>
      <c r="AL42" s="181"/>
      <c r="AM42" s="56"/>
      <c r="AN42" s="81"/>
      <c r="AO42" s="106"/>
      <c r="AP42" s="104" t="s">
        <v>318</v>
      </c>
      <c r="AQ42" s="119"/>
      <c r="AR42" s="47"/>
      <c r="AS42" s="333" t="s">
        <v>349</v>
      </c>
      <c r="AT42" s="333">
        <v>18</v>
      </c>
    </row>
    <row r="43" spans="1:46" x14ac:dyDescent="0.3">
      <c r="A43" s="415" t="s">
        <v>13</v>
      </c>
      <c r="B43" s="280" t="s">
        <v>14</v>
      </c>
      <c r="C43" s="274" t="s">
        <v>343</v>
      </c>
      <c r="D43" s="281">
        <v>1</v>
      </c>
      <c r="E43" s="276">
        <v>20552.755657371155</v>
      </c>
      <c r="F43" s="280"/>
      <c r="G43" s="276">
        <v>0</v>
      </c>
      <c r="H43" s="280"/>
      <c r="I43" s="276">
        <v>0</v>
      </c>
      <c r="J43" s="280"/>
      <c r="K43" s="276">
        <v>0</v>
      </c>
      <c r="L43" s="280"/>
      <c r="M43" s="276">
        <v>0</v>
      </c>
      <c r="N43" s="280"/>
      <c r="O43" s="276">
        <v>0</v>
      </c>
      <c r="P43" s="280"/>
      <c r="Q43" s="276">
        <v>0</v>
      </c>
      <c r="R43" s="280"/>
      <c r="S43" s="276">
        <v>0</v>
      </c>
      <c r="T43" s="280"/>
      <c r="U43" s="276">
        <v>0</v>
      </c>
      <c r="V43" s="280"/>
      <c r="W43" s="276">
        <v>0</v>
      </c>
      <c r="X43" s="280"/>
      <c r="Y43" s="276">
        <v>0</v>
      </c>
      <c r="Z43" s="280"/>
      <c r="AA43" s="276">
        <v>0</v>
      </c>
      <c r="AB43" s="396"/>
      <c r="AC43" s="283">
        <v>0</v>
      </c>
      <c r="AD43" s="284"/>
      <c r="AE43" s="329">
        <v>0</v>
      </c>
      <c r="AF43" s="145"/>
      <c r="AG43" s="56">
        <v>0</v>
      </c>
      <c r="AH43" s="144"/>
      <c r="AI43" s="56">
        <v>0</v>
      </c>
      <c r="AJ43" s="144"/>
      <c r="AK43" s="56">
        <v>0</v>
      </c>
      <c r="AL43" s="144"/>
      <c r="AM43" s="56">
        <v>0</v>
      </c>
      <c r="AN43" s="81">
        <v>20552.755657371155</v>
      </c>
      <c r="AO43" s="106">
        <v>1</v>
      </c>
      <c r="AP43" s="122" t="s">
        <v>318</v>
      </c>
      <c r="AQ43" s="127">
        <v>1</v>
      </c>
      <c r="AR43" s="121">
        <v>20552.755657371155</v>
      </c>
      <c r="AS43" s="333" t="s">
        <v>350</v>
      </c>
      <c r="AT43" s="360">
        <v>18</v>
      </c>
    </row>
    <row r="44" spans="1:46" x14ac:dyDescent="0.3">
      <c r="A44" s="415" t="s">
        <v>40</v>
      </c>
      <c r="B44" s="274" t="s">
        <v>41</v>
      </c>
      <c r="C44" s="274" t="s">
        <v>343</v>
      </c>
      <c r="D44" s="281">
        <v>1</v>
      </c>
      <c r="E44" s="276">
        <v>15634.853025719462</v>
      </c>
      <c r="F44" s="281">
        <v>1</v>
      </c>
      <c r="G44" s="276">
        <v>15634.853025719462</v>
      </c>
      <c r="H44" s="281">
        <v>1</v>
      </c>
      <c r="I44" s="276">
        <v>15634.853025719462</v>
      </c>
      <c r="J44" s="281">
        <v>1</v>
      </c>
      <c r="K44" s="276">
        <v>15634.853025719462</v>
      </c>
      <c r="L44" s="281">
        <v>1</v>
      </c>
      <c r="M44" s="276">
        <v>15634.853025719462</v>
      </c>
      <c r="N44" s="281">
        <v>1</v>
      </c>
      <c r="O44" s="276">
        <v>15634.853025719462</v>
      </c>
      <c r="P44" s="281">
        <v>1</v>
      </c>
      <c r="Q44" s="276">
        <v>15634.853025719462</v>
      </c>
      <c r="R44" s="281">
        <v>1</v>
      </c>
      <c r="S44" s="276">
        <v>15634.853025719462</v>
      </c>
      <c r="T44" s="281">
        <v>1</v>
      </c>
      <c r="U44" s="276">
        <v>15634.853025719462</v>
      </c>
      <c r="V44" s="281">
        <v>1</v>
      </c>
      <c r="W44" s="276">
        <v>15634.853025719462</v>
      </c>
      <c r="X44" s="281">
        <v>1</v>
      </c>
      <c r="Y44" s="276">
        <v>15634.853025719462</v>
      </c>
      <c r="Z44" s="281">
        <v>1</v>
      </c>
      <c r="AA44" s="276">
        <v>15634.853025719462</v>
      </c>
      <c r="AB44" s="396">
        <v>1</v>
      </c>
      <c r="AC44" s="283">
        <v>15634.853025719462</v>
      </c>
      <c r="AD44" s="284">
        <v>1</v>
      </c>
      <c r="AE44" s="329">
        <v>15634.853025719462</v>
      </c>
      <c r="AF44" s="145">
        <v>1</v>
      </c>
      <c r="AG44" s="56">
        <v>15634.853025719462</v>
      </c>
      <c r="AH44" s="144">
        <v>1</v>
      </c>
      <c r="AI44" s="56">
        <v>15634.853025719462</v>
      </c>
      <c r="AJ44" s="144">
        <v>1</v>
      </c>
      <c r="AK44" s="56">
        <v>15634.853025719462</v>
      </c>
      <c r="AL44" s="144">
        <v>1</v>
      </c>
      <c r="AM44" s="56">
        <v>15634.853025719462</v>
      </c>
      <c r="AN44" s="81">
        <v>281427.35446295032</v>
      </c>
      <c r="AO44" s="106">
        <v>18</v>
      </c>
      <c r="AP44" s="122" t="s">
        <v>318</v>
      </c>
      <c r="AQ44" s="127">
        <v>1</v>
      </c>
      <c r="AR44" s="121">
        <v>281427.35446295032</v>
      </c>
      <c r="AS44" s="333" t="s">
        <v>350</v>
      </c>
      <c r="AT44" s="360">
        <v>18</v>
      </c>
    </row>
    <row r="45" spans="1:46" x14ac:dyDescent="0.3">
      <c r="A45" s="415" t="s">
        <v>36</v>
      </c>
      <c r="B45" s="274" t="s">
        <v>136</v>
      </c>
      <c r="C45" s="274" t="s">
        <v>344</v>
      </c>
      <c r="D45" s="280"/>
      <c r="E45" s="276" t="s">
        <v>358</v>
      </c>
      <c r="F45" s="280"/>
      <c r="G45" s="276">
        <v>0</v>
      </c>
      <c r="H45" s="281">
        <v>8</v>
      </c>
      <c r="I45" s="276">
        <v>70240.958933331567</v>
      </c>
      <c r="J45" s="281">
        <v>8</v>
      </c>
      <c r="K45" s="276">
        <v>70240.958933331567</v>
      </c>
      <c r="L45" s="281">
        <v>8</v>
      </c>
      <c r="M45" s="276">
        <v>70240.958933331567</v>
      </c>
      <c r="N45" s="281">
        <v>8</v>
      </c>
      <c r="O45" s="276">
        <v>70240.958933331567</v>
      </c>
      <c r="P45" s="281">
        <v>8</v>
      </c>
      <c r="Q45" s="276">
        <v>70240.958933331567</v>
      </c>
      <c r="R45" s="281">
        <v>8</v>
      </c>
      <c r="S45" s="276">
        <v>70240.958933331567</v>
      </c>
      <c r="T45" s="281">
        <v>8</v>
      </c>
      <c r="U45" s="276">
        <v>70240.958933331567</v>
      </c>
      <c r="V45" s="281">
        <v>8</v>
      </c>
      <c r="W45" s="276">
        <v>70240.958933331567</v>
      </c>
      <c r="X45" s="281">
        <v>8</v>
      </c>
      <c r="Y45" s="276">
        <v>70240.958933331567</v>
      </c>
      <c r="Z45" s="281">
        <v>8</v>
      </c>
      <c r="AA45" s="276">
        <v>70240.958933331567</v>
      </c>
      <c r="AB45" s="396">
        <v>8</v>
      </c>
      <c r="AC45" s="283">
        <v>70240.958933331567</v>
      </c>
      <c r="AD45" s="284">
        <v>8</v>
      </c>
      <c r="AE45" s="329">
        <v>70240.958933331567</v>
      </c>
      <c r="AF45" s="145">
        <v>8</v>
      </c>
      <c r="AG45" s="56">
        <v>70240.958933331567</v>
      </c>
      <c r="AH45" s="146">
        <v>8</v>
      </c>
      <c r="AI45" s="56">
        <v>70240.958933331567</v>
      </c>
      <c r="AJ45" s="146">
        <v>8</v>
      </c>
      <c r="AK45" s="56">
        <v>70240.958933331567</v>
      </c>
      <c r="AL45" s="146">
        <v>8</v>
      </c>
      <c r="AM45" s="56">
        <v>70240.958933331567</v>
      </c>
      <c r="AN45" s="81">
        <v>1123855.3429333048</v>
      </c>
      <c r="AO45" s="106">
        <v>128</v>
      </c>
      <c r="AP45" s="122" t="s">
        <v>318</v>
      </c>
      <c r="AQ45" s="127">
        <v>1</v>
      </c>
      <c r="AR45" s="121">
        <v>1123855.3429333048</v>
      </c>
      <c r="AS45" s="333" t="s">
        <v>350</v>
      </c>
      <c r="AT45" s="360">
        <v>18</v>
      </c>
    </row>
    <row r="46" spans="1:46" x14ac:dyDescent="0.3">
      <c r="A46" s="415" t="s">
        <v>15</v>
      </c>
      <c r="B46" s="274" t="s">
        <v>16</v>
      </c>
      <c r="C46" s="274" t="s">
        <v>342</v>
      </c>
      <c r="D46" s="280"/>
      <c r="E46" s="276" t="s">
        <v>358</v>
      </c>
      <c r="F46" s="280"/>
      <c r="G46" s="276">
        <v>0</v>
      </c>
      <c r="H46" s="280"/>
      <c r="I46" s="276">
        <v>0</v>
      </c>
      <c r="J46" s="280"/>
      <c r="K46" s="276">
        <v>0</v>
      </c>
      <c r="L46" s="280"/>
      <c r="M46" s="276">
        <v>0</v>
      </c>
      <c r="N46" s="281">
        <v>1</v>
      </c>
      <c r="O46" s="276">
        <v>22052.520800552971</v>
      </c>
      <c r="P46" s="280"/>
      <c r="Q46" s="276">
        <v>0</v>
      </c>
      <c r="R46" s="280"/>
      <c r="S46" s="276">
        <v>0</v>
      </c>
      <c r="T46" s="280"/>
      <c r="U46" s="276">
        <v>0</v>
      </c>
      <c r="V46" s="280"/>
      <c r="W46" s="276">
        <v>0</v>
      </c>
      <c r="X46" s="280"/>
      <c r="Y46" s="276">
        <v>0</v>
      </c>
      <c r="Z46" s="281"/>
      <c r="AA46" s="276">
        <v>0</v>
      </c>
      <c r="AB46" s="396"/>
      <c r="AC46" s="283">
        <v>0</v>
      </c>
      <c r="AD46" s="284"/>
      <c r="AE46" s="329">
        <v>0</v>
      </c>
      <c r="AF46" s="145"/>
      <c r="AG46" s="56">
        <v>0</v>
      </c>
      <c r="AH46" s="144"/>
      <c r="AI46" s="56">
        <v>0</v>
      </c>
      <c r="AJ46" s="144"/>
      <c r="AK46" s="56">
        <v>0</v>
      </c>
      <c r="AL46" s="144">
        <v>1</v>
      </c>
      <c r="AM46" s="56">
        <v>22052.520800552971</v>
      </c>
      <c r="AN46" s="81">
        <v>44105.041601105942</v>
      </c>
      <c r="AO46" s="106">
        <v>2</v>
      </c>
      <c r="AP46" s="122" t="s">
        <v>318</v>
      </c>
      <c r="AQ46" s="127">
        <v>1</v>
      </c>
      <c r="AR46" s="121">
        <v>44105.041601105942</v>
      </c>
      <c r="AS46" s="333" t="s">
        <v>350</v>
      </c>
      <c r="AT46" s="360">
        <v>18</v>
      </c>
    </row>
    <row r="47" spans="1:46" x14ac:dyDescent="0.3">
      <c r="A47" s="415" t="s">
        <v>3</v>
      </c>
      <c r="B47" s="274" t="s">
        <v>4</v>
      </c>
      <c r="C47" s="274" t="s">
        <v>342</v>
      </c>
      <c r="D47" s="281">
        <v>1</v>
      </c>
      <c r="E47" s="276">
        <v>20406.13276336317</v>
      </c>
      <c r="F47" s="280"/>
      <c r="G47" s="276">
        <v>0</v>
      </c>
      <c r="H47" s="280"/>
      <c r="I47" s="276">
        <v>0</v>
      </c>
      <c r="J47" s="280"/>
      <c r="K47" s="276">
        <v>0</v>
      </c>
      <c r="L47" s="280"/>
      <c r="M47" s="276">
        <v>0</v>
      </c>
      <c r="N47" s="281"/>
      <c r="O47" s="276">
        <v>0</v>
      </c>
      <c r="P47" s="280"/>
      <c r="Q47" s="276">
        <v>0</v>
      </c>
      <c r="R47" s="280"/>
      <c r="S47" s="276">
        <v>0</v>
      </c>
      <c r="T47" s="280"/>
      <c r="U47" s="276">
        <v>0</v>
      </c>
      <c r="V47" s="280"/>
      <c r="W47" s="276">
        <v>0</v>
      </c>
      <c r="X47" s="280"/>
      <c r="Y47" s="276">
        <v>0</v>
      </c>
      <c r="Z47" s="281"/>
      <c r="AA47" s="276">
        <v>0</v>
      </c>
      <c r="AB47" s="396"/>
      <c r="AC47" s="283">
        <v>0</v>
      </c>
      <c r="AD47" s="284"/>
      <c r="AE47" s="329">
        <v>0</v>
      </c>
      <c r="AF47" s="144"/>
      <c r="AG47" s="56">
        <v>0</v>
      </c>
      <c r="AH47" s="144"/>
      <c r="AI47" s="56">
        <v>0</v>
      </c>
      <c r="AJ47" s="144"/>
      <c r="AK47" s="56">
        <v>0</v>
      </c>
      <c r="AL47" s="144"/>
      <c r="AM47" s="56">
        <v>0</v>
      </c>
      <c r="AN47" s="81">
        <v>20406.13276336317</v>
      </c>
      <c r="AO47" s="106">
        <v>1</v>
      </c>
      <c r="AP47" s="122" t="s">
        <v>318</v>
      </c>
      <c r="AQ47" s="127">
        <v>1</v>
      </c>
      <c r="AR47" s="121">
        <v>20406.13276336317</v>
      </c>
      <c r="AS47" s="333" t="s">
        <v>350</v>
      </c>
      <c r="AT47" s="360">
        <v>18</v>
      </c>
    </row>
    <row r="48" spans="1:46" x14ac:dyDescent="0.3">
      <c r="A48" s="415" t="s">
        <v>5</v>
      </c>
      <c r="B48" s="274" t="s">
        <v>6</v>
      </c>
      <c r="C48" s="274" t="s">
        <v>342</v>
      </c>
      <c r="D48" s="281">
        <v>1</v>
      </c>
      <c r="E48" s="276">
        <v>18768.367820181349</v>
      </c>
      <c r="F48" s="280"/>
      <c r="G48" s="276">
        <v>0</v>
      </c>
      <c r="H48" s="280"/>
      <c r="I48" s="276">
        <v>0</v>
      </c>
      <c r="J48" s="280"/>
      <c r="K48" s="276">
        <v>0</v>
      </c>
      <c r="L48" s="280"/>
      <c r="M48" s="276">
        <v>0</v>
      </c>
      <c r="N48" s="280"/>
      <c r="O48" s="276">
        <v>0</v>
      </c>
      <c r="P48" s="280"/>
      <c r="Q48" s="276">
        <v>0</v>
      </c>
      <c r="R48" s="280"/>
      <c r="S48" s="276">
        <v>0</v>
      </c>
      <c r="T48" s="280"/>
      <c r="U48" s="276">
        <v>0</v>
      </c>
      <c r="V48" s="280"/>
      <c r="W48" s="276">
        <v>0</v>
      </c>
      <c r="X48" s="280"/>
      <c r="Y48" s="276">
        <v>0</v>
      </c>
      <c r="Z48" s="280"/>
      <c r="AA48" s="276">
        <v>0</v>
      </c>
      <c r="AB48" s="396"/>
      <c r="AC48" s="283">
        <v>0</v>
      </c>
      <c r="AD48" s="284"/>
      <c r="AE48" s="329">
        <v>0</v>
      </c>
      <c r="AF48" s="144"/>
      <c r="AG48" s="56">
        <v>0</v>
      </c>
      <c r="AH48" s="144"/>
      <c r="AI48" s="56">
        <v>0</v>
      </c>
      <c r="AJ48" s="144"/>
      <c r="AK48" s="56">
        <v>0</v>
      </c>
      <c r="AL48" s="144"/>
      <c r="AM48" s="56">
        <v>0</v>
      </c>
      <c r="AN48" s="81">
        <v>18768.367820181349</v>
      </c>
      <c r="AO48" s="106">
        <v>1</v>
      </c>
      <c r="AP48" s="122" t="s">
        <v>318</v>
      </c>
      <c r="AQ48" s="127">
        <v>1</v>
      </c>
      <c r="AR48" s="121">
        <v>18768.367820181349</v>
      </c>
      <c r="AS48" s="333" t="s">
        <v>350</v>
      </c>
      <c r="AT48" s="360">
        <v>18</v>
      </c>
    </row>
    <row r="49" spans="1:46" x14ac:dyDescent="0.3">
      <c r="A49" s="415" t="s">
        <v>17</v>
      </c>
      <c r="B49" s="274" t="s">
        <v>18</v>
      </c>
      <c r="C49" s="274" t="s">
        <v>342</v>
      </c>
      <c r="D49" s="280"/>
      <c r="E49" s="276" t="s">
        <v>358</v>
      </c>
      <c r="F49" s="280"/>
      <c r="G49" s="276">
        <v>0</v>
      </c>
      <c r="H49" s="280"/>
      <c r="I49" s="276">
        <v>0</v>
      </c>
      <c r="J49" s="280"/>
      <c r="K49" s="276">
        <v>0</v>
      </c>
      <c r="L49" s="280"/>
      <c r="M49" s="276">
        <v>0</v>
      </c>
      <c r="N49" s="281">
        <v>1</v>
      </c>
      <c r="O49" s="276">
        <v>20414.75585737115</v>
      </c>
      <c r="P49" s="280"/>
      <c r="Q49" s="276">
        <v>0</v>
      </c>
      <c r="R49" s="280"/>
      <c r="S49" s="276">
        <v>0</v>
      </c>
      <c r="T49" s="280"/>
      <c r="U49" s="276">
        <v>0</v>
      </c>
      <c r="V49" s="280"/>
      <c r="W49" s="276">
        <v>0</v>
      </c>
      <c r="X49" s="280"/>
      <c r="Y49" s="276">
        <v>0</v>
      </c>
      <c r="Z49" s="281"/>
      <c r="AA49" s="276">
        <v>0</v>
      </c>
      <c r="AB49" s="396"/>
      <c r="AC49" s="283">
        <v>0</v>
      </c>
      <c r="AD49" s="284"/>
      <c r="AE49" s="329">
        <v>0</v>
      </c>
      <c r="AF49" s="145"/>
      <c r="AG49" s="56">
        <v>0</v>
      </c>
      <c r="AH49" s="144"/>
      <c r="AI49" s="56">
        <v>0</v>
      </c>
      <c r="AJ49" s="144"/>
      <c r="AK49" s="56">
        <v>0</v>
      </c>
      <c r="AL49" s="144">
        <v>1</v>
      </c>
      <c r="AM49" s="56">
        <v>20414.75585737115</v>
      </c>
      <c r="AN49" s="81">
        <v>40829.511714742301</v>
      </c>
      <c r="AO49" s="106">
        <v>2</v>
      </c>
      <c r="AP49" s="122" t="s">
        <v>318</v>
      </c>
      <c r="AQ49" s="127">
        <v>1</v>
      </c>
      <c r="AR49" s="121">
        <v>40829.511714742301</v>
      </c>
      <c r="AS49" s="333" t="s">
        <v>350</v>
      </c>
      <c r="AT49" s="360">
        <v>18</v>
      </c>
    </row>
    <row r="50" spans="1:46" x14ac:dyDescent="0.3">
      <c r="A50" s="415" t="s">
        <v>38</v>
      </c>
      <c r="B50" s="274" t="s">
        <v>137</v>
      </c>
      <c r="C50" s="274" t="s">
        <v>342</v>
      </c>
      <c r="D50" s="281">
        <v>1</v>
      </c>
      <c r="E50" s="276">
        <v>56420.692787682223</v>
      </c>
      <c r="F50" s="281"/>
      <c r="G50" s="276">
        <v>0</v>
      </c>
      <c r="H50" s="281"/>
      <c r="I50" s="276">
        <v>0</v>
      </c>
      <c r="J50" s="281"/>
      <c r="K50" s="276">
        <v>0</v>
      </c>
      <c r="L50" s="281"/>
      <c r="M50" s="276">
        <v>0</v>
      </c>
      <c r="N50" s="281"/>
      <c r="O50" s="276">
        <v>0</v>
      </c>
      <c r="P50" s="281"/>
      <c r="Q50" s="276">
        <v>0</v>
      </c>
      <c r="R50" s="281"/>
      <c r="S50" s="276">
        <v>0</v>
      </c>
      <c r="T50" s="281"/>
      <c r="U50" s="276">
        <v>0</v>
      </c>
      <c r="V50" s="281"/>
      <c r="W50" s="276">
        <v>0</v>
      </c>
      <c r="X50" s="281"/>
      <c r="Y50" s="276">
        <v>0</v>
      </c>
      <c r="Z50" s="281"/>
      <c r="AA50" s="276">
        <v>0</v>
      </c>
      <c r="AB50" s="396"/>
      <c r="AC50" s="283">
        <v>0</v>
      </c>
      <c r="AD50" s="284"/>
      <c r="AE50" s="329">
        <v>0</v>
      </c>
      <c r="AF50" s="145"/>
      <c r="AG50" s="56">
        <v>0</v>
      </c>
      <c r="AH50" s="144"/>
      <c r="AI50" s="56">
        <v>0</v>
      </c>
      <c r="AJ50" s="144"/>
      <c r="AK50" s="56">
        <v>0</v>
      </c>
      <c r="AL50" s="144"/>
      <c r="AM50" s="56">
        <v>0</v>
      </c>
      <c r="AN50" s="81">
        <v>56420.692787682223</v>
      </c>
      <c r="AO50" s="106">
        <v>1</v>
      </c>
      <c r="AP50" s="122" t="s">
        <v>319</v>
      </c>
      <c r="AQ50" s="127">
        <v>0.30593607305936071</v>
      </c>
      <c r="AR50" s="121">
        <v>17261.125190752096</v>
      </c>
      <c r="AS50" s="333" t="s">
        <v>350</v>
      </c>
      <c r="AT50" s="360">
        <v>18</v>
      </c>
    </row>
    <row r="51" spans="1:46" x14ac:dyDescent="0.3">
      <c r="A51" s="415" t="s">
        <v>94</v>
      </c>
      <c r="B51" s="274" t="s">
        <v>95</v>
      </c>
      <c r="C51" s="274" t="s">
        <v>342</v>
      </c>
      <c r="D51" s="281">
        <v>1</v>
      </c>
      <c r="E51" s="276">
        <v>58766.154033233033</v>
      </c>
      <c r="F51" s="280"/>
      <c r="G51" s="276">
        <v>0</v>
      </c>
      <c r="H51" s="280"/>
      <c r="I51" s="276">
        <v>0</v>
      </c>
      <c r="J51" s="280"/>
      <c r="K51" s="276">
        <v>0</v>
      </c>
      <c r="L51" s="280"/>
      <c r="M51" s="276">
        <v>0</v>
      </c>
      <c r="N51" s="280"/>
      <c r="O51" s="276">
        <v>0</v>
      </c>
      <c r="P51" s="280"/>
      <c r="Q51" s="276">
        <v>0</v>
      </c>
      <c r="R51" s="280"/>
      <c r="S51" s="276">
        <v>0</v>
      </c>
      <c r="T51" s="280"/>
      <c r="U51" s="276">
        <v>0</v>
      </c>
      <c r="V51" s="280"/>
      <c r="W51" s="276">
        <v>0</v>
      </c>
      <c r="X51" s="280"/>
      <c r="Y51" s="276">
        <v>0</v>
      </c>
      <c r="Z51" s="280"/>
      <c r="AA51" s="276">
        <v>0</v>
      </c>
      <c r="AB51" s="396"/>
      <c r="AC51" s="283">
        <v>0</v>
      </c>
      <c r="AD51" s="284"/>
      <c r="AE51" s="329">
        <v>0</v>
      </c>
      <c r="AF51" s="145"/>
      <c r="AG51" s="56">
        <v>0</v>
      </c>
      <c r="AH51" s="144"/>
      <c r="AI51" s="56">
        <v>0</v>
      </c>
      <c r="AJ51" s="144"/>
      <c r="AK51" s="56">
        <v>0</v>
      </c>
      <c r="AL51" s="144"/>
      <c r="AM51" s="56">
        <v>0</v>
      </c>
      <c r="AN51" s="81">
        <v>58766.154033233033</v>
      </c>
      <c r="AO51" s="106">
        <v>1</v>
      </c>
      <c r="AP51" s="122" t="s">
        <v>319</v>
      </c>
      <c r="AQ51" s="127">
        <v>0.15068493150684931</v>
      </c>
      <c r="AR51" s="121">
        <v>8855.1738954186749</v>
      </c>
      <c r="AS51" s="333" t="s">
        <v>350</v>
      </c>
      <c r="AT51" s="360">
        <v>18</v>
      </c>
    </row>
    <row r="52" spans="1:46" x14ac:dyDescent="0.3">
      <c r="A52" s="415" t="s">
        <v>96</v>
      </c>
      <c r="B52" s="274" t="s">
        <v>224</v>
      </c>
      <c r="C52" s="274" t="s">
        <v>342</v>
      </c>
      <c r="D52" s="281">
        <v>1</v>
      </c>
      <c r="E52" s="276">
        <v>58766.154033233033</v>
      </c>
      <c r="F52" s="281"/>
      <c r="G52" s="276">
        <v>0</v>
      </c>
      <c r="H52" s="281"/>
      <c r="I52" s="276">
        <v>0</v>
      </c>
      <c r="J52" s="281"/>
      <c r="K52" s="276">
        <v>0</v>
      </c>
      <c r="L52" s="281"/>
      <c r="M52" s="276">
        <v>0</v>
      </c>
      <c r="N52" s="281"/>
      <c r="O52" s="276">
        <v>0</v>
      </c>
      <c r="P52" s="281"/>
      <c r="Q52" s="276">
        <v>0</v>
      </c>
      <c r="R52" s="281"/>
      <c r="S52" s="276">
        <v>0</v>
      </c>
      <c r="T52" s="281"/>
      <c r="U52" s="276">
        <v>0</v>
      </c>
      <c r="V52" s="281"/>
      <c r="W52" s="276">
        <v>0</v>
      </c>
      <c r="X52" s="281"/>
      <c r="Y52" s="276">
        <v>0</v>
      </c>
      <c r="Z52" s="281"/>
      <c r="AA52" s="276">
        <v>0</v>
      </c>
      <c r="AB52" s="396"/>
      <c r="AC52" s="283">
        <v>0</v>
      </c>
      <c r="AD52" s="284"/>
      <c r="AE52" s="329">
        <v>0</v>
      </c>
      <c r="AF52" s="144"/>
      <c r="AG52" s="56">
        <v>0</v>
      </c>
      <c r="AH52" s="144"/>
      <c r="AI52" s="56">
        <v>0</v>
      </c>
      <c r="AJ52" s="144"/>
      <c r="AK52" s="56">
        <v>0</v>
      </c>
      <c r="AL52" s="144"/>
      <c r="AM52" s="56">
        <v>0</v>
      </c>
      <c r="AN52" s="81">
        <v>58766.154033233033</v>
      </c>
      <c r="AO52" s="106">
        <v>1</v>
      </c>
      <c r="AP52" s="122" t="s">
        <v>319</v>
      </c>
      <c r="AQ52" s="127">
        <v>1.2648401826484019</v>
      </c>
      <c r="AR52" s="121">
        <v>74329.793000938589</v>
      </c>
      <c r="AS52" s="333" t="s">
        <v>350</v>
      </c>
      <c r="AT52" s="360">
        <v>18</v>
      </c>
    </row>
    <row r="53" spans="1:46" x14ac:dyDescent="0.3">
      <c r="A53" s="415" t="s">
        <v>32</v>
      </c>
      <c r="B53" s="274" t="s">
        <v>143</v>
      </c>
      <c r="C53" s="274" t="s">
        <v>342</v>
      </c>
      <c r="D53" s="281">
        <v>1</v>
      </c>
      <c r="E53" s="276">
        <v>18146.717863439797</v>
      </c>
      <c r="F53" s="281"/>
      <c r="G53" s="276">
        <v>0</v>
      </c>
      <c r="H53" s="281"/>
      <c r="I53" s="276">
        <v>0</v>
      </c>
      <c r="J53" s="281"/>
      <c r="K53" s="276">
        <v>0</v>
      </c>
      <c r="L53" s="281"/>
      <c r="M53" s="276">
        <v>0</v>
      </c>
      <c r="N53" s="281"/>
      <c r="O53" s="276">
        <v>0</v>
      </c>
      <c r="P53" s="281"/>
      <c r="Q53" s="276">
        <v>0</v>
      </c>
      <c r="R53" s="281"/>
      <c r="S53" s="276">
        <v>0</v>
      </c>
      <c r="T53" s="281"/>
      <c r="U53" s="276">
        <v>0</v>
      </c>
      <c r="V53" s="281"/>
      <c r="W53" s="276">
        <v>0</v>
      </c>
      <c r="X53" s="281"/>
      <c r="Y53" s="276">
        <v>0</v>
      </c>
      <c r="Z53" s="281"/>
      <c r="AA53" s="276">
        <v>0</v>
      </c>
      <c r="AB53" s="396"/>
      <c r="AC53" s="283">
        <v>0</v>
      </c>
      <c r="AD53" s="284"/>
      <c r="AE53" s="329">
        <v>0</v>
      </c>
      <c r="AF53" s="145"/>
      <c r="AG53" s="56">
        <v>0</v>
      </c>
      <c r="AH53" s="144"/>
      <c r="AI53" s="56">
        <v>0</v>
      </c>
      <c r="AJ53" s="144"/>
      <c r="AK53" s="56">
        <v>0</v>
      </c>
      <c r="AL53" s="144"/>
      <c r="AM53" s="56">
        <v>0</v>
      </c>
      <c r="AN53" s="81">
        <v>18146.717863439797</v>
      </c>
      <c r="AO53" s="106">
        <v>1</v>
      </c>
      <c r="AP53" s="122" t="s">
        <v>319</v>
      </c>
      <c r="AQ53" s="127">
        <v>6.5019505851755528E-4</v>
      </c>
      <c r="AR53" s="121">
        <v>11.798906283120804</v>
      </c>
      <c r="AS53" s="333" t="s">
        <v>350</v>
      </c>
      <c r="AT53" s="360">
        <v>18</v>
      </c>
    </row>
    <row r="54" spans="1:46" x14ac:dyDescent="0.3">
      <c r="A54" s="415" t="s">
        <v>11</v>
      </c>
      <c r="B54" s="274" t="s">
        <v>12</v>
      </c>
      <c r="C54" s="274" t="s">
        <v>345</v>
      </c>
      <c r="D54" s="281">
        <v>1</v>
      </c>
      <c r="E54" s="276">
        <v>10832.305638431757</v>
      </c>
      <c r="F54" s="281">
        <v>1</v>
      </c>
      <c r="G54" s="276">
        <v>10832.305638431757</v>
      </c>
      <c r="H54" s="281">
        <v>1</v>
      </c>
      <c r="I54" s="276">
        <v>10832.305638431757</v>
      </c>
      <c r="J54" s="281">
        <v>1</v>
      </c>
      <c r="K54" s="276">
        <v>10832.305638431757</v>
      </c>
      <c r="L54" s="281">
        <v>1</v>
      </c>
      <c r="M54" s="276">
        <v>10832.305638431757</v>
      </c>
      <c r="N54" s="281">
        <v>1</v>
      </c>
      <c r="O54" s="276">
        <v>10832.305638431757</v>
      </c>
      <c r="P54" s="281">
        <v>1</v>
      </c>
      <c r="Q54" s="276">
        <v>10832.305638431757</v>
      </c>
      <c r="R54" s="281">
        <v>1</v>
      </c>
      <c r="S54" s="276">
        <v>10832.305638431757</v>
      </c>
      <c r="T54" s="281">
        <v>1</v>
      </c>
      <c r="U54" s="276">
        <v>10832.305638431757</v>
      </c>
      <c r="V54" s="281">
        <v>1</v>
      </c>
      <c r="W54" s="276">
        <v>10832.305638431757</v>
      </c>
      <c r="X54" s="281">
        <v>1</v>
      </c>
      <c r="Y54" s="276">
        <v>10832.305638431757</v>
      </c>
      <c r="Z54" s="281">
        <v>1</v>
      </c>
      <c r="AA54" s="276">
        <v>10832.305638431757</v>
      </c>
      <c r="AB54" s="396">
        <v>1</v>
      </c>
      <c r="AC54" s="283">
        <v>10832.305638431757</v>
      </c>
      <c r="AD54" s="284">
        <v>1</v>
      </c>
      <c r="AE54" s="329">
        <v>10832.305638431757</v>
      </c>
      <c r="AF54" s="145">
        <v>1</v>
      </c>
      <c r="AG54" s="56">
        <v>10832.305638431757</v>
      </c>
      <c r="AH54" s="144">
        <v>1</v>
      </c>
      <c r="AI54" s="56">
        <v>10832.305638431757</v>
      </c>
      <c r="AJ54" s="144">
        <v>1</v>
      </c>
      <c r="AK54" s="56">
        <v>10832.305638431757</v>
      </c>
      <c r="AL54" s="144">
        <v>1</v>
      </c>
      <c r="AM54" s="56">
        <v>10832.305638431757</v>
      </c>
      <c r="AN54" s="81">
        <v>194981.5014917716</v>
      </c>
      <c r="AO54" s="106">
        <v>18</v>
      </c>
      <c r="AP54" s="122" t="s">
        <v>318</v>
      </c>
      <c r="AQ54" s="127">
        <v>1</v>
      </c>
      <c r="AR54" s="121">
        <v>194981.5014917716</v>
      </c>
      <c r="AS54" s="333" t="s">
        <v>350</v>
      </c>
      <c r="AT54" s="360">
        <v>18</v>
      </c>
    </row>
    <row r="55" spans="1:46" x14ac:dyDescent="0.3">
      <c r="A55" s="415" t="s">
        <v>27</v>
      </c>
      <c r="B55" s="274" t="s">
        <v>28</v>
      </c>
      <c r="C55" s="274" t="s">
        <v>346</v>
      </c>
      <c r="D55" s="281">
        <v>1</v>
      </c>
      <c r="E55" s="276">
        <v>43480.816890660324</v>
      </c>
      <c r="F55" s="280"/>
      <c r="G55" s="276">
        <v>0</v>
      </c>
      <c r="H55" s="280"/>
      <c r="I55" s="276">
        <v>0</v>
      </c>
      <c r="J55" s="280"/>
      <c r="K55" s="276">
        <v>0</v>
      </c>
      <c r="L55" s="280"/>
      <c r="M55" s="276">
        <v>0</v>
      </c>
      <c r="N55" s="280"/>
      <c r="O55" s="276">
        <v>0</v>
      </c>
      <c r="P55" s="280"/>
      <c r="Q55" s="276">
        <v>0</v>
      </c>
      <c r="R55" s="280"/>
      <c r="S55" s="276">
        <v>0</v>
      </c>
      <c r="T55" s="280"/>
      <c r="U55" s="276">
        <v>0</v>
      </c>
      <c r="V55" s="280"/>
      <c r="W55" s="276">
        <v>0</v>
      </c>
      <c r="X55" s="280"/>
      <c r="Y55" s="276">
        <v>0</v>
      </c>
      <c r="Z55" s="281"/>
      <c r="AA55" s="276">
        <v>0</v>
      </c>
      <c r="AB55" s="396"/>
      <c r="AC55" s="283">
        <v>0</v>
      </c>
      <c r="AD55" s="284"/>
      <c r="AE55" s="329">
        <v>0</v>
      </c>
      <c r="AF55" s="145"/>
      <c r="AG55" s="56">
        <v>0</v>
      </c>
      <c r="AH55" s="144"/>
      <c r="AI55" s="56">
        <v>0</v>
      </c>
      <c r="AJ55" s="144"/>
      <c r="AK55" s="56">
        <v>0</v>
      </c>
      <c r="AL55" s="144">
        <v>1</v>
      </c>
      <c r="AM55" s="56">
        <v>43480.816890660324</v>
      </c>
      <c r="AN55" s="81">
        <v>86961.633781320648</v>
      </c>
      <c r="AO55" s="106">
        <v>2</v>
      </c>
      <c r="AP55" s="122" t="s">
        <v>318</v>
      </c>
      <c r="AQ55" s="127">
        <v>1</v>
      </c>
      <c r="AR55" s="121">
        <v>86961.633781320648</v>
      </c>
      <c r="AS55" s="333" t="s">
        <v>350</v>
      </c>
      <c r="AT55" s="360">
        <v>18</v>
      </c>
    </row>
    <row r="56" spans="1:46" x14ac:dyDescent="0.3">
      <c r="A56" s="415" t="s">
        <v>21</v>
      </c>
      <c r="B56" s="274" t="s">
        <v>221</v>
      </c>
      <c r="C56" s="274" t="s">
        <v>342</v>
      </c>
      <c r="D56" s="281">
        <v>1</v>
      </c>
      <c r="E56" s="276">
        <v>67398.098568534639</v>
      </c>
      <c r="F56" s="281"/>
      <c r="G56" s="276">
        <v>0</v>
      </c>
      <c r="H56" s="281"/>
      <c r="I56" s="276">
        <v>0</v>
      </c>
      <c r="J56" s="281"/>
      <c r="K56" s="276">
        <v>0</v>
      </c>
      <c r="L56" s="281"/>
      <c r="M56" s="276">
        <v>0</v>
      </c>
      <c r="N56" s="281"/>
      <c r="O56" s="276">
        <v>0</v>
      </c>
      <c r="P56" s="281"/>
      <c r="Q56" s="276">
        <v>0</v>
      </c>
      <c r="R56" s="281"/>
      <c r="S56" s="276">
        <v>0</v>
      </c>
      <c r="T56" s="281"/>
      <c r="U56" s="276">
        <v>0</v>
      </c>
      <c r="V56" s="281"/>
      <c r="W56" s="276">
        <v>0</v>
      </c>
      <c r="X56" s="281"/>
      <c r="Y56" s="276">
        <v>0</v>
      </c>
      <c r="Z56" s="281"/>
      <c r="AA56" s="276">
        <v>0</v>
      </c>
      <c r="AB56" s="396"/>
      <c r="AC56" s="283">
        <v>0</v>
      </c>
      <c r="AD56" s="284"/>
      <c r="AE56" s="329">
        <v>0</v>
      </c>
      <c r="AF56" s="145"/>
      <c r="AG56" s="56">
        <v>0</v>
      </c>
      <c r="AH56" s="144"/>
      <c r="AI56" s="56">
        <v>0</v>
      </c>
      <c r="AJ56" s="144"/>
      <c r="AK56" s="56">
        <v>0</v>
      </c>
      <c r="AL56" s="144"/>
      <c r="AM56" s="56">
        <v>0</v>
      </c>
      <c r="AN56" s="81">
        <v>67398.098568534639</v>
      </c>
      <c r="AO56" s="106">
        <v>1</v>
      </c>
      <c r="AP56" s="122" t="s">
        <v>319</v>
      </c>
      <c r="AQ56" s="127">
        <v>2.6940639269406392</v>
      </c>
      <c r="AR56" s="121">
        <v>181574.78609787871</v>
      </c>
      <c r="AS56" s="333" t="s">
        <v>350</v>
      </c>
      <c r="AT56" s="360">
        <v>18</v>
      </c>
    </row>
    <row r="57" spans="1:46" x14ac:dyDescent="0.3">
      <c r="A57" s="415" t="s">
        <v>19</v>
      </c>
      <c r="B57" s="274" t="s">
        <v>20</v>
      </c>
      <c r="C57" s="274" t="s">
        <v>342</v>
      </c>
      <c r="D57" s="281">
        <v>1</v>
      </c>
      <c r="E57" s="276">
        <v>67398.098568534639</v>
      </c>
      <c r="F57" s="280"/>
      <c r="G57" s="276">
        <v>0</v>
      </c>
      <c r="H57" s="280"/>
      <c r="I57" s="276">
        <v>0</v>
      </c>
      <c r="J57" s="280"/>
      <c r="K57" s="276">
        <v>0</v>
      </c>
      <c r="L57" s="280"/>
      <c r="M57" s="276">
        <v>0</v>
      </c>
      <c r="N57" s="280"/>
      <c r="O57" s="276">
        <v>0</v>
      </c>
      <c r="P57" s="280"/>
      <c r="Q57" s="276">
        <v>0</v>
      </c>
      <c r="R57" s="280"/>
      <c r="S57" s="276">
        <v>0</v>
      </c>
      <c r="T57" s="280"/>
      <c r="U57" s="276">
        <v>0</v>
      </c>
      <c r="V57" s="280"/>
      <c r="W57" s="276">
        <v>0</v>
      </c>
      <c r="X57" s="280"/>
      <c r="Y57" s="276">
        <v>0</v>
      </c>
      <c r="Z57" s="280"/>
      <c r="AA57" s="276">
        <v>0</v>
      </c>
      <c r="AB57" s="396"/>
      <c r="AC57" s="283">
        <v>0</v>
      </c>
      <c r="AD57" s="284"/>
      <c r="AE57" s="329">
        <v>0</v>
      </c>
      <c r="AF57" s="145"/>
      <c r="AG57" s="56">
        <v>0</v>
      </c>
      <c r="AH57" s="144"/>
      <c r="AI57" s="56">
        <v>0</v>
      </c>
      <c r="AJ57" s="144"/>
      <c r="AK57" s="56">
        <v>0</v>
      </c>
      <c r="AL57" s="144"/>
      <c r="AM57" s="56">
        <v>0</v>
      </c>
      <c r="AN57" s="81">
        <v>67398.098568534639</v>
      </c>
      <c r="AO57" s="106">
        <v>1</v>
      </c>
      <c r="AP57" s="122" t="s">
        <v>319</v>
      </c>
      <c r="AQ57" s="127">
        <v>0.13698630136986301</v>
      </c>
      <c r="AR57" s="121">
        <v>9232.6162422650177</v>
      </c>
      <c r="AS57" s="333" t="s">
        <v>350</v>
      </c>
      <c r="AT57" s="360">
        <v>18</v>
      </c>
    </row>
    <row r="58" spans="1:46" x14ac:dyDescent="0.3">
      <c r="A58" s="415" t="s">
        <v>23</v>
      </c>
      <c r="B58" s="274" t="s">
        <v>24</v>
      </c>
      <c r="C58" s="274" t="s">
        <v>344</v>
      </c>
      <c r="D58" s="280"/>
      <c r="E58" s="276" t="s">
        <v>358</v>
      </c>
      <c r="F58" s="280"/>
      <c r="G58" s="276">
        <v>0</v>
      </c>
      <c r="H58" s="281">
        <v>1</v>
      </c>
      <c r="I58" s="276">
        <v>31881.451880098426</v>
      </c>
      <c r="J58" s="280"/>
      <c r="K58" s="276">
        <v>0</v>
      </c>
      <c r="L58" s="280"/>
      <c r="M58" s="276">
        <v>0</v>
      </c>
      <c r="N58" s="280"/>
      <c r="O58" s="276">
        <v>0</v>
      </c>
      <c r="P58" s="280"/>
      <c r="Q58" s="276">
        <v>0</v>
      </c>
      <c r="R58" s="280"/>
      <c r="S58" s="276">
        <v>0</v>
      </c>
      <c r="T58" s="280"/>
      <c r="U58" s="276">
        <v>0</v>
      </c>
      <c r="V58" s="280"/>
      <c r="W58" s="276">
        <v>0</v>
      </c>
      <c r="X58" s="280"/>
      <c r="Y58" s="276">
        <v>0</v>
      </c>
      <c r="Z58" s="280"/>
      <c r="AA58" s="276">
        <v>0</v>
      </c>
      <c r="AB58" s="396"/>
      <c r="AC58" s="283">
        <v>0</v>
      </c>
      <c r="AD58" s="284"/>
      <c r="AE58" s="329">
        <v>0</v>
      </c>
      <c r="AF58" s="145"/>
      <c r="AG58" s="56">
        <v>0</v>
      </c>
      <c r="AH58" s="144"/>
      <c r="AI58" s="56">
        <v>0</v>
      </c>
      <c r="AJ58" s="144"/>
      <c r="AK58" s="56">
        <v>0</v>
      </c>
      <c r="AL58" s="144"/>
      <c r="AM58" s="56">
        <v>0</v>
      </c>
      <c r="AN58" s="81">
        <v>31881.451880098426</v>
      </c>
      <c r="AO58" s="106">
        <v>1</v>
      </c>
      <c r="AP58" s="122" t="s">
        <v>318</v>
      </c>
      <c r="AQ58" s="127">
        <v>1</v>
      </c>
      <c r="AR58" s="121">
        <v>31881.451880098426</v>
      </c>
      <c r="AS58" s="333" t="s">
        <v>350</v>
      </c>
      <c r="AT58" s="360">
        <v>18</v>
      </c>
    </row>
    <row r="59" spans="1:46" x14ac:dyDescent="0.3">
      <c r="A59" s="415" t="s">
        <v>29</v>
      </c>
      <c r="B59" s="274" t="s">
        <v>196</v>
      </c>
      <c r="C59" s="274" t="s">
        <v>344</v>
      </c>
      <c r="D59" s="280"/>
      <c r="E59" s="276" t="s">
        <v>358</v>
      </c>
      <c r="F59" s="280"/>
      <c r="G59" s="276">
        <v>0</v>
      </c>
      <c r="H59" s="280"/>
      <c r="I59" s="276">
        <v>0</v>
      </c>
      <c r="J59" s="280"/>
      <c r="K59" s="276">
        <v>0</v>
      </c>
      <c r="L59" s="280"/>
      <c r="M59" s="276">
        <v>0</v>
      </c>
      <c r="N59" s="280"/>
      <c r="O59" s="276">
        <v>0</v>
      </c>
      <c r="P59" s="280"/>
      <c r="Q59" s="276">
        <v>0</v>
      </c>
      <c r="R59" s="280"/>
      <c r="S59" s="276">
        <v>0</v>
      </c>
      <c r="T59" s="280"/>
      <c r="U59" s="276">
        <v>0</v>
      </c>
      <c r="V59" s="280"/>
      <c r="W59" s="276">
        <v>0</v>
      </c>
      <c r="X59" s="280"/>
      <c r="Y59" s="276">
        <v>0</v>
      </c>
      <c r="Z59" s="281"/>
      <c r="AA59" s="276">
        <v>0</v>
      </c>
      <c r="AB59" s="396"/>
      <c r="AC59" s="283">
        <v>0</v>
      </c>
      <c r="AD59" s="284"/>
      <c r="AE59" s="329">
        <v>0</v>
      </c>
      <c r="AF59" s="145"/>
      <c r="AG59" s="56">
        <v>0</v>
      </c>
      <c r="AH59" s="144"/>
      <c r="AI59" s="56">
        <v>0</v>
      </c>
      <c r="AJ59" s="144"/>
      <c r="AK59" s="56">
        <v>0</v>
      </c>
      <c r="AL59" s="144">
        <v>1</v>
      </c>
      <c r="AM59" s="56">
        <v>31881.451880098426</v>
      </c>
      <c r="AN59" s="81">
        <v>31881.451880098426</v>
      </c>
      <c r="AO59" s="106">
        <v>1</v>
      </c>
      <c r="AP59" s="122" t="s">
        <v>318</v>
      </c>
      <c r="AQ59" s="127">
        <v>1</v>
      </c>
      <c r="AR59" s="121">
        <v>31881.451880098426</v>
      </c>
      <c r="AS59" s="333" t="s">
        <v>350</v>
      </c>
      <c r="AT59" s="360">
        <v>18</v>
      </c>
    </row>
    <row r="60" spans="1:46" x14ac:dyDescent="0.3">
      <c r="A60" s="415" t="s">
        <v>25</v>
      </c>
      <c r="B60" s="274" t="s">
        <v>26</v>
      </c>
      <c r="C60" s="274" t="s">
        <v>346</v>
      </c>
      <c r="D60" s="280"/>
      <c r="E60" s="276" t="s">
        <v>358</v>
      </c>
      <c r="F60" s="280"/>
      <c r="G60" s="276">
        <v>0</v>
      </c>
      <c r="H60" s="281">
        <v>1</v>
      </c>
      <c r="I60" s="276">
        <v>32117.31737996532</v>
      </c>
      <c r="J60" s="280"/>
      <c r="K60" s="276">
        <v>0</v>
      </c>
      <c r="L60" s="280"/>
      <c r="M60" s="276">
        <v>0</v>
      </c>
      <c r="N60" s="280"/>
      <c r="O60" s="276">
        <v>0</v>
      </c>
      <c r="P60" s="280"/>
      <c r="Q60" s="276">
        <v>0</v>
      </c>
      <c r="R60" s="280"/>
      <c r="S60" s="276">
        <v>0</v>
      </c>
      <c r="T60" s="280"/>
      <c r="U60" s="276">
        <v>0</v>
      </c>
      <c r="V60" s="280"/>
      <c r="W60" s="276">
        <v>0</v>
      </c>
      <c r="X60" s="280"/>
      <c r="Y60" s="276">
        <v>0</v>
      </c>
      <c r="Z60" s="281"/>
      <c r="AA60" s="276">
        <v>0</v>
      </c>
      <c r="AB60" s="396"/>
      <c r="AC60" s="283">
        <v>0</v>
      </c>
      <c r="AD60" s="284"/>
      <c r="AE60" s="329">
        <v>0</v>
      </c>
      <c r="AF60" s="144"/>
      <c r="AG60" s="56">
        <v>0</v>
      </c>
      <c r="AH60" s="144"/>
      <c r="AI60" s="56">
        <v>0</v>
      </c>
      <c r="AJ60" s="144"/>
      <c r="AK60" s="56">
        <v>0</v>
      </c>
      <c r="AL60" s="144">
        <v>1</v>
      </c>
      <c r="AM60" s="56">
        <v>32117.31737996532</v>
      </c>
      <c r="AN60" s="81">
        <v>64234.634759930639</v>
      </c>
      <c r="AO60" s="106">
        <v>2</v>
      </c>
      <c r="AP60" s="122" t="s">
        <v>318</v>
      </c>
      <c r="AQ60" s="127">
        <v>1</v>
      </c>
      <c r="AR60" s="121">
        <v>64234.634759930639</v>
      </c>
      <c r="AS60" s="333" t="s">
        <v>350</v>
      </c>
      <c r="AT60" s="360">
        <v>18</v>
      </c>
    </row>
    <row r="61" spans="1:46" x14ac:dyDescent="0.3">
      <c r="A61" s="415" t="s">
        <v>54</v>
      </c>
      <c r="B61" s="274" t="s">
        <v>227</v>
      </c>
      <c r="C61" s="274" t="s">
        <v>343</v>
      </c>
      <c r="D61" s="281"/>
      <c r="E61" s="276" t="s">
        <v>358</v>
      </c>
      <c r="F61" s="281"/>
      <c r="G61" s="276">
        <v>0</v>
      </c>
      <c r="H61" s="281"/>
      <c r="I61" s="276">
        <v>0</v>
      </c>
      <c r="J61" s="281"/>
      <c r="K61" s="276">
        <v>0</v>
      </c>
      <c r="L61" s="281"/>
      <c r="M61" s="276">
        <v>0</v>
      </c>
      <c r="N61" s="281">
        <v>1</v>
      </c>
      <c r="O61" s="276">
        <v>145259.19237771924</v>
      </c>
      <c r="P61" s="281"/>
      <c r="Q61" s="276">
        <v>0</v>
      </c>
      <c r="R61" s="281"/>
      <c r="S61" s="276">
        <v>0</v>
      </c>
      <c r="T61" s="281"/>
      <c r="U61" s="276">
        <v>0</v>
      </c>
      <c r="V61" s="281"/>
      <c r="W61" s="276">
        <v>0</v>
      </c>
      <c r="X61" s="281"/>
      <c r="Y61" s="276">
        <v>0</v>
      </c>
      <c r="Z61" s="281"/>
      <c r="AA61" s="276">
        <v>0</v>
      </c>
      <c r="AB61" s="396"/>
      <c r="AC61" s="283">
        <v>0</v>
      </c>
      <c r="AD61" s="284"/>
      <c r="AE61" s="329">
        <v>0</v>
      </c>
      <c r="AF61" s="145"/>
      <c r="AG61" s="56">
        <v>0</v>
      </c>
      <c r="AH61" s="144"/>
      <c r="AI61" s="56">
        <v>0</v>
      </c>
      <c r="AJ61" s="144"/>
      <c r="AK61" s="56">
        <v>0</v>
      </c>
      <c r="AL61" s="144"/>
      <c r="AM61" s="56">
        <v>0</v>
      </c>
      <c r="AN61" s="81">
        <v>145259.19237771924</v>
      </c>
      <c r="AO61" s="106">
        <v>1</v>
      </c>
      <c r="AP61" s="122" t="s">
        <v>319</v>
      </c>
      <c r="AQ61" s="127">
        <v>0.1095890410958904</v>
      </c>
      <c r="AR61" s="121">
        <v>15918.815603037725</v>
      </c>
      <c r="AS61" s="333" t="s">
        <v>350</v>
      </c>
      <c r="AT61" s="360">
        <v>18</v>
      </c>
    </row>
    <row r="62" spans="1:46" x14ac:dyDescent="0.3">
      <c r="A62" s="415" t="s">
        <v>34</v>
      </c>
      <c r="B62" s="274" t="s">
        <v>35</v>
      </c>
      <c r="C62" s="274" t="s">
        <v>342</v>
      </c>
      <c r="D62" s="281">
        <v>1</v>
      </c>
      <c r="E62" s="276">
        <v>18146.717863439797</v>
      </c>
      <c r="F62" s="280"/>
      <c r="G62" s="276">
        <v>0</v>
      </c>
      <c r="H62" s="280"/>
      <c r="I62" s="276">
        <v>0</v>
      </c>
      <c r="J62" s="280"/>
      <c r="K62" s="276">
        <v>0</v>
      </c>
      <c r="L62" s="280"/>
      <c r="M62" s="276">
        <v>0</v>
      </c>
      <c r="N62" s="280"/>
      <c r="O62" s="276">
        <v>0</v>
      </c>
      <c r="P62" s="280"/>
      <c r="Q62" s="276">
        <v>0</v>
      </c>
      <c r="R62" s="280"/>
      <c r="S62" s="276">
        <v>0</v>
      </c>
      <c r="T62" s="280"/>
      <c r="U62" s="276">
        <v>0</v>
      </c>
      <c r="V62" s="280"/>
      <c r="W62" s="276">
        <v>0</v>
      </c>
      <c r="X62" s="280"/>
      <c r="Y62" s="276">
        <v>0</v>
      </c>
      <c r="Z62" s="280"/>
      <c r="AA62" s="276">
        <v>0</v>
      </c>
      <c r="AB62" s="396"/>
      <c r="AC62" s="283">
        <v>0</v>
      </c>
      <c r="AD62" s="284"/>
      <c r="AE62" s="329">
        <v>0</v>
      </c>
      <c r="AF62" s="145"/>
      <c r="AG62" s="56">
        <v>0</v>
      </c>
      <c r="AH62" s="144"/>
      <c r="AI62" s="56">
        <v>0</v>
      </c>
      <c r="AJ62" s="144"/>
      <c r="AK62" s="56">
        <v>0</v>
      </c>
      <c r="AL62" s="144"/>
      <c r="AM62" s="56">
        <v>0</v>
      </c>
      <c r="AN62" s="81">
        <v>18146.717863439797</v>
      </c>
      <c r="AO62" s="106">
        <v>1</v>
      </c>
      <c r="AP62" s="122" t="s">
        <v>318</v>
      </c>
      <c r="AQ62" s="127">
        <v>1</v>
      </c>
      <c r="AR62" s="121">
        <v>18146.717863439797</v>
      </c>
      <c r="AS62" s="333" t="s">
        <v>350</v>
      </c>
      <c r="AT62" s="360">
        <v>18</v>
      </c>
    </row>
    <row r="63" spans="1:46" x14ac:dyDescent="0.3">
      <c r="A63" s="415" t="s">
        <v>48</v>
      </c>
      <c r="B63" s="280" t="s">
        <v>222</v>
      </c>
      <c r="C63" s="274" t="s">
        <v>342</v>
      </c>
      <c r="D63" s="281">
        <v>1</v>
      </c>
      <c r="E63" s="276">
        <v>77398.098568534639</v>
      </c>
      <c r="F63" s="281"/>
      <c r="G63" s="276">
        <v>0</v>
      </c>
      <c r="H63" s="281"/>
      <c r="I63" s="276">
        <v>0</v>
      </c>
      <c r="J63" s="281"/>
      <c r="K63" s="276">
        <v>0</v>
      </c>
      <c r="L63" s="281"/>
      <c r="M63" s="276">
        <v>0</v>
      </c>
      <c r="N63" s="281"/>
      <c r="O63" s="276">
        <v>0</v>
      </c>
      <c r="P63" s="281"/>
      <c r="Q63" s="276">
        <v>0</v>
      </c>
      <c r="R63" s="281"/>
      <c r="S63" s="276">
        <v>0</v>
      </c>
      <c r="T63" s="281"/>
      <c r="U63" s="276">
        <v>0</v>
      </c>
      <c r="V63" s="281"/>
      <c r="W63" s="276">
        <v>0</v>
      </c>
      <c r="X63" s="281"/>
      <c r="Y63" s="276">
        <v>0</v>
      </c>
      <c r="Z63" s="281"/>
      <c r="AA63" s="276">
        <v>0</v>
      </c>
      <c r="AB63" s="396"/>
      <c r="AC63" s="283">
        <v>0</v>
      </c>
      <c r="AD63" s="286"/>
      <c r="AE63" s="329">
        <v>0</v>
      </c>
      <c r="AF63" s="144"/>
      <c r="AG63" s="56">
        <v>0</v>
      </c>
      <c r="AH63" s="144"/>
      <c r="AI63" s="56">
        <v>0</v>
      </c>
      <c r="AJ63" s="144"/>
      <c r="AK63" s="56">
        <v>0</v>
      </c>
      <c r="AL63" s="144"/>
      <c r="AM63" s="56">
        <v>0</v>
      </c>
      <c r="AN63" s="81">
        <v>77398.098568534639</v>
      </c>
      <c r="AO63" s="106">
        <v>1</v>
      </c>
      <c r="AP63" s="122" t="s">
        <v>319</v>
      </c>
      <c r="AQ63" s="127">
        <v>3.1963470319634701E-2</v>
      </c>
      <c r="AR63" s="121">
        <v>2473.9118263915179</v>
      </c>
      <c r="AS63" s="333" t="s">
        <v>350</v>
      </c>
      <c r="AT63" s="360">
        <v>18</v>
      </c>
    </row>
    <row r="64" spans="1:46" x14ac:dyDescent="0.3">
      <c r="A64" s="415" t="s">
        <v>46</v>
      </c>
      <c r="B64" s="280" t="s">
        <v>47</v>
      </c>
      <c r="C64" s="274" t="s">
        <v>342</v>
      </c>
      <c r="D64" s="281">
        <v>1</v>
      </c>
      <c r="E64" s="276">
        <v>83398.098568534639</v>
      </c>
      <c r="F64" s="280"/>
      <c r="G64" s="276">
        <v>0</v>
      </c>
      <c r="H64" s="280"/>
      <c r="I64" s="276">
        <v>0</v>
      </c>
      <c r="J64" s="280"/>
      <c r="K64" s="276">
        <v>0</v>
      </c>
      <c r="L64" s="280"/>
      <c r="M64" s="276">
        <v>0</v>
      </c>
      <c r="N64" s="280"/>
      <c r="O64" s="276">
        <v>0</v>
      </c>
      <c r="P64" s="280"/>
      <c r="Q64" s="276">
        <v>0</v>
      </c>
      <c r="R64" s="280"/>
      <c r="S64" s="276">
        <v>0</v>
      </c>
      <c r="T64" s="280"/>
      <c r="U64" s="276">
        <v>0</v>
      </c>
      <c r="V64" s="280"/>
      <c r="W64" s="276">
        <v>0</v>
      </c>
      <c r="X64" s="280"/>
      <c r="Y64" s="276">
        <v>0</v>
      </c>
      <c r="Z64" s="280"/>
      <c r="AA64" s="276">
        <v>0</v>
      </c>
      <c r="AB64" s="396"/>
      <c r="AC64" s="283">
        <v>0</v>
      </c>
      <c r="AD64" s="284"/>
      <c r="AE64" s="329">
        <v>0</v>
      </c>
      <c r="AF64" s="144"/>
      <c r="AG64" s="56">
        <v>0</v>
      </c>
      <c r="AH64" s="144"/>
      <c r="AI64" s="56">
        <v>0</v>
      </c>
      <c r="AJ64" s="144"/>
      <c r="AK64" s="56">
        <v>0</v>
      </c>
      <c r="AL64" s="144"/>
      <c r="AM64" s="56">
        <v>0</v>
      </c>
      <c r="AN64" s="81">
        <v>83398.098568534639</v>
      </c>
      <c r="AO64" s="106">
        <v>1</v>
      </c>
      <c r="AP64" s="179" t="s">
        <v>318</v>
      </c>
      <c r="AQ64" s="127">
        <v>1</v>
      </c>
      <c r="AR64" s="121">
        <v>83398.098568534639</v>
      </c>
      <c r="AS64" s="333" t="s">
        <v>350</v>
      </c>
      <c r="AT64" s="360">
        <v>18</v>
      </c>
    </row>
    <row r="65" spans="1:46" x14ac:dyDescent="0.3">
      <c r="A65" s="415" t="s">
        <v>52</v>
      </c>
      <c r="B65" s="280" t="s">
        <v>191</v>
      </c>
      <c r="C65" s="274" t="s">
        <v>342</v>
      </c>
      <c r="D65" s="281">
        <v>1</v>
      </c>
      <c r="E65" s="276">
        <v>26897.079640267821</v>
      </c>
      <c r="F65" s="280"/>
      <c r="G65" s="276">
        <v>0</v>
      </c>
      <c r="H65" s="280"/>
      <c r="I65" s="276">
        <v>0</v>
      </c>
      <c r="J65" s="280"/>
      <c r="K65" s="276">
        <v>0</v>
      </c>
      <c r="L65" s="280"/>
      <c r="M65" s="276">
        <v>0</v>
      </c>
      <c r="N65" s="280"/>
      <c r="O65" s="276">
        <v>0</v>
      </c>
      <c r="P65" s="280"/>
      <c r="Q65" s="276">
        <v>0</v>
      </c>
      <c r="R65" s="280"/>
      <c r="S65" s="276">
        <v>0</v>
      </c>
      <c r="T65" s="280"/>
      <c r="U65" s="276">
        <v>0</v>
      </c>
      <c r="V65" s="280"/>
      <c r="W65" s="276">
        <v>0</v>
      </c>
      <c r="X65" s="280"/>
      <c r="Y65" s="276">
        <v>0</v>
      </c>
      <c r="Z65" s="280"/>
      <c r="AA65" s="276">
        <v>0</v>
      </c>
      <c r="AB65" s="396"/>
      <c r="AC65" s="283">
        <v>0</v>
      </c>
      <c r="AD65" s="284"/>
      <c r="AE65" s="329">
        <v>0</v>
      </c>
      <c r="AF65" s="144"/>
      <c r="AG65" s="56">
        <v>0</v>
      </c>
      <c r="AH65" s="144"/>
      <c r="AI65" s="56">
        <v>0</v>
      </c>
      <c r="AJ65" s="144"/>
      <c r="AK65" s="56">
        <v>0</v>
      </c>
      <c r="AL65" s="144"/>
      <c r="AM65" s="56">
        <v>0</v>
      </c>
      <c r="AN65" s="81">
        <v>26897.079640267821</v>
      </c>
      <c r="AO65" s="106">
        <v>1</v>
      </c>
      <c r="AP65" s="179" t="s">
        <v>318</v>
      </c>
      <c r="AQ65" s="127">
        <v>1</v>
      </c>
      <c r="AR65" s="121">
        <v>26897.079640267821</v>
      </c>
      <c r="AS65" s="333" t="s">
        <v>350</v>
      </c>
      <c r="AT65" s="360">
        <v>18</v>
      </c>
    </row>
    <row r="66" spans="1:46" x14ac:dyDescent="0.3">
      <c r="A66" s="415" t="s">
        <v>53</v>
      </c>
      <c r="B66" s="280" t="s">
        <v>230</v>
      </c>
      <c r="C66" s="274" t="s">
        <v>342</v>
      </c>
      <c r="D66" s="281">
        <v>1</v>
      </c>
      <c r="E66" s="276">
        <v>26897.079640267817</v>
      </c>
      <c r="F66" s="281"/>
      <c r="G66" s="276">
        <v>0</v>
      </c>
      <c r="H66" s="281"/>
      <c r="I66" s="276">
        <v>0</v>
      </c>
      <c r="J66" s="281"/>
      <c r="K66" s="276">
        <v>0</v>
      </c>
      <c r="L66" s="281"/>
      <c r="M66" s="276">
        <v>0</v>
      </c>
      <c r="N66" s="281"/>
      <c r="O66" s="276">
        <v>0</v>
      </c>
      <c r="P66" s="281"/>
      <c r="Q66" s="276">
        <v>0</v>
      </c>
      <c r="R66" s="281"/>
      <c r="S66" s="276">
        <v>0</v>
      </c>
      <c r="T66" s="281"/>
      <c r="U66" s="276">
        <v>0</v>
      </c>
      <c r="V66" s="281"/>
      <c r="W66" s="276">
        <v>0</v>
      </c>
      <c r="X66" s="281"/>
      <c r="Y66" s="276">
        <v>0</v>
      </c>
      <c r="Z66" s="281"/>
      <c r="AA66" s="276">
        <v>0</v>
      </c>
      <c r="AB66" s="396"/>
      <c r="AC66" s="283">
        <v>0</v>
      </c>
      <c r="AD66" s="284"/>
      <c r="AE66" s="329">
        <v>0</v>
      </c>
      <c r="AF66" s="145"/>
      <c r="AG66" s="56">
        <v>0</v>
      </c>
      <c r="AH66" s="144"/>
      <c r="AI66" s="56">
        <v>0</v>
      </c>
      <c r="AJ66" s="144"/>
      <c r="AK66" s="56">
        <v>0</v>
      </c>
      <c r="AL66" s="144"/>
      <c r="AM66" s="56">
        <v>0</v>
      </c>
      <c r="AN66" s="81">
        <v>26897.079640267817</v>
      </c>
      <c r="AO66" s="106">
        <v>1</v>
      </c>
      <c r="AP66" s="122" t="s">
        <v>319</v>
      </c>
      <c r="AQ66" s="127">
        <v>4.5662100456621002E-3</v>
      </c>
      <c r="AR66" s="121">
        <v>122.81771525236445</v>
      </c>
      <c r="AS66" s="333" t="s">
        <v>350</v>
      </c>
      <c r="AT66" s="360">
        <v>18</v>
      </c>
    </row>
    <row r="67" spans="1:46" x14ac:dyDescent="0.3">
      <c r="A67" s="415" t="s">
        <v>98</v>
      </c>
      <c r="B67" s="274" t="s">
        <v>99</v>
      </c>
      <c r="C67" s="274" t="s">
        <v>342</v>
      </c>
      <c r="D67" s="281">
        <v>1</v>
      </c>
      <c r="E67" s="276">
        <v>17887.388810409495</v>
      </c>
      <c r="F67" s="280"/>
      <c r="G67" s="276">
        <v>0</v>
      </c>
      <c r="H67" s="280"/>
      <c r="I67" s="276">
        <v>0</v>
      </c>
      <c r="J67" s="280"/>
      <c r="K67" s="276">
        <v>0</v>
      </c>
      <c r="L67" s="280"/>
      <c r="M67" s="276">
        <v>0</v>
      </c>
      <c r="N67" s="280"/>
      <c r="O67" s="276">
        <v>0</v>
      </c>
      <c r="P67" s="280"/>
      <c r="Q67" s="276">
        <v>0</v>
      </c>
      <c r="R67" s="280"/>
      <c r="S67" s="276">
        <v>0</v>
      </c>
      <c r="T67" s="280"/>
      <c r="U67" s="276">
        <v>0</v>
      </c>
      <c r="V67" s="280"/>
      <c r="W67" s="276">
        <v>0</v>
      </c>
      <c r="X67" s="280"/>
      <c r="Y67" s="276">
        <v>0</v>
      </c>
      <c r="Z67" s="280"/>
      <c r="AA67" s="276">
        <v>0</v>
      </c>
      <c r="AB67" s="396"/>
      <c r="AC67" s="283">
        <v>0</v>
      </c>
      <c r="AD67" s="284"/>
      <c r="AE67" s="329">
        <v>0</v>
      </c>
      <c r="AF67" s="144"/>
      <c r="AG67" s="56">
        <v>0</v>
      </c>
      <c r="AH67" s="144"/>
      <c r="AI67" s="56">
        <v>0</v>
      </c>
      <c r="AJ67" s="144"/>
      <c r="AK67" s="56">
        <v>0</v>
      </c>
      <c r="AL67" s="144"/>
      <c r="AM67" s="56">
        <v>0</v>
      </c>
      <c r="AN67" s="81">
        <v>17887.388810409495</v>
      </c>
      <c r="AO67" s="106">
        <v>1</v>
      </c>
      <c r="AP67" s="122" t="s">
        <v>318</v>
      </c>
      <c r="AQ67" s="127">
        <v>1</v>
      </c>
      <c r="AR67" s="121">
        <v>17887.388810409495</v>
      </c>
      <c r="AS67" s="333" t="s">
        <v>350</v>
      </c>
      <c r="AT67" s="360">
        <v>18</v>
      </c>
    </row>
    <row r="68" spans="1:46" x14ac:dyDescent="0.3">
      <c r="A68" s="415" t="s">
        <v>104</v>
      </c>
      <c r="B68" s="274" t="s">
        <v>105</v>
      </c>
      <c r="C68" s="274" t="s">
        <v>342</v>
      </c>
      <c r="D68" s="281"/>
      <c r="E68" s="276" t="s">
        <v>358</v>
      </c>
      <c r="F68" s="280"/>
      <c r="G68" s="276">
        <v>0</v>
      </c>
      <c r="H68" s="280"/>
      <c r="I68" s="276">
        <v>0</v>
      </c>
      <c r="J68" s="280"/>
      <c r="K68" s="276">
        <v>0</v>
      </c>
      <c r="L68" s="280"/>
      <c r="M68" s="276">
        <v>0</v>
      </c>
      <c r="N68" s="280"/>
      <c r="O68" s="276">
        <v>0</v>
      </c>
      <c r="P68" s="280"/>
      <c r="Q68" s="276">
        <v>0</v>
      </c>
      <c r="R68" s="280"/>
      <c r="S68" s="276">
        <v>0</v>
      </c>
      <c r="T68" s="280"/>
      <c r="U68" s="276">
        <v>0</v>
      </c>
      <c r="V68" s="280"/>
      <c r="W68" s="276">
        <v>0</v>
      </c>
      <c r="X68" s="280"/>
      <c r="Y68" s="276">
        <v>0</v>
      </c>
      <c r="Z68" s="287"/>
      <c r="AA68" s="276">
        <v>0</v>
      </c>
      <c r="AB68" s="396"/>
      <c r="AC68" s="283">
        <v>0</v>
      </c>
      <c r="AD68" s="284"/>
      <c r="AE68" s="329">
        <v>0</v>
      </c>
      <c r="AF68" s="144"/>
      <c r="AG68" s="56">
        <v>0</v>
      </c>
      <c r="AH68" s="144"/>
      <c r="AI68" s="56">
        <v>0</v>
      </c>
      <c r="AJ68" s="144"/>
      <c r="AK68" s="56">
        <v>0</v>
      </c>
      <c r="AL68" s="144">
        <v>1</v>
      </c>
      <c r="AM68" s="56">
        <v>17887.388810409495</v>
      </c>
      <c r="AN68" s="81">
        <v>17887.388810409495</v>
      </c>
      <c r="AO68" s="106">
        <v>1</v>
      </c>
      <c r="AP68" s="122" t="s">
        <v>319</v>
      </c>
      <c r="AQ68" s="127">
        <v>4.1095890410958902E-2</v>
      </c>
      <c r="AR68" s="121">
        <v>735.09817029080114</v>
      </c>
      <c r="AS68" s="333" t="s">
        <v>350</v>
      </c>
      <c r="AT68" s="360">
        <v>18</v>
      </c>
    </row>
    <row r="69" spans="1:46" x14ac:dyDescent="0.3">
      <c r="A69" s="415" t="s">
        <v>50</v>
      </c>
      <c r="B69" s="280" t="s">
        <v>142</v>
      </c>
      <c r="C69" s="274" t="s">
        <v>346</v>
      </c>
      <c r="D69" s="281">
        <v>1</v>
      </c>
      <c r="E69" s="276">
        <v>67391.281653480837</v>
      </c>
      <c r="F69" s="280"/>
      <c r="G69" s="276">
        <v>0</v>
      </c>
      <c r="H69" s="280"/>
      <c r="I69" s="276">
        <v>0</v>
      </c>
      <c r="J69" s="280"/>
      <c r="K69" s="276">
        <v>0</v>
      </c>
      <c r="L69" s="280"/>
      <c r="M69" s="276">
        <v>0</v>
      </c>
      <c r="N69" s="280"/>
      <c r="O69" s="276">
        <v>0</v>
      </c>
      <c r="P69" s="280"/>
      <c r="Q69" s="276">
        <v>0</v>
      </c>
      <c r="R69" s="280"/>
      <c r="S69" s="276">
        <v>0</v>
      </c>
      <c r="T69" s="280"/>
      <c r="U69" s="276">
        <v>0</v>
      </c>
      <c r="V69" s="280"/>
      <c r="W69" s="276">
        <v>0</v>
      </c>
      <c r="X69" s="280"/>
      <c r="Y69" s="276">
        <v>0</v>
      </c>
      <c r="Z69" s="281"/>
      <c r="AA69" s="276">
        <v>0</v>
      </c>
      <c r="AB69" s="396"/>
      <c r="AC69" s="283">
        <v>0</v>
      </c>
      <c r="AD69" s="284"/>
      <c r="AE69" s="329">
        <v>0</v>
      </c>
      <c r="AF69" s="145"/>
      <c r="AG69" s="56">
        <v>0</v>
      </c>
      <c r="AH69" s="144"/>
      <c r="AI69" s="56">
        <v>0</v>
      </c>
      <c r="AJ69" s="144"/>
      <c r="AK69" s="56">
        <v>0</v>
      </c>
      <c r="AL69" s="144">
        <v>1</v>
      </c>
      <c r="AM69" s="56">
        <v>67391.281653480837</v>
      </c>
      <c r="AN69" s="81">
        <v>134782.56330696167</v>
      </c>
      <c r="AO69" s="106">
        <v>2</v>
      </c>
      <c r="AP69" s="122" t="s">
        <v>319</v>
      </c>
      <c r="AQ69" s="127">
        <v>4.5662100456621002E-3</v>
      </c>
      <c r="AR69" s="121">
        <v>615.44549455233641</v>
      </c>
      <c r="AS69" s="333" t="s">
        <v>350</v>
      </c>
      <c r="AT69" s="360">
        <v>18</v>
      </c>
    </row>
    <row r="70" spans="1:46" x14ac:dyDescent="0.3">
      <c r="A70" s="416" t="s">
        <v>1</v>
      </c>
      <c r="B70" s="288" t="s">
        <v>2</v>
      </c>
      <c r="C70" s="274" t="s">
        <v>342</v>
      </c>
      <c r="D70" s="288"/>
      <c r="E70" s="276" t="s">
        <v>358</v>
      </c>
      <c r="F70" s="288"/>
      <c r="G70" s="276">
        <v>0</v>
      </c>
      <c r="H70" s="288"/>
      <c r="I70" s="276">
        <v>0</v>
      </c>
      <c r="J70" s="288"/>
      <c r="K70" s="276">
        <v>0</v>
      </c>
      <c r="L70" s="288"/>
      <c r="M70" s="276">
        <v>0</v>
      </c>
      <c r="N70" s="288"/>
      <c r="O70" s="276">
        <v>0</v>
      </c>
      <c r="P70" s="288"/>
      <c r="Q70" s="276">
        <v>0</v>
      </c>
      <c r="R70" s="288"/>
      <c r="S70" s="276">
        <v>0</v>
      </c>
      <c r="T70" s="288"/>
      <c r="U70" s="276">
        <v>0</v>
      </c>
      <c r="V70" s="288"/>
      <c r="W70" s="276">
        <v>0</v>
      </c>
      <c r="X70" s="288"/>
      <c r="Y70" s="276">
        <v>0</v>
      </c>
      <c r="Z70" s="289"/>
      <c r="AA70" s="276">
        <v>0</v>
      </c>
      <c r="AB70" s="396"/>
      <c r="AC70" s="283">
        <v>0</v>
      </c>
      <c r="AD70" s="284"/>
      <c r="AE70" s="329">
        <v>0</v>
      </c>
      <c r="AF70" s="145"/>
      <c r="AG70" s="56">
        <v>0</v>
      </c>
      <c r="AH70" s="144"/>
      <c r="AI70" s="56">
        <v>0</v>
      </c>
      <c r="AJ70" s="144"/>
      <c r="AK70" s="56">
        <v>0</v>
      </c>
      <c r="AL70" s="144">
        <v>1</v>
      </c>
      <c r="AM70" s="56">
        <v>21014.39667403782</v>
      </c>
      <c r="AN70" s="81">
        <v>21014.39667403782</v>
      </c>
      <c r="AO70" s="106">
        <v>1</v>
      </c>
      <c r="AP70" s="122" t="s">
        <v>318</v>
      </c>
      <c r="AQ70" s="127">
        <v>1</v>
      </c>
      <c r="AR70" s="121">
        <v>21014.39667403782</v>
      </c>
      <c r="AS70" s="333" t="s">
        <v>350</v>
      </c>
      <c r="AT70" s="360">
        <v>18</v>
      </c>
    </row>
    <row r="71" spans="1:46" x14ac:dyDescent="0.3">
      <c r="A71" s="414" t="s">
        <v>421</v>
      </c>
      <c r="B71" s="96" t="s">
        <v>422</v>
      </c>
      <c r="C71" s="96" t="s">
        <v>423</v>
      </c>
      <c r="D71" s="181"/>
      <c r="E71" s="56"/>
      <c r="F71" s="181"/>
      <c r="G71" s="56"/>
      <c r="H71" s="181"/>
      <c r="I71" s="56"/>
      <c r="J71" s="181"/>
      <c r="K71" s="56"/>
      <c r="L71" s="181"/>
      <c r="M71" s="56"/>
      <c r="N71" s="181"/>
      <c r="O71" s="56"/>
      <c r="P71" s="181"/>
      <c r="Q71" s="56"/>
      <c r="R71" s="181"/>
      <c r="S71" s="56"/>
      <c r="T71" s="181"/>
      <c r="U71" s="56"/>
      <c r="V71" s="181"/>
      <c r="W71" s="56"/>
      <c r="X71" s="181"/>
      <c r="Y71" s="56"/>
      <c r="Z71" s="181"/>
      <c r="AA71" s="56"/>
      <c r="AB71" s="81"/>
      <c r="AC71" s="106"/>
      <c r="AD71" s="315"/>
      <c r="AE71" s="329"/>
      <c r="AF71" s="285"/>
      <c r="AG71" s="314"/>
      <c r="AI71" s="56"/>
      <c r="AJ71" s="144"/>
      <c r="AK71" s="56"/>
      <c r="AL71" s="181"/>
      <c r="AM71" s="56"/>
      <c r="AN71" s="81"/>
      <c r="AO71" s="106"/>
      <c r="AP71" s="104" t="s">
        <v>318</v>
      </c>
      <c r="AQ71" s="119"/>
      <c r="AR71" s="47"/>
      <c r="AS71" s="333" t="s">
        <v>350</v>
      </c>
      <c r="AT71" s="333">
        <v>18</v>
      </c>
    </row>
    <row r="72" spans="1:46" x14ac:dyDescent="0.3">
      <c r="A72" s="417" t="s">
        <v>13</v>
      </c>
      <c r="B72" s="274" t="s">
        <v>14</v>
      </c>
      <c r="C72" s="274" t="s">
        <v>343</v>
      </c>
      <c r="D72" s="290">
        <v>1</v>
      </c>
      <c r="E72" s="276">
        <v>20552.755657371155</v>
      </c>
      <c r="F72" s="291"/>
      <c r="G72" s="276">
        <v>0</v>
      </c>
      <c r="H72" s="291"/>
      <c r="I72" s="276">
        <v>0</v>
      </c>
      <c r="J72" s="291"/>
      <c r="K72" s="276">
        <v>0</v>
      </c>
      <c r="L72" s="291"/>
      <c r="M72" s="276">
        <v>0</v>
      </c>
      <c r="N72" s="291"/>
      <c r="O72" s="276">
        <v>0</v>
      </c>
      <c r="P72" s="291"/>
      <c r="Q72" s="276">
        <v>0</v>
      </c>
      <c r="R72" s="291"/>
      <c r="S72" s="276">
        <v>0</v>
      </c>
      <c r="T72" s="291"/>
      <c r="U72" s="276">
        <v>0</v>
      </c>
      <c r="V72" s="292"/>
      <c r="W72" s="276">
        <v>0</v>
      </c>
      <c r="X72" s="292"/>
      <c r="Y72" s="276">
        <v>0</v>
      </c>
      <c r="Z72" s="292"/>
      <c r="AA72" s="276">
        <v>0</v>
      </c>
      <c r="AB72" s="396"/>
      <c r="AC72" s="293">
        <v>0</v>
      </c>
      <c r="AD72" s="277"/>
      <c r="AE72" s="329">
        <v>0</v>
      </c>
      <c r="AF72" s="145"/>
      <c r="AG72" s="56">
        <v>0</v>
      </c>
      <c r="AH72" s="144"/>
      <c r="AI72" s="56">
        <v>0</v>
      </c>
      <c r="AJ72" s="144"/>
      <c r="AK72" s="56">
        <v>0</v>
      </c>
      <c r="AL72" s="144"/>
      <c r="AM72" s="56">
        <v>0</v>
      </c>
      <c r="AN72" s="81">
        <v>20552.755657371155</v>
      </c>
      <c r="AO72" s="106">
        <v>1</v>
      </c>
      <c r="AP72" s="122" t="s">
        <v>318</v>
      </c>
      <c r="AQ72" s="127">
        <v>1</v>
      </c>
      <c r="AR72" s="121">
        <v>20552.755657371155</v>
      </c>
      <c r="AS72" s="333" t="s">
        <v>351</v>
      </c>
      <c r="AT72" s="360">
        <v>18</v>
      </c>
    </row>
    <row r="73" spans="1:46" x14ac:dyDescent="0.3">
      <c r="A73" s="417" t="s">
        <v>98</v>
      </c>
      <c r="B73" s="274" t="s">
        <v>99</v>
      </c>
      <c r="C73" s="274" t="s">
        <v>342</v>
      </c>
      <c r="D73" s="290">
        <v>1</v>
      </c>
      <c r="E73" s="276">
        <v>17887.388810409495</v>
      </c>
      <c r="F73" s="291"/>
      <c r="G73" s="276">
        <v>0</v>
      </c>
      <c r="H73" s="291"/>
      <c r="I73" s="276">
        <v>0</v>
      </c>
      <c r="J73" s="291"/>
      <c r="K73" s="276">
        <v>0</v>
      </c>
      <c r="L73" s="291"/>
      <c r="M73" s="276">
        <v>0</v>
      </c>
      <c r="N73" s="291"/>
      <c r="O73" s="276">
        <v>0</v>
      </c>
      <c r="P73" s="291"/>
      <c r="Q73" s="276">
        <v>0</v>
      </c>
      <c r="R73" s="291"/>
      <c r="S73" s="276">
        <v>0</v>
      </c>
      <c r="T73" s="291"/>
      <c r="U73" s="276">
        <v>0</v>
      </c>
      <c r="V73" s="292"/>
      <c r="W73" s="276">
        <v>0</v>
      </c>
      <c r="X73" s="292"/>
      <c r="Y73" s="276">
        <v>0</v>
      </c>
      <c r="Z73" s="292"/>
      <c r="AA73" s="276">
        <v>0</v>
      </c>
      <c r="AB73" s="396"/>
      <c r="AC73" s="293">
        <v>0</v>
      </c>
      <c r="AD73" s="277"/>
      <c r="AE73" s="329">
        <v>0</v>
      </c>
      <c r="AF73" s="145"/>
      <c r="AG73" s="56">
        <v>0</v>
      </c>
      <c r="AH73" s="144"/>
      <c r="AI73" s="56">
        <v>0</v>
      </c>
      <c r="AJ73" s="144"/>
      <c r="AK73" s="56">
        <v>0</v>
      </c>
      <c r="AL73" s="144"/>
      <c r="AM73" s="56">
        <v>0</v>
      </c>
      <c r="AN73" s="81">
        <v>17887.388810409495</v>
      </c>
      <c r="AO73" s="106">
        <v>1</v>
      </c>
      <c r="AP73" s="122" t="s">
        <v>318</v>
      </c>
      <c r="AQ73" s="127">
        <v>1</v>
      </c>
      <c r="AR73" s="121">
        <v>17887.388810409495</v>
      </c>
      <c r="AS73" s="333" t="s">
        <v>351</v>
      </c>
      <c r="AT73" s="360">
        <v>18</v>
      </c>
    </row>
    <row r="74" spans="1:46" x14ac:dyDescent="0.3">
      <c r="A74" s="417" t="s">
        <v>104</v>
      </c>
      <c r="B74" s="274" t="s">
        <v>105</v>
      </c>
      <c r="C74" s="274" t="s">
        <v>342</v>
      </c>
      <c r="D74" s="290">
        <v>1</v>
      </c>
      <c r="E74" s="276">
        <v>17887.388810409495</v>
      </c>
      <c r="F74" s="291"/>
      <c r="G74" s="276">
        <v>0</v>
      </c>
      <c r="H74" s="291"/>
      <c r="I74" s="276">
        <v>0</v>
      </c>
      <c r="J74" s="291"/>
      <c r="K74" s="276">
        <v>0</v>
      </c>
      <c r="L74" s="291"/>
      <c r="M74" s="276">
        <v>0</v>
      </c>
      <c r="N74" s="291"/>
      <c r="O74" s="276">
        <v>0</v>
      </c>
      <c r="P74" s="291"/>
      <c r="Q74" s="276">
        <v>0</v>
      </c>
      <c r="R74" s="291"/>
      <c r="S74" s="276">
        <v>0</v>
      </c>
      <c r="T74" s="291"/>
      <c r="U74" s="276">
        <v>0</v>
      </c>
      <c r="V74" s="294"/>
      <c r="W74" s="276">
        <v>0</v>
      </c>
      <c r="X74" s="294"/>
      <c r="Y74" s="276">
        <v>0</v>
      </c>
      <c r="Z74" s="294"/>
      <c r="AA74" s="276">
        <v>0</v>
      </c>
      <c r="AB74" s="396"/>
      <c r="AC74" s="293">
        <v>0</v>
      </c>
      <c r="AD74" s="277"/>
      <c r="AE74" s="329">
        <v>0</v>
      </c>
      <c r="AF74" s="145"/>
      <c r="AG74" s="56">
        <v>0</v>
      </c>
      <c r="AH74" s="144"/>
      <c r="AI74" s="56">
        <v>0</v>
      </c>
      <c r="AJ74" s="144"/>
      <c r="AK74" s="56">
        <v>0</v>
      </c>
      <c r="AL74" s="144"/>
      <c r="AM74" s="56">
        <v>0</v>
      </c>
      <c r="AN74" s="81">
        <v>17887.388810409495</v>
      </c>
      <c r="AO74" s="106">
        <v>1</v>
      </c>
      <c r="AP74" s="122" t="s">
        <v>319</v>
      </c>
      <c r="AQ74" s="127">
        <v>0.29583875162548767</v>
      </c>
      <c r="AR74" s="121">
        <v>5291.7827755112621</v>
      </c>
      <c r="AS74" s="333" t="s">
        <v>351</v>
      </c>
      <c r="AT74" s="360">
        <v>18</v>
      </c>
    </row>
    <row r="75" spans="1:46" x14ac:dyDescent="0.3">
      <c r="A75" s="417" t="s">
        <v>25</v>
      </c>
      <c r="B75" s="274" t="s">
        <v>26</v>
      </c>
      <c r="C75" s="274" t="s">
        <v>346</v>
      </c>
      <c r="D75" s="290">
        <v>1</v>
      </c>
      <c r="E75" s="276">
        <v>32117.31737996532</v>
      </c>
      <c r="F75" s="291"/>
      <c r="G75" s="276">
        <v>0</v>
      </c>
      <c r="H75" s="291"/>
      <c r="I75" s="276">
        <v>0</v>
      </c>
      <c r="J75" s="291"/>
      <c r="K75" s="276">
        <v>0</v>
      </c>
      <c r="L75" s="291"/>
      <c r="M75" s="276">
        <v>0</v>
      </c>
      <c r="N75" s="294"/>
      <c r="O75" s="276">
        <v>0</v>
      </c>
      <c r="P75" s="291"/>
      <c r="Q75" s="276">
        <v>0</v>
      </c>
      <c r="R75" s="291"/>
      <c r="S75" s="276">
        <v>0</v>
      </c>
      <c r="T75" s="291"/>
      <c r="U75" s="276">
        <v>0</v>
      </c>
      <c r="V75" s="294"/>
      <c r="W75" s="276">
        <v>0</v>
      </c>
      <c r="X75" s="294"/>
      <c r="Y75" s="276">
        <v>0</v>
      </c>
      <c r="Z75" s="294"/>
      <c r="AA75" s="276">
        <v>0</v>
      </c>
      <c r="AB75" s="396"/>
      <c r="AC75" s="293">
        <v>0</v>
      </c>
      <c r="AD75" s="277"/>
      <c r="AE75" s="329">
        <v>0</v>
      </c>
      <c r="AF75" s="145"/>
      <c r="AG75" s="56">
        <v>0</v>
      </c>
      <c r="AH75" s="144"/>
      <c r="AI75" s="56">
        <v>0</v>
      </c>
      <c r="AJ75" s="144"/>
      <c r="AK75" s="56">
        <v>0</v>
      </c>
      <c r="AL75" s="144"/>
      <c r="AM75" s="56">
        <v>0</v>
      </c>
      <c r="AN75" s="81">
        <v>32117.31737996532</v>
      </c>
      <c r="AO75" s="106">
        <v>1</v>
      </c>
      <c r="AP75" s="122" t="s">
        <v>318</v>
      </c>
      <c r="AQ75" s="127">
        <v>1</v>
      </c>
      <c r="AR75" s="121">
        <v>32117.31737996532</v>
      </c>
      <c r="AS75" s="333" t="s">
        <v>351</v>
      </c>
      <c r="AT75" s="360">
        <v>18</v>
      </c>
    </row>
    <row r="76" spans="1:46" x14ac:dyDescent="0.3">
      <c r="A76" s="417" t="s">
        <v>27</v>
      </c>
      <c r="B76" s="274" t="s">
        <v>28</v>
      </c>
      <c r="C76" s="274" t="s">
        <v>346</v>
      </c>
      <c r="D76" s="290">
        <v>1</v>
      </c>
      <c r="E76" s="276">
        <v>43480.816890660324</v>
      </c>
      <c r="F76" s="291"/>
      <c r="G76" s="276">
        <v>0</v>
      </c>
      <c r="H76" s="291"/>
      <c r="I76" s="276">
        <v>0</v>
      </c>
      <c r="J76" s="291"/>
      <c r="K76" s="276">
        <v>0</v>
      </c>
      <c r="L76" s="291"/>
      <c r="M76" s="276">
        <v>0</v>
      </c>
      <c r="N76" s="294"/>
      <c r="O76" s="276">
        <v>0</v>
      </c>
      <c r="P76" s="291"/>
      <c r="Q76" s="276">
        <v>0</v>
      </c>
      <c r="R76" s="291"/>
      <c r="S76" s="276">
        <v>0</v>
      </c>
      <c r="T76" s="291"/>
      <c r="U76" s="276">
        <v>0</v>
      </c>
      <c r="V76" s="294"/>
      <c r="W76" s="276">
        <v>0</v>
      </c>
      <c r="X76" s="294"/>
      <c r="Y76" s="276">
        <v>0</v>
      </c>
      <c r="Z76" s="294"/>
      <c r="AA76" s="276">
        <v>0</v>
      </c>
      <c r="AB76" s="396"/>
      <c r="AC76" s="293">
        <v>0</v>
      </c>
      <c r="AD76" s="277"/>
      <c r="AE76" s="329">
        <v>0</v>
      </c>
      <c r="AF76" s="145"/>
      <c r="AG76" s="56">
        <v>0</v>
      </c>
      <c r="AH76" s="144"/>
      <c r="AI76" s="56">
        <v>0</v>
      </c>
      <c r="AJ76" s="144"/>
      <c r="AK76" s="56">
        <v>0</v>
      </c>
      <c r="AL76" s="144"/>
      <c r="AM76" s="56">
        <v>0</v>
      </c>
      <c r="AN76" s="81">
        <v>43480.816890660324</v>
      </c>
      <c r="AO76" s="106">
        <v>1</v>
      </c>
      <c r="AP76" s="122" t="s">
        <v>318</v>
      </c>
      <c r="AQ76" s="127">
        <v>1</v>
      </c>
      <c r="AR76" s="121">
        <v>43480.816890660324</v>
      </c>
      <c r="AS76" s="333" t="s">
        <v>351</v>
      </c>
      <c r="AT76" s="360">
        <v>18</v>
      </c>
    </row>
    <row r="77" spans="1:46" x14ac:dyDescent="0.3">
      <c r="A77" s="417" t="s">
        <v>1</v>
      </c>
      <c r="B77" s="274" t="s">
        <v>2</v>
      </c>
      <c r="C77" s="274" t="s">
        <v>342</v>
      </c>
      <c r="D77" s="290">
        <v>1</v>
      </c>
      <c r="E77" s="276">
        <v>21014.39667403782</v>
      </c>
      <c r="F77" s="291"/>
      <c r="G77" s="276">
        <v>0</v>
      </c>
      <c r="H77" s="291"/>
      <c r="I77" s="276">
        <v>0</v>
      </c>
      <c r="J77" s="291"/>
      <c r="K77" s="276">
        <v>0</v>
      </c>
      <c r="L77" s="291"/>
      <c r="M77" s="276">
        <v>0</v>
      </c>
      <c r="N77" s="291"/>
      <c r="O77" s="276">
        <v>0</v>
      </c>
      <c r="P77" s="291"/>
      <c r="Q77" s="276">
        <v>0</v>
      </c>
      <c r="R77" s="291"/>
      <c r="S77" s="276">
        <v>0</v>
      </c>
      <c r="T77" s="291"/>
      <c r="U77" s="276">
        <v>0</v>
      </c>
      <c r="V77" s="294"/>
      <c r="W77" s="276">
        <v>0</v>
      </c>
      <c r="X77" s="294"/>
      <c r="Y77" s="276">
        <v>0</v>
      </c>
      <c r="Z77" s="294"/>
      <c r="AA77" s="276">
        <v>0</v>
      </c>
      <c r="AB77" s="396"/>
      <c r="AC77" s="293">
        <v>0</v>
      </c>
      <c r="AD77" s="277"/>
      <c r="AE77" s="329">
        <v>0</v>
      </c>
      <c r="AF77" s="145"/>
      <c r="AG77" s="56">
        <v>0</v>
      </c>
      <c r="AH77" s="144"/>
      <c r="AI77" s="56">
        <v>0</v>
      </c>
      <c r="AJ77" s="144"/>
      <c r="AK77" s="56">
        <v>0</v>
      </c>
      <c r="AL77" s="144"/>
      <c r="AM77" s="56">
        <v>0</v>
      </c>
      <c r="AN77" s="81">
        <v>21014.39667403782</v>
      </c>
      <c r="AO77" s="106">
        <v>1</v>
      </c>
      <c r="AP77" s="122" t="s">
        <v>318</v>
      </c>
      <c r="AQ77" s="127">
        <v>0.3550065019505852</v>
      </c>
      <c r="AR77" s="121">
        <v>7460.2474538521783</v>
      </c>
      <c r="AS77" s="333" t="s">
        <v>351</v>
      </c>
      <c r="AT77" s="360">
        <v>18</v>
      </c>
    </row>
    <row r="78" spans="1:46" x14ac:dyDescent="0.3">
      <c r="A78" s="417" t="s">
        <v>3</v>
      </c>
      <c r="B78" s="274" t="s">
        <v>4</v>
      </c>
      <c r="C78" s="274" t="s">
        <v>342</v>
      </c>
      <c r="D78" s="290">
        <v>1</v>
      </c>
      <c r="E78" s="276">
        <v>20406.13276336317</v>
      </c>
      <c r="F78" s="291"/>
      <c r="G78" s="276">
        <v>0</v>
      </c>
      <c r="H78" s="291"/>
      <c r="I78" s="276">
        <v>0</v>
      </c>
      <c r="J78" s="291"/>
      <c r="K78" s="276">
        <v>0</v>
      </c>
      <c r="L78" s="291"/>
      <c r="M78" s="276">
        <v>0</v>
      </c>
      <c r="N78" s="291"/>
      <c r="O78" s="276">
        <v>0</v>
      </c>
      <c r="P78" s="291"/>
      <c r="Q78" s="276">
        <v>0</v>
      </c>
      <c r="R78" s="291"/>
      <c r="S78" s="276">
        <v>0</v>
      </c>
      <c r="T78" s="291"/>
      <c r="U78" s="276">
        <v>0</v>
      </c>
      <c r="V78" s="292"/>
      <c r="W78" s="276">
        <v>0</v>
      </c>
      <c r="X78" s="292"/>
      <c r="Y78" s="276">
        <v>0</v>
      </c>
      <c r="Z78" s="292"/>
      <c r="AA78" s="276">
        <v>0</v>
      </c>
      <c r="AB78" s="396"/>
      <c r="AC78" s="293">
        <v>0</v>
      </c>
      <c r="AD78" s="277"/>
      <c r="AE78" s="329">
        <v>0</v>
      </c>
      <c r="AF78" s="145"/>
      <c r="AG78" s="56">
        <v>0</v>
      </c>
      <c r="AH78" s="144"/>
      <c r="AI78" s="56">
        <v>0</v>
      </c>
      <c r="AJ78" s="144"/>
      <c r="AK78" s="56">
        <v>0</v>
      </c>
      <c r="AL78" s="144"/>
      <c r="AM78" s="56">
        <v>0</v>
      </c>
      <c r="AN78" s="81">
        <v>20406.13276336317</v>
      </c>
      <c r="AO78" s="106">
        <v>1</v>
      </c>
      <c r="AP78" s="122" t="s">
        <v>318</v>
      </c>
      <c r="AQ78" s="127">
        <v>1</v>
      </c>
      <c r="AR78" s="121">
        <v>20406.13276336317</v>
      </c>
      <c r="AS78" s="333" t="s">
        <v>351</v>
      </c>
      <c r="AT78" s="360">
        <v>18</v>
      </c>
    </row>
    <row r="79" spans="1:46" x14ac:dyDescent="0.3">
      <c r="A79" s="417" t="s">
        <v>5</v>
      </c>
      <c r="B79" s="274" t="s">
        <v>6</v>
      </c>
      <c r="C79" s="274" t="s">
        <v>342</v>
      </c>
      <c r="D79" s="290">
        <v>1</v>
      </c>
      <c r="E79" s="276">
        <v>18768.367820181349</v>
      </c>
      <c r="F79" s="291"/>
      <c r="G79" s="276">
        <v>0</v>
      </c>
      <c r="H79" s="291"/>
      <c r="I79" s="276">
        <v>0</v>
      </c>
      <c r="J79" s="291"/>
      <c r="K79" s="276">
        <v>0</v>
      </c>
      <c r="L79" s="291"/>
      <c r="M79" s="276">
        <v>0</v>
      </c>
      <c r="N79" s="291"/>
      <c r="O79" s="276">
        <v>0</v>
      </c>
      <c r="P79" s="291"/>
      <c r="Q79" s="276">
        <v>0</v>
      </c>
      <c r="R79" s="291"/>
      <c r="S79" s="276">
        <v>0</v>
      </c>
      <c r="T79" s="291"/>
      <c r="U79" s="276">
        <v>0</v>
      </c>
      <c r="V79" s="292"/>
      <c r="W79" s="276">
        <v>0</v>
      </c>
      <c r="X79" s="292"/>
      <c r="Y79" s="276">
        <v>0</v>
      </c>
      <c r="Z79" s="292"/>
      <c r="AA79" s="276">
        <v>0</v>
      </c>
      <c r="AB79" s="396"/>
      <c r="AC79" s="293">
        <v>0</v>
      </c>
      <c r="AD79" s="277"/>
      <c r="AE79" s="329">
        <v>0</v>
      </c>
      <c r="AF79" s="145"/>
      <c r="AG79" s="56">
        <v>0</v>
      </c>
      <c r="AH79" s="144"/>
      <c r="AI79" s="56">
        <v>0</v>
      </c>
      <c r="AJ79" s="144"/>
      <c r="AK79" s="56">
        <v>0</v>
      </c>
      <c r="AL79" s="144"/>
      <c r="AM79" s="56">
        <v>0</v>
      </c>
      <c r="AN79" s="81">
        <v>18768.367820181349</v>
      </c>
      <c r="AO79" s="106">
        <v>1</v>
      </c>
      <c r="AP79" s="122" t="s">
        <v>318</v>
      </c>
      <c r="AQ79" s="127">
        <v>0.30593607305936071</v>
      </c>
      <c r="AR79" s="121">
        <v>5741.9207486399555</v>
      </c>
      <c r="AS79" s="333" t="s">
        <v>351</v>
      </c>
      <c r="AT79" s="360">
        <v>18</v>
      </c>
    </row>
    <row r="80" spans="1:46" x14ac:dyDescent="0.3">
      <c r="A80" s="417" t="s">
        <v>23</v>
      </c>
      <c r="B80" s="274" t="s">
        <v>24</v>
      </c>
      <c r="C80" s="274" t="s">
        <v>344</v>
      </c>
      <c r="D80" s="290">
        <v>1</v>
      </c>
      <c r="E80" s="276">
        <v>31881.451880098426</v>
      </c>
      <c r="F80" s="291"/>
      <c r="G80" s="276">
        <v>0</v>
      </c>
      <c r="H80" s="291"/>
      <c r="I80" s="276">
        <v>0</v>
      </c>
      <c r="J80" s="291"/>
      <c r="K80" s="276">
        <v>0</v>
      </c>
      <c r="L80" s="291"/>
      <c r="M80" s="276">
        <v>0</v>
      </c>
      <c r="N80" s="291"/>
      <c r="O80" s="276">
        <v>0</v>
      </c>
      <c r="P80" s="291"/>
      <c r="Q80" s="276">
        <v>0</v>
      </c>
      <c r="R80" s="291"/>
      <c r="S80" s="276">
        <v>0</v>
      </c>
      <c r="T80" s="291"/>
      <c r="U80" s="276">
        <v>0</v>
      </c>
      <c r="V80" s="292"/>
      <c r="W80" s="276">
        <v>0</v>
      </c>
      <c r="X80" s="292"/>
      <c r="Y80" s="276">
        <v>0</v>
      </c>
      <c r="Z80" s="292"/>
      <c r="AA80" s="276">
        <v>0</v>
      </c>
      <c r="AB80" s="396"/>
      <c r="AC80" s="293">
        <v>0</v>
      </c>
      <c r="AD80" s="277"/>
      <c r="AE80" s="329">
        <v>0</v>
      </c>
      <c r="AF80" s="145"/>
      <c r="AG80" s="56">
        <v>0</v>
      </c>
      <c r="AH80" s="144"/>
      <c r="AI80" s="56">
        <v>0</v>
      </c>
      <c r="AJ80" s="144"/>
      <c r="AK80" s="56">
        <v>0</v>
      </c>
      <c r="AL80" s="180"/>
      <c r="AM80" s="113">
        <v>0</v>
      </c>
      <c r="AN80" s="81">
        <v>31881.451880098426</v>
      </c>
      <c r="AO80" s="106">
        <v>1</v>
      </c>
      <c r="AP80" s="122" t="s">
        <v>318</v>
      </c>
      <c r="AQ80" s="127">
        <v>0.15068493150684931</v>
      </c>
      <c r="AR80" s="121">
        <v>4804.0543928915431</v>
      </c>
      <c r="AS80" s="333" t="s">
        <v>351</v>
      </c>
      <c r="AT80" s="360">
        <v>18</v>
      </c>
    </row>
    <row r="81" spans="1:46" x14ac:dyDescent="0.3">
      <c r="A81" s="417" t="s">
        <v>36</v>
      </c>
      <c r="B81" s="274" t="s">
        <v>136</v>
      </c>
      <c r="C81" s="274" t="s">
        <v>344</v>
      </c>
      <c r="D81" s="290"/>
      <c r="E81" s="276">
        <v>0</v>
      </c>
      <c r="F81" s="290">
        <v>8</v>
      </c>
      <c r="G81" s="276">
        <v>70240.958933331567</v>
      </c>
      <c r="H81" s="290">
        <v>8</v>
      </c>
      <c r="I81" s="276">
        <v>70240.958933331567</v>
      </c>
      <c r="J81" s="290">
        <v>8</v>
      </c>
      <c r="K81" s="276">
        <v>70240.958933331567</v>
      </c>
      <c r="L81" s="290">
        <v>8</v>
      </c>
      <c r="M81" s="276">
        <v>70240.958933331567</v>
      </c>
      <c r="N81" s="290">
        <v>8</v>
      </c>
      <c r="O81" s="276">
        <v>70240.958933331567</v>
      </c>
      <c r="P81" s="290">
        <v>8</v>
      </c>
      <c r="Q81" s="276">
        <v>70240.958933331567</v>
      </c>
      <c r="R81" s="290">
        <v>8</v>
      </c>
      <c r="S81" s="276">
        <v>70240.958933331567</v>
      </c>
      <c r="T81" s="290">
        <v>8</v>
      </c>
      <c r="U81" s="276">
        <v>70240.958933331567</v>
      </c>
      <c r="V81" s="290">
        <v>8</v>
      </c>
      <c r="W81" s="276">
        <v>70240.958933331567</v>
      </c>
      <c r="X81" s="290">
        <v>8</v>
      </c>
      <c r="Y81" s="276">
        <v>70240.958933331567</v>
      </c>
      <c r="Z81" s="290">
        <v>8</v>
      </c>
      <c r="AA81" s="276">
        <v>70240.958933331567</v>
      </c>
      <c r="AB81" s="396">
        <v>8</v>
      </c>
      <c r="AC81" s="293">
        <v>70240.958933331567</v>
      </c>
      <c r="AD81" s="277">
        <v>8</v>
      </c>
      <c r="AE81" s="329">
        <v>70240.958933331567</v>
      </c>
      <c r="AF81" s="177">
        <v>8</v>
      </c>
      <c r="AG81" s="56">
        <v>70240.958933331567</v>
      </c>
      <c r="AH81" s="144">
        <v>8</v>
      </c>
      <c r="AI81" s="56">
        <v>70240.958933331567</v>
      </c>
      <c r="AJ81" s="144">
        <v>8</v>
      </c>
      <c r="AK81" s="56">
        <v>70240.958933331567</v>
      </c>
      <c r="AL81" s="144">
        <v>8</v>
      </c>
      <c r="AM81" s="56">
        <v>70240.958933331567</v>
      </c>
      <c r="AN81" s="81">
        <v>1194096.3018666364</v>
      </c>
      <c r="AO81" s="106">
        <v>136</v>
      </c>
      <c r="AP81" s="122" t="s">
        <v>318</v>
      </c>
      <c r="AQ81" s="127">
        <v>1</v>
      </c>
      <c r="AR81" s="121">
        <v>1194096.3018666364</v>
      </c>
      <c r="AS81" s="333" t="s">
        <v>351</v>
      </c>
      <c r="AT81" s="360">
        <v>18</v>
      </c>
    </row>
    <row r="82" spans="1:46" x14ac:dyDescent="0.3">
      <c r="A82" s="417" t="s">
        <v>15</v>
      </c>
      <c r="B82" s="274" t="s">
        <v>16</v>
      </c>
      <c r="C82" s="274" t="s">
        <v>342</v>
      </c>
      <c r="D82" s="291">
        <v>1</v>
      </c>
      <c r="E82" s="276">
        <v>22052.520800552971</v>
      </c>
      <c r="F82" s="291"/>
      <c r="G82" s="276">
        <v>0</v>
      </c>
      <c r="H82" s="291"/>
      <c r="I82" s="276">
        <v>0</v>
      </c>
      <c r="J82" s="291"/>
      <c r="K82" s="276">
        <v>0</v>
      </c>
      <c r="L82" s="291"/>
      <c r="M82" s="276">
        <v>0</v>
      </c>
      <c r="N82" s="291"/>
      <c r="O82" s="276">
        <v>0</v>
      </c>
      <c r="P82" s="291"/>
      <c r="Q82" s="276">
        <v>0</v>
      </c>
      <c r="R82" s="291"/>
      <c r="S82" s="276">
        <v>0</v>
      </c>
      <c r="T82" s="291"/>
      <c r="U82" s="276">
        <v>0</v>
      </c>
      <c r="V82" s="291"/>
      <c r="W82" s="276">
        <v>0</v>
      </c>
      <c r="X82" s="291"/>
      <c r="Y82" s="276">
        <v>0</v>
      </c>
      <c r="Z82" s="291"/>
      <c r="AA82" s="276">
        <v>0</v>
      </c>
      <c r="AB82" s="396"/>
      <c r="AC82" s="293">
        <v>0</v>
      </c>
      <c r="AD82" s="277"/>
      <c r="AE82" s="329">
        <v>0</v>
      </c>
      <c r="AF82" s="145"/>
      <c r="AG82" s="56">
        <v>0</v>
      </c>
      <c r="AH82" s="144"/>
      <c r="AI82" s="56">
        <v>0</v>
      </c>
      <c r="AJ82" s="144"/>
      <c r="AK82" s="56">
        <v>0</v>
      </c>
      <c r="AL82" s="144"/>
      <c r="AM82" s="56">
        <v>0</v>
      </c>
      <c r="AN82" s="81">
        <v>22052.520800552971</v>
      </c>
      <c r="AO82" s="106">
        <v>1</v>
      </c>
      <c r="AP82" s="122" t="s">
        <v>318</v>
      </c>
      <c r="AQ82" s="127">
        <v>0.27828348504551365</v>
      </c>
      <c r="AR82" s="121">
        <v>6136.8523424165614</v>
      </c>
      <c r="AS82" s="333" t="s">
        <v>351</v>
      </c>
      <c r="AT82" s="360">
        <v>18</v>
      </c>
    </row>
    <row r="83" spans="1:46" x14ac:dyDescent="0.3">
      <c r="A83" s="417" t="s">
        <v>17</v>
      </c>
      <c r="B83" s="274" t="s">
        <v>18</v>
      </c>
      <c r="C83" s="274" t="s">
        <v>342</v>
      </c>
      <c r="D83" s="291">
        <v>1</v>
      </c>
      <c r="E83" s="276">
        <v>20414.75585737115</v>
      </c>
      <c r="F83" s="291"/>
      <c r="G83" s="276">
        <v>0</v>
      </c>
      <c r="H83" s="291"/>
      <c r="I83" s="276">
        <v>0</v>
      </c>
      <c r="J83" s="291"/>
      <c r="K83" s="276">
        <v>0</v>
      </c>
      <c r="L83" s="291"/>
      <c r="M83" s="276">
        <v>0</v>
      </c>
      <c r="N83" s="291"/>
      <c r="O83" s="276">
        <v>0</v>
      </c>
      <c r="P83" s="291"/>
      <c r="Q83" s="276">
        <v>0</v>
      </c>
      <c r="R83" s="291"/>
      <c r="S83" s="276">
        <v>0</v>
      </c>
      <c r="T83" s="291"/>
      <c r="U83" s="276">
        <v>0</v>
      </c>
      <c r="V83" s="291"/>
      <c r="W83" s="276">
        <v>0</v>
      </c>
      <c r="X83" s="291"/>
      <c r="Y83" s="276">
        <v>0</v>
      </c>
      <c r="Z83" s="291"/>
      <c r="AA83" s="276">
        <v>0</v>
      </c>
      <c r="AB83" s="396"/>
      <c r="AC83" s="293">
        <v>0</v>
      </c>
      <c r="AD83" s="277"/>
      <c r="AE83" s="329">
        <v>0</v>
      </c>
      <c r="AF83" s="144"/>
      <c r="AG83" s="56">
        <v>0</v>
      </c>
      <c r="AH83" s="144"/>
      <c r="AI83" s="56">
        <v>0</v>
      </c>
      <c r="AJ83" s="144"/>
      <c r="AK83" s="56">
        <v>0</v>
      </c>
      <c r="AL83" s="181"/>
      <c r="AM83" s="56">
        <v>0</v>
      </c>
      <c r="AN83" s="81">
        <v>20414.75585737115</v>
      </c>
      <c r="AO83" s="106">
        <v>1</v>
      </c>
      <c r="AP83" s="122" t="s">
        <v>318</v>
      </c>
      <c r="AQ83" s="127">
        <v>0.2503250975292588</v>
      </c>
      <c r="AR83" s="121">
        <v>5110.3257510324402</v>
      </c>
      <c r="AS83" s="333" t="s">
        <v>351</v>
      </c>
      <c r="AT83" s="360">
        <v>18</v>
      </c>
    </row>
    <row r="84" spans="1:46" x14ac:dyDescent="0.3">
      <c r="A84" s="417" t="s">
        <v>19</v>
      </c>
      <c r="B84" s="274" t="s">
        <v>20</v>
      </c>
      <c r="C84" s="274" t="s">
        <v>342</v>
      </c>
      <c r="D84" s="290">
        <v>1</v>
      </c>
      <c r="E84" s="276">
        <v>67398.098568534639</v>
      </c>
      <c r="F84" s="290"/>
      <c r="G84" s="276">
        <v>0</v>
      </c>
      <c r="H84" s="290"/>
      <c r="I84" s="276">
        <v>0</v>
      </c>
      <c r="J84" s="290"/>
      <c r="K84" s="276">
        <v>0</v>
      </c>
      <c r="L84" s="290"/>
      <c r="M84" s="276">
        <v>0</v>
      </c>
      <c r="N84" s="290"/>
      <c r="O84" s="276">
        <v>0</v>
      </c>
      <c r="P84" s="290"/>
      <c r="Q84" s="276">
        <v>0</v>
      </c>
      <c r="R84" s="290"/>
      <c r="S84" s="276">
        <v>0</v>
      </c>
      <c r="T84" s="290"/>
      <c r="U84" s="276">
        <v>0</v>
      </c>
      <c r="V84" s="290"/>
      <c r="W84" s="276">
        <v>0</v>
      </c>
      <c r="X84" s="290"/>
      <c r="Y84" s="276">
        <v>0</v>
      </c>
      <c r="Z84" s="290"/>
      <c r="AA84" s="276">
        <v>0</v>
      </c>
      <c r="AB84" s="396"/>
      <c r="AC84" s="293">
        <v>0</v>
      </c>
      <c r="AD84" s="277"/>
      <c r="AE84" s="329">
        <v>0</v>
      </c>
      <c r="AF84" s="145"/>
      <c r="AG84" s="56">
        <v>0</v>
      </c>
      <c r="AH84" s="144"/>
      <c r="AI84" s="56">
        <v>0</v>
      </c>
      <c r="AJ84" s="144"/>
      <c r="AK84" s="56">
        <v>0</v>
      </c>
      <c r="AL84" s="144"/>
      <c r="AM84" s="56">
        <v>0</v>
      </c>
      <c r="AN84" s="81">
        <v>67398.098568534639</v>
      </c>
      <c r="AO84" s="106">
        <v>1</v>
      </c>
      <c r="AP84" s="122" t="s">
        <v>319</v>
      </c>
      <c r="AQ84" s="127">
        <v>0.10858257477243173</v>
      </c>
      <c r="AR84" s="121">
        <v>7318.259077337636</v>
      </c>
      <c r="AS84" s="333" t="s">
        <v>351</v>
      </c>
      <c r="AT84" s="360">
        <v>18</v>
      </c>
    </row>
    <row r="85" spans="1:46" x14ac:dyDescent="0.3">
      <c r="A85" s="417" t="s">
        <v>21</v>
      </c>
      <c r="B85" s="274" t="s">
        <v>221</v>
      </c>
      <c r="C85" s="274" t="s">
        <v>342</v>
      </c>
      <c r="D85" s="290">
        <v>1</v>
      </c>
      <c r="E85" s="276">
        <v>67398.098568534639</v>
      </c>
      <c r="F85" s="290"/>
      <c r="G85" s="276">
        <v>0</v>
      </c>
      <c r="H85" s="290"/>
      <c r="I85" s="276">
        <v>0</v>
      </c>
      <c r="J85" s="290"/>
      <c r="K85" s="276">
        <v>0</v>
      </c>
      <c r="L85" s="290"/>
      <c r="M85" s="276">
        <v>0</v>
      </c>
      <c r="N85" s="290"/>
      <c r="O85" s="276">
        <v>0</v>
      </c>
      <c r="P85" s="290"/>
      <c r="Q85" s="276">
        <v>0</v>
      </c>
      <c r="R85" s="290"/>
      <c r="S85" s="276">
        <v>0</v>
      </c>
      <c r="T85" s="290"/>
      <c r="U85" s="276">
        <v>0</v>
      </c>
      <c r="V85" s="290"/>
      <c r="W85" s="276">
        <v>0</v>
      </c>
      <c r="X85" s="290"/>
      <c r="Y85" s="276">
        <v>0</v>
      </c>
      <c r="Z85" s="290"/>
      <c r="AA85" s="276">
        <v>0</v>
      </c>
      <c r="AB85" s="396"/>
      <c r="AC85" s="293">
        <v>0</v>
      </c>
      <c r="AD85" s="277"/>
      <c r="AE85" s="329">
        <v>0</v>
      </c>
      <c r="AF85" s="145"/>
      <c r="AG85" s="56">
        <v>0</v>
      </c>
      <c r="AH85" s="144"/>
      <c r="AI85" s="56">
        <v>0</v>
      </c>
      <c r="AJ85" s="144"/>
      <c r="AK85" s="56">
        <v>0</v>
      </c>
      <c r="AL85" s="144"/>
      <c r="AM85" s="56">
        <v>0</v>
      </c>
      <c r="AN85" s="81">
        <v>67398.098568534639</v>
      </c>
      <c r="AO85" s="106">
        <v>1</v>
      </c>
      <c r="AP85" s="122" t="s">
        <v>319</v>
      </c>
      <c r="AQ85" s="127">
        <v>1.0461638491547465</v>
      </c>
      <c r="AR85" s="121">
        <v>70509.454224169211</v>
      </c>
      <c r="AS85" s="333" t="s">
        <v>351</v>
      </c>
      <c r="AT85" s="360">
        <v>18</v>
      </c>
    </row>
    <row r="86" spans="1:46" x14ac:dyDescent="0.3">
      <c r="A86" s="417" t="s">
        <v>32</v>
      </c>
      <c r="B86" s="274" t="s">
        <v>143</v>
      </c>
      <c r="C86" s="274" t="s">
        <v>342</v>
      </c>
      <c r="D86" s="290">
        <v>1</v>
      </c>
      <c r="E86" s="276">
        <v>18146.717863439797</v>
      </c>
      <c r="F86" s="290"/>
      <c r="G86" s="276">
        <v>0</v>
      </c>
      <c r="H86" s="290"/>
      <c r="I86" s="276">
        <v>0</v>
      </c>
      <c r="J86" s="290"/>
      <c r="K86" s="276">
        <v>0</v>
      </c>
      <c r="L86" s="290"/>
      <c r="M86" s="276">
        <v>0</v>
      </c>
      <c r="N86" s="290"/>
      <c r="O86" s="276">
        <v>0</v>
      </c>
      <c r="P86" s="290"/>
      <c r="Q86" s="276">
        <v>0</v>
      </c>
      <c r="R86" s="290"/>
      <c r="S86" s="276">
        <v>0</v>
      </c>
      <c r="T86" s="290"/>
      <c r="U86" s="276">
        <v>0</v>
      </c>
      <c r="V86" s="290"/>
      <c r="W86" s="276">
        <v>0</v>
      </c>
      <c r="X86" s="290"/>
      <c r="Y86" s="276">
        <v>0</v>
      </c>
      <c r="Z86" s="290"/>
      <c r="AA86" s="276">
        <v>0</v>
      </c>
      <c r="AB86" s="396"/>
      <c r="AC86" s="293">
        <v>0</v>
      </c>
      <c r="AD86" s="277"/>
      <c r="AE86" s="329">
        <v>0</v>
      </c>
      <c r="AF86" s="145"/>
      <c r="AG86" s="56">
        <v>0</v>
      </c>
      <c r="AH86" s="146"/>
      <c r="AI86" s="56">
        <v>0</v>
      </c>
      <c r="AJ86" s="146"/>
      <c r="AK86" s="56">
        <v>0</v>
      </c>
      <c r="AL86" s="146"/>
      <c r="AM86" s="56">
        <v>0</v>
      </c>
      <c r="AN86" s="81">
        <v>18146.717863439797</v>
      </c>
      <c r="AO86" s="106">
        <v>1</v>
      </c>
      <c r="AP86" s="122" t="s">
        <v>319</v>
      </c>
      <c r="AQ86" s="127">
        <v>6.5019505851755528E-4</v>
      </c>
      <c r="AR86" s="121">
        <v>11.798906283120804</v>
      </c>
      <c r="AS86" s="333" t="s">
        <v>351</v>
      </c>
      <c r="AT86" s="360">
        <v>18</v>
      </c>
    </row>
    <row r="87" spans="1:46" x14ac:dyDescent="0.3">
      <c r="A87" s="417" t="s">
        <v>34</v>
      </c>
      <c r="B87" s="274" t="s">
        <v>35</v>
      </c>
      <c r="C87" s="274" t="s">
        <v>342</v>
      </c>
      <c r="D87" s="290">
        <v>1</v>
      </c>
      <c r="E87" s="276">
        <v>18146.717863439797</v>
      </c>
      <c r="F87" s="291"/>
      <c r="G87" s="276">
        <v>0</v>
      </c>
      <c r="H87" s="291"/>
      <c r="I87" s="276">
        <v>0</v>
      </c>
      <c r="J87" s="291"/>
      <c r="K87" s="276">
        <v>0</v>
      </c>
      <c r="L87" s="291"/>
      <c r="M87" s="276">
        <v>0</v>
      </c>
      <c r="N87" s="291"/>
      <c r="O87" s="276">
        <v>0</v>
      </c>
      <c r="P87" s="291"/>
      <c r="Q87" s="276">
        <v>0</v>
      </c>
      <c r="R87" s="291"/>
      <c r="S87" s="276">
        <v>0</v>
      </c>
      <c r="T87" s="291"/>
      <c r="U87" s="276">
        <v>0</v>
      </c>
      <c r="V87" s="291"/>
      <c r="W87" s="276">
        <v>0</v>
      </c>
      <c r="X87" s="291"/>
      <c r="Y87" s="276">
        <v>0</v>
      </c>
      <c r="Z87" s="291"/>
      <c r="AA87" s="276">
        <v>0</v>
      </c>
      <c r="AB87" s="396"/>
      <c r="AC87" s="293">
        <v>0</v>
      </c>
      <c r="AD87" s="277"/>
      <c r="AE87" s="329">
        <v>0</v>
      </c>
      <c r="AF87" s="145"/>
      <c r="AG87" s="56">
        <v>0</v>
      </c>
      <c r="AH87" s="144"/>
      <c r="AI87" s="56">
        <v>0</v>
      </c>
      <c r="AJ87" s="144"/>
      <c r="AK87" s="56">
        <v>0</v>
      </c>
      <c r="AL87" s="144"/>
      <c r="AM87" s="56">
        <v>0</v>
      </c>
      <c r="AN87" s="81">
        <v>18146.717863439797</v>
      </c>
      <c r="AO87" s="106">
        <v>1</v>
      </c>
      <c r="AP87" s="122" t="s">
        <v>318</v>
      </c>
      <c r="AQ87" s="127">
        <v>1</v>
      </c>
      <c r="AR87" s="121">
        <v>18146.717863439797</v>
      </c>
      <c r="AS87" s="333" t="s">
        <v>351</v>
      </c>
      <c r="AT87" s="360">
        <v>18</v>
      </c>
    </row>
    <row r="88" spans="1:46" x14ac:dyDescent="0.3">
      <c r="A88" s="417" t="s">
        <v>38</v>
      </c>
      <c r="B88" s="274" t="s">
        <v>137</v>
      </c>
      <c r="C88" s="274" t="s">
        <v>342</v>
      </c>
      <c r="D88" s="290">
        <v>1</v>
      </c>
      <c r="E88" s="276">
        <v>56420.692787682223</v>
      </c>
      <c r="F88" s="290"/>
      <c r="G88" s="276">
        <v>0</v>
      </c>
      <c r="H88" s="290"/>
      <c r="I88" s="276">
        <v>0</v>
      </c>
      <c r="J88" s="290"/>
      <c r="K88" s="276">
        <v>0</v>
      </c>
      <c r="L88" s="290"/>
      <c r="M88" s="276">
        <v>0</v>
      </c>
      <c r="N88" s="290"/>
      <c r="O88" s="276">
        <v>0</v>
      </c>
      <c r="P88" s="290"/>
      <c r="Q88" s="276">
        <v>0</v>
      </c>
      <c r="R88" s="290"/>
      <c r="S88" s="276">
        <v>0</v>
      </c>
      <c r="T88" s="290"/>
      <c r="U88" s="276">
        <v>0</v>
      </c>
      <c r="V88" s="290"/>
      <c r="W88" s="276">
        <v>0</v>
      </c>
      <c r="X88" s="290"/>
      <c r="Y88" s="276">
        <v>0</v>
      </c>
      <c r="Z88" s="290"/>
      <c r="AA88" s="276">
        <v>0</v>
      </c>
      <c r="AB88" s="396"/>
      <c r="AC88" s="293">
        <v>0</v>
      </c>
      <c r="AD88" s="277"/>
      <c r="AE88" s="329">
        <v>0</v>
      </c>
      <c r="AF88" s="144"/>
      <c r="AG88" s="56">
        <v>0</v>
      </c>
      <c r="AH88" s="144"/>
      <c r="AI88" s="56">
        <v>0</v>
      </c>
      <c r="AJ88" s="144"/>
      <c r="AK88" s="56">
        <v>0</v>
      </c>
      <c r="AL88" s="144"/>
      <c r="AM88" s="56">
        <v>0</v>
      </c>
      <c r="AN88" s="81">
        <v>56420.692787682223</v>
      </c>
      <c r="AO88" s="106">
        <v>1</v>
      </c>
      <c r="AP88" s="122" t="s">
        <v>319</v>
      </c>
      <c r="AQ88" s="127">
        <v>0.22886866059817945</v>
      </c>
      <c r="AR88" s="121">
        <v>12912.928388338194</v>
      </c>
      <c r="AS88" s="333" t="s">
        <v>351</v>
      </c>
      <c r="AT88" s="360">
        <v>18</v>
      </c>
    </row>
    <row r="89" spans="1:46" x14ac:dyDescent="0.3">
      <c r="A89" s="417" t="s">
        <v>113</v>
      </c>
      <c r="B89" s="295" t="s">
        <v>139</v>
      </c>
      <c r="C89" s="274" t="s">
        <v>342</v>
      </c>
      <c r="D89" s="290">
        <v>1</v>
      </c>
      <c r="E89" s="276">
        <v>60236.092716419647</v>
      </c>
      <c r="F89" s="290"/>
      <c r="G89" s="276">
        <v>0</v>
      </c>
      <c r="H89" s="290"/>
      <c r="I89" s="276">
        <v>0</v>
      </c>
      <c r="J89" s="290"/>
      <c r="K89" s="276">
        <v>0</v>
      </c>
      <c r="L89" s="290"/>
      <c r="M89" s="276">
        <v>0</v>
      </c>
      <c r="N89" s="290"/>
      <c r="O89" s="276">
        <v>0</v>
      </c>
      <c r="P89" s="290"/>
      <c r="Q89" s="276">
        <v>0</v>
      </c>
      <c r="R89" s="290"/>
      <c r="S89" s="276">
        <v>0</v>
      </c>
      <c r="T89" s="290"/>
      <c r="U89" s="276">
        <v>0</v>
      </c>
      <c r="V89" s="290"/>
      <c r="W89" s="276">
        <v>0</v>
      </c>
      <c r="X89" s="290"/>
      <c r="Y89" s="276">
        <v>0</v>
      </c>
      <c r="Z89" s="290"/>
      <c r="AA89" s="276">
        <v>0</v>
      </c>
      <c r="AB89" s="396"/>
      <c r="AC89" s="293">
        <v>0</v>
      </c>
      <c r="AD89" s="277"/>
      <c r="AE89" s="329">
        <v>0</v>
      </c>
      <c r="AF89" s="144"/>
      <c r="AG89" s="56">
        <v>0</v>
      </c>
      <c r="AH89" s="144"/>
      <c r="AI89" s="56">
        <v>0</v>
      </c>
      <c r="AJ89" s="144"/>
      <c r="AK89" s="56">
        <v>0</v>
      </c>
      <c r="AL89" s="144"/>
      <c r="AM89" s="56">
        <v>0</v>
      </c>
      <c r="AN89" s="81">
        <v>60236.092716419647</v>
      </c>
      <c r="AO89" s="106">
        <v>1</v>
      </c>
      <c r="AP89" s="122" t="s">
        <v>319</v>
      </c>
      <c r="AQ89" s="127">
        <v>3.3159947984395317E-2</v>
      </c>
      <c r="AR89" s="121">
        <v>1997.425701259689</v>
      </c>
      <c r="AS89" s="333" t="s">
        <v>351</v>
      </c>
      <c r="AT89" s="360">
        <v>18</v>
      </c>
    </row>
    <row r="90" spans="1:46" x14ac:dyDescent="0.3">
      <c r="A90" s="417" t="s">
        <v>114</v>
      </c>
      <c r="B90" s="274" t="s">
        <v>140</v>
      </c>
      <c r="C90" s="274" t="s">
        <v>342</v>
      </c>
      <c r="D90" s="290"/>
      <c r="E90" s="276">
        <v>0</v>
      </c>
      <c r="F90" s="290"/>
      <c r="G90" s="276">
        <v>0</v>
      </c>
      <c r="H90" s="290"/>
      <c r="I90" s="276">
        <v>0</v>
      </c>
      <c r="J90" s="290">
        <v>1</v>
      </c>
      <c r="K90" s="276">
        <v>62748.232282880919</v>
      </c>
      <c r="L90" s="290"/>
      <c r="M90" s="276">
        <v>0</v>
      </c>
      <c r="N90" s="290"/>
      <c r="O90" s="276">
        <v>0</v>
      </c>
      <c r="P90" s="290"/>
      <c r="Q90" s="276">
        <v>0</v>
      </c>
      <c r="R90" s="290"/>
      <c r="S90" s="276">
        <v>0</v>
      </c>
      <c r="T90" s="290"/>
      <c r="U90" s="276">
        <v>0</v>
      </c>
      <c r="V90" s="290"/>
      <c r="W90" s="276">
        <v>0</v>
      </c>
      <c r="X90" s="290"/>
      <c r="Y90" s="276">
        <v>0</v>
      </c>
      <c r="Z90" s="290"/>
      <c r="AA90" s="276">
        <v>0</v>
      </c>
      <c r="AB90" s="396"/>
      <c r="AC90" s="293">
        <v>0</v>
      </c>
      <c r="AD90" s="277"/>
      <c r="AE90" s="329">
        <v>0</v>
      </c>
      <c r="AF90" s="145"/>
      <c r="AG90" s="56">
        <v>0</v>
      </c>
      <c r="AH90" s="144"/>
      <c r="AI90" s="56">
        <v>0</v>
      </c>
      <c r="AJ90" s="144"/>
      <c r="AK90" s="56">
        <v>0</v>
      </c>
      <c r="AL90" s="144"/>
      <c r="AM90" s="56">
        <v>0</v>
      </c>
      <c r="AN90" s="81">
        <v>62748.232282880919</v>
      </c>
      <c r="AO90" s="106">
        <v>1</v>
      </c>
      <c r="AP90" s="122" t="s">
        <v>319</v>
      </c>
      <c r="AQ90" s="127">
        <v>1.5604681404421327E-2</v>
      </c>
      <c r="AR90" s="121">
        <v>979.16617346498185</v>
      </c>
      <c r="AS90" s="333" t="s">
        <v>351</v>
      </c>
      <c r="AT90" s="360">
        <v>18</v>
      </c>
    </row>
    <row r="91" spans="1:46" x14ac:dyDescent="0.3">
      <c r="A91" s="417" t="s">
        <v>115</v>
      </c>
      <c r="B91" s="274" t="s">
        <v>141</v>
      </c>
      <c r="C91" s="274" t="s">
        <v>342</v>
      </c>
      <c r="D91" s="290"/>
      <c r="E91" s="276">
        <v>0</v>
      </c>
      <c r="F91" s="290"/>
      <c r="G91" s="276">
        <v>0</v>
      </c>
      <c r="H91" s="290"/>
      <c r="I91" s="276">
        <v>0</v>
      </c>
      <c r="J91" s="290"/>
      <c r="K91" s="276">
        <v>0</v>
      </c>
      <c r="L91" s="290"/>
      <c r="M91" s="276">
        <v>0</v>
      </c>
      <c r="N91" s="290"/>
      <c r="O91" s="276">
        <v>0</v>
      </c>
      <c r="P91" s="290"/>
      <c r="Q91" s="276">
        <v>0</v>
      </c>
      <c r="R91" s="290"/>
      <c r="S91" s="276">
        <v>0</v>
      </c>
      <c r="T91" s="290"/>
      <c r="U91" s="276">
        <v>0</v>
      </c>
      <c r="V91" s="290"/>
      <c r="W91" s="276">
        <v>0</v>
      </c>
      <c r="X91" s="290"/>
      <c r="Y91" s="276">
        <v>0</v>
      </c>
      <c r="Z91" s="290"/>
      <c r="AA91" s="276">
        <v>0</v>
      </c>
      <c r="AB91" s="396"/>
      <c r="AC91" s="293">
        <v>0</v>
      </c>
      <c r="AD91" s="277"/>
      <c r="AE91" s="329">
        <v>0</v>
      </c>
      <c r="AF91" s="145"/>
      <c r="AG91" s="56">
        <v>0</v>
      </c>
      <c r="AH91" s="144"/>
      <c r="AI91" s="56">
        <v>0</v>
      </c>
      <c r="AJ91" s="144"/>
      <c r="AK91" s="56">
        <v>0</v>
      </c>
      <c r="AL91" s="144">
        <v>1</v>
      </c>
      <c r="AM91" s="56">
        <v>62748.232282880919</v>
      </c>
      <c r="AN91" s="81">
        <v>62748.232282880919</v>
      </c>
      <c r="AO91" s="106">
        <v>1</v>
      </c>
      <c r="AP91" s="122" t="s">
        <v>318</v>
      </c>
      <c r="AQ91" s="127">
        <v>1</v>
      </c>
      <c r="AR91" s="121">
        <v>62748.232282880919</v>
      </c>
      <c r="AS91" s="333" t="s">
        <v>351</v>
      </c>
      <c r="AT91" s="360">
        <v>18</v>
      </c>
    </row>
    <row r="92" spans="1:46" x14ac:dyDescent="0.3">
      <c r="A92" s="417" t="s">
        <v>42</v>
      </c>
      <c r="B92" s="274" t="s">
        <v>228</v>
      </c>
      <c r="C92" s="274" t="s">
        <v>344</v>
      </c>
      <c r="D92" s="290">
        <v>1</v>
      </c>
      <c r="E92" s="276">
        <v>31714.220952863223</v>
      </c>
      <c r="F92" s="290"/>
      <c r="G92" s="276">
        <v>0</v>
      </c>
      <c r="H92" s="290"/>
      <c r="I92" s="276">
        <v>0</v>
      </c>
      <c r="J92" s="290"/>
      <c r="K92" s="276">
        <v>0</v>
      </c>
      <c r="L92" s="290"/>
      <c r="M92" s="276">
        <v>0</v>
      </c>
      <c r="N92" s="290"/>
      <c r="O92" s="276">
        <v>0</v>
      </c>
      <c r="P92" s="290"/>
      <c r="Q92" s="276">
        <v>0</v>
      </c>
      <c r="R92" s="290"/>
      <c r="S92" s="276">
        <v>0</v>
      </c>
      <c r="T92" s="290"/>
      <c r="U92" s="276">
        <v>0</v>
      </c>
      <c r="V92" s="290"/>
      <c r="W92" s="276">
        <v>0</v>
      </c>
      <c r="X92" s="290"/>
      <c r="Y92" s="276">
        <v>0</v>
      </c>
      <c r="Z92" s="290"/>
      <c r="AA92" s="276">
        <v>0</v>
      </c>
      <c r="AB92" s="396"/>
      <c r="AC92" s="293">
        <v>0</v>
      </c>
      <c r="AD92" s="277"/>
      <c r="AE92" s="329">
        <v>0</v>
      </c>
      <c r="AF92" s="145"/>
      <c r="AG92" s="56">
        <v>0</v>
      </c>
      <c r="AH92" s="144"/>
      <c r="AI92" s="56">
        <v>0</v>
      </c>
      <c r="AJ92" s="144"/>
      <c r="AK92" s="56">
        <v>0</v>
      </c>
      <c r="AL92" s="144"/>
      <c r="AM92" s="56">
        <v>0</v>
      </c>
      <c r="AN92" s="81">
        <v>31714.220952863223</v>
      </c>
      <c r="AO92" s="106">
        <v>1</v>
      </c>
      <c r="AP92" s="122" t="s">
        <v>319</v>
      </c>
      <c r="AQ92" s="127">
        <v>5.5266579973992196E-2</v>
      </c>
      <c r="AR92" s="121">
        <v>1752.7365286042743</v>
      </c>
      <c r="AS92" s="333" t="s">
        <v>351</v>
      </c>
      <c r="AT92" s="360">
        <v>18</v>
      </c>
    </row>
    <row r="93" spans="1:46" x14ac:dyDescent="0.3">
      <c r="A93" s="417" t="s">
        <v>44</v>
      </c>
      <c r="B93" s="274" t="s">
        <v>229</v>
      </c>
      <c r="C93" s="274" t="s">
        <v>344</v>
      </c>
      <c r="D93" s="290">
        <v>1</v>
      </c>
      <c r="E93" s="276">
        <v>31714.220952863223</v>
      </c>
      <c r="F93" s="290"/>
      <c r="G93" s="276">
        <v>0</v>
      </c>
      <c r="H93" s="290"/>
      <c r="I93" s="276">
        <v>0</v>
      </c>
      <c r="J93" s="290"/>
      <c r="K93" s="276">
        <v>0</v>
      </c>
      <c r="L93" s="290"/>
      <c r="M93" s="276">
        <v>0</v>
      </c>
      <c r="N93" s="290"/>
      <c r="O93" s="276">
        <v>0</v>
      </c>
      <c r="P93" s="290"/>
      <c r="Q93" s="276">
        <v>0</v>
      </c>
      <c r="R93" s="290"/>
      <c r="S93" s="276">
        <v>0</v>
      </c>
      <c r="T93" s="290"/>
      <c r="U93" s="276">
        <v>0</v>
      </c>
      <c r="V93" s="290"/>
      <c r="W93" s="276">
        <v>0</v>
      </c>
      <c r="X93" s="290"/>
      <c r="Y93" s="276">
        <v>0</v>
      </c>
      <c r="Z93" s="290"/>
      <c r="AA93" s="276">
        <v>0</v>
      </c>
      <c r="AB93" s="396"/>
      <c r="AC93" s="293">
        <v>0</v>
      </c>
      <c r="AD93" s="277"/>
      <c r="AE93" s="329">
        <v>0</v>
      </c>
      <c r="AF93" s="144"/>
      <c r="AG93" s="56">
        <v>0</v>
      </c>
      <c r="AH93" s="144"/>
      <c r="AI93" s="56">
        <v>0</v>
      </c>
      <c r="AJ93" s="144"/>
      <c r="AK93" s="56">
        <v>0</v>
      </c>
      <c r="AL93" s="144"/>
      <c r="AM93" s="56">
        <v>0</v>
      </c>
      <c r="AN93" s="81">
        <v>31714.220952863223</v>
      </c>
      <c r="AO93" s="106">
        <v>1</v>
      </c>
      <c r="AP93" s="122" t="s">
        <v>319</v>
      </c>
      <c r="AQ93" s="127">
        <v>0.26007802340702213</v>
      </c>
      <c r="AR93" s="121">
        <v>8248.1718993142331</v>
      </c>
      <c r="AS93" s="333" t="s">
        <v>351</v>
      </c>
      <c r="AT93" s="360">
        <v>18</v>
      </c>
    </row>
    <row r="94" spans="1:46" x14ac:dyDescent="0.3">
      <c r="A94" s="417" t="s">
        <v>46</v>
      </c>
      <c r="B94" s="274" t="s">
        <v>47</v>
      </c>
      <c r="C94" s="274" t="s">
        <v>342</v>
      </c>
      <c r="D94" s="290">
        <v>1</v>
      </c>
      <c r="E94" s="276">
        <v>83398.098568534639</v>
      </c>
      <c r="F94" s="290"/>
      <c r="G94" s="276">
        <v>0</v>
      </c>
      <c r="H94" s="290"/>
      <c r="I94" s="276">
        <v>0</v>
      </c>
      <c r="J94" s="290"/>
      <c r="K94" s="276">
        <v>0</v>
      </c>
      <c r="L94" s="290"/>
      <c r="M94" s="276">
        <v>0</v>
      </c>
      <c r="N94" s="290"/>
      <c r="O94" s="276">
        <v>0</v>
      </c>
      <c r="P94" s="290"/>
      <c r="Q94" s="276">
        <v>0</v>
      </c>
      <c r="R94" s="290"/>
      <c r="S94" s="276">
        <v>0</v>
      </c>
      <c r="T94" s="290"/>
      <c r="U94" s="276">
        <v>0</v>
      </c>
      <c r="V94" s="290"/>
      <c r="W94" s="276">
        <v>0</v>
      </c>
      <c r="X94" s="290"/>
      <c r="Y94" s="276">
        <v>0</v>
      </c>
      <c r="Z94" s="290"/>
      <c r="AA94" s="276">
        <v>0</v>
      </c>
      <c r="AB94" s="396"/>
      <c r="AC94" s="293">
        <v>0</v>
      </c>
      <c r="AD94" s="277"/>
      <c r="AE94" s="329">
        <v>0</v>
      </c>
      <c r="AF94" s="145"/>
      <c r="AG94" s="56">
        <v>0</v>
      </c>
      <c r="AH94" s="144"/>
      <c r="AI94" s="56">
        <v>0</v>
      </c>
      <c r="AJ94" s="144"/>
      <c r="AK94" s="56">
        <v>0</v>
      </c>
      <c r="AL94" s="144"/>
      <c r="AM94" s="56">
        <v>0</v>
      </c>
      <c r="AN94" s="81">
        <v>83398.098568534639</v>
      </c>
      <c r="AO94" s="106">
        <v>1</v>
      </c>
      <c r="AP94" s="122" t="s">
        <v>319</v>
      </c>
      <c r="AQ94" s="127">
        <v>2.6007802340702211E-3</v>
      </c>
      <c r="AR94" s="121">
        <v>216.90012631608488</v>
      </c>
      <c r="AS94" s="333" t="s">
        <v>351</v>
      </c>
      <c r="AT94" s="360">
        <v>18</v>
      </c>
    </row>
    <row r="95" spans="1:46" x14ac:dyDescent="0.3">
      <c r="A95" s="417" t="s">
        <v>48</v>
      </c>
      <c r="B95" s="274" t="s">
        <v>222</v>
      </c>
      <c r="C95" s="274" t="s">
        <v>342</v>
      </c>
      <c r="D95" s="290">
        <v>1</v>
      </c>
      <c r="E95" s="276">
        <v>77398.098568534639</v>
      </c>
      <c r="F95" s="290"/>
      <c r="G95" s="276">
        <v>0</v>
      </c>
      <c r="H95" s="290"/>
      <c r="I95" s="276">
        <v>0</v>
      </c>
      <c r="J95" s="290"/>
      <c r="K95" s="276">
        <v>0</v>
      </c>
      <c r="L95" s="290"/>
      <c r="M95" s="276">
        <v>0</v>
      </c>
      <c r="N95" s="290"/>
      <c r="O95" s="276">
        <v>0</v>
      </c>
      <c r="P95" s="290"/>
      <c r="Q95" s="276">
        <v>0</v>
      </c>
      <c r="R95" s="290"/>
      <c r="S95" s="276">
        <v>0</v>
      </c>
      <c r="T95" s="290"/>
      <c r="U95" s="276">
        <v>0</v>
      </c>
      <c r="V95" s="290"/>
      <c r="W95" s="276">
        <v>0</v>
      </c>
      <c r="X95" s="290"/>
      <c r="Y95" s="276">
        <v>0</v>
      </c>
      <c r="Z95" s="290"/>
      <c r="AA95" s="276">
        <v>0</v>
      </c>
      <c r="AB95" s="396"/>
      <c r="AC95" s="293">
        <v>0</v>
      </c>
      <c r="AD95" s="277"/>
      <c r="AE95" s="329">
        <v>0</v>
      </c>
      <c r="AF95" s="145"/>
      <c r="AG95" s="56">
        <v>0</v>
      </c>
      <c r="AH95" s="144"/>
      <c r="AI95" s="56">
        <v>0</v>
      </c>
      <c r="AJ95" s="144"/>
      <c r="AK95" s="56">
        <v>0</v>
      </c>
      <c r="AL95" s="144"/>
      <c r="AM95" s="56">
        <v>0</v>
      </c>
      <c r="AN95" s="81">
        <v>77398.098568534639</v>
      </c>
      <c r="AO95" s="106">
        <v>1</v>
      </c>
      <c r="AP95" s="122" t="s">
        <v>319</v>
      </c>
      <c r="AQ95" s="127">
        <v>3.0559167750325099E-2</v>
      </c>
      <c r="AR95" s="121">
        <v>2365.2214777120471</v>
      </c>
      <c r="AS95" s="333" t="s">
        <v>351</v>
      </c>
      <c r="AT95" s="360">
        <v>18</v>
      </c>
    </row>
    <row r="96" spans="1:46" x14ac:dyDescent="0.3">
      <c r="A96" s="417" t="s">
        <v>50</v>
      </c>
      <c r="B96" s="295" t="s">
        <v>142</v>
      </c>
      <c r="C96" s="274" t="s">
        <v>346</v>
      </c>
      <c r="D96" s="290">
        <v>1</v>
      </c>
      <c r="E96" s="276">
        <v>67391.281653480837</v>
      </c>
      <c r="F96" s="290"/>
      <c r="G96" s="276">
        <v>0</v>
      </c>
      <c r="H96" s="290"/>
      <c r="I96" s="276">
        <v>0</v>
      </c>
      <c r="J96" s="290"/>
      <c r="K96" s="276">
        <v>0</v>
      </c>
      <c r="L96" s="290"/>
      <c r="M96" s="276">
        <v>0</v>
      </c>
      <c r="N96" s="290"/>
      <c r="O96" s="276">
        <v>0</v>
      </c>
      <c r="P96" s="290"/>
      <c r="Q96" s="276">
        <v>0</v>
      </c>
      <c r="R96" s="290"/>
      <c r="S96" s="276">
        <v>0</v>
      </c>
      <c r="T96" s="290"/>
      <c r="U96" s="276">
        <v>0</v>
      </c>
      <c r="V96" s="290"/>
      <c r="W96" s="276">
        <v>0</v>
      </c>
      <c r="X96" s="290"/>
      <c r="Y96" s="276">
        <v>0</v>
      </c>
      <c r="Z96" s="290"/>
      <c r="AA96" s="276">
        <v>0</v>
      </c>
      <c r="AB96" s="396"/>
      <c r="AC96" s="293">
        <v>0</v>
      </c>
      <c r="AD96" s="277"/>
      <c r="AE96" s="329">
        <v>0</v>
      </c>
      <c r="AF96" s="145"/>
      <c r="AG96" s="56">
        <v>0</v>
      </c>
      <c r="AH96" s="144"/>
      <c r="AI96" s="56">
        <v>0</v>
      </c>
      <c r="AJ96" s="144"/>
      <c r="AK96" s="56">
        <v>0</v>
      </c>
      <c r="AL96" s="144"/>
      <c r="AM96" s="56">
        <v>0</v>
      </c>
      <c r="AN96" s="81">
        <v>67391.281653480837</v>
      </c>
      <c r="AO96" s="106">
        <v>1</v>
      </c>
      <c r="AP96" s="122" t="s">
        <v>319</v>
      </c>
      <c r="AQ96" s="127">
        <v>1.3003901170351106E-3</v>
      </c>
      <c r="AR96" s="121">
        <v>87.634956636516051</v>
      </c>
      <c r="AS96" s="333" t="s">
        <v>351</v>
      </c>
      <c r="AT96" s="360">
        <v>18</v>
      </c>
    </row>
    <row r="97" spans="1:46" x14ac:dyDescent="0.3">
      <c r="A97" s="417" t="s">
        <v>52</v>
      </c>
      <c r="B97" s="274" t="s">
        <v>191</v>
      </c>
      <c r="C97" s="274" t="s">
        <v>342</v>
      </c>
      <c r="D97" s="290">
        <v>1</v>
      </c>
      <c r="E97" s="276">
        <v>26897.079640267821</v>
      </c>
      <c r="F97" s="291"/>
      <c r="G97" s="276">
        <v>0</v>
      </c>
      <c r="H97" s="291"/>
      <c r="I97" s="276">
        <v>0</v>
      </c>
      <c r="J97" s="291"/>
      <c r="K97" s="276">
        <v>0</v>
      </c>
      <c r="L97" s="291"/>
      <c r="M97" s="276">
        <v>0</v>
      </c>
      <c r="N97" s="291"/>
      <c r="O97" s="276">
        <v>0</v>
      </c>
      <c r="P97" s="291"/>
      <c r="Q97" s="276">
        <v>0</v>
      </c>
      <c r="R97" s="291"/>
      <c r="S97" s="276">
        <v>0</v>
      </c>
      <c r="T97" s="291"/>
      <c r="U97" s="276">
        <v>0</v>
      </c>
      <c r="V97" s="291"/>
      <c r="W97" s="276">
        <v>0</v>
      </c>
      <c r="X97" s="291"/>
      <c r="Y97" s="276">
        <v>0</v>
      </c>
      <c r="Z97" s="291"/>
      <c r="AA97" s="276">
        <v>0</v>
      </c>
      <c r="AB97" s="396"/>
      <c r="AC97" s="293">
        <v>0</v>
      </c>
      <c r="AD97" s="277"/>
      <c r="AE97" s="329">
        <v>0</v>
      </c>
      <c r="AF97" s="145"/>
      <c r="AG97" s="56">
        <v>0</v>
      </c>
      <c r="AH97" s="144"/>
      <c r="AI97" s="56">
        <v>0</v>
      </c>
      <c r="AJ97" s="144"/>
      <c r="AK97" s="56">
        <v>0</v>
      </c>
      <c r="AL97" s="144"/>
      <c r="AM97" s="56">
        <v>0</v>
      </c>
      <c r="AN97" s="81">
        <v>26897.079640267821</v>
      </c>
      <c r="AO97" s="106">
        <v>1</v>
      </c>
      <c r="AP97" s="122" t="s">
        <v>319</v>
      </c>
      <c r="AQ97" s="127">
        <v>3.2509752925877762E-3</v>
      </c>
      <c r="AR97" s="121">
        <v>87.441741353276399</v>
      </c>
      <c r="AS97" s="333" t="s">
        <v>351</v>
      </c>
      <c r="AT97" s="360">
        <v>18</v>
      </c>
    </row>
    <row r="98" spans="1:46" x14ac:dyDescent="0.3">
      <c r="A98" s="417" t="s">
        <v>53</v>
      </c>
      <c r="B98" s="274" t="s">
        <v>230</v>
      </c>
      <c r="C98" s="274" t="s">
        <v>342</v>
      </c>
      <c r="D98" s="290">
        <v>1</v>
      </c>
      <c r="E98" s="276">
        <v>26897.079640267817</v>
      </c>
      <c r="F98" s="290"/>
      <c r="G98" s="276">
        <v>0</v>
      </c>
      <c r="H98" s="290"/>
      <c r="I98" s="276">
        <v>0</v>
      </c>
      <c r="J98" s="290"/>
      <c r="K98" s="276">
        <v>0</v>
      </c>
      <c r="L98" s="290"/>
      <c r="M98" s="276">
        <v>0</v>
      </c>
      <c r="N98" s="290"/>
      <c r="O98" s="276">
        <v>0</v>
      </c>
      <c r="P98" s="290"/>
      <c r="Q98" s="276">
        <v>0</v>
      </c>
      <c r="R98" s="290"/>
      <c r="S98" s="276">
        <v>0</v>
      </c>
      <c r="T98" s="290"/>
      <c r="U98" s="276">
        <v>0</v>
      </c>
      <c r="V98" s="290"/>
      <c r="W98" s="276">
        <v>0</v>
      </c>
      <c r="X98" s="290"/>
      <c r="Y98" s="276">
        <v>0</v>
      </c>
      <c r="Z98" s="290"/>
      <c r="AA98" s="276">
        <v>0</v>
      </c>
      <c r="AB98" s="396"/>
      <c r="AC98" s="293">
        <v>0</v>
      </c>
      <c r="AD98" s="277"/>
      <c r="AE98" s="329">
        <v>0</v>
      </c>
      <c r="AF98" s="145"/>
      <c r="AG98" s="56">
        <v>0</v>
      </c>
      <c r="AH98" s="144"/>
      <c r="AI98" s="56">
        <v>0</v>
      </c>
      <c r="AJ98" s="144"/>
      <c r="AK98" s="56">
        <v>0</v>
      </c>
      <c r="AL98" s="144"/>
      <c r="AM98" s="56">
        <v>0</v>
      </c>
      <c r="AN98" s="81">
        <v>26897.079640267817</v>
      </c>
      <c r="AO98" s="106">
        <v>1</v>
      </c>
      <c r="AP98" s="122" t="s">
        <v>319</v>
      </c>
      <c r="AQ98" s="127">
        <v>3.9011703511053317E-3</v>
      </c>
      <c r="AR98" s="121">
        <v>104.93008962393166</v>
      </c>
      <c r="AS98" s="333" t="s">
        <v>351</v>
      </c>
      <c r="AT98" s="360">
        <v>18</v>
      </c>
    </row>
    <row r="99" spans="1:46" x14ac:dyDescent="0.3">
      <c r="A99" s="417" t="s">
        <v>54</v>
      </c>
      <c r="B99" s="274" t="s">
        <v>227</v>
      </c>
      <c r="C99" s="274" t="s">
        <v>343</v>
      </c>
      <c r="D99" s="290"/>
      <c r="E99" s="276">
        <v>0</v>
      </c>
      <c r="F99" s="290"/>
      <c r="G99" s="276">
        <v>0</v>
      </c>
      <c r="H99" s="290"/>
      <c r="I99" s="276">
        <v>0</v>
      </c>
      <c r="J99" s="290"/>
      <c r="K99" s="276">
        <v>0</v>
      </c>
      <c r="L99" s="290"/>
      <c r="M99" s="276">
        <v>0</v>
      </c>
      <c r="N99" s="290">
        <v>1</v>
      </c>
      <c r="O99" s="276">
        <v>145259.19237771924</v>
      </c>
      <c r="P99" s="290"/>
      <c r="Q99" s="276">
        <v>0</v>
      </c>
      <c r="R99" s="290"/>
      <c r="S99" s="276">
        <v>0</v>
      </c>
      <c r="T99" s="290"/>
      <c r="U99" s="276">
        <v>0</v>
      </c>
      <c r="V99" s="290"/>
      <c r="W99" s="276">
        <v>0</v>
      </c>
      <c r="X99" s="290"/>
      <c r="Y99" s="276">
        <v>0</v>
      </c>
      <c r="Z99" s="290"/>
      <c r="AA99" s="276">
        <v>0</v>
      </c>
      <c r="AB99" s="396"/>
      <c r="AC99" s="293">
        <v>0</v>
      </c>
      <c r="AD99" s="277"/>
      <c r="AE99" s="329">
        <v>0</v>
      </c>
      <c r="AF99" s="145"/>
      <c r="AG99" s="56">
        <v>0</v>
      </c>
      <c r="AH99" s="144"/>
      <c r="AI99" s="56">
        <v>0</v>
      </c>
      <c r="AJ99" s="144"/>
      <c r="AK99" s="56">
        <v>0</v>
      </c>
      <c r="AL99" s="144"/>
      <c r="AM99" s="56">
        <v>0</v>
      </c>
      <c r="AN99" s="81">
        <v>145259.19237771924</v>
      </c>
      <c r="AO99" s="106">
        <v>1</v>
      </c>
      <c r="AP99" s="122" t="s">
        <v>319</v>
      </c>
      <c r="AQ99" s="127">
        <v>7.8023407022106634E-3</v>
      </c>
      <c r="AR99" s="121">
        <v>1133.3617090589278</v>
      </c>
      <c r="AS99" s="333" t="s">
        <v>351</v>
      </c>
      <c r="AT99" s="360">
        <v>18</v>
      </c>
    </row>
    <row r="100" spans="1:46" x14ac:dyDescent="0.3">
      <c r="A100" s="417" t="s">
        <v>29</v>
      </c>
      <c r="B100" s="274" t="s">
        <v>196</v>
      </c>
      <c r="C100" s="274" t="s">
        <v>344</v>
      </c>
      <c r="D100" s="291"/>
      <c r="E100" s="276">
        <v>0</v>
      </c>
      <c r="F100" s="291"/>
      <c r="G100" s="276">
        <v>0</v>
      </c>
      <c r="H100" s="291"/>
      <c r="I100" s="276">
        <v>0</v>
      </c>
      <c r="J100" s="291"/>
      <c r="K100" s="276">
        <v>0</v>
      </c>
      <c r="L100" s="291"/>
      <c r="M100" s="276">
        <v>0</v>
      </c>
      <c r="N100" s="291"/>
      <c r="O100" s="276">
        <v>0</v>
      </c>
      <c r="P100" s="291"/>
      <c r="Q100" s="276">
        <v>0</v>
      </c>
      <c r="R100" s="291"/>
      <c r="S100" s="276">
        <v>0</v>
      </c>
      <c r="T100" s="291"/>
      <c r="U100" s="276">
        <v>0</v>
      </c>
      <c r="V100" s="291"/>
      <c r="W100" s="276">
        <v>0</v>
      </c>
      <c r="X100" s="291"/>
      <c r="Y100" s="276">
        <v>0</v>
      </c>
      <c r="Z100" s="291"/>
      <c r="AA100" s="276">
        <v>0</v>
      </c>
      <c r="AB100" s="396"/>
      <c r="AC100" s="293">
        <v>0</v>
      </c>
      <c r="AD100" s="277"/>
      <c r="AE100" s="329">
        <v>0</v>
      </c>
      <c r="AF100" s="145"/>
      <c r="AG100" s="56">
        <v>0</v>
      </c>
      <c r="AH100" s="144"/>
      <c r="AI100" s="56">
        <v>0</v>
      </c>
      <c r="AJ100" s="144"/>
      <c r="AK100" s="56">
        <v>0</v>
      </c>
      <c r="AL100" s="144">
        <v>1</v>
      </c>
      <c r="AM100" s="56">
        <v>31881.451880098426</v>
      </c>
      <c r="AN100" s="81">
        <v>31881.451880098426</v>
      </c>
      <c r="AO100" s="106">
        <v>1</v>
      </c>
      <c r="AP100" s="122" t="s">
        <v>318</v>
      </c>
      <c r="AQ100" s="127">
        <v>1</v>
      </c>
      <c r="AR100" s="121">
        <v>31881.451880098426</v>
      </c>
      <c r="AS100" s="333" t="s">
        <v>351</v>
      </c>
      <c r="AT100" s="360">
        <v>18</v>
      </c>
    </row>
    <row r="101" spans="1:46" x14ac:dyDescent="0.3">
      <c r="A101" s="414" t="s">
        <v>421</v>
      </c>
      <c r="B101" s="96" t="s">
        <v>422</v>
      </c>
      <c r="C101" s="96" t="s">
        <v>423</v>
      </c>
      <c r="D101" s="181"/>
      <c r="E101" s="56"/>
      <c r="F101" s="181"/>
      <c r="G101" s="56"/>
      <c r="H101" s="181"/>
      <c r="I101" s="56"/>
      <c r="J101" s="181"/>
      <c r="K101" s="56"/>
      <c r="L101" s="181"/>
      <c r="M101" s="56"/>
      <c r="N101" s="181"/>
      <c r="O101" s="56"/>
      <c r="P101" s="181"/>
      <c r="Q101" s="56"/>
      <c r="R101" s="181"/>
      <c r="S101" s="56"/>
      <c r="T101" s="181"/>
      <c r="U101" s="56"/>
      <c r="V101" s="181"/>
      <c r="W101" s="56"/>
      <c r="X101" s="181"/>
      <c r="Y101" s="56"/>
      <c r="Z101" s="181"/>
      <c r="AA101" s="56"/>
      <c r="AB101" s="81"/>
      <c r="AC101" s="106"/>
      <c r="AD101" s="315"/>
      <c r="AE101" s="329"/>
      <c r="AF101" s="285"/>
      <c r="AG101" s="314"/>
      <c r="AI101" s="56"/>
      <c r="AJ101" s="144"/>
      <c r="AK101" s="56"/>
      <c r="AL101" s="181"/>
      <c r="AM101" s="56"/>
      <c r="AN101" s="81"/>
      <c r="AO101" s="106"/>
      <c r="AP101" s="104" t="s">
        <v>318</v>
      </c>
      <c r="AQ101" s="119"/>
      <c r="AR101" s="47"/>
      <c r="AS101" s="333" t="s">
        <v>351</v>
      </c>
      <c r="AT101" s="333">
        <v>18</v>
      </c>
    </row>
    <row r="102" spans="1:46" x14ac:dyDescent="0.3">
      <c r="A102" s="418" t="s">
        <v>13</v>
      </c>
      <c r="B102" s="274" t="s">
        <v>14</v>
      </c>
      <c r="C102" s="274" t="s">
        <v>343</v>
      </c>
      <c r="D102" s="275">
        <v>1</v>
      </c>
      <c r="E102" s="276">
        <v>20552.755657371155</v>
      </c>
      <c r="F102" s="296"/>
      <c r="G102" s="276">
        <v>0</v>
      </c>
      <c r="H102" s="296"/>
      <c r="I102" s="276">
        <v>0</v>
      </c>
      <c r="J102" s="296"/>
      <c r="K102" s="276">
        <v>0</v>
      </c>
      <c r="L102" s="296"/>
      <c r="M102" s="276">
        <v>0</v>
      </c>
      <c r="N102" s="296"/>
      <c r="O102" s="276">
        <v>0</v>
      </c>
      <c r="P102" s="296"/>
      <c r="Q102" s="276">
        <v>0</v>
      </c>
      <c r="R102" s="296"/>
      <c r="S102" s="276">
        <v>0</v>
      </c>
      <c r="T102" s="296"/>
      <c r="U102" s="276">
        <v>0</v>
      </c>
      <c r="V102" s="296"/>
      <c r="W102" s="276">
        <v>0</v>
      </c>
      <c r="X102" s="296"/>
      <c r="Y102" s="276">
        <v>0</v>
      </c>
      <c r="Z102" s="296"/>
      <c r="AA102" s="276">
        <v>0</v>
      </c>
      <c r="AB102" s="396"/>
      <c r="AC102" s="297">
        <v>0</v>
      </c>
      <c r="AD102" s="277"/>
      <c r="AE102" s="329">
        <v>0</v>
      </c>
      <c r="AF102" s="144"/>
      <c r="AG102" s="56">
        <v>0</v>
      </c>
      <c r="AH102" s="144"/>
      <c r="AI102" s="56">
        <v>0</v>
      </c>
      <c r="AJ102" s="144"/>
      <c r="AK102" s="56">
        <v>0</v>
      </c>
      <c r="AL102" s="144"/>
      <c r="AM102" s="56">
        <v>0</v>
      </c>
      <c r="AN102" s="81">
        <v>20552.755657371155</v>
      </c>
      <c r="AO102" s="106">
        <v>1</v>
      </c>
      <c r="AP102" s="122" t="s">
        <v>318</v>
      </c>
      <c r="AQ102" s="127">
        <v>1</v>
      </c>
      <c r="AR102" s="121">
        <v>20552.755657371155</v>
      </c>
      <c r="AS102" s="333" t="s">
        <v>352</v>
      </c>
      <c r="AT102" s="360">
        <v>18</v>
      </c>
    </row>
    <row r="103" spans="1:46" x14ac:dyDescent="0.3">
      <c r="A103" s="418" t="s">
        <v>98</v>
      </c>
      <c r="B103" s="274" t="s">
        <v>99</v>
      </c>
      <c r="C103" s="274" t="s">
        <v>342</v>
      </c>
      <c r="D103" s="275">
        <v>1</v>
      </c>
      <c r="E103" s="276">
        <v>17887.388810409495</v>
      </c>
      <c r="F103" s="296"/>
      <c r="G103" s="276">
        <v>0</v>
      </c>
      <c r="H103" s="296"/>
      <c r="I103" s="276">
        <v>0</v>
      </c>
      <c r="J103" s="296"/>
      <c r="K103" s="276">
        <v>0</v>
      </c>
      <c r="L103" s="296"/>
      <c r="M103" s="276">
        <v>0</v>
      </c>
      <c r="N103" s="296"/>
      <c r="O103" s="276">
        <v>0</v>
      </c>
      <c r="P103" s="296"/>
      <c r="Q103" s="276">
        <v>0</v>
      </c>
      <c r="R103" s="296"/>
      <c r="S103" s="276">
        <v>0</v>
      </c>
      <c r="T103" s="296"/>
      <c r="U103" s="276">
        <v>0</v>
      </c>
      <c r="V103" s="296"/>
      <c r="W103" s="276">
        <v>0</v>
      </c>
      <c r="X103" s="296"/>
      <c r="Y103" s="276">
        <v>0</v>
      </c>
      <c r="Z103" s="296"/>
      <c r="AA103" s="276">
        <v>0</v>
      </c>
      <c r="AB103" s="396"/>
      <c r="AC103" s="297">
        <v>0</v>
      </c>
      <c r="AD103" s="277"/>
      <c r="AE103" s="329">
        <v>0</v>
      </c>
      <c r="AF103" s="145"/>
      <c r="AG103" s="56">
        <v>0</v>
      </c>
      <c r="AH103" s="144"/>
      <c r="AI103" s="56">
        <v>0</v>
      </c>
      <c r="AJ103" s="144"/>
      <c r="AK103" s="56">
        <v>0</v>
      </c>
      <c r="AL103" s="144"/>
      <c r="AM103" s="56">
        <v>0</v>
      </c>
      <c r="AN103" s="81">
        <v>17887.388810409495</v>
      </c>
      <c r="AO103" s="106">
        <v>1</v>
      </c>
      <c r="AP103" s="122" t="s">
        <v>318</v>
      </c>
      <c r="AQ103" s="127">
        <v>1</v>
      </c>
      <c r="AR103" s="121">
        <v>17887.388810409495</v>
      </c>
      <c r="AS103" s="333" t="s">
        <v>352</v>
      </c>
      <c r="AT103" s="360">
        <v>18</v>
      </c>
    </row>
    <row r="104" spans="1:46" x14ac:dyDescent="0.3">
      <c r="A104" s="418" t="s">
        <v>104</v>
      </c>
      <c r="B104" s="274" t="s">
        <v>105</v>
      </c>
      <c r="C104" s="274" t="s">
        <v>342</v>
      </c>
      <c r="D104" s="275"/>
      <c r="E104" s="276">
        <v>0</v>
      </c>
      <c r="F104" s="296"/>
      <c r="G104" s="276">
        <v>0</v>
      </c>
      <c r="H104" s="296"/>
      <c r="I104" s="276">
        <v>0</v>
      </c>
      <c r="J104" s="296"/>
      <c r="K104" s="276">
        <v>0</v>
      </c>
      <c r="L104" s="296"/>
      <c r="M104" s="276">
        <v>0</v>
      </c>
      <c r="N104" s="275"/>
      <c r="O104" s="276">
        <v>0</v>
      </c>
      <c r="P104" s="296"/>
      <c r="Q104" s="276">
        <v>0</v>
      </c>
      <c r="R104" s="296"/>
      <c r="S104" s="276">
        <v>0</v>
      </c>
      <c r="T104" s="296"/>
      <c r="U104" s="276">
        <v>0</v>
      </c>
      <c r="V104" s="296"/>
      <c r="W104" s="276">
        <v>0</v>
      </c>
      <c r="X104" s="296"/>
      <c r="Y104" s="276">
        <v>0</v>
      </c>
      <c r="Z104" s="278"/>
      <c r="AA104" s="276">
        <v>0</v>
      </c>
      <c r="AB104" s="396"/>
      <c r="AC104" s="297">
        <v>0</v>
      </c>
      <c r="AD104" s="277"/>
      <c r="AE104" s="329">
        <v>0</v>
      </c>
      <c r="AF104" s="145"/>
      <c r="AG104" s="56">
        <v>0</v>
      </c>
      <c r="AH104" s="144"/>
      <c r="AI104" s="56">
        <v>0</v>
      </c>
      <c r="AJ104" s="144"/>
      <c r="AK104" s="56">
        <v>0</v>
      </c>
      <c r="AL104" s="144">
        <v>1</v>
      </c>
      <c r="AM104" s="56">
        <v>17887.388810409495</v>
      </c>
      <c r="AN104" s="81">
        <v>17887.388810409495</v>
      </c>
      <c r="AO104" s="106">
        <v>1</v>
      </c>
      <c r="AP104" s="122" t="s">
        <v>319</v>
      </c>
      <c r="AQ104" s="127">
        <v>0.24809575625680086</v>
      </c>
      <c r="AR104" s="121">
        <v>4437.7852543779809</v>
      </c>
      <c r="AS104" s="333" t="s">
        <v>352</v>
      </c>
      <c r="AT104" s="360">
        <v>18</v>
      </c>
    </row>
    <row r="105" spans="1:46" x14ac:dyDescent="0.3">
      <c r="A105" s="418" t="s">
        <v>25</v>
      </c>
      <c r="B105" s="274" t="s">
        <v>26</v>
      </c>
      <c r="C105" s="274" t="s">
        <v>346</v>
      </c>
      <c r="D105" s="275">
        <v>1</v>
      </c>
      <c r="E105" s="276">
        <v>32117.31737996532</v>
      </c>
      <c r="F105" s="296"/>
      <c r="G105" s="276">
        <v>0</v>
      </c>
      <c r="H105" s="296"/>
      <c r="I105" s="276">
        <v>0</v>
      </c>
      <c r="J105" s="296"/>
      <c r="K105" s="276">
        <v>0</v>
      </c>
      <c r="L105" s="296"/>
      <c r="M105" s="276">
        <v>0</v>
      </c>
      <c r="N105" s="275">
        <v>1</v>
      </c>
      <c r="O105" s="276">
        <v>32117.31737996532</v>
      </c>
      <c r="P105" s="296"/>
      <c r="Q105" s="276">
        <v>0</v>
      </c>
      <c r="R105" s="296"/>
      <c r="S105" s="276">
        <v>0</v>
      </c>
      <c r="T105" s="296"/>
      <c r="U105" s="276">
        <v>0</v>
      </c>
      <c r="V105" s="296"/>
      <c r="W105" s="276">
        <v>0</v>
      </c>
      <c r="X105" s="296"/>
      <c r="Y105" s="276">
        <v>0</v>
      </c>
      <c r="Z105" s="275"/>
      <c r="AA105" s="276">
        <v>0</v>
      </c>
      <c r="AB105" s="396"/>
      <c r="AC105" s="297">
        <v>0</v>
      </c>
      <c r="AD105" s="277"/>
      <c r="AE105" s="329">
        <v>0</v>
      </c>
      <c r="AF105" s="144"/>
      <c r="AG105" s="56">
        <v>0</v>
      </c>
      <c r="AH105" s="144"/>
      <c r="AI105" s="56">
        <v>0</v>
      </c>
      <c r="AJ105" s="144"/>
      <c r="AK105" s="56">
        <v>0</v>
      </c>
      <c r="AL105" s="144">
        <v>1</v>
      </c>
      <c r="AM105" s="56">
        <v>32117.31737996532</v>
      </c>
      <c r="AN105" s="81">
        <v>96351.952139895962</v>
      </c>
      <c r="AO105" s="106">
        <v>3</v>
      </c>
      <c r="AP105" s="122" t="s">
        <v>318</v>
      </c>
      <c r="AQ105" s="127">
        <v>1</v>
      </c>
      <c r="AR105" s="121">
        <v>96351.952139895962</v>
      </c>
      <c r="AS105" s="333" t="s">
        <v>352</v>
      </c>
      <c r="AT105" s="360">
        <v>18</v>
      </c>
    </row>
    <row r="106" spans="1:46" x14ac:dyDescent="0.3">
      <c r="A106" s="418" t="s">
        <v>23</v>
      </c>
      <c r="B106" s="274" t="s">
        <v>24</v>
      </c>
      <c r="C106" s="274" t="s">
        <v>344</v>
      </c>
      <c r="D106" s="275">
        <v>1</v>
      </c>
      <c r="E106" s="276">
        <v>31881.451880098426</v>
      </c>
      <c r="F106" s="296"/>
      <c r="G106" s="276">
        <v>0</v>
      </c>
      <c r="H106" s="296"/>
      <c r="I106" s="276">
        <v>0</v>
      </c>
      <c r="J106" s="296"/>
      <c r="K106" s="276">
        <v>0</v>
      </c>
      <c r="L106" s="296"/>
      <c r="M106" s="276">
        <v>0</v>
      </c>
      <c r="N106" s="296"/>
      <c r="O106" s="276">
        <v>0</v>
      </c>
      <c r="P106" s="296"/>
      <c r="Q106" s="276">
        <v>0</v>
      </c>
      <c r="R106" s="296"/>
      <c r="S106" s="276">
        <v>0</v>
      </c>
      <c r="T106" s="296"/>
      <c r="U106" s="276">
        <v>0</v>
      </c>
      <c r="V106" s="296"/>
      <c r="W106" s="276">
        <v>0</v>
      </c>
      <c r="X106" s="296"/>
      <c r="Y106" s="276">
        <v>0</v>
      </c>
      <c r="Z106" s="296"/>
      <c r="AA106" s="276">
        <v>0</v>
      </c>
      <c r="AB106" s="396"/>
      <c r="AC106" s="297">
        <v>0</v>
      </c>
      <c r="AD106" s="277"/>
      <c r="AE106" s="329">
        <v>0</v>
      </c>
      <c r="AF106" s="144"/>
      <c r="AG106" s="56">
        <v>0</v>
      </c>
      <c r="AH106" s="144"/>
      <c r="AI106" s="56">
        <v>0</v>
      </c>
      <c r="AJ106" s="144"/>
      <c r="AK106" s="56">
        <v>0</v>
      </c>
      <c r="AL106" s="144"/>
      <c r="AM106" s="56">
        <v>0</v>
      </c>
      <c r="AN106" s="81">
        <v>31881.451880098426</v>
      </c>
      <c r="AO106" s="106">
        <v>1</v>
      </c>
      <c r="AP106" s="179" t="s">
        <v>318</v>
      </c>
      <c r="AQ106" s="127">
        <v>1</v>
      </c>
      <c r="AR106" s="121">
        <v>31881.451880098426</v>
      </c>
      <c r="AS106" s="333" t="s">
        <v>352</v>
      </c>
      <c r="AT106" s="360">
        <v>18</v>
      </c>
    </row>
    <row r="107" spans="1:46" x14ac:dyDescent="0.3">
      <c r="A107" s="418" t="s">
        <v>36</v>
      </c>
      <c r="B107" s="274" t="s">
        <v>136</v>
      </c>
      <c r="C107" s="274" t="s">
        <v>344</v>
      </c>
      <c r="D107" s="275">
        <v>8</v>
      </c>
      <c r="E107" s="276">
        <v>70240.958933331567</v>
      </c>
      <c r="F107" s="275">
        <v>8</v>
      </c>
      <c r="G107" s="276">
        <v>70240.958933331567</v>
      </c>
      <c r="H107" s="275">
        <v>8</v>
      </c>
      <c r="I107" s="276">
        <v>70240.958933331567</v>
      </c>
      <c r="J107" s="275">
        <v>8</v>
      </c>
      <c r="K107" s="276">
        <v>70240.958933331567</v>
      </c>
      <c r="L107" s="275">
        <v>8</v>
      </c>
      <c r="M107" s="276">
        <v>70240.958933331567</v>
      </c>
      <c r="N107" s="275">
        <v>8</v>
      </c>
      <c r="O107" s="276">
        <v>70240.958933331567</v>
      </c>
      <c r="P107" s="275">
        <v>8</v>
      </c>
      <c r="Q107" s="276">
        <v>70240.958933331567</v>
      </c>
      <c r="R107" s="275">
        <v>8</v>
      </c>
      <c r="S107" s="276">
        <v>70240.958933331567</v>
      </c>
      <c r="T107" s="275">
        <v>8</v>
      </c>
      <c r="U107" s="276">
        <v>70240.958933331567</v>
      </c>
      <c r="V107" s="275">
        <v>8</v>
      </c>
      <c r="W107" s="276">
        <v>70240.958933331567</v>
      </c>
      <c r="X107" s="275">
        <v>8</v>
      </c>
      <c r="Y107" s="276">
        <v>70240.958933331567</v>
      </c>
      <c r="Z107" s="275">
        <v>8</v>
      </c>
      <c r="AA107" s="276">
        <v>70240.958933331567</v>
      </c>
      <c r="AB107" s="396">
        <v>8</v>
      </c>
      <c r="AC107" s="297">
        <v>70240.958933331567</v>
      </c>
      <c r="AD107" s="277">
        <v>8</v>
      </c>
      <c r="AE107" s="329">
        <v>70240.958933331567</v>
      </c>
      <c r="AF107" s="144">
        <v>8</v>
      </c>
      <c r="AG107" s="56">
        <v>70240.958933331567</v>
      </c>
      <c r="AH107" s="144">
        <v>8</v>
      </c>
      <c r="AI107" s="56">
        <v>70240.958933331567</v>
      </c>
      <c r="AJ107" s="144">
        <v>8</v>
      </c>
      <c r="AK107" s="56">
        <v>70240.958933331567</v>
      </c>
      <c r="AL107" s="144">
        <v>8</v>
      </c>
      <c r="AM107" s="56">
        <v>70240.958933331567</v>
      </c>
      <c r="AN107" s="81">
        <v>1264337.2607999679</v>
      </c>
      <c r="AO107" s="106">
        <v>144</v>
      </c>
      <c r="AP107" s="179" t="s">
        <v>318</v>
      </c>
      <c r="AQ107" s="127">
        <v>1</v>
      </c>
      <c r="AR107" s="121">
        <v>1264337.2607999679</v>
      </c>
      <c r="AS107" s="333" t="s">
        <v>352</v>
      </c>
      <c r="AT107" s="360">
        <v>18</v>
      </c>
    </row>
    <row r="108" spans="1:46" x14ac:dyDescent="0.3">
      <c r="A108" s="418" t="s">
        <v>19</v>
      </c>
      <c r="B108" s="274" t="s">
        <v>20</v>
      </c>
      <c r="C108" s="274" t="s">
        <v>342</v>
      </c>
      <c r="D108" s="275">
        <v>1</v>
      </c>
      <c r="E108" s="276">
        <v>67398.098568534639</v>
      </c>
      <c r="F108" s="296"/>
      <c r="G108" s="276">
        <v>0</v>
      </c>
      <c r="H108" s="296"/>
      <c r="I108" s="276">
        <v>0</v>
      </c>
      <c r="J108" s="296"/>
      <c r="K108" s="276">
        <v>0</v>
      </c>
      <c r="L108" s="296"/>
      <c r="M108" s="276">
        <v>0</v>
      </c>
      <c r="N108" s="296"/>
      <c r="O108" s="276">
        <v>0</v>
      </c>
      <c r="P108" s="296"/>
      <c r="Q108" s="276">
        <v>0</v>
      </c>
      <c r="R108" s="296"/>
      <c r="S108" s="276">
        <v>0</v>
      </c>
      <c r="T108" s="296"/>
      <c r="U108" s="276">
        <v>0</v>
      </c>
      <c r="V108" s="296"/>
      <c r="W108" s="276">
        <v>0</v>
      </c>
      <c r="X108" s="296"/>
      <c r="Y108" s="276">
        <v>0</v>
      </c>
      <c r="Z108" s="296"/>
      <c r="AA108" s="276">
        <v>0</v>
      </c>
      <c r="AB108" s="396"/>
      <c r="AC108" s="297">
        <v>0</v>
      </c>
      <c r="AD108" s="277"/>
      <c r="AE108" s="329">
        <v>0</v>
      </c>
      <c r="AF108" s="145"/>
      <c r="AG108" s="56">
        <v>0</v>
      </c>
      <c r="AH108" s="144"/>
      <c r="AI108" s="56">
        <v>0</v>
      </c>
      <c r="AJ108" s="144"/>
      <c r="AK108" s="56">
        <v>0</v>
      </c>
      <c r="AL108" s="144"/>
      <c r="AM108" s="56">
        <v>0</v>
      </c>
      <c r="AN108" s="81">
        <v>67398.098568534639</v>
      </c>
      <c r="AO108" s="106">
        <v>1</v>
      </c>
      <c r="AP108" s="122" t="s">
        <v>319</v>
      </c>
      <c r="AQ108" s="127">
        <v>5.5495103373231776E-2</v>
      </c>
      <c r="AR108" s="121">
        <v>3740.2644472200946</v>
      </c>
      <c r="AS108" s="333" t="s">
        <v>352</v>
      </c>
      <c r="AT108" s="360">
        <v>18</v>
      </c>
    </row>
    <row r="109" spans="1:46" x14ac:dyDescent="0.3">
      <c r="A109" s="418" t="s">
        <v>29</v>
      </c>
      <c r="B109" s="274" t="s">
        <v>196</v>
      </c>
      <c r="C109" s="274" t="s">
        <v>344</v>
      </c>
      <c r="D109" s="296"/>
      <c r="E109" s="276">
        <v>0</v>
      </c>
      <c r="F109" s="296"/>
      <c r="G109" s="276">
        <v>0</v>
      </c>
      <c r="H109" s="296"/>
      <c r="I109" s="276">
        <v>0</v>
      </c>
      <c r="J109" s="296"/>
      <c r="K109" s="276">
        <v>0</v>
      </c>
      <c r="L109" s="296"/>
      <c r="M109" s="276">
        <v>0</v>
      </c>
      <c r="N109" s="275">
        <v>1</v>
      </c>
      <c r="O109" s="276">
        <v>31881.451880098426</v>
      </c>
      <c r="P109" s="296"/>
      <c r="Q109" s="276">
        <v>0</v>
      </c>
      <c r="R109" s="296"/>
      <c r="S109" s="276">
        <v>0</v>
      </c>
      <c r="T109" s="296"/>
      <c r="U109" s="276">
        <v>0</v>
      </c>
      <c r="V109" s="296"/>
      <c r="W109" s="276">
        <v>0</v>
      </c>
      <c r="X109" s="296"/>
      <c r="Y109" s="276">
        <v>0</v>
      </c>
      <c r="Z109" s="275"/>
      <c r="AA109" s="276">
        <v>0</v>
      </c>
      <c r="AB109" s="396"/>
      <c r="AC109" s="297">
        <v>0</v>
      </c>
      <c r="AD109" s="277"/>
      <c r="AE109" s="329">
        <v>0</v>
      </c>
      <c r="AF109" s="144"/>
      <c r="AG109" s="56">
        <v>0</v>
      </c>
      <c r="AH109" s="144"/>
      <c r="AI109" s="56">
        <v>0</v>
      </c>
      <c r="AJ109" s="144"/>
      <c r="AK109" s="56">
        <v>0</v>
      </c>
      <c r="AL109" s="144">
        <v>1</v>
      </c>
      <c r="AM109" s="56">
        <v>31881.451880098426</v>
      </c>
      <c r="AN109" s="81">
        <v>63762.903760196852</v>
      </c>
      <c r="AO109" s="106">
        <v>2</v>
      </c>
      <c r="AP109" s="122" t="s">
        <v>318</v>
      </c>
      <c r="AQ109" s="127">
        <v>1</v>
      </c>
      <c r="AR109" s="121">
        <v>63762.903760196852</v>
      </c>
      <c r="AS109" s="333" t="s">
        <v>352</v>
      </c>
      <c r="AT109" s="360">
        <v>18</v>
      </c>
    </row>
    <row r="110" spans="1:46" x14ac:dyDescent="0.3">
      <c r="A110" s="418" t="s">
        <v>7</v>
      </c>
      <c r="B110" s="274" t="s">
        <v>8</v>
      </c>
      <c r="C110" s="274" t="s">
        <v>342</v>
      </c>
      <c r="D110" s="275">
        <v>1</v>
      </c>
      <c r="E110" s="276">
        <v>55794.181771015559</v>
      </c>
      <c r="F110" s="296"/>
      <c r="G110" s="276">
        <v>0</v>
      </c>
      <c r="H110" s="296"/>
      <c r="I110" s="276">
        <v>0</v>
      </c>
      <c r="J110" s="296"/>
      <c r="K110" s="276">
        <v>0</v>
      </c>
      <c r="L110" s="296"/>
      <c r="M110" s="276">
        <v>0</v>
      </c>
      <c r="N110" s="296"/>
      <c r="O110" s="276">
        <v>0</v>
      </c>
      <c r="P110" s="296"/>
      <c r="Q110" s="276">
        <v>0</v>
      </c>
      <c r="R110" s="296"/>
      <c r="S110" s="276">
        <v>0</v>
      </c>
      <c r="T110" s="296"/>
      <c r="U110" s="276">
        <v>0</v>
      </c>
      <c r="V110" s="296"/>
      <c r="W110" s="276">
        <v>0</v>
      </c>
      <c r="X110" s="296"/>
      <c r="Y110" s="276">
        <v>0</v>
      </c>
      <c r="Z110" s="296"/>
      <c r="AA110" s="276">
        <v>0</v>
      </c>
      <c r="AB110" s="396"/>
      <c r="AC110" s="297">
        <v>0</v>
      </c>
      <c r="AD110" s="277"/>
      <c r="AE110" s="329">
        <v>0</v>
      </c>
      <c r="AF110" s="144"/>
      <c r="AG110" s="56">
        <v>0</v>
      </c>
      <c r="AH110" s="144"/>
      <c r="AI110" s="56">
        <v>0</v>
      </c>
      <c r="AJ110" s="144"/>
      <c r="AK110" s="56">
        <v>0</v>
      </c>
      <c r="AL110" s="144"/>
      <c r="AM110" s="56">
        <v>0</v>
      </c>
      <c r="AN110" s="81">
        <v>55794.181771015559</v>
      </c>
      <c r="AO110" s="106">
        <v>1</v>
      </c>
      <c r="AP110" s="122" t="s">
        <v>319</v>
      </c>
      <c r="AQ110" s="127">
        <v>7.6169749727965181E-3</v>
      </c>
      <c r="AR110" s="121">
        <v>424.98288617748523</v>
      </c>
      <c r="AS110" s="333" t="s">
        <v>352</v>
      </c>
      <c r="AT110" s="360">
        <v>18</v>
      </c>
    </row>
    <row r="111" spans="1:46" x14ac:dyDescent="0.3">
      <c r="A111" s="418" t="s">
        <v>9</v>
      </c>
      <c r="B111" s="274" t="s">
        <v>220</v>
      </c>
      <c r="C111" s="274" t="s">
        <v>342</v>
      </c>
      <c r="D111" s="275">
        <v>1</v>
      </c>
      <c r="E111" s="276">
        <v>55794.181771015559</v>
      </c>
      <c r="F111" s="275"/>
      <c r="G111" s="276">
        <v>0</v>
      </c>
      <c r="H111" s="275"/>
      <c r="I111" s="276">
        <v>0</v>
      </c>
      <c r="J111" s="275"/>
      <c r="K111" s="276">
        <v>0</v>
      </c>
      <c r="L111" s="275"/>
      <c r="M111" s="276">
        <v>0</v>
      </c>
      <c r="N111" s="275"/>
      <c r="O111" s="276">
        <v>0</v>
      </c>
      <c r="P111" s="275"/>
      <c r="Q111" s="276">
        <v>0</v>
      </c>
      <c r="R111" s="275"/>
      <c r="S111" s="276">
        <v>0</v>
      </c>
      <c r="T111" s="275"/>
      <c r="U111" s="276">
        <v>0</v>
      </c>
      <c r="V111" s="275"/>
      <c r="W111" s="276">
        <v>0</v>
      </c>
      <c r="X111" s="275"/>
      <c r="Y111" s="276">
        <v>0</v>
      </c>
      <c r="Z111" s="275"/>
      <c r="AA111" s="276">
        <v>0</v>
      </c>
      <c r="AB111" s="396"/>
      <c r="AC111" s="297">
        <v>0</v>
      </c>
      <c r="AD111" s="277"/>
      <c r="AE111" s="329">
        <v>0</v>
      </c>
      <c r="AF111" s="145"/>
      <c r="AG111" s="56">
        <v>0</v>
      </c>
      <c r="AH111" s="144"/>
      <c r="AI111" s="56">
        <v>0</v>
      </c>
      <c r="AJ111" s="144"/>
      <c r="AK111" s="56">
        <v>0</v>
      </c>
      <c r="AL111" s="144"/>
      <c r="AM111" s="56">
        <v>0</v>
      </c>
      <c r="AN111" s="81">
        <v>55794.181771015559</v>
      </c>
      <c r="AO111" s="106">
        <v>1</v>
      </c>
      <c r="AP111" s="122" t="s">
        <v>319</v>
      </c>
      <c r="AQ111" s="127">
        <v>7.6169749727965181E-3</v>
      </c>
      <c r="AR111" s="121">
        <v>424.98288617748523</v>
      </c>
      <c r="AS111" s="333" t="s">
        <v>352</v>
      </c>
      <c r="AT111" s="360">
        <v>18</v>
      </c>
    </row>
    <row r="112" spans="1:46" x14ac:dyDescent="0.3">
      <c r="A112" s="418" t="s">
        <v>34</v>
      </c>
      <c r="B112" s="274" t="s">
        <v>35</v>
      </c>
      <c r="C112" s="274" t="s">
        <v>342</v>
      </c>
      <c r="D112" s="275">
        <v>1</v>
      </c>
      <c r="E112" s="276">
        <v>18146.717863439797</v>
      </c>
      <c r="F112" s="296"/>
      <c r="G112" s="276">
        <v>0</v>
      </c>
      <c r="H112" s="296"/>
      <c r="I112" s="276">
        <v>0</v>
      </c>
      <c r="J112" s="296"/>
      <c r="K112" s="276">
        <v>0</v>
      </c>
      <c r="L112" s="296"/>
      <c r="M112" s="276">
        <v>0</v>
      </c>
      <c r="N112" s="296"/>
      <c r="O112" s="276">
        <v>0</v>
      </c>
      <c r="P112" s="296"/>
      <c r="Q112" s="276">
        <v>0</v>
      </c>
      <c r="R112" s="296"/>
      <c r="S112" s="276">
        <v>0</v>
      </c>
      <c r="T112" s="296"/>
      <c r="U112" s="276">
        <v>0</v>
      </c>
      <c r="V112" s="296"/>
      <c r="W112" s="276">
        <v>0</v>
      </c>
      <c r="X112" s="296"/>
      <c r="Y112" s="276">
        <v>0</v>
      </c>
      <c r="Z112" s="296"/>
      <c r="AA112" s="276">
        <v>0</v>
      </c>
      <c r="AB112" s="396"/>
      <c r="AC112" s="297">
        <v>0</v>
      </c>
      <c r="AD112" s="277"/>
      <c r="AE112" s="329">
        <v>0</v>
      </c>
      <c r="AF112" s="145"/>
      <c r="AG112" s="56">
        <v>0</v>
      </c>
      <c r="AH112" s="144"/>
      <c r="AI112" s="56">
        <v>0</v>
      </c>
      <c r="AJ112" s="144"/>
      <c r="AK112" s="56">
        <v>0</v>
      </c>
      <c r="AL112" s="144"/>
      <c r="AM112" s="56">
        <v>0</v>
      </c>
      <c r="AN112" s="81">
        <v>18146.717863439797</v>
      </c>
      <c r="AO112" s="106">
        <v>1</v>
      </c>
      <c r="AP112" s="122" t="s">
        <v>319</v>
      </c>
      <c r="AQ112" s="127">
        <v>0.42981501632208924</v>
      </c>
      <c r="AR112" s="121">
        <v>7799.7318346667244</v>
      </c>
      <c r="AS112" s="333" t="s">
        <v>352</v>
      </c>
      <c r="AT112" s="360">
        <v>18</v>
      </c>
    </row>
    <row r="113" spans="1:46" x14ac:dyDescent="0.3">
      <c r="A113" s="418" t="s">
        <v>32</v>
      </c>
      <c r="B113" s="274" t="s">
        <v>143</v>
      </c>
      <c r="C113" s="274" t="s">
        <v>342</v>
      </c>
      <c r="D113" s="275">
        <v>1</v>
      </c>
      <c r="E113" s="276">
        <v>18146.717863439797</v>
      </c>
      <c r="F113" s="275"/>
      <c r="G113" s="276">
        <v>0</v>
      </c>
      <c r="H113" s="275"/>
      <c r="I113" s="276">
        <v>0</v>
      </c>
      <c r="J113" s="275"/>
      <c r="K113" s="276">
        <v>0</v>
      </c>
      <c r="L113" s="275"/>
      <c r="M113" s="276">
        <v>0</v>
      </c>
      <c r="N113" s="275"/>
      <c r="O113" s="276">
        <v>0</v>
      </c>
      <c r="P113" s="275"/>
      <c r="Q113" s="276">
        <v>0</v>
      </c>
      <c r="R113" s="275"/>
      <c r="S113" s="276">
        <v>0</v>
      </c>
      <c r="T113" s="275"/>
      <c r="U113" s="276">
        <v>0</v>
      </c>
      <c r="V113" s="275"/>
      <c r="W113" s="276">
        <v>0</v>
      </c>
      <c r="X113" s="275"/>
      <c r="Y113" s="276">
        <v>0</v>
      </c>
      <c r="Z113" s="275"/>
      <c r="AA113" s="276">
        <v>0</v>
      </c>
      <c r="AB113" s="396"/>
      <c r="AC113" s="297">
        <v>0</v>
      </c>
      <c r="AD113" s="277"/>
      <c r="AE113" s="329">
        <v>0</v>
      </c>
      <c r="AF113" s="145"/>
      <c r="AG113" s="56">
        <v>0</v>
      </c>
      <c r="AH113" s="144"/>
      <c r="AI113" s="56">
        <v>0</v>
      </c>
      <c r="AJ113" s="144"/>
      <c r="AK113" s="56">
        <v>0</v>
      </c>
      <c r="AL113" s="144"/>
      <c r="AM113" s="56">
        <v>0</v>
      </c>
      <c r="AN113" s="81">
        <v>18146.717863439797</v>
      </c>
      <c r="AO113" s="106">
        <v>1</v>
      </c>
      <c r="AP113" s="122" t="s">
        <v>319</v>
      </c>
      <c r="AQ113" s="127">
        <v>1.088139281828074E-3</v>
      </c>
      <c r="AR113" s="121">
        <v>19.746156543460064</v>
      </c>
      <c r="AS113" s="333" t="s">
        <v>352</v>
      </c>
      <c r="AT113" s="360">
        <v>18</v>
      </c>
    </row>
    <row r="114" spans="1:46" x14ac:dyDescent="0.3">
      <c r="A114" s="418" t="s">
        <v>3</v>
      </c>
      <c r="B114" s="274" t="s">
        <v>4</v>
      </c>
      <c r="C114" s="274" t="s">
        <v>342</v>
      </c>
      <c r="D114" s="275">
        <v>1</v>
      </c>
      <c r="E114" s="276">
        <v>20406.13276336317</v>
      </c>
      <c r="F114" s="296"/>
      <c r="G114" s="276">
        <v>0</v>
      </c>
      <c r="H114" s="296"/>
      <c r="I114" s="276">
        <v>0</v>
      </c>
      <c r="J114" s="296"/>
      <c r="K114" s="276">
        <v>0</v>
      </c>
      <c r="L114" s="296"/>
      <c r="M114" s="276">
        <v>0</v>
      </c>
      <c r="N114" s="296"/>
      <c r="O114" s="276">
        <v>0</v>
      </c>
      <c r="P114" s="296"/>
      <c r="Q114" s="276">
        <v>0</v>
      </c>
      <c r="R114" s="296"/>
      <c r="S114" s="276">
        <v>0</v>
      </c>
      <c r="T114" s="296"/>
      <c r="U114" s="276">
        <v>0</v>
      </c>
      <c r="V114" s="296"/>
      <c r="W114" s="276">
        <v>0</v>
      </c>
      <c r="X114" s="296"/>
      <c r="Y114" s="276">
        <v>0</v>
      </c>
      <c r="Z114" s="296"/>
      <c r="AA114" s="276">
        <v>0</v>
      </c>
      <c r="AB114" s="396"/>
      <c r="AC114" s="297">
        <v>0</v>
      </c>
      <c r="AD114" s="277"/>
      <c r="AE114" s="329">
        <v>0</v>
      </c>
      <c r="AF114" s="145"/>
      <c r="AG114" s="56">
        <v>0</v>
      </c>
      <c r="AH114" s="144"/>
      <c r="AI114" s="56">
        <v>0</v>
      </c>
      <c r="AJ114" s="144"/>
      <c r="AK114" s="56">
        <v>0</v>
      </c>
      <c r="AL114" s="144"/>
      <c r="AM114" s="56">
        <v>0</v>
      </c>
      <c r="AN114" s="81">
        <v>20406.13276336317</v>
      </c>
      <c r="AO114" s="106">
        <v>1</v>
      </c>
      <c r="AP114" s="122" t="s">
        <v>318</v>
      </c>
      <c r="AQ114" s="127">
        <v>1</v>
      </c>
      <c r="AR114" s="121">
        <v>20406.13276336317</v>
      </c>
      <c r="AS114" s="333" t="s">
        <v>352</v>
      </c>
      <c r="AT114" s="360">
        <v>18</v>
      </c>
    </row>
    <row r="115" spans="1:46" x14ac:dyDescent="0.3">
      <c r="A115" s="418" t="s">
        <v>15</v>
      </c>
      <c r="B115" s="274" t="s">
        <v>16</v>
      </c>
      <c r="C115" s="274" t="s">
        <v>342</v>
      </c>
      <c r="D115" s="296"/>
      <c r="E115" s="276">
        <v>0</v>
      </c>
      <c r="F115" s="296"/>
      <c r="G115" s="276">
        <v>0</v>
      </c>
      <c r="H115" s="296"/>
      <c r="I115" s="276">
        <v>0</v>
      </c>
      <c r="J115" s="296"/>
      <c r="K115" s="276">
        <v>0</v>
      </c>
      <c r="L115" s="296"/>
      <c r="M115" s="276">
        <v>0</v>
      </c>
      <c r="N115" s="275">
        <v>1</v>
      </c>
      <c r="O115" s="276">
        <v>22052.520800552971</v>
      </c>
      <c r="P115" s="296"/>
      <c r="Q115" s="276">
        <v>0</v>
      </c>
      <c r="R115" s="296"/>
      <c r="S115" s="276">
        <v>0</v>
      </c>
      <c r="T115" s="296"/>
      <c r="U115" s="276">
        <v>0</v>
      </c>
      <c r="V115" s="296"/>
      <c r="W115" s="276">
        <v>0</v>
      </c>
      <c r="X115" s="296"/>
      <c r="Y115" s="276">
        <v>0</v>
      </c>
      <c r="Z115" s="275"/>
      <c r="AA115" s="276">
        <v>0</v>
      </c>
      <c r="AB115" s="396"/>
      <c r="AC115" s="297">
        <v>0</v>
      </c>
      <c r="AD115" s="277"/>
      <c r="AE115" s="329">
        <v>0</v>
      </c>
      <c r="AF115" s="145"/>
      <c r="AG115" s="56">
        <v>0</v>
      </c>
      <c r="AH115" s="144"/>
      <c r="AI115" s="56">
        <v>0</v>
      </c>
      <c r="AJ115" s="144"/>
      <c r="AK115" s="56">
        <v>0</v>
      </c>
      <c r="AL115" s="144">
        <v>1</v>
      </c>
      <c r="AM115" s="56">
        <v>22052.520800552971</v>
      </c>
      <c r="AN115" s="81">
        <v>44105.041601105942</v>
      </c>
      <c r="AO115" s="106">
        <v>2</v>
      </c>
      <c r="AP115" s="122" t="s">
        <v>319</v>
      </c>
      <c r="AQ115" s="127">
        <v>0.15233949945593037</v>
      </c>
      <c r="AR115" s="121">
        <v>6718.9399609954653</v>
      </c>
      <c r="AS115" s="333" t="s">
        <v>352</v>
      </c>
      <c r="AT115" s="360">
        <v>18</v>
      </c>
    </row>
    <row r="116" spans="1:46" x14ac:dyDescent="0.3">
      <c r="A116" s="418" t="s">
        <v>52</v>
      </c>
      <c r="B116" s="274" t="s">
        <v>191</v>
      </c>
      <c r="C116" s="274" t="s">
        <v>342</v>
      </c>
      <c r="D116" s="275">
        <v>1</v>
      </c>
      <c r="E116" s="276">
        <v>26897.079640267821</v>
      </c>
      <c r="F116" s="296"/>
      <c r="G116" s="276">
        <v>0</v>
      </c>
      <c r="H116" s="296"/>
      <c r="I116" s="276">
        <v>0</v>
      </c>
      <c r="J116" s="296"/>
      <c r="K116" s="276">
        <v>0</v>
      </c>
      <c r="L116" s="296"/>
      <c r="M116" s="276">
        <v>0</v>
      </c>
      <c r="N116" s="296"/>
      <c r="O116" s="276">
        <v>0</v>
      </c>
      <c r="P116" s="296"/>
      <c r="Q116" s="276">
        <v>0</v>
      </c>
      <c r="R116" s="296"/>
      <c r="S116" s="276">
        <v>0</v>
      </c>
      <c r="T116" s="296"/>
      <c r="U116" s="276">
        <v>0</v>
      </c>
      <c r="V116" s="296"/>
      <c r="W116" s="276">
        <v>0</v>
      </c>
      <c r="X116" s="296"/>
      <c r="Y116" s="276">
        <v>0</v>
      </c>
      <c r="Z116" s="296"/>
      <c r="AA116" s="276">
        <v>0</v>
      </c>
      <c r="AB116" s="396"/>
      <c r="AC116" s="297">
        <v>0</v>
      </c>
      <c r="AD116" s="277"/>
      <c r="AE116" s="329">
        <v>0</v>
      </c>
      <c r="AF116" s="145"/>
      <c r="AG116" s="56">
        <v>0</v>
      </c>
      <c r="AH116" s="144"/>
      <c r="AI116" s="56">
        <v>0</v>
      </c>
      <c r="AJ116" s="144"/>
      <c r="AK116" s="56">
        <v>0</v>
      </c>
      <c r="AL116" s="144"/>
      <c r="AM116" s="56">
        <v>0</v>
      </c>
      <c r="AN116" s="81">
        <v>26897.079640267821</v>
      </c>
      <c r="AO116" s="106">
        <v>1</v>
      </c>
      <c r="AP116" s="122" t="s">
        <v>319</v>
      </c>
      <c r="AQ116" s="127">
        <v>3.2644178454842221E-3</v>
      </c>
      <c r="AR116" s="121">
        <v>87.803306769100615</v>
      </c>
      <c r="AS116" s="333" t="s">
        <v>352</v>
      </c>
      <c r="AT116" s="360">
        <v>18</v>
      </c>
    </row>
    <row r="117" spans="1:46" x14ac:dyDescent="0.3">
      <c r="A117" s="418" t="s">
        <v>53</v>
      </c>
      <c r="B117" s="274" t="s">
        <v>230</v>
      </c>
      <c r="C117" s="274" t="s">
        <v>342</v>
      </c>
      <c r="D117" s="275">
        <v>1</v>
      </c>
      <c r="E117" s="276">
        <v>26897.079640267817</v>
      </c>
      <c r="F117" s="275"/>
      <c r="G117" s="276">
        <v>0</v>
      </c>
      <c r="H117" s="275"/>
      <c r="I117" s="276">
        <v>0</v>
      </c>
      <c r="J117" s="275"/>
      <c r="K117" s="276">
        <v>0</v>
      </c>
      <c r="L117" s="275"/>
      <c r="M117" s="276">
        <v>0</v>
      </c>
      <c r="N117" s="275"/>
      <c r="O117" s="276">
        <v>0</v>
      </c>
      <c r="P117" s="275"/>
      <c r="Q117" s="276">
        <v>0</v>
      </c>
      <c r="R117" s="275"/>
      <c r="S117" s="276">
        <v>0</v>
      </c>
      <c r="T117" s="275"/>
      <c r="U117" s="276">
        <v>0</v>
      </c>
      <c r="V117" s="275"/>
      <c r="W117" s="276">
        <v>0</v>
      </c>
      <c r="X117" s="275"/>
      <c r="Y117" s="276">
        <v>0</v>
      </c>
      <c r="Z117" s="275"/>
      <c r="AA117" s="276">
        <v>0</v>
      </c>
      <c r="AB117" s="396"/>
      <c r="AC117" s="297">
        <v>0</v>
      </c>
      <c r="AD117" s="277"/>
      <c r="AE117" s="329">
        <v>0</v>
      </c>
      <c r="AF117" s="145"/>
      <c r="AG117" s="56">
        <v>0</v>
      </c>
      <c r="AH117" s="144"/>
      <c r="AI117" s="56">
        <v>0</v>
      </c>
      <c r="AJ117" s="144"/>
      <c r="AK117" s="56">
        <v>0</v>
      </c>
      <c r="AL117" s="144"/>
      <c r="AM117" s="56">
        <v>0</v>
      </c>
      <c r="AN117" s="81">
        <v>26897.079640267817</v>
      </c>
      <c r="AO117" s="106">
        <v>1</v>
      </c>
      <c r="AP117" s="122" t="s">
        <v>319</v>
      </c>
      <c r="AQ117" s="127">
        <v>3.2644178454842221E-3</v>
      </c>
      <c r="AR117" s="121">
        <v>87.803306769100601</v>
      </c>
      <c r="AS117" s="333" t="s">
        <v>352</v>
      </c>
      <c r="AT117" s="360">
        <v>18</v>
      </c>
    </row>
    <row r="118" spans="1:46" x14ac:dyDescent="0.3">
      <c r="A118" s="418" t="s">
        <v>5</v>
      </c>
      <c r="B118" s="274" t="s">
        <v>6</v>
      </c>
      <c r="C118" s="274" t="s">
        <v>342</v>
      </c>
      <c r="D118" s="275">
        <v>1</v>
      </c>
      <c r="E118" s="276">
        <v>18768.367820181349</v>
      </c>
      <c r="F118" s="296"/>
      <c r="G118" s="276">
        <v>0</v>
      </c>
      <c r="H118" s="296"/>
      <c r="I118" s="276">
        <v>0</v>
      </c>
      <c r="J118" s="296"/>
      <c r="K118" s="276">
        <v>0</v>
      </c>
      <c r="L118" s="296"/>
      <c r="M118" s="276">
        <v>0</v>
      </c>
      <c r="N118" s="275"/>
      <c r="O118" s="276">
        <v>0</v>
      </c>
      <c r="P118" s="296"/>
      <c r="Q118" s="276">
        <v>0</v>
      </c>
      <c r="R118" s="296"/>
      <c r="S118" s="276">
        <v>0</v>
      </c>
      <c r="T118" s="296"/>
      <c r="U118" s="276">
        <v>0</v>
      </c>
      <c r="V118" s="296"/>
      <c r="W118" s="276">
        <v>0</v>
      </c>
      <c r="X118" s="296"/>
      <c r="Y118" s="276">
        <v>0</v>
      </c>
      <c r="Z118" s="275"/>
      <c r="AA118" s="276">
        <v>0</v>
      </c>
      <c r="AB118" s="396"/>
      <c r="AC118" s="297">
        <v>0</v>
      </c>
      <c r="AD118" s="277"/>
      <c r="AE118" s="329">
        <v>0</v>
      </c>
      <c r="AF118" s="145"/>
      <c r="AG118" s="56">
        <v>0</v>
      </c>
      <c r="AH118" s="144"/>
      <c r="AI118" s="56">
        <v>0</v>
      </c>
      <c r="AJ118" s="144"/>
      <c r="AK118" s="56">
        <v>0</v>
      </c>
      <c r="AL118" s="144"/>
      <c r="AM118" s="56">
        <v>0</v>
      </c>
      <c r="AN118" s="81">
        <v>18768.367820181349</v>
      </c>
      <c r="AO118" s="106">
        <v>1</v>
      </c>
      <c r="AP118" s="122" t="s">
        <v>319</v>
      </c>
      <c r="AQ118" s="127">
        <v>0.22306855277475518</v>
      </c>
      <c r="AR118" s="121">
        <v>4186.6326475921405</v>
      </c>
      <c r="AS118" s="333" t="s">
        <v>352</v>
      </c>
      <c r="AT118" s="360">
        <v>18</v>
      </c>
    </row>
    <row r="119" spans="1:46" x14ac:dyDescent="0.3">
      <c r="A119" s="418" t="s">
        <v>17</v>
      </c>
      <c r="B119" s="274" t="s">
        <v>18</v>
      </c>
      <c r="C119" s="274" t="s">
        <v>342</v>
      </c>
      <c r="D119" s="296"/>
      <c r="E119" s="276">
        <v>0</v>
      </c>
      <c r="F119" s="296"/>
      <c r="G119" s="276">
        <v>0</v>
      </c>
      <c r="H119" s="296"/>
      <c r="I119" s="276">
        <v>0</v>
      </c>
      <c r="J119" s="296"/>
      <c r="K119" s="276">
        <v>0</v>
      </c>
      <c r="L119" s="296"/>
      <c r="M119" s="276">
        <v>0</v>
      </c>
      <c r="N119" s="275">
        <v>1</v>
      </c>
      <c r="O119" s="276">
        <v>20414.75585737115</v>
      </c>
      <c r="P119" s="296"/>
      <c r="Q119" s="276">
        <v>0</v>
      </c>
      <c r="R119" s="296"/>
      <c r="S119" s="276">
        <v>0</v>
      </c>
      <c r="T119" s="296"/>
      <c r="U119" s="276">
        <v>0</v>
      </c>
      <c r="V119" s="296"/>
      <c r="W119" s="276">
        <v>0</v>
      </c>
      <c r="X119" s="296"/>
      <c r="Y119" s="276">
        <v>0</v>
      </c>
      <c r="Z119" s="275"/>
      <c r="AA119" s="276">
        <v>0</v>
      </c>
      <c r="AB119" s="396"/>
      <c r="AC119" s="297">
        <v>0</v>
      </c>
      <c r="AD119" s="277"/>
      <c r="AE119" s="329">
        <v>0</v>
      </c>
      <c r="AF119" s="145"/>
      <c r="AG119" s="56">
        <v>0</v>
      </c>
      <c r="AH119" s="144"/>
      <c r="AI119" s="56">
        <v>0</v>
      </c>
      <c r="AJ119" s="144"/>
      <c r="AK119" s="56">
        <v>0</v>
      </c>
      <c r="AL119" s="144">
        <v>1</v>
      </c>
      <c r="AM119" s="56">
        <v>20414.75585737115</v>
      </c>
      <c r="AN119" s="81">
        <v>40829.511714742301</v>
      </c>
      <c r="AO119" s="106">
        <v>2</v>
      </c>
      <c r="AP119" s="122" t="s">
        <v>319</v>
      </c>
      <c r="AQ119" s="127">
        <v>8.0522306855277476E-2</v>
      </c>
      <c r="AR119" s="121">
        <v>3287.6864710456261</v>
      </c>
      <c r="AS119" s="333" t="s">
        <v>352</v>
      </c>
      <c r="AT119" s="360">
        <v>18</v>
      </c>
    </row>
    <row r="120" spans="1:46" x14ac:dyDescent="0.3">
      <c r="A120" s="418" t="s">
        <v>113</v>
      </c>
      <c r="B120" s="295" t="s">
        <v>139</v>
      </c>
      <c r="C120" s="274" t="s">
        <v>342</v>
      </c>
      <c r="D120" s="275">
        <v>1</v>
      </c>
      <c r="E120" s="276">
        <v>60236.092716419647</v>
      </c>
      <c r="F120" s="275"/>
      <c r="G120" s="276">
        <v>0</v>
      </c>
      <c r="H120" s="275"/>
      <c r="I120" s="276">
        <v>0</v>
      </c>
      <c r="J120" s="275"/>
      <c r="K120" s="276">
        <v>0</v>
      </c>
      <c r="L120" s="275"/>
      <c r="M120" s="276">
        <v>0</v>
      </c>
      <c r="N120" s="275"/>
      <c r="O120" s="276">
        <v>0</v>
      </c>
      <c r="P120" s="275"/>
      <c r="Q120" s="276">
        <v>0</v>
      </c>
      <c r="R120" s="275"/>
      <c r="S120" s="276">
        <v>0</v>
      </c>
      <c r="T120" s="275"/>
      <c r="U120" s="276">
        <v>0</v>
      </c>
      <c r="V120" s="275"/>
      <c r="W120" s="276">
        <v>0</v>
      </c>
      <c r="X120" s="275"/>
      <c r="Y120" s="276">
        <v>0</v>
      </c>
      <c r="Z120" s="275"/>
      <c r="AA120" s="276">
        <v>0</v>
      </c>
      <c r="AB120" s="396"/>
      <c r="AC120" s="297">
        <v>0</v>
      </c>
      <c r="AD120" s="277"/>
      <c r="AE120" s="329">
        <v>0</v>
      </c>
      <c r="AF120" s="145"/>
      <c r="AG120" s="56">
        <v>0</v>
      </c>
      <c r="AH120" s="144"/>
      <c r="AI120" s="56">
        <v>0</v>
      </c>
      <c r="AJ120" s="144"/>
      <c r="AK120" s="56">
        <v>0</v>
      </c>
      <c r="AL120" s="144"/>
      <c r="AM120" s="56">
        <v>0</v>
      </c>
      <c r="AN120" s="81">
        <v>60236.092716419647</v>
      </c>
      <c r="AO120" s="106">
        <v>1</v>
      </c>
      <c r="AP120" s="122" t="s">
        <v>319</v>
      </c>
      <c r="AQ120" s="127">
        <v>6.8552774755168661E-2</v>
      </c>
      <c r="AR120" s="121">
        <v>4129.3512961201714</v>
      </c>
      <c r="AS120" s="333" t="s">
        <v>352</v>
      </c>
      <c r="AT120" s="360">
        <v>18</v>
      </c>
    </row>
    <row r="121" spans="1:46" x14ac:dyDescent="0.3">
      <c r="A121" s="418" t="s">
        <v>114</v>
      </c>
      <c r="B121" s="274" t="s">
        <v>140</v>
      </c>
      <c r="C121" s="274" t="s">
        <v>342</v>
      </c>
      <c r="D121" s="275">
        <v>1</v>
      </c>
      <c r="E121" s="276">
        <v>62748.232282880919</v>
      </c>
      <c r="F121" s="275"/>
      <c r="G121" s="276">
        <v>0</v>
      </c>
      <c r="H121" s="275"/>
      <c r="I121" s="276">
        <v>0</v>
      </c>
      <c r="J121" s="275"/>
      <c r="K121" s="276">
        <v>0</v>
      </c>
      <c r="L121" s="275"/>
      <c r="M121" s="276">
        <v>0</v>
      </c>
      <c r="N121" s="275"/>
      <c r="O121" s="276">
        <v>0</v>
      </c>
      <c r="P121" s="275"/>
      <c r="Q121" s="276">
        <v>0</v>
      </c>
      <c r="R121" s="275"/>
      <c r="S121" s="276">
        <v>0</v>
      </c>
      <c r="T121" s="275"/>
      <c r="U121" s="276">
        <v>0</v>
      </c>
      <c r="V121" s="275"/>
      <c r="W121" s="276">
        <v>0</v>
      </c>
      <c r="X121" s="275"/>
      <c r="Y121" s="276">
        <v>0</v>
      </c>
      <c r="Z121" s="275"/>
      <c r="AA121" s="276">
        <v>0</v>
      </c>
      <c r="AB121" s="396"/>
      <c r="AC121" s="297">
        <v>0</v>
      </c>
      <c r="AD121" s="277"/>
      <c r="AE121" s="329">
        <v>0</v>
      </c>
      <c r="AF121" s="145"/>
      <c r="AG121" s="56">
        <v>0</v>
      </c>
      <c r="AH121" s="144"/>
      <c r="AI121" s="56">
        <v>0</v>
      </c>
      <c r="AJ121" s="144"/>
      <c r="AK121" s="56">
        <v>0</v>
      </c>
      <c r="AL121" s="180"/>
      <c r="AM121" s="113">
        <v>0</v>
      </c>
      <c r="AN121" s="81">
        <v>62748.232282880919</v>
      </c>
      <c r="AO121" s="106">
        <v>1</v>
      </c>
      <c r="AP121" s="122" t="s">
        <v>319</v>
      </c>
      <c r="AQ121" s="127">
        <v>2.176278563656148E-2</v>
      </c>
      <c r="AR121" s="121">
        <v>1365.5763282455043</v>
      </c>
      <c r="AS121" s="333" t="s">
        <v>352</v>
      </c>
      <c r="AT121" s="360">
        <v>18</v>
      </c>
    </row>
    <row r="122" spans="1:46" x14ac:dyDescent="0.3">
      <c r="A122" s="418" t="s">
        <v>115</v>
      </c>
      <c r="B122" s="274" t="s">
        <v>141</v>
      </c>
      <c r="C122" s="274" t="s">
        <v>342</v>
      </c>
      <c r="D122" s="275"/>
      <c r="E122" s="276">
        <v>0</v>
      </c>
      <c r="F122" s="275"/>
      <c r="G122" s="276">
        <v>0</v>
      </c>
      <c r="H122" s="275"/>
      <c r="I122" s="276">
        <v>0</v>
      </c>
      <c r="J122" s="275"/>
      <c r="K122" s="276">
        <v>0</v>
      </c>
      <c r="L122" s="275"/>
      <c r="M122" s="276">
        <v>0</v>
      </c>
      <c r="N122" s="275"/>
      <c r="O122" s="276">
        <v>0</v>
      </c>
      <c r="P122" s="275"/>
      <c r="Q122" s="276">
        <v>0</v>
      </c>
      <c r="R122" s="275"/>
      <c r="S122" s="276">
        <v>0</v>
      </c>
      <c r="T122" s="275"/>
      <c r="U122" s="276">
        <v>0</v>
      </c>
      <c r="V122" s="275"/>
      <c r="W122" s="276">
        <v>0</v>
      </c>
      <c r="X122" s="275"/>
      <c r="Y122" s="276">
        <v>0</v>
      </c>
      <c r="Z122" s="275"/>
      <c r="AA122" s="276">
        <v>0</v>
      </c>
      <c r="AB122" s="396"/>
      <c r="AC122" s="297">
        <v>0</v>
      </c>
      <c r="AD122" s="277"/>
      <c r="AE122" s="329">
        <v>0</v>
      </c>
      <c r="AF122" s="177"/>
      <c r="AG122" s="56">
        <v>0</v>
      </c>
      <c r="AH122" s="144"/>
      <c r="AI122" s="56">
        <v>0</v>
      </c>
      <c r="AJ122" s="144"/>
      <c r="AK122" s="56">
        <v>0</v>
      </c>
      <c r="AL122" s="144">
        <v>1</v>
      </c>
      <c r="AM122" s="56">
        <v>62748.232282880919</v>
      </c>
      <c r="AN122" s="81">
        <v>62748.232282880919</v>
      </c>
      <c r="AO122" s="106">
        <v>1</v>
      </c>
      <c r="AP122" s="122" t="s">
        <v>319</v>
      </c>
      <c r="AQ122" s="127">
        <v>0</v>
      </c>
      <c r="AR122" s="121">
        <v>0</v>
      </c>
      <c r="AS122" s="333" t="s">
        <v>352</v>
      </c>
      <c r="AT122" s="360">
        <v>18</v>
      </c>
    </row>
    <row r="123" spans="1:46" x14ac:dyDescent="0.3">
      <c r="A123" s="418" t="s">
        <v>21</v>
      </c>
      <c r="B123" s="274" t="s">
        <v>221</v>
      </c>
      <c r="C123" s="274" t="s">
        <v>342</v>
      </c>
      <c r="D123" s="275">
        <v>1</v>
      </c>
      <c r="E123" s="276">
        <v>67398.098568534639</v>
      </c>
      <c r="F123" s="275"/>
      <c r="G123" s="276">
        <v>0</v>
      </c>
      <c r="H123" s="275"/>
      <c r="I123" s="276">
        <v>0</v>
      </c>
      <c r="J123" s="275"/>
      <c r="K123" s="276">
        <v>0</v>
      </c>
      <c r="L123" s="275"/>
      <c r="M123" s="276">
        <v>0</v>
      </c>
      <c r="N123" s="275"/>
      <c r="O123" s="276">
        <v>0</v>
      </c>
      <c r="P123" s="275"/>
      <c r="Q123" s="276">
        <v>0</v>
      </c>
      <c r="R123" s="275"/>
      <c r="S123" s="276">
        <v>0</v>
      </c>
      <c r="T123" s="275"/>
      <c r="U123" s="276">
        <v>0</v>
      </c>
      <c r="V123" s="275"/>
      <c r="W123" s="276">
        <v>0</v>
      </c>
      <c r="X123" s="275"/>
      <c r="Y123" s="276">
        <v>0</v>
      </c>
      <c r="Z123" s="275"/>
      <c r="AA123" s="276">
        <v>0</v>
      </c>
      <c r="AB123" s="396"/>
      <c r="AC123" s="297">
        <v>0</v>
      </c>
      <c r="AD123" s="277"/>
      <c r="AE123" s="329">
        <v>0</v>
      </c>
      <c r="AF123" s="145"/>
      <c r="AG123" s="56">
        <v>0</v>
      </c>
      <c r="AH123" s="144"/>
      <c r="AI123" s="56">
        <v>0</v>
      </c>
      <c r="AJ123" s="144"/>
      <c r="AK123" s="56">
        <v>0</v>
      </c>
      <c r="AL123" s="144"/>
      <c r="AM123" s="56">
        <v>0</v>
      </c>
      <c r="AN123" s="81">
        <v>67398.098568534639</v>
      </c>
      <c r="AO123" s="106">
        <v>1</v>
      </c>
      <c r="AP123" s="122" t="s">
        <v>319</v>
      </c>
      <c r="AQ123" s="127">
        <v>0.40587595212187161</v>
      </c>
      <c r="AR123" s="121">
        <v>27355.267427707749</v>
      </c>
      <c r="AS123" s="333" t="s">
        <v>352</v>
      </c>
      <c r="AT123" s="360">
        <v>18</v>
      </c>
    </row>
    <row r="124" spans="1:46" x14ac:dyDescent="0.3">
      <c r="A124" s="418" t="s">
        <v>38</v>
      </c>
      <c r="B124" s="274" t="s">
        <v>137</v>
      </c>
      <c r="C124" s="274" t="s">
        <v>342</v>
      </c>
      <c r="D124" s="275">
        <v>1</v>
      </c>
      <c r="E124" s="276">
        <v>56420.692787682223</v>
      </c>
      <c r="F124" s="275"/>
      <c r="G124" s="276">
        <v>0</v>
      </c>
      <c r="H124" s="275"/>
      <c r="I124" s="276">
        <v>0</v>
      </c>
      <c r="J124" s="275"/>
      <c r="K124" s="276">
        <v>0</v>
      </c>
      <c r="L124" s="275"/>
      <c r="M124" s="276">
        <v>0</v>
      </c>
      <c r="N124" s="275"/>
      <c r="O124" s="276">
        <v>0</v>
      </c>
      <c r="P124" s="275"/>
      <c r="Q124" s="276">
        <v>0</v>
      </c>
      <c r="R124" s="275"/>
      <c r="S124" s="276">
        <v>0</v>
      </c>
      <c r="T124" s="275"/>
      <c r="U124" s="276">
        <v>0</v>
      </c>
      <c r="V124" s="275"/>
      <c r="W124" s="276">
        <v>0</v>
      </c>
      <c r="X124" s="275"/>
      <c r="Y124" s="276">
        <v>0</v>
      </c>
      <c r="Z124" s="275"/>
      <c r="AA124" s="276">
        <v>0</v>
      </c>
      <c r="AB124" s="396"/>
      <c r="AC124" s="297">
        <v>0</v>
      </c>
      <c r="AD124" s="277"/>
      <c r="AE124" s="329">
        <v>0</v>
      </c>
      <c r="AF124" s="144"/>
      <c r="AG124" s="56">
        <v>0</v>
      </c>
      <c r="AH124" s="144"/>
      <c r="AI124" s="56">
        <v>0</v>
      </c>
      <c r="AJ124" s="144"/>
      <c r="AK124" s="56">
        <v>0</v>
      </c>
      <c r="AL124" s="181"/>
      <c r="AM124" s="56">
        <v>0</v>
      </c>
      <c r="AN124" s="81">
        <v>56420.692787682223</v>
      </c>
      <c r="AO124" s="106">
        <v>1</v>
      </c>
      <c r="AP124" s="122" t="s">
        <v>319</v>
      </c>
      <c r="AQ124" s="127">
        <v>4.0261153427638738E-2</v>
      </c>
      <c r="AR124" s="121">
        <v>2271.5621688185443</v>
      </c>
      <c r="AS124" s="333" t="s">
        <v>352</v>
      </c>
      <c r="AT124" s="360">
        <v>18</v>
      </c>
    </row>
    <row r="125" spans="1:46" x14ac:dyDescent="0.3">
      <c r="A125" s="418" t="s">
        <v>1</v>
      </c>
      <c r="B125" s="274" t="s">
        <v>2</v>
      </c>
      <c r="C125" s="274" t="s">
        <v>342</v>
      </c>
      <c r="D125" s="296"/>
      <c r="E125" s="276">
        <v>0</v>
      </c>
      <c r="F125" s="296"/>
      <c r="G125" s="276">
        <v>0</v>
      </c>
      <c r="H125" s="296"/>
      <c r="I125" s="276">
        <v>0</v>
      </c>
      <c r="J125" s="296"/>
      <c r="K125" s="276">
        <v>0</v>
      </c>
      <c r="L125" s="296"/>
      <c r="M125" s="276">
        <v>0</v>
      </c>
      <c r="N125" s="296"/>
      <c r="O125" s="276">
        <v>0</v>
      </c>
      <c r="P125" s="296"/>
      <c r="Q125" s="276">
        <v>0</v>
      </c>
      <c r="R125" s="296"/>
      <c r="S125" s="276">
        <v>0</v>
      </c>
      <c r="T125" s="296"/>
      <c r="U125" s="276">
        <v>0</v>
      </c>
      <c r="V125" s="296"/>
      <c r="W125" s="276">
        <v>0</v>
      </c>
      <c r="X125" s="296"/>
      <c r="Y125" s="276">
        <v>0</v>
      </c>
      <c r="Z125" s="275"/>
      <c r="AA125" s="276">
        <v>0</v>
      </c>
      <c r="AB125" s="396"/>
      <c r="AC125" s="297">
        <v>0</v>
      </c>
      <c r="AD125" s="277"/>
      <c r="AE125" s="329">
        <v>0</v>
      </c>
      <c r="AF125" s="145"/>
      <c r="AG125" s="56">
        <v>0</v>
      </c>
      <c r="AH125" s="144"/>
      <c r="AI125" s="56">
        <v>0</v>
      </c>
      <c r="AJ125" s="144"/>
      <c r="AK125" s="56">
        <v>0</v>
      </c>
      <c r="AL125" s="144">
        <v>1</v>
      </c>
      <c r="AM125" s="56">
        <v>21014.39667403782</v>
      </c>
      <c r="AN125" s="81">
        <v>21014.39667403782</v>
      </c>
      <c r="AO125" s="106">
        <v>1</v>
      </c>
      <c r="AP125" s="122" t="s">
        <v>318</v>
      </c>
      <c r="AQ125" s="127">
        <v>1</v>
      </c>
      <c r="AR125" s="121">
        <v>21014.39667403782</v>
      </c>
      <c r="AS125" s="333" t="s">
        <v>352</v>
      </c>
      <c r="AT125" s="360">
        <v>18</v>
      </c>
    </row>
    <row r="126" spans="1:46" x14ac:dyDescent="0.3">
      <c r="A126" s="418" t="s">
        <v>48</v>
      </c>
      <c r="B126" s="274" t="s">
        <v>222</v>
      </c>
      <c r="C126" s="274" t="s">
        <v>342</v>
      </c>
      <c r="D126" s="275">
        <v>1</v>
      </c>
      <c r="E126" s="276">
        <v>77398.098568534639</v>
      </c>
      <c r="F126" s="275"/>
      <c r="G126" s="276">
        <v>0</v>
      </c>
      <c r="H126" s="275"/>
      <c r="I126" s="276">
        <v>0</v>
      </c>
      <c r="J126" s="275"/>
      <c r="K126" s="276">
        <v>0</v>
      </c>
      <c r="L126" s="275"/>
      <c r="M126" s="276">
        <v>0</v>
      </c>
      <c r="N126" s="275"/>
      <c r="O126" s="276">
        <v>0</v>
      </c>
      <c r="P126" s="275"/>
      <c r="Q126" s="276">
        <v>0</v>
      </c>
      <c r="R126" s="275"/>
      <c r="S126" s="276">
        <v>0</v>
      </c>
      <c r="T126" s="275"/>
      <c r="U126" s="276">
        <v>0</v>
      </c>
      <c r="V126" s="275"/>
      <c r="W126" s="276">
        <v>0</v>
      </c>
      <c r="X126" s="275"/>
      <c r="Y126" s="276">
        <v>0</v>
      </c>
      <c r="Z126" s="275"/>
      <c r="AA126" s="301">
        <v>0</v>
      </c>
      <c r="AB126" s="397"/>
      <c r="AC126" s="297">
        <v>0</v>
      </c>
      <c r="AD126" s="277"/>
      <c r="AE126" s="329">
        <v>0</v>
      </c>
      <c r="AF126" s="145"/>
      <c r="AG126" s="56">
        <v>0</v>
      </c>
      <c r="AH126" s="144"/>
      <c r="AI126" s="56">
        <v>0</v>
      </c>
      <c r="AJ126" s="144"/>
      <c r="AK126" s="56">
        <v>0</v>
      </c>
      <c r="AL126" s="144"/>
      <c r="AM126" s="56">
        <v>0</v>
      </c>
      <c r="AN126" s="81">
        <v>77398.098568534639</v>
      </c>
      <c r="AO126" s="106">
        <v>1</v>
      </c>
      <c r="AP126" s="122" t="s">
        <v>319</v>
      </c>
      <c r="AQ126" s="127">
        <v>1.088139281828074E-2</v>
      </c>
      <c r="AR126" s="121">
        <v>842.19911391223764</v>
      </c>
      <c r="AS126" s="333" t="s">
        <v>352</v>
      </c>
      <c r="AT126" s="360">
        <v>18</v>
      </c>
    </row>
    <row r="127" spans="1:46" x14ac:dyDescent="0.3">
      <c r="A127" s="414" t="s">
        <v>421</v>
      </c>
      <c r="B127" s="96" t="s">
        <v>422</v>
      </c>
      <c r="C127" s="96" t="s">
        <v>423</v>
      </c>
      <c r="D127" s="181"/>
      <c r="E127" s="56"/>
      <c r="F127" s="181"/>
      <c r="G127" s="56"/>
      <c r="H127" s="181"/>
      <c r="I127" s="56"/>
      <c r="J127" s="181"/>
      <c r="K127" s="56"/>
      <c r="L127" s="181"/>
      <c r="M127" s="56"/>
      <c r="N127" s="181"/>
      <c r="O127" s="56"/>
      <c r="P127" s="181"/>
      <c r="Q127" s="56"/>
      <c r="R127" s="181"/>
      <c r="S127" s="56"/>
      <c r="T127" s="181"/>
      <c r="U127" s="56"/>
      <c r="V127" s="181"/>
      <c r="W127" s="56"/>
      <c r="X127" s="181"/>
      <c r="Y127" s="56"/>
      <c r="Z127" s="181"/>
      <c r="AA127" s="56"/>
      <c r="AB127" s="81"/>
      <c r="AC127" s="106"/>
      <c r="AD127" s="315"/>
      <c r="AE127" s="329"/>
      <c r="AF127" s="285"/>
      <c r="AG127" s="314"/>
      <c r="AI127" s="56"/>
      <c r="AJ127" s="144"/>
      <c r="AK127" s="56"/>
      <c r="AL127" s="181"/>
      <c r="AM127" s="56"/>
      <c r="AN127" s="81"/>
      <c r="AO127" s="106"/>
      <c r="AP127" s="104" t="s">
        <v>318</v>
      </c>
      <c r="AQ127" s="119"/>
      <c r="AR127" s="47"/>
      <c r="AS127" s="333" t="s">
        <v>352</v>
      </c>
      <c r="AT127" s="333">
        <v>18</v>
      </c>
    </row>
    <row r="128" spans="1:46" x14ac:dyDescent="0.3">
      <c r="A128" s="419" t="s">
        <v>13</v>
      </c>
      <c r="B128" s="274" t="s">
        <v>14</v>
      </c>
      <c r="C128" s="274" t="s">
        <v>343</v>
      </c>
      <c r="D128" s="281">
        <v>1</v>
      </c>
      <c r="E128" s="276">
        <v>20552.755657371155</v>
      </c>
      <c r="F128" s="281"/>
      <c r="G128" s="276">
        <v>0</v>
      </c>
      <c r="H128" s="281"/>
      <c r="I128" s="276">
        <v>0</v>
      </c>
      <c r="J128" s="281"/>
      <c r="K128" s="276">
        <v>0</v>
      </c>
      <c r="L128" s="281"/>
      <c r="M128" s="276">
        <v>0</v>
      </c>
      <c r="N128" s="281"/>
      <c r="O128" s="276">
        <v>0</v>
      </c>
      <c r="P128" s="281"/>
      <c r="Q128" s="276">
        <v>0</v>
      </c>
      <c r="R128" s="281"/>
      <c r="S128" s="276">
        <v>0</v>
      </c>
      <c r="T128" s="281"/>
      <c r="U128" s="276">
        <v>0</v>
      </c>
      <c r="V128" s="281"/>
      <c r="W128" s="276">
        <v>0</v>
      </c>
      <c r="X128" s="281"/>
      <c r="Y128" s="276">
        <v>0</v>
      </c>
      <c r="Z128" s="281"/>
      <c r="AA128" s="276">
        <v>0</v>
      </c>
      <c r="AB128" s="398"/>
      <c r="AC128" s="305">
        <v>0</v>
      </c>
      <c r="AD128" s="277"/>
      <c r="AE128" s="329">
        <v>0</v>
      </c>
      <c r="AF128" s="145"/>
      <c r="AG128" s="56">
        <v>0</v>
      </c>
      <c r="AH128" s="146"/>
      <c r="AI128" s="56">
        <v>0</v>
      </c>
      <c r="AJ128" s="146"/>
      <c r="AK128" s="56">
        <v>0</v>
      </c>
      <c r="AL128" s="146"/>
      <c r="AM128" s="56">
        <v>0</v>
      </c>
      <c r="AN128" s="81">
        <v>20552.755657371155</v>
      </c>
      <c r="AO128" s="106">
        <v>1</v>
      </c>
      <c r="AP128" s="122" t="s">
        <v>318</v>
      </c>
      <c r="AQ128" s="127">
        <v>1</v>
      </c>
      <c r="AR128" s="121">
        <v>20552.755657371155</v>
      </c>
      <c r="AS128" s="333" t="s">
        <v>331</v>
      </c>
      <c r="AT128" s="360">
        <v>18</v>
      </c>
    </row>
    <row r="129" spans="1:46" x14ac:dyDescent="0.3">
      <c r="A129" s="419" t="s">
        <v>98</v>
      </c>
      <c r="B129" s="274" t="s">
        <v>99</v>
      </c>
      <c r="C129" s="274" t="s">
        <v>342</v>
      </c>
      <c r="D129" s="281">
        <v>1</v>
      </c>
      <c r="E129" s="276">
        <v>17887.388810409495</v>
      </c>
      <c r="F129" s="280"/>
      <c r="G129" s="276">
        <v>0</v>
      </c>
      <c r="H129" s="280"/>
      <c r="I129" s="276">
        <v>0</v>
      </c>
      <c r="J129" s="280"/>
      <c r="K129" s="276">
        <v>0</v>
      </c>
      <c r="L129" s="280"/>
      <c r="M129" s="276">
        <v>0</v>
      </c>
      <c r="N129" s="280"/>
      <c r="O129" s="276">
        <v>0</v>
      </c>
      <c r="P129" s="280"/>
      <c r="Q129" s="276">
        <v>0</v>
      </c>
      <c r="R129" s="280"/>
      <c r="S129" s="276">
        <v>0</v>
      </c>
      <c r="T129" s="280"/>
      <c r="U129" s="276">
        <v>0</v>
      </c>
      <c r="V129" s="280"/>
      <c r="W129" s="276">
        <v>0</v>
      </c>
      <c r="X129" s="280"/>
      <c r="Y129" s="276">
        <v>0</v>
      </c>
      <c r="Z129" s="280"/>
      <c r="AA129" s="276">
        <v>0</v>
      </c>
      <c r="AB129" s="398"/>
      <c r="AC129" s="305">
        <v>0</v>
      </c>
      <c r="AD129" s="277"/>
      <c r="AE129" s="329">
        <v>0</v>
      </c>
      <c r="AF129" s="145"/>
      <c r="AG129" s="56">
        <v>0</v>
      </c>
      <c r="AH129" s="144"/>
      <c r="AI129" s="56">
        <v>0</v>
      </c>
      <c r="AJ129" s="144"/>
      <c r="AK129" s="56">
        <v>0</v>
      </c>
      <c r="AL129" s="144"/>
      <c r="AM129" s="56">
        <v>0</v>
      </c>
      <c r="AN129" s="81">
        <v>17887.388810409495</v>
      </c>
      <c r="AO129" s="106">
        <v>1</v>
      </c>
      <c r="AP129" s="122" t="s">
        <v>318</v>
      </c>
      <c r="AQ129" s="127">
        <v>1</v>
      </c>
      <c r="AR129" s="121">
        <v>17887.388810409495</v>
      </c>
      <c r="AS129" s="333" t="s">
        <v>331</v>
      </c>
      <c r="AT129" s="360">
        <v>18</v>
      </c>
    </row>
    <row r="130" spans="1:46" x14ac:dyDescent="0.3">
      <c r="A130" s="419" t="s">
        <v>104</v>
      </c>
      <c r="B130" s="274" t="s">
        <v>105</v>
      </c>
      <c r="C130" s="274" t="s">
        <v>342</v>
      </c>
      <c r="D130" s="281"/>
      <c r="E130" s="276">
        <v>0</v>
      </c>
      <c r="F130" s="280"/>
      <c r="G130" s="276">
        <v>0</v>
      </c>
      <c r="H130" s="280"/>
      <c r="I130" s="276">
        <v>0</v>
      </c>
      <c r="J130" s="280"/>
      <c r="K130" s="276">
        <v>0</v>
      </c>
      <c r="L130" s="280"/>
      <c r="M130" s="276">
        <v>0</v>
      </c>
      <c r="N130" s="281"/>
      <c r="O130" s="276">
        <v>0</v>
      </c>
      <c r="P130" s="280"/>
      <c r="Q130" s="276">
        <v>0</v>
      </c>
      <c r="R130" s="280"/>
      <c r="S130" s="276">
        <v>0</v>
      </c>
      <c r="T130" s="280"/>
      <c r="U130" s="276">
        <v>0</v>
      </c>
      <c r="V130" s="280"/>
      <c r="W130" s="276">
        <v>0</v>
      </c>
      <c r="X130" s="280"/>
      <c r="Y130" s="276">
        <v>0</v>
      </c>
      <c r="Z130" s="287"/>
      <c r="AA130" s="276">
        <v>0</v>
      </c>
      <c r="AB130" s="398"/>
      <c r="AC130" s="305">
        <v>0</v>
      </c>
      <c r="AD130" s="277"/>
      <c r="AE130" s="329">
        <v>0</v>
      </c>
      <c r="AF130" s="144"/>
      <c r="AG130" s="56">
        <v>0</v>
      </c>
      <c r="AH130" s="144"/>
      <c r="AI130" s="56">
        <v>0</v>
      </c>
      <c r="AJ130" s="144"/>
      <c r="AK130" s="56">
        <v>0</v>
      </c>
      <c r="AL130" s="144">
        <v>1</v>
      </c>
      <c r="AM130" s="56">
        <v>17887.388810409495</v>
      </c>
      <c r="AN130" s="81">
        <v>17887.388810409495</v>
      </c>
      <c r="AO130" s="106">
        <v>1</v>
      </c>
      <c r="AP130" s="122" t="s">
        <v>319</v>
      </c>
      <c r="AQ130" s="127">
        <v>0.43016759776536312</v>
      </c>
      <c r="AR130" s="121">
        <v>7694.5750748688888</v>
      </c>
      <c r="AS130" s="333" t="s">
        <v>331</v>
      </c>
      <c r="AT130" s="360">
        <v>18</v>
      </c>
    </row>
    <row r="131" spans="1:46" x14ac:dyDescent="0.3">
      <c r="A131" s="419" t="s">
        <v>25</v>
      </c>
      <c r="B131" s="274" t="s">
        <v>26</v>
      </c>
      <c r="C131" s="274" t="s">
        <v>346</v>
      </c>
      <c r="D131" s="281">
        <v>1</v>
      </c>
      <c r="E131" s="276">
        <v>32117.31737996532</v>
      </c>
      <c r="F131" s="280"/>
      <c r="G131" s="276">
        <v>0</v>
      </c>
      <c r="H131" s="280"/>
      <c r="I131" s="276">
        <v>0</v>
      </c>
      <c r="J131" s="280"/>
      <c r="K131" s="276">
        <v>0</v>
      </c>
      <c r="L131" s="280"/>
      <c r="M131" s="276">
        <v>0</v>
      </c>
      <c r="N131" s="281">
        <v>1</v>
      </c>
      <c r="O131" s="276">
        <v>32117.31737996532</v>
      </c>
      <c r="P131" s="280"/>
      <c r="Q131" s="276">
        <v>0</v>
      </c>
      <c r="R131" s="280"/>
      <c r="S131" s="276">
        <v>0</v>
      </c>
      <c r="T131" s="280"/>
      <c r="U131" s="276">
        <v>0</v>
      </c>
      <c r="V131" s="280"/>
      <c r="W131" s="276">
        <v>0</v>
      </c>
      <c r="X131" s="280"/>
      <c r="Y131" s="276">
        <v>0</v>
      </c>
      <c r="Z131" s="281"/>
      <c r="AA131" s="276">
        <v>0</v>
      </c>
      <c r="AB131" s="398"/>
      <c r="AC131" s="305">
        <v>0</v>
      </c>
      <c r="AD131" s="277"/>
      <c r="AE131" s="329">
        <v>0</v>
      </c>
      <c r="AF131" s="144"/>
      <c r="AG131" s="56">
        <v>0</v>
      </c>
      <c r="AH131" s="144"/>
      <c r="AI131" s="56">
        <v>0</v>
      </c>
      <c r="AJ131" s="144"/>
      <c r="AK131" s="56">
        <v>0</v>
      </c>
      <c r="AL131" s="144">
        <v>1</v>
      </c>
      <c r="AM131" s="56">
        <v>32117.31737996532</v>
      </c>
      <c r="AN131" s="81">
        <v>96351.952139895962</v>
      </c>
      <c r="AO131" s="106">
        <v>3</v>
      </c>
      <c r="AP131" s="122" t="s">
        <v>318</v>
      </c>
      <c r="AQ131" s="127">
        <v>1</v>
      </c>
      <c r="AR131" s="121">
        <v>96351.952139895962</v>
      </c>
      <c r="AS131" s="333" t="s">
        <v>331</v>
      </c>
      <c r="AT131" s="360">
        <v>18</v>
      </c>
    </row>
    <row r="132" spans="1:46" x14ac:dyDescent="0.3">
      <c r="A132" s="419" t="s">
        <v>27</v>
      </c>
      <c r="B132" s="274" t="s">
        <v>28</v>
      </c>
      <c r="C132" s="274" t="s">
        <v>346</v>
      </c>
      <c r="D132" s="281">
        <v>1</v>
      </c>
      <c r="E132" s="276">
        <v>43480.816890660324</v>
      </c>
      <c r="F132" s="280"/>
      <c r="G132" s="276">
        <v>0</v>
      </c>
      <c r="H132" s="280"/>
      <c r="I132" s="276">
        <v>0</v>
      </c>
      <c r="J132" s="280"/>
      <c r="K132" s="276">
        <v>0</v>
      </c>
      <c r="L132" s="280"/>
      <c r="M132" s="276">
        <v>0</v>
      </c>
      <c r="N132" s="281">
        <v>1</v>
      </c>
      <c r="O132" s="276">
        <v>43480.816890660324</v>
      </c>
      <c r="P132" s="280"/>
      <c r="Q132" s="276">
        <v>0</v>
      </c>
      <c r="R132" s="280"/>
      <c r="S132" s="276">
        <v>0</v>
      </c>
      <c r="T132" s="280"/>
      <c r="U132" s="276">
        <v>0</v>
      </c>
      <c r="V132" s="280"/>
      <c r="W132" s="276">
        <v>0</v>
      </c>
      <c r="X132" s="280"/>
      <c r="Y132" s="276">
        <v>0</v>
      </c>
      <c r="Z132" s="281"/>
      <c r="AA132" s="276">
        <v>0</v>
      </c>
      <c r="AB132" s="398"/>
      <c r="AC132" s="305">
        <v>0</v>
      </c>
      <c r="AD132" s="277"/>
      <c r="AE132" s="329">
        <v>0</v>
      </c>
      <c r="AF132" s="145"/>
      <c r="AG132" s="56">
        <v>0</v>
      </c>
      <c r="AH132" s="144"/>
      <c r="AI132" s="56">
        <v>0</v>
      </c>
      <c r="AJ132" s="144"/>
      <c r="AK132" s="56">
        <v>0</v>
      </c>
      <c r="AL132" s="144">
        <v>1</v>
      </c>
      <c r="AM132" s="56">
        <v>43480.816890660324</v>
      </c>
      <c r="AN132" s="81">
        <v>130442.45067198097</v>
      </c>
      <c r="AO132" s="106">
        <v>3</v>
      </c>
      <c r="AP132" s="122" t="s">
        <v>318</v>
      </c>
      <c r="AQ132" s="127">
        <v>1</v>
      </c>
      <c r="AR132" s="121">
        <v>130442.45067198097</v>
      </c>
      <c r="AS132" s="333" t="s">
        <v>331</v>
      </c>
      <c r="AT132" s="360">
        <v>18</v>
      </c>
    </row>
    <row r="133" spans="1:46" x14ac:dyDescent="0.3">
      <c r="A133" s="419" t="s">
        <v>23</v>
      </c>
      <c r="B133" s="274" t="s">
        <v>24</v>
      </c>
      <c r="C133" s="274" t="s">
        <v>344</v>
      </c>
      <c r="D133" s="281">
        <v>1</v>
      </c>
      <c r="E133" s="276">
        <v>31881.451880098426</v>
      </c>
      <c r="F133" s="281"/>
      <c r="G133" s="276">
        <v>0</v>
      </c>
      <c r="H133" s="281"/>
      <c r="I133" s="276">
        <v>0</v>
      </c>
      <c r="J133" s="281"/>
      <c r="K133" s="276">
        <v>0</v>
      </c>
      <c r="L133" s="281"/>
      <c r="M133" s="276">
        <v>0</v>
      </c>
      <c r="N133" s="281"/>
      <c r="O133" s="276">
        <v>0</v>
      </c>
      <c r="P133" s="281"/>
      <c r="Q133" s="276">
        <v>0</v>
      </c>
      <c r="R133" s="281"/>
      <c r="S133" s="276">
        <v>0</v>
      </c>
      <c r="T133" s="281"/>
      <c r="U133" s="276">
        <v>0</v>
      </c>
      <c r="V133" s="281"/>
      <c r="W133" s="276">
        <v>0</v>
      </c>
      <c r="X133" s="281"/>
      <c r="Y133" s="276">
        <v>0</v>
      </c>
      <c r="Z133" s="281"/>
      <c r="AA133" s="276">
        <v>0</v>
      </c>
      <c r="AB133" s="398"/>
      <c r="AC133" s="305">
        <v>0</v>
      </c>
      <c r="AD133" s="277"/>
      <c r="AE133" s="329">
        <v>0</v>
      </c>
      <c r="AF133" s="145"/>
      <c r="AG133" s="56">
        <v>0</v>
      </c>
      <c r="AH133" s="144"/>
      <c r="AI133" s="56">
        <v>0</v>
      </c>
      <c r="AJ133" s="144"/>
      <c r="AK133" s="56">
        <v>0</v>
      </c>
      <c r="AL133" s="144"/>
      <c r="AM133" s="56">
        <v>0</v>
      </c>
      <c r="AN133" s="81">
        <v>31881.451880098426</v>
      </c>
      <c r="AO133" s="106">
        <v>1</v>
      </c>
      <c r="AP133" s="122" t="s">
        <v>318</v>
      </c>
      <c r="AQ133" s="127">
        <v>1</v>
      </c>
      <c r="AR133" s="121">
        <v>31881.451880098426</v>
      </c>
      <c r="AS133" s="333" t="s">
        <v>331</v>
      </c>
      <c r="AT133" s="360">
        <v>18</v>
      </c>
    </row>
    <row r="134" spans="1:46" x14ac:dyDescent="0.3">
      <c r="A134" s="419" t="s">
        <v>36</v>
      </c>
      <c r="B134" s="274" t="s">
        <v>136</v>
      </c>
      <c r="C134" s="274" t="s">
        <v>344</v>
      </c>
      <c r="D134" s="390">
        <v>8</v>
      </c>
      <c r="E134" s="391">
        <v>70240.958933331567</v>
      </c>
      <c r="F134" s="390">
        <v>8</v>
      </c>
      <c r="G134" s="391">
        <v>70240.958933331567</v>
      </c>
      <c r="H134" s="390">
        <v>8</v>
      </c>
      <c r="I134" s="391">
        <v>70240.958933331567</v>
      </c>
      <c r="J134" s="390">
        <v>8</v>
      </c>
      <c r="K134" s="391">
        <v>70240.958933331567</v>
      </c>
      <c r="L134" s="390">
        <v>8</v>
      </c>
      <c r="M134" s="391">
        <v>70240.958933331567</v>
      </c>
      <c r="N134" s="390">
        <v>8</v>
      </c>
      <c r="O134" s="391">
        <v>70240.958933331567</v>
      </c>
      <c r="P134" s="390">
        <v>8</v>
      </c>
      <c r="Q134" s="391">
        <v>70240.958933331567</v>
      </c>
      <c r="R134" s="390">
        <v>8</v>
      </c>
      <c r="S134" s="391">
        <v>70240.958933331567</v>
      </c>
      <c r="T134" s="390">
        <v>8</v>
      </c>
      <c r="U134" s="391">
        <v>70240.958933331567</v>
      </c>
      <c r="V134" s="390">
        <v>8</v>
      </c>
      <c r="W134" s="391">
        <v>70240.958933331567</v>
      </c>
      <c r="X134" s="390">
        <v>8</v>
      </c>
      <c r="Y134" s="391">
        <v>70240.958933331567</v>
      </c>
      <c r="Z134" s="390">
        <v>8</v>
      </c>
      <c r="AA134" s="391">
        <v>70240.958933331567</v>
      </c>
      <c r="AB134" s="399">
        <v>8</v>
      </c>
      <c r="AC134" s="392">
        <v>70240.958933331596</v>
      </c>
      <c r="AD134" s="277">
        <v>8</v>
      </c>
      <c r="AE134" s="329">
        <v>70240.958933331567</v>
      </c>
      <c r="AF134" s="145">
        <v>8</v>
      </c>
      <c r="AG134" s="56">
        <v>70240.958933331567</v>
      </c>
      <c r="AH134" s="144">
        <v>8</v>
      </c>
      <c r="AI134" s="56">
        <v>70240.958933331567</v>
      </c>
      <c r="AJ134" s="144">
        <v>8</v>
      </c>
      <c r="AK134" s="56">
        <v>70240.958933331567</v>
      </c>
      <c r="AL134" s="144">
        <v>8</v>
      </c>
      <c r="AM134" s="56">
        <v>70240.958933331567</v>
      </c>
      <c r="AN134" s="81">
        <v>1264337.2607999679</v>
      </c>
      <c r="AO134" s="106">
        <v>144</v>
      </c>
      <c r="AP134" s="122" t="s">
        <v>318</v>
      </c>
      <c r="AQ134" s="127">
        <v>1</v>
      </c>
      <c r="AR134" s="121">
        <v>1264337.2607999679</v>
      </c>
      <c r="AS134" s="333" t="s">
        <v>331</v>
      </c>
      <c r="AT134" s="360">
        <v>18</v>
      </c>
    </row>
    <row r="135" spans="1:46" x14ac:dyDescent="0.3">
      <c r="A135" s="419" t="s">
        <v>3</v>
      </c>
      <c r="B135" s="274" t="s">
        <v>4</v>
      </c>
      <c r="C135" s="274" t="s">
        <v>342</v>
      </c>
      <c r="D135" s="281">
        <v>1</v>
      </c>
      <c r="E135" s="276">
        <v>20406.13276336317</v>
      </c>
      <c r="F135" s="281"/>
      <c r="G135" s="276">
        <v>0</v>
      </c>
      <c r="H135" s="281"/>
      <c r="I135" s="276">
        <v>0</v>
      </c>
      <c r="J135" s="281"/>
      <c r="K135" s="276">
        <v>0</v>
      </c>
      <c r="L135" s="281"/>
      <c r="M135" s="276">
        <v>0</v>
      </c>
      <c r="N135" s="281"/>
      <c r="O135" s="276">
        <v>0</v>
      </c>
      <c r="P135" s="281"/>
      <c r="Q135" s="276">
        <v>0</v>
      </c>
      <c r="R135" s="281"/>
      <c r="S135" s="276">
        <v>0</v>
      </c>
      <c r="T135" s="281"/>
      <c r="U135" s="276">
        <v>0</v>
      </c>
      <c r="V135" s="281"/>
      <c r="W135" s="276">
        <v>0</v>
      </c>
      <c r="X135" s="281"/>
      <c r="Y135" s="276">
        <v>0</v>
      </c>
      <c r="Z135" s="281"/>
      <c r="AA135" s="276">
        <v>0</v>
      </c>
      <c r="AB135" s="398"/>
      <c r="AC135" s="305">
        <v>0</v>
      </c>
      <c r="AD135" s="277"/>
      <c r="AE135" s="329">
        <v>0</v>
      </c>
      <c r="AF135" s="144"/>
      <c r="AG135" s="56">
        <v>0</v>
      </c>
      <c r="AH135" s="144"/>
      <c r="AI135" s="56">
        <v>0</v>
      </c>
      <c r="AJ135" s="144"/>
      <c r="AK135" s="56">
        <v>0</v>
      </c>
      <c r="AL135" s="144"/>
      <c r="AM135" s="56">
        <v>0</v>
      </c>
      <c r="AN135" s="81">
        <v>20406.13276336317</v>
      </c>
      <c r="AO135" s="106">
        <v>1</v>
      </c>
      <c r="AP135" s="122" t="s">
        <v>318</v>
      </c>
      <c r="AQ135" s="127">
        <v>1</v>
      </c>
      <c r="AR135" s="121">
        <v>20406.13276336317</v>
      </c>
      <c r="AS135" s="333" t="s">
        <v>331</v>
      </c>
      <c r="AT135" s="360">
        <v>18</v>
      </c>
    </row>
    <row r="136" spans="1:46" x14ac:dyDescent="0.3">
      <c r="A136" s="419" t="s">
        <v>15</v>
      </c>
      <c r="B136" s="274" t="s">
        <v>16</v>
      </c>
      <c r="C136" s="274" t="s">
        <v>342</v>
      </c>
      <c r="D136" s="280"/>
      <c r="E136" s="276">
        <v>0</v>
      </c>
      <c r="F136" s="280"/>
      <c r="G136" s="276">
        <v>0</v>
      </c>
      <c r="H136" s="280"/>
      <c r="I136" s="276">
        <v>0</v>
      </c>
      <c r="J136" s="280"/>
      <c r="K136" s="276">
        <v>0</v>
      </c>
      <c r="L136" s="280"/>
      <c r="M136" s="276">
        <v>0</v>
      </c>
      <c r="N136" s="281">
        <v>1</v>
      </c>
      <c r="O136" s="276">
        <v>22052.520800552971</v>
      </c>
      <c r="P136" s="280"/>
      <c r="Q136" s="276">
        <v>0</v>
      </c>
      <c r="R136" s="280"/>
      <c r="S136" s="276">
        <v>0</v>
      </c>
      <c r="T136" s="280"/>
      <c r="U136" s="276">
        <v>0</v>
      </c>
      <c r="V136" s="280"/>
      <c r="W136" s="276">
        <v>0</v>
      </c>
      <c r="X136" s="280"/>
      <c r="Y136" s="276">
        <v>0</v>
      </c>
      <c r="Z136" s="281"/>
      <c r="AA136" s="276">
        <v>0</v>
      </c>
      <c r="AB136" s="398"/>
      <c r="AC136" s="305">
        <v>0</v>
      </c>
      <c r="AD136" s="277"/>
      <c r="AE136" s="329">
        <v>0</v>
      </c>
      <c r="AF136" s="145"/>
      <c r="AG136" s="56">
        <v>0</v>
      </c>
      <c r="AH136" s="144"/>
      <c r="AI136" s="56">
        <v>0</v>
      </c>
      <c r="AJ136" s="144"/>
      <c r="AK136" s="56">
        <v>0</v>
      </c>
      <c r="AL136" s="144">
        <v>1</v>
      </c>
      <c r="AM136" s="56">
        <v>22052.520800552971</v>
      </c>
      <c r="AN136" s="81">
        <v>44105.041601105942</v>
      </c>
      <c r="AO136" s="106">
        <v>2</v>
      </c>
      <c r="AP136" s="122" t="s">
        <v>318</v>
      </c>
      <c r="AQ136" s="127">
        <v>1</v>
      </c>
      <c r="AR136" s="121">
        <v>44105.041601105942</v>
      </c>
      <c r="AS136" s="333" t="s">
        <v>331</v>
      </c>
      <c r="AT136" s="360">
        <v>18</v>
      </c>
    </row>
    <row r="137" spans="1:46" x14ac:dyDescent="0.3">
      <c r="A137" s="419" t="s">
        <v>1</v>
      </c>
      <c r="B137" s="274" t="s">
        <v>2</v>
      </c>
      <c r="C137" s="274" t="s">
        <v>342</v>
      </c>
      <c r="D137" s="281"/>
      <c r="E137" s="276">
        <v>0</v>
      </c>
      <c r="F137" s="281"/>
      <c r="G137" s="276">
        <v>0</v>
      </c>
      <c r="H137" s="281"/>
      <c r="I137" s="276">
        <v>0</v>
      </c>
      <c r="J137" s="281"/>
      <c r="K137" s="276">
        <v>0</v>
      </c>
      <c r="L137" s="281"/>
      <c r="M137" s="276">
        <v>0</v>
      </c>
      <c r="N137" s="281"/>
      <c r="O137" s="276">
        <v>0</v>
      </c>
      <c r="P137" s="281"/>
      <c r="Q137" s="276">
        <v>0</v>
      </c>
      <c r="R137" s="281"/>
      <c r="S137" s="276">
        <v>0</v>
      </c>
      <c r="T137" s="281"/>
      <c r="U137" s="276">
        <v>0</v>
      </c>
      <c r="V137" s="281"/>
      <c r="W137" s="276">
        <v>0</v>
      </c>
      <c r="X137" s="281"/>
      <c r="Y137" s="276">
        <v>0</v>
      </c>
      <c r="Z137" s="281"/>
      <c r="AA137" s="276">
        <v>0</v>
      </c>
      <c r="AB137" s="398"/>
      <c r="AC137" s="305">
        <v>0</v>
      </c>
      <c r="AD137" s="277"/>
      <c r="AE137" s="329">
        <v>0</v>
      </c>
      <c r="AF137" s="145"/>
      <c r="AG137" s="56">
        <v>0</v>
      </c>
      <c r="AH137" s="144"/>
      <c r="AI137" s="56">
        <v>0</v>
      </c>
      <c r="AJ137" s="144"/>
      <c r="AK137" s="56">
        <v>0</v>
      </c>
      <c r="AL137" s="144">
        <v>1</v>
      </c>
      <c r="AM137" s="56">
        <v>21014.39667403782</v>
      </c>
      <c r="AN137" s="81">
        <v>21014.39667403782</v>
      </c>
      <c r="AO137" s="106">
        <v>1</v>
      </c>
      <c r="AP137" s="122" t="s">
        <v>318</v>
      </c>
      <c r="AQ137" s="127">
        <v>1</v>
      </c>
      <c r="AR137" s="121">
        <v>21014.39667403782</v>
      </c>
      <c r="AS137" s="333" t="s">
        <v>331</v>
      </c>
      <c r="AT137" s="360">
        <v>18</v>
      </c>
    </row>
    <row r="138" spans="1:46" x14ac:dyDescent="0.3">
      <c r="A138" s="419" t="s">
        <v>19</v>
      </c>
      <c r="B138" s="274" t="s">
        <v>20</v>
      </c>
      <c r="C138" s="274" t="s">
        <v>342</v>
      </c>
      <c r="D138" s="281">
        <v>1</v>
      </c>
      <c r="E138" s="276">
        <v>67398.098568534639</v>
      </c>
      <c r="F138" s="281"/>
      <c r="G138" s="276">
        <v>0</v>
      </c>
      <c r="H138" s="281"/>
      <c r="I138" s="276">
        <v>0</v>
      </c>
      <c r="J138" s="281"/>
      <c r="K138" s="276">
        <v>0</v>
      </c>
      <c r="L138" s="281"/>
      <c r="M138" s="276">
        <v>0</v>
      </c>
      <c r="N138" s="281"/>
      <c r="O138" s="276">
        <v>0</v>
      </c>
      <c r="P138" s="281"/>
      <c r="Q138" s="276">
        <v>0</v>
      </c>
      <c r="R138" s="281"/>
      <c r="S138" s="276">
        <v>0</v>
      </c>
      <c r="T138" s="281"/>
      <c r="U138" s="276">
        <v>0</v>
      </c>
      <c r="V138" s="281"/>
      <c r="W138" s="276">
        <v>0</v>
      </c>
      <c r="X138" s="281"/>
      <c r="Y138" s="276">
        <v>0</v>
      </c>
      <c r="Z138" s="281"/>
      <c r="AA138" s="276">
        <v>0</v>
      </c>
      <c r="AB138" s="398"/>
      <c r="AC138" s="305">
        <v>0</v>
      </c>
      <c r="AD138" s="277"/>
      <c r="AE138" s="329">
        <v>0</v>
      </c>
      <c r="AF138" s="145"/>
      <c r="AG138" s="56">
        <v>0</v>
      </c>
      <c r="AH138" s="144"/>
      <c r="AI138" s="56">
        <v>0</v>
      </c>
      <c r="AJ138" s="144"/>
      <c r="AK138" s="56">
        <v>0</v>
      </c>
      <c r="AL138" s="144"/>
      <c r="AM138" s="56">
        <v>0</v>
      </c>
      <c r="AN138" s="81">
        <v>67398.098568534639</v>
      </c>
      <c r="AO138" s="106">
        <v>1</v>
      </c>
      <c r="AP138" s="122" t="s">
        <v>318</v>
      </c>
      <c r="AQ138" s="127">
        <v>1</v>
      </c>
      <c r="AR138" s="121">
        <v>67398.098568534639</v>
      </c>
      <c r="AS138" s="333" t="s">
        <v>331</v>
      </c>
      <c r="AT138" s="360">
        <v>18</v>
      </c>
    </row>
    <row r="139" spans="1:46" x14ac:dyDescent="0.3">
      <c r="A139" s="419" t="s">
        <v>21</v>
      </c>
      <c r="B139" s="274" t="s">
        <v>221</v>
      </c>
      <c r="C139" s="274" t="s">
        <v>342</v>
      </c>
      <c r="D139" s="281">
        <v>1</v>
      </c>
      <c r="E139" s="276">
        <v>67398.098568534639</v>
      </c>
      <c r="F139" s="281"/>
      <c r="G139" s="276">
        <v>0</v>
      </c>
      <c r="H139" s="281"/>
      <c r="I139" s="276">
        <v>0</v>
      </c>
      <c r="J139" s="281"/>
      <c r="K139" s="276">
        <v>0</v>
      </c>
      <c r="L139" s="281"/>
      <c r="M139" s="276">
        <v>0</v>
      </c>
      <c r="N139" s="281"/>
      <c r="O139" s="276">
        <v>0</v>
      </c>
      <c r="P139" s="281"/>
      <c r="Q139" s="276">
        <v>0</v>
      </c>
      <c r="R139" s="281"/>
      <c r="S139" s="276">
        <v>0</v>
      </c>
      <c r="T139" s="281"/>
      <c r="U139" s="276">
        <v>0</v>
      </c>
      <c r="V139" s="281"/>
      <c r="W139" s="276">
        <v>0</v>
      </c>
      <c r="X139" s="281"/>
      <c r="Y139" s="276">
        <v>0</v>
      </c>
      <c r="Z139" s="281"/>
      <c r="AA139" s="276">
        <v>0</v>
      </c>
      <c r="AB139" s="398"/>
      <c r="AC139" s="305">
        <v>0</v>
      </c>
      <c r="AD139" s="277"/>
      <c r="AE139" s="329">
        <v>0</v>
      </c>
      <c r="AF139" s="145"/>
      <c r="AG139" s="56">
        <v>0</v>
      </c>
      <c r="AH139" s="144"/>
      <c r="AI139" s="56">
        <v>0</v>
      </c>
      <c r="AJ139" s="144"/>
      <c r="AK139" s="56">
        <v>0</v>
      </c>
      <c r="AL139" s="144"/>
      <c r="AM139" s="56">
        <v>0</v>
      </c>
      <c r="AN139" s="81">
        <v>67398.098568534639</v>
      </c>
      <c r="AO139" s="106">
        <v>1</v>
      </c>
      <c r="AP139" s="122" t="s">
        <v>319</v>
      </c>
      <c r="AQ139" s="127">
        <v>0.52513966480446927</v>
      </c>
      <c r="AR139" s="121">
        <v>35393.414890738859</v>
      </c>
      <c r="AS139" s="333" t="s">
        <v>331</v>
      </c>
      <c r="AT139" s="360">
        <v>18</v>
      </c>
    </row>
    <row r="140" spans="1:46" x14ac:dyDescent="0.3">
      <c r="A140" s="419" t="s">
        <v>52</v>
      </c>
      <c r="B140" s="274" t="s">
        <v>191</v>
      </c>
      <c r="C140" s="274" t="s">
        <v>342</v>
      </c>
      <c r="D140" s="281">
        <v>1</v>
      </c>
      <c r="E140" s="276">
        <v>26897.079640267821</v>
      </c>
      <c r="F140" s="281"/>
      <c r="G140" s="276">
        <v>0</v>
      </c>
      <c r="H140" s="281"/>
      <c r="I140" s="276">
        <v>0</v>
      </c>
      <c r="J140" s="281"/>
      <c r="K140" s="276">
        <v>0</v>
      </c>
      <c r="L140" s="281"/>
      <c r="M140" s="276">
        <v>0</v>
      </c>
      <c r="N140" s="281"/>
      <c r="O140" s="276">
        <v>0</v>
      </c>
      <c r="P140" s="281"/>
      <c r="Q140" s="276">
        <v>0</v>
      </c>
      <c r="R140" s="281"/>
      <c r="S140" s="276">
        <v>0</v>
      </c>
      <c r="T140" s="281"/>
      <c r="U140" s="276">
        <v>0</v>
      </c>
      <c r="V140" s="281"/>
      <c r="W140" s="276">
        <v>0</v>
      </c>
      <c r="X140" s="281"/>
      <c r="Y140" s="276">
        <v>0</v>
      </c>
      <c r="Z140" s="281"/>
      <c r="AA140" s="276">
        <v>0</v>
      </c>
      <c r="AB140" s="398"/>
      <c r="AC140" s="305">
        <v>0</v>
      </c>
      <c r="AD140" s="277"/>
      <c r="AE140" s="329">
        <v>0</v>
      </c>
      <c r="AF140" s="145"/>
      <c r="AG140" s="56">
        <v>0</v>
      </c>
      <c r="AH140" s="144"/>
      <c r="AI140" s="56">
        <v>0</v>
      </c>
      <c r="AJ140" s="144"/>
      <c r="AK140" s="56">
        <v>0</v>
      </c>
      <c r="AL140" s="144"/>
      <c r="AM140" s="56">
        <v>0</v>
      </c>
      <c r="AN140" s="81">
        <v>26897.079640267821</v>
      </c>
      <c r="AO140" s="106">
        <v>1</v>
      </c>
      <c r="AP140" s="122" t="s">
        <v>319</v>
      </c>
      <c r="AQ140" s="127">
        <v>0</v>
      </c>
      <c r="AR140" s="121">
        <v>0</v>
      </c>
      <c r="AS140" s="333" t="s">
        <v>331</v>
      </c>
      <c r="AT140" s="360">
        <v>18</v>
      </c>
    </row>
    <row r="141" spans="1:46" x14ac:dyDescent="0.3">
      <c r="A141" s="419" t="s">
        <v>53</v>
      </c>
      <c r="B141" s="274" t="s">
        <v>230</v>
      </c>
      <c r="C141" s="274" t="s">
        <v>342</v>
      </c>
      <c r="D141" s="281">
        <v>1</v>
      </c>
      <c r="E141" s="276">
        <v>26897.079640267817</v>
      </c>
      <c r="F141" s="281"/>
      <c r="G141" s="276">
        <v>0</v>
      </c>
      <c r="H141" s="281"/>
      <c r="I141" s="276">
        <v>0</v>
      </c>
      <c r="J141" s="281"/>
      <c r="K141" s="276">
        <v>0</v>
      </c>
      <c r="L141" s="281"/>
      <c r="M141" s="276">
        <v>0</v>
      </c>
      <c r="N141" s="281"/>
      <c r="O141" s="276">
        <v>0</v>
      </c>
      <c r="P141" s="281"/>
      <c r="Q141" s="276">
        <v>0</v>
      </c>
      <c r="R141" s="281"/>
      <c r="S141" s="276">
        <v>0</v>
      </c>
      <c r="T141" s="281"/>
      <c r="U141" s="276">
        <v>0</v>
      </c>
      <c r="V141" s="281"/>
      <c r="W141" s="276">
        <v>0</v>
      </c>
      <c r="X141" s="281"/>
      <c r="Y141" s="276">
        <v>0</v>
      </c>
      <c r="Z141" s="281"/>
      <c r="AA141" s="276">
        <v>0</v>
      </c>
      <c r="AB141" s="398"/>
      <c r="AC141" s="305">
        <v>0</v>
      </c>
      <c r="AD141" s="277"/>
      <c r="AE141" s="329">
        <v>0</v>
      </c>
      <c r="AF141" s="145"/>
      <c r="AG141" s="56">
        <v>0</v>
      </c>
      <c r="AH141" s="144"/>
      <c r="AI141" s="56">
        <v>0</v>
      </c>
      <c r="AJ141" s="144"/>
      <c r="AK141" s="56">
        <v>0</v>
      </c>
      <c r="AL141" s="144"/>
      <c r="AM141" s="56">
        <v>0</v>
      </c>
      <c r="AN141" s="81">
        <v>26897.079640267817</v>
      </c>
      <c r="AO141" s="106">
        <v>1</v>
      </c>
      <c r="AP141" s="122" t="s">
        <v>319</v>
      </c>
      <c r="AQ141" s="127">
        <v>5.5865921787709499E-3</v>
      </c>
      <c r="AR141" s="121">
        <v>150.26301475009953</v>
      </c>
      <c r="AS141" s="333" t="s">
        <v>331</v>
      </c>
      <c r="AT141" s="360">
        <v>18</v>
      </c>
    </row>
    <row r="142" spans="1:46" x14ac:dyDescent="0.3">
      <c r="A142" s="419" t="s">
        <v>5</v>
      </c>
      <c r="B142" s="274" t="s">
        <v>6</v>
      </c>
      <c r="C142" s="274" t="s">
        <v>342</v>
      </c>
      <c r="D142" s="281">
        <v>1</v>
      </c>
      <c r="E142" s="276">
        <v>18768.367820181349</v>
      </c>
      <c r="F142" s="281"/>
      <c r="G142" s="276">
        <v>0</v>
      </c>
      <c r="H142" s="281"/>
      <c r="I142" s="276">
        <v>0</v>
      </c>
      <c r="J142" s="281"/>
      <c r="K142" s="276">
        <v>0</v>
      </c>
      <c r="L142" s="281"/>
      <c r="M142" s="276">
        <v>0</v>
      </c>
      <c r="N142" s="281"/>
      <c r="O142" s="276">
        <v>0</v>
      </c>
      <c r="P142" s="280"/>
      <c r="Q142" s="276">
        <v>0</v>
      </c>
      <c r="R142" s="280"/>
      <c r="S142" s="276">
        <v>0</v>
      </c>
      <c r="T142" s="280"/>
      <c r="U142" s="276">
        <v>0</v>
      </c>
      <c r="V142" s="280"/>
      <c r="W142" s="276">
        <v>0</v>
      </c>
      <c r="X142" s="280"/>
      <c r="Y142" s="276">
        <v>0</v>
      </c>
      <c r="Z142" s="281"/>
      <c r="AA142" s="276">
        <v>0</v>
      </c>
      <c r="AB142" s="398"/>
      <c r="AC142" s="305">
        <v>0</v>
      </c>
      <c r="AD142" s="277"/>
      <c r="AE142" s="329">
        <v>0</v>
      </c>
      <c r="AF142" s="145"/>
      <c r="AG142" s="56">
        <v>0</v>
      </c>
      <c r="AH142" s="144"/>
      <c r="AI142" s="56">
        <v>0</v>
      </c>
      <c r="AJ142" s="144"/>
      <c r="AK142" s="56">
        <v>0</v>
      </c>
      <c r="AL142" s="144"/>
      <c r="AM142" s="56">
        <v>0</v>
      </c>
      <c r="AN142" s="81">
        <v>18768.367820181349</v>
      </c>
      <c r="AO142" s="106">
        <v>1</v>
      </c>
      <c r="AP142" s="122" t="s">
        <v>318</v>
      </c>
      <c r="AQ142" s="127">
        <v>1</v>
      </c>
      <c r="AR142" s="121">
        <v>18768.367820181349</v>
      </c>
      <c r="AS142" s="333" t="s">
        <v>331</v>
      </c>
      <c r="AT142" s="360">
        <v>18</v>
      </c>
    </row>
    <row r="143" spans="1:46" x14ac:dyDescent="0.3">
      <c r="A143" s="419" t="s">
        <v>17</v>
      </c>
      <c r="B143" s="274" t="s">
        <v>18</v>
      </c>
      <c r="C143" s="274" t="s">
        <v>342</v>
      </c>
      <c r="D143" s="281"/>
      <c r="E143" s="276">
        <v>0</v>
      </c>
      <c r="F143" s="281"/>
      <c r="G143" s="276">
        <v>0</v>
      </c>
      <c r="H143" s="281"/>
      <c r="I143" s="276">
        <v>0</v>
      </c>
      <c r="J143" s="281"/>
      <c r="K143" s="276">
        <v>0</v>
      </c>
      <c r="L143" s="281"/>
      <c r="M143" s="276">
        <v>0</v>
      </c>
      <c r="N143" s="281">
        <v>1</v>
      </c>
      <c r="O143" s="276">
        <v>20414.75585737115</v>
      </c>
      <c r="P143" s="280"/>
      <c r="Q143" s="276">
        <v>0</v>
      </c>
      <c r="R143" s="280"/>
      <c r="S143" s="276">
        <v>0</v>
      </c>
      <c r="T143" s="280"/>
      <c r="U143" s="276">
        <v>0</v>
      </c>
      <c r="V143" s="280"/>
      <c r="W143" s="276">
        <v>0</v>
      </c>
      <c r="X143" s="280"/>
      <c r="Y143" s="276">
        <v>0</v>
      </c>
      <c r="Z143" s="281"/>
      <c r="AA143" s="276">
        <v>0</v>
      </c>
      <c r="AB143" s="398"/>
      <c r="AC143" s="305">
        <v>0</v>
      </c>
      <c r="AD143" s="277"/>
      <c r="AE143" s="329">
        <v>0</v>
      </c>
      <c r="AF143" s="144"/>
      <c r="AG143" s="56">
        <v>0</v>
      </c>
      <c r="AH143" s="144"/>
      <c r="AI143" s="56">
        <v>0</v>
      </c>
      <c r="AJ143" s="144"/>
      <c r="AK143" s="56">
        <v>0</v>
      </c>
      <c r="AL143" s="144">
        <v>1</v>
      </c>
      <c r="AM143" s="56">
        <v>20414.75585737115</v>
      </c>
      <c r="AN143" s="81">
        <v>40829.511714742301</v>
      </c>
      <c r="AO143" s="106">
        <v>2</v>
      </c>
      <c r="AP143" s="122" t="s">
        <v>318</v>
      </c>
      <c r="AQ143" s="127">
        <v>1</v>
      </c>
      <c r="AR143" s="121">
        <v>40829.511714742301</v>
      </c>
      <c r="AS143" s="333" t="s">
        <v>331</v>
      </c>
      <c r="AT143" s="360">
        <v>18</v>
      </c>
    </row>
    <row r="144" spans="1:46" x14ac:dyDescent="0.3">
      <c r="A144" s="419" t="s">
        <v>113</v>
      </c>
      <c r="B144" s="295" t="s">
        <v>139</v>
      </c>
      <c r="C144" s="274" t="s">
        <v>342</v>
      </c>
      <c r="D144" s="281">
        <v>1</v>
      </c>
      <c r="E144" s="276">
        <v>60236.092716419647</v>
      </c>
      <c r="F144" s="281"/>
      <c r="G144" s="276">
        <v>0</v>
      </c>
      <c r="H144" s="281"/>
      <c r="I144" s="276">
        <v>0</v>
      </c>
      <c r="J144" s="281"/>
      <c r="K144" s="276">
        <v>0</v>
      </c>
      <c r="L144" s="281"/>
      <c r="M144" s="276">
        <v>0</v>
      </c>
      <c r="N144" s="281"/>
      <c r="O144" s="276">
        <v>0</v>
      </c>
      <c r="P144" s="281"/>
      <c r="Q144" s="276">
        <v>0</v>
      </c>
      <c r="R144" s="281"/>
      <c r="S144" s="276">
        <v>0</v>
      </c>
      <c r="T144" s="281"/>
      <c r="U144" s="276">
        <v>0</v>
      </c>
      <c r="V144" s="281"/>
      <c r="W144" s="276">
        <v>0</v>
      </c>
      <c r="X144" s="281"/>
      <c r="Y144" s="276">
        <v>0</v>
      </c>
      <c r="Z144" s="281"/>
      <c r="AA144" s="276">
        <v>0</v>
      </c>
      <c r="AB144" s="398"/>
      <c r="AC144" s="305">
        <v>0</v>
      </c>
      <c r="AD144" s="277"/>
      <c r="AE144" s="329">
        <v>0</v>
      </c>
      <c r="AF144" s="145"/>
      <c r="AG144" s="56">
        <v>0</v>
      </c>
      <c r="AH144" s="144"/>
      <c r="AI144" s="56">
        <v>0</v>
      </c>
      <c r="AJ144" s="144"/>
      <c r="AK144" s="56">
        <v>0</v>
      </c>
      <c r="AL144" s="144"/>
      <c r="AM144" s="56">
        <v>0</v>
      </c>
      <c r="AN144" s="81">
        <v>60236.092716419647</v>
      </c>
      <c r="AO144" s="106">
        <v>1</v>
      </c>
      <c r="AP144" s="122" t="s">
        <v>319</v>
      </c>
      <c r="AQ144" s="127">
        <v>1.11731843575419E-2</v>
      </c>
      <c r="AR144" s="121">
        <v>673.02896889854355</v>
      </c>
      <c r="AS144" s="333" t="s">
        <v>331</v>
      </c>
      <c r="AT144" s="360">
        <v>18</v>
      </c>
    </row>
    <row r="145" spans="1:46" x14ac:dyDescent="0.3">
      <c r="A145" s="419" t="s">
        <v>114</v>
      </c>
      <c r="B145" s="274" t="s">
        <v>140</v>
      </c>
      <c r="C145" s="274" t="s">
        <v>342</v>
      </c>
      <c r="D145" s="281"/>
      <c r="E145" s="276">
        <v>0</v>
      </c>
      <c r="F145" s="281"/>
      <c r="G145" s="276">
        <v>0</v>
      </c>
      <c r="H145" s="281"/>
      <c r="I145" s="276">
        <v>0</v>
      </c>
      <c r="J145" s="281"/>
      <c r="K145" s="276">
        <v>0</v>
      </c>
      <c r="L145" s="281"/>
      <c r="M145" s="276">
        <v>0</v>
      </c>
      <c r="N145" s="281"/>
      <c r="O145" s="276">
        <v>0</v>
      </c>
      <c r="P145" s="281"/>
      <c r="Q145" s="276">
        <v>0</v>
      </c>
      <c r="R145" s="281"/>
      <c r="S145" s="276">
        <v>0</v>
      </c>
      <c r="T145" s="281"/>
      <c r="U145" s="276">
        <v>0</v>
      </c>
      <c r="V145" s="281"/>
      <c r="W145" s="276">
        <v>0</v>
      </c>
      <c r="X145" s="281"/>
      <c r="Y145" s="276">
        <v>0</v>
      </c>
      <c r="Z145" s="281"/>
      <c r="AA145" s="276">
        <v>0</v>
      </c>
      <c r="AB145" s="398"/>
      <c r="AC145" s="305">
        <v>0</v>
      </c>
      <c r="AD145" s="277"/>
      <c r="AE145" s="329">
        <v>0</v>
      </c>
      <c r="AF145" s="145"/>
      <c r="AG145" s="56">
        <v>0</v>
      </c>
      <c r="AH145" s="144"/>
      <c r="AI145" s="56">
        <v>0</v>
      </c>
      <c r="AJ145" s="144"/>
      <c r="AK145" s="56">
        <v>0</v>
      </c>
      <c r="AL145" s="144"/>
      <c r="AM145" s="56">
        <v>0</v>
      </c>
      <c r="AN145" s="81">
        <v>0</v>
      </c>
      <c r="AO145" s="106">
        <v>0</v>
      </c>
      <c r="AP145" s="122" t="s">
        <v>319</v>
      </c>
      <c r="AQ145" s="127">
        <v>1</v>
      </c>
      <c r="AR145" s="121">
        <v>0</v>
      </c>
      <c r="AS145" s="333" t="s">
        <v>331</v>
      </c>
      <c r="AT145" s="360">
        <v>18</v>
      </c>
    </row>
    <row r="146" spans="1:46" x14ac:dyDescent="0.3">
      <c r="A146" s="419" t="s">
        <v>115</v>
      </c>
      <c r="B146" s="274" t="s">
        <v>141</v>
      </c>
      <c r="C146" s="274" t="s">
        <v>342</v>
      </c>
      <c r="D146" s="281"/>
      <c r="E146" s="276">
        <v>0</v>
      </c>
      <c r="F146" s="281"/>
      <c r="G146" s="276">
        <v>0</v>
      </c>
      <c r="H146" s="281"/>
      <c r="I146" s="276">
        <v>0</v>
      </c>
      <c r="J146" s="281"/>
      <c r="K146" s="276">
        <v>0</v>
      </c>
      <c r="L146" s="281"/>
      <c r="M146" s="276">
        <v>0</v>
      </c>
      <c r="N146" s="281"/>
      <c r="O146" s="276">
        <v>0</v>
      </c>
      <c r="P146" s="281"/>
      <c r="Q146" s="276">
        <v>0</v>
      </c>
      <c r="R146" s="281"/>
      <c r="S146" s="276">
        <v>0</v>
      </c>
      <c r="T146" s="281"/>
      <c r="U146" s="276">
        <v>0</v>
      </c>
      <c r="V146" s="281"/>
      <c r="W146" s="276">
        <v>0</v>
      </c>
      <c r="X146" s="281"/>
      <c r="Y146" s="276">
        <v>0</v>
      </c>
      <c r="Z146" s="281"/>
      <c r="AA146" s="276">
        <v>0</v>
      </c>
      <c r="AB146" s="398"/>
      <c r="AC146" s="305">
        <v>0</v>
      </c>
      <c r="AD146" s="277"/>
      <c r="AE146" s="329">
        <v>0</v>
      </c>
      <c r="AF146" s="144"/>
      <c r="AG146" s="56">
        <v>0</v>
      </c>
      <c r="AH146" s="144"/>
      <c r="AI146" s="56">
        <v>0</v>
      </c>
      <c r="AJ146" s="144"/>
      <c r="AK146" s="56">
        <v>0</v>
      </c>
      <c r="AL146" s="144">
        <v>1</v>
      </c>
      <c r="AM146" s="56">
        <v>62748.232282880919</v>
      </c>
      <c r="AN146" s="81">
        <v>62748.232282880919</v>
      </c>
      <c r="AO146" s="106">
        <v>1</v>
      </c>
      <c r="AP146" s="122" t="s">
        <v>319</v>
      </c>
      <c r="AQ146" s="127">
        <v>1.11731843575419E-2</v>
      </c>
      <c r="AR146" s="121">
        <v>701.09756740649073</v>
      </c>
      <c r="AS146" s="333" t="s">
        <v>331</v>
      </c>
      <c r="AT146" s="360">
        <v>18</v>
      </c>
    </row>
    <row r="147" spans="1:46" x14ac:dyDescent="0.3">
      <c r="A147" s="419" t="s">
        <v>34</v>
      </c>
      <c r="B147" s="274" t="s">
        <v>35</v>
      </c>
      <c r="C147" s="274" t="s">
        <v>342</v>
      </c>
      <c r="D147" s="281">
        <v>1</v>
      </c>
      <c r="E147" s="276">
        <v>18146.717863439797</v>
      </c>
      <c r="F147" s="281"/>
      <c r="G147" s="276">
        <v>0</v>
      </c>
      <c r="H147" s="281"/>
      <c r="I147" s="276">
        <v>0</v>
      </c>
      <c r="J147" s="281"/>
      <c r="K147" s="276">
        <v>0</v>
      </c>
      <c r="L147" s="281"/>
      <c r="M147" s="276">
        <v>0</v>
      </c>
      <c r="N147" s="281"/>
      <c r="O147" s="276">
        <v>0</v>
      </c>
      <c r="P147" s="281"/>
      <c r="Q147" s="276">
        <v>0</v>
      </c>
      <c r="R147" s="281"/>
      <c r="S147" s="276">
        <v>0</v>
      </c>
      <c r="T147" s="281"/>
      <c r="U147" s="276">
        <v>0</v>
      </c>
      <c r="V147" s="281"/>
      <c r="W147" s="276">
        <v>0</v>
      </c>
      <c r="X147" s="281"/>
      <c r="Y147" s="276">
        <v>0</v>
      </c>
      <c r="Z147" s="281"/>
      <c r="AA147" s="276">
        <v>0</v>
      </c>
      <c r="AB147" s="398"/>
      <c r="AC147" s="305">
        <v>0</v>
      </c>
      <c r="AD147" s="277"/>
      <c r="AE147" s="329">
        <v>0</v>
      </c>
      <c r="AF147" s="144"/>
      <c r="AG147" s="56">
        <v>0</v>
      </c>
      <c r="AH147" s="144"/>
      <c r="AI147" s="56">
        <v>0</v>
      </c>
      <c r="AJ147" s="144"/>
      <c r="AK147" s="56">
        <v>0</v>
      </c>
      <c r="AL147" s="144"/>
      <c r="AM147" s="56">
        <v>0</v>
      </c>
      <c r="AN147" s="81">
        <v>18146.717863439797</v>
      </c>
      <c r="AO147" s="106">
        <v>1</v>
      </c>
      <c r="AP147" s="179" t="s">
        <v>318</v>
      </c>
      <c r="AQ147" s="127">
        <v>1</v>
      </c>
      <c r="AR147" s="121">
        <v>18146.717863439797</v>
      </c>
      <c r="AS147" s="333" t="s">
        <v>331</v>
      </c>
      <c r="AT147" s="360">
        <v>18</v>
      </c>
    </row>
    <row r="148" spans="1:46" x14ac:dyDescent="0.3">
      <c r="A148" s="419" t="s">
        <v>32</v>
      </c>
      <c r="B148" s="274" t="s">
        <v>143</v>
      </c>
      <c r="C148" s="274" t="s">
        <v>342</v>
      </c>
      <c r="D148" s="281">
        <v>1</v>
      </c>
      <c r="E148" s="276">
        <v>18146.717863439797</v>
      </c>
      <c r="F148" s="281"/>
      <c r="G148" s="276">
        <v>0</v>
      </c>
      <c r="H148" s="281"/>
      <c r="I148" s="276">
        <v>0</v>
      </c>
      <c r="J148" s="281"/>
      <c r="K148" s="276">
        <v>0</v>
      </c>
      <c r="L148" s="281"/>
      <c r="M148" s="276">
        <v>0</v>
      </c>
      <c r="N148" s="281"/>
      <c r="O148" s="276">
        <v>0</v>
      </c>
      <c r="P148" s="281"/>
      <c r="Q148" s="276">
        <v>0</v>
      </c>
      <c r="R148" s="281"/>
      <c r="S148" s="276">
        <v>0</v>
      </c>
      <c r="T148" s="281"/>
      <c r="U148" s="276">
        <v>0</v>
      </c>
      <c r="V148" s="281"/>
      <c r="W148" s="276">
        <v>0</v>
      </c>
      <c r="X148" s="281"/>
      <c r="Y148" s="276">
        <v>0</v>
      </c>
      <c r="Z148" s="281"/>
      <c r="AA148" s="276">
        <v>0</v>
      </c>
      <c r="AB148" s="398"/>
      <c r="AC148" s="305">
        <v>0</v>
      </c>
      <c r="AD148" s="277"/>
      <c r="AE148" s="329">
        <v>0</v>
      </c>
      <c r="AF148" s="144"/>
      <c r="AG148" s="56">
        <v>0</v>
      </c>
      <c r="AH148" s="144"/>
      <c r="AI148" s="56">
        <v>0</v>
      </c>
      <c r="AJ148" s="144"/>
      <c r="AK148" s="56">
        <v>0</v>
      </c>
      <c r="AL148" s="144"/>
      <c r="AM148" s="56">
        <v>0</v>
      </c>
      <c r="AN148" s="81">
        <v>18146.717863439797</v>
      </c>
      <c r="AO148" s="106">
        <v>1</v>
      </c>
      <c r="AP148" s="179" t="s">
        <v>319</v>
      </c>
      <c r="AQ148" s="127">
        <v>1.11731843575419E-2</v>
      </c>
      <c r="AR148" s="121">
        <v>202.75662417251169</v>
      </c>
      <c r="AS148" s="333" t="s">
        <v>331</v>
      </c>
      <c r="AT148" s="360">
        <v>18</v>
      </c>
    </row>
    <row r="149" spans="1:46" x14ac:dyDescent="0.3">
      <c r="A149" s="419" t="s">
        <v>38</v>
      </c>
      <c r="B149" s="274" t="s">
        <v>137</v>
      </c>
      <c r="C149" s="274" t="s">
        <v>342</v>
      </c>
      <c r="D149" s="281">
        <v>1</v>
      </c>
      <c r="E149" s="276">
        <v>56420.692787682223</v>
      </c>
      <c r="F149" s="281"/>
      <c r="G149" s="276">
        <v>0</v>
      </c>
      <c r="H149" s="281"/>
      <c r="I149" s="276">
        <v>0</v>
      </c>
      <c r="J149" s="281"/>
      <c r="K149" s="276">
        <v>0</v>
      </c>
      <c r="L149" s="281"/>
      <c r="M149" s="276">
        <v>0</v>
      </c>
      <c r="N149" s="281"/>
      <c r="O149" s="276">
        <v>0</v>
      </c>
      <c r="P149" s="281"/>
      <c r="Q149" s="276">
        <v>0</v>
      </c>
      <c r="R149" s="281"/>
      <c r="S149" s="276">
        <v>0</v>
      </c>
      <c r="T149" s="281"/>
      <c r="U149" s="276">
        <v>0</v>
      </c>
      <c r="V149" s="281"/>
      <c r="W149" s="276">
        <v>0</v>
      </c>
      <c r="X149" s="281"/>
      <c r="Y149" s="276">
        <v>0</v>
      </c>
      <c r="Z149" s="281"/>
      <c r="AA149" s="276">
        <v>0</v>
      </c>
      <c r="AB149" s="398"/>
      <c r="AC149" s="305">
        <v>0</v>
      </c>
      <c r="AD149" s="277"/>
      <c r="AE149" s="329">
        <v>0</v>
      </c>
      <c r="AF149" s="145"/>
      <c r="AG149" s="56">
        <v>0</v>
      </c>
      <c r="AH149" s="144"/>
      <c r="AI149" s="56">
        <v>0</v>
      </c>
      <c r="AJ149" s="144"/>
      <c r="AK149" s="56">
        <v>0</v>
      </c>
      <c r="AL149" s="144"/>
      <c r="AM149" s="56">
        <v>0</v>
      </c>
      <c r="AN149" s="81">
        <v>56420.692787682223</v>
      </c>
      <c r="AO149" s="106">
        <v>1</v>
      </c>
      <c r="AP149" s="122" t="s">
        <v>319</v>
      </c>
      <c r="AQ149" s="127">
        <v>0.11173184357541899</v>
      </c>
      <c r="AR149" s="121">
        <v>6303.9880209700805</v>
      </c>
      <c r="AS149" s="333" t="s">
        <v>331</v>
      </c>
      <c r="AT149" s="360">
        <v>18</v>
      </c>
    </row>
    <row r="150" spans="1:46" x14ac:dyDescent="0.3">
      <c r="A150" s="419" t="s">
        <v>42</v>
      </c>
      <c r="B150" s="274" t="s">
        <v>228</v>
      </c>
      <c r="C150" s="274" t="s">
        <v>344</v>
      </c>
      <c r="D150" s="281">
        <v>1</v>
      </c>
      <c r="E150" s="276">
        <v>31714.220952863223</v>
      </c>
      <c r="F150" s="281"/>
      <c r="G150" s="276">
        <v>0</v>
      </c>
      <c r="H150" s="281"/>
      <c r="I150" s="276">
        <v>0</v>
      </c>
      <c r="J150" s="281"/>
      <c r="K150" s="276">
        <v>0</v>
      </c>
      <c r="L150" s="281"/>
      <c r="M150" s="276">
        <v>0</v>
      </c>
      <c r="N150" s="281"/>
      <c r="O150" s="276">
        <v>0</v>
      </c>
      <c r="P150" s="281"/>
      <c r="Q150" s="276">
        <v>0</v>
      </c>
      <c r="R150" s="281"/>
      <c r="S150" s="276">
        <v>0</v>
      </c>
      <c r="T150" s="281"/>
      <c r="U150" s="276">
        <v>0</v>
      </c>
      <c r="V150" s="281"/>
      <c r="W150" s="276">
        <v>0</v>
      </c>
      <c r="X150" s="281"/>
      <c r="Y150" s="276">
        <v>0</v>
      </c>
      <c r="Z150" s="281"/>
      <c r="AA150" s="276">
        <v>0</v>
      </c>
      <c r="AB150" s="398"/>
      <c r="AC150" s="305">
        <v>0</v>
      </c>
      <c r="AD150" s="277"/>
      <c r="AE150" s="329">
        <v>0</v>
      </c>
      <c r="AF150" s="144"/>
      <c r="AG150" s="56">
        <v>0</v>
      </c>
      <c r="AH150" s="144"/>
      <c r="AI150" s="56">
        <v>0</v>
      </c>
      <c r="AJ150" s="144"/>
      <c r="AK150" s="56">
        <v>0</v>
      </c>
      <c r="AL150" s="144"/>
      <c r="AM150" s="56">
        <v>0</v>
      </c>
      <c r="AN150" s="81">
        <v>31714.220952863223</v>
      </c>
      <c r="AO150" s="106">
        <v>1</v>
      </c>
      <c r="AP150" s="122" t="s">
        <v>319</v>
      </c>
      <c r="AQ150" s="127">
        <v>2.793296089385475E-2</v>
      </c>
      <c r="AR150" s="121">
        <v>885.87209365539729</v>
      </c>
      <c r="AS150" s="333" t="s">
        <v>331</v>
      </c>
      <c r="AT150" s="360">
        <v>18</v>
      </c>
    </row>
    <row r="151" spans="1:46" x14ac:dyDescent="0.3">
      <c r="A151" s="419" t="s">
        <v>44</v>
      </c>
      <c r="B151" s="274" t="s">
        <v>229</v>
      </c>
      <c r="C151" s="274" t="s">
        <v>344</v>
      </c>
      <c r="D151" s="281">
        <v>1</v>
      </c>
      <c r="E151" s="276">
        <v>31714.220952863223</v>
      </c>
      <c r="F151" s="281"/>
      <c r="G151" s="276">
        <v>0</v>
      </c>
      <c r="H151" s="281"/>
      <c r="I151" s="276">
        <v>0</v>
      </c>
      <c r="J151" s="281"/>
      <c r="K151" s="276">
        <v>0</v>
      </c>
      <c r="L151" s="281"/>
      <c r="M151" s="276">
        <v>0</v>
      </c>
      <c r="N151" s="281"/>
      <c r="O151" s="276">
        <v>0</v>
      </c>
      <c r="P151" s="281"/>
      <c r="Q151" s="276">
        <v>0</v>
      </c>
      <c r="R151" s="281"/>
      <c r="S151" s="276">
        <v>0</v>
      </c>
      <c r="T151" s="281"/>
      <c r="U151" s="276">
        <v>0</v>
      </c>
      <c r="V151" s="281"/>
      <c r="W151" s="276">
        <v>0</v>
      </c>
      <c r="X151" s="281"/>
      <c r="Y151" s="276">
        <v>0</v>
      </c>
      <c r="Z151" s="281"/>
      <c r="AA151" s="276">
        <v>0</v>
      </c>
      <c r="AB151" s="398"/>
      <c r="AC151" s="305">
        <v>0</v>
      </c>
      <c r="AD151" s="277"/>
      <c r="AE151" s="329">
        <v>0</v>
      </c>
      <c r="AF151" s="144"/>
      <c r="AG151" s="56">
        <v>0</v>
      </c>
      <c r="AH151" s="144"/>
      <c r="AI151" s="56">
        <v>0</v>
      </c>
      <c r="AJ151" s="144"/>
      <c r="AK151" s="56">
        <v>0</v>
      </c>
      <c r="AL151" s="144"/>
      <c r="AM151" s="56">
        <v>0</v>
      </c>
      <c r="AN151" s="81">
        <v>31714.220952863223</v>
      </c>
      <c r="AO151" s="106">
        <v>1</v>
      </c>
      <c r="AP151" s="122" t="s">
        <v>319</v>
      </c>
      <c r="AQ151" s="127">
        <v>8.9385474860335198E-2</v>
      </c>
      <c r="AR151" s="121">
        <v>2834.7906996972715</v>
      </c>
      <c r="AS151" s="333" t="s">
        <v>331</v>
      </c>
      <c r="AT151" s="360">
        <v>18</v>
      </c>
    </row>
    <row r="152" spans="1:46" x14ac:dyDescent="0.3">
      <c r="A152" s="419" t="s">
        <v>29</v>
      </c>
      <c r="B152" s="280" t="s">
        <v>196</v>
      </c>
      <c r="C152" s="274" t="s">
        <v>344</v>
      </c>
      <c r="D152" s="281"/>
      <c r="E152" s="276">
        <v>0</v>
      </c>
      <c r="F152" s="281"/>
      <c r="G152" s="276">
        <v>0</v>
      </c>
      <c r="H152" s="281"/>
      <c r="I152" s="276">
        <v>0</v>
      </c>
      <c r="J152" s="281"/>
      <c r="K152" s="276">
        <v>0</v>
      </c>
      <c r="L152" s="281"/>
      <c r="M152" s="276">
        <v>0</v>
      </c>
      <c r="N152" s="281">
        <v>1</v>
      </c>
      <c r="O152" s="276">
        <v>31881.451880098426</v>
      </c>
      <c r="P152" s="281"/>
      <c r="Q152" s="276">
        <v>0</v>
      </c>
      <c r="R152" s="281"/>
      <c r="S152" s="276">
        <v>0</v>
      </c>
      <c r="T152" s="281"/>
      <c r="U152" s="276">
        <v>0</v>
      </c>
      <c r="V152" s="281"/>
      <c r="W152" s="276">
        <v>0</v>
      </c>
      <c r="X152" s="281"/>
      <c r="Y152" s="276">
        <v>0</v>
      </c>
      <c r="Z152" s="281"/>
      <c r="AA152" s="276">
        <v>0</v>
      </c>
      <c r="AB152" s="398"/>
      <c r="AC152" s="305">
        <v>0</v>
      </c>
      <c r="AD152" s="277"/>
      <c r="AE152" s="329">
        <v>0</v>
      </c>
      <c r="AF152" s="145"/>
      <c r="AG152" s="56">
        <v>0</v>
      </c>
      <c r="AH152" s="144"/>
      <c r="AI152" s="56">
        <v>0</v>
      </c>
      <c r="AJ152" s="144"/>
      <c r="AK152" s="56">
        <v>0</v>
      </c>
      <c r="AL152" s="144">
        <v>1</v>
      </c>
      <c r="AM152" s="56">
        <v>31881.451880098426</v>
      </c>
      <c r="AN152" s="81">
        <v>63762.903760196852</v>
      </c>
      <c r="AO152" s="106">
        <v>2</v>
      </c>
      <c r="AP152" s="122" t="s">
        <v>318</v>
      </c>
      <c r="AQ152" s="127">
        <v>1</v>
      </c>
      <c r="AR152" s="121">
        <v>63762.903760196852</v>
      </c>
      <c r="AS152" s="333" t="s">
        <v>331</v>
      </c>
      <c r="AT152" s="360">
        <v>18</v>
      </c>
    </row>
    <row r="153" spans="1:46" x14ac:dyDescent="0.3">
      <c r="A153" s="414" t="s">
        <v>421</v>
      </c>
      <c r="B153" s="96" t="s">
        <v>422</v>
      </c>
      <c r="C153" s="96" t="s">
        <v>423</v>
      </c>
      <c r="D153" s="181"/>
      <c r="E153" s="56"/>
      <c r="F153" s="181"/>
      <c r="G153" s="56"/>
      <c r="H153" s="181"/>
      <c r="I153" s="56"/>
      <c r="J153" s="181"/>
      <c r="K153" s="56"/>
      <c r="L153" s="181"/>
      <c r="M153" s="56"/>
      <c r="N153" s="181"/>
      <c r="O153" s="56"/>
      <c r="P153" s="181"/>
      <c r="Q153" s="56"/>
      <c r="R153" s="181"/>
      <c r="S153" s="56"/>
      <c r="T153" s="181"/>
      <c r="U153" s="56"/>
      <c r="V153" s="181"/>
      <c r="W153" s="56"/>
      <c r="X153" s="181"/>
      <c r="Y153" s="56"/>
      <c r="Z153" s="181"/>
      <c r="AA153" s="56"/>
      <c r="AB153" s="81"/>
      <c r="AC153" s="106"/>
      <c r="AD153" s="315"/>
      <c r="AE153" s="329"/>
      <c r="AF153" s="285"/>
      <c r="AG153" s="314"/>
      <c r="AI153" s="56"/>
      <c r="AJ153" s="144"/>
      <c r="AK153" s="56"/>
      <c r="AL153" s="181"/>
      <c r="AM153" s="56"/>
      <c r="AN153" s="81"/>
      <c r="AO153" s="106"/>
      <c r="AP153" s="104" t="s">
        <v>318</v>
      </c>
      <c r="AQ153" s="119"/>
      <c r="AR153" s="47"/>
      <c r="AS153" s="333" t="s">
        <v>331</v>
      </c>
      <c r="AT153" s="333">
        <v>18</v>
      </c>
    </row>
    <row r="154" spans="1:46" x14ac:dyDescent="0.3">
      <c r="A154" s="420" t="s">
        <v>78</v>
      </c>
      <c r="B154" s="274" t="s">
        <v>194</v>
      </c>
      <c r="C154" s="274" t="s">
        <v>343</v>
      </c>
      <c r="D154" s="281">
        <v>1</v>
      </c>
      <c r="E154" s="276">
        <v>32019.45168009842</v>
      </c>
      <c r="F154" s="281"/>
      <c r="G154" s="276">
        <v>0</v>
      </c>
      <c r="H154" s="281"/>
      <c r="I154" s="276">
        <v>0</v>
      </c>
      <c r="J154" s="281"/>
      <c r="K154" s="276">
        <v>0</v>
      </c>
      <c r="L154" s="281"/>
      <c r="M154" s="276">
        <v>0</v>
      </c>
      <c r="N154" s="281"/>
      <c r="O154" s="276">
        <v>0</v>
      </c>
      <c r="P154" s="281"/>
      <c r="Q154" s="276">
        <v>0</v>
      </c>
      <c r="R154" s="281"/>
      <c r="S154" s="276">
        <v>0</v>
      </c>
      <c r="T154" s="281"/>
      <c r="U154" s="276">
        <v>0</v>
      </c>
      <c r="V154" s="281"/>
      <c r="W154" s="276">
        <v>0</v>
      </c>
      <c r="X154" s="281"/>
      <c r="Y154" s="276">
        <v>0</v>
      </c>
      <c r="Z154" s="281"/>
      <c r="AA154" s="276">
        <v>0</v>
      </c>
      <c r="AB154" s="400"/>
      <c r="AC154" s="310">
        <v>0</v>
      </c>
      <c r="AD154" s="277"/>
      <c r="AE154" s="329">
        <v>0</v>
      </c>
      <c r="AF154" s="145"/>
      <c r="AG154" s="56">
        <v>0</v>
      </c>
      <c r="AH154" s="144"/>
      <c r="AI154" s="56">
        <v>0</v>
      </c>
      <c r="AJ154" s="144"/>
      <c r="AK154" s="56">
        <v>0</v>
      </c>
      <c r="AL154" s="144"/>
      <c r="AM154" s="56">
        <v>0</v>
      </c>
      <c r="AN154" s="81">
        <v>32019.45168009842</v>
      </c>
      <c r="AO154" s="106">
        <v>1</v>
      </c>
      <c r="AP154" s="122" t="s">
        <v>318</v>
      </c>
      <c r="AQ154" s="127">
        <v>1</v>
      </c>
      <c r="AR154" s="121">
        <v>32019.45168009842</v>
      </c>
      <c r="AS154" s="333" t="s">
        <v>353</v>
      </c>
      <c r="AT154" s="360">
        <v>18</v>
      </c>
    </row>
    <row r="155" spans="1:46" x14ac:dyDescent="0.3">
      <c r="A155" s="420" t="s">
        <v>98</v>
      </c>
      <c r="B155" s="274" t="s">
        <v>99</v>
      </c>
      <c r="C155" s="274" t="s">
        <v>342</v>
      </c>
      <c r="D155" s="281">
        <v>1</v>
      </c>
      <c r="E155" s="276">
        <v>17887.388810409495</v>
      </c>
      <c r="F155" s="280"/>
      <c r="G155" s="276">
        <v>0</v>
      </c>
      <c r="H155" s="280"/>
      <c r="I155" s="276">
        <v>0</v>
      </c>
      <c r="J155" s="280"/>
      <c r="K155" s="276">
        <v>0</v>
      </c>
      <c r="L155" s="280"/>
      <c r="M155" s="276">
        <v>0</v>
      </c>
      <c r="N155" s="280"/>
      <c r="O155" s="276">
        <v>0</v>
      </c>
      <c r="P155" s="280"/>
      <c r="Q155" s="276">
        <v>0</v>
      </c>
      <c r="R155" s="280"/>
      <c r="S155" s="276">
        <v>0</v>
      </c>
      <c r="T155" s="280"/>
      <c r="U155" s="276">
        <v>0</v>
      </c>
      <c r="V155" s="280"/>
      <c r="W155" s="276">
        <v>0</v>
      </c>
      <c r="X155" s="280"/>
      <c r="Y155" s="276">
        <v>0</v>
      </c>
      <c r="Z155" s="280"/>
      <c r="AA155" s="276">
        <v>0</v>
      </c>
      <c r="AB155" s="400"/>
      <c r="AC155" s="310">
        <v>0</v>
      </c>
      <c r="AD155" s="277"/>
      <c r="AE155" s="329">
        <v>0</v>
      </c>
      <c r="AF155" s="145"/>
      <c r="AG155" s="56">
        <v>0</v>
      </c>
      <c r="AH155" s="144"/>
      <c r="AI155" s="56">
        <v>0</v>
      </c>
      <c r="AJ155" s="144"/>
      <c r="AK155" s="56">
        <v>0</v>
      </c>
      <c r="AL155" s="144"/>
      <c r="AM155" s="56">
        <v>0</v>
      </c>
      <c r="AN155" s="81">
        <v>17887.388810409495</v>
      </c>
      <c r="AO155" s="106">
        <v>1</v>
      </c>
      <c r="AP155" s="122" t="s">
        <v>318</v>
      </c>
      <c r="AQ155" s="127">
        <v>1</v>
      </c>
      <c r="AR155" s="121">
        <v>17887.388810409495</v>
      </c>
      <c r="AS155" s="333" t="s">
        <v>353</v>
      </c>
      <c r="AT155" s="360">
        <v>18</v>
      </c>
    </row>
    <row r="156" spans="1:46" x14ac:dyDescent="0.3">
      <c r="A156" s="420" t="s">
        <v>104</v>
      </c>
      <c r="B156" s="274" t="s">
        <v>105</v>
      </c>
      <c r="C156" s="274" t="s">
        <v>342</v>
      </c>
      <c r="D156" s="281"/>
      <c r="E156" s="276">
        <v>0</v>
      </c>
      <c r="F156" s="280"/>
      <c r="G156" s="276">
        <v>0</v>
      </c>
      <c r="H156" s="280"/>
      <c r="I156" s="276">
        <v>0</v>
      </c>
      <c r="J156" s="280"/>
      <c r="K156" s="276">
        <v>0</v>
      </c>
      <c r="L156" s="280"/>
      <c r="M156" s="276">
        <v>0</v>
      </c>
      <c r="N156" s="281"/>
      <c r="O156" s="276">
        <v>0</v>
      </c>
      <c r="P156" s="280"/>
      <c r="Q156" s="276">
        <v>0</v>
      </c>
      <c r="R156" s="280"/>
      <c r="S156" s="276">
        <v>0</v>
      </c>
      <c r="T156" s="280"/>
      <c r="U156" s="276">
        <v>0</v>
      </c>
      <c r="V156" s="280"/>
      <c r="W156" s="276">
        <v>0</v>
      </c>
      <c r="X156" s="280"/>
      <c r="Y156" s="276">
        <v>0</v>
      </c>
      <c r="Z156" s="287"/>
      <c r="AA156" s="276">
        <v>0</v>
      </c>
      <c r="AB156" s="400"/>
      <c r="AC156" s="310">
        <v>0</v>
      </c>
      <c r="AD156" s="277"/>
      <c r="AE156" s="329">
        <v>0</v>
      </c>
      <c r="AF156" s="145"/>
      <c r="AG156" s="56">
        <v>0</v>
      </c>
      <c r="AH156" s="144"/>
      <c r="AI156" s="56">
        <v>0</v>
      </c>
      <c r="AJ156" s="144"/>
      <c r="AK156" s="56">
        <v>0</v>
      </c>
      <c r="AL156" s="144">
        <v>1</v>
      </c>
      <c r="AM156" s="56">
        <v>17887.388810409495</v>
      </c>
      <c r="AN156" s="81">
        <v>17887.388810409495</v>
      </c>
      <c r="AO156" s="106">
        <v>1</v>
      </c>
      <c r="AP156" s="122" t="s">
        <v>319</v>
      </c>
      <c r="AQ156" s="127">
        <v>2.5000000000000001E-2</v>
      </c>
      <c r="AR156" s="121">
        <v>447.18472026023738</v>
      </c>
      <c r="AS156" s="333" t="s">
        <v>353</v>
      </c>
      <c r="AT156" s="360">
        <v>18</v>
      </c>
    </row>
    <row r="157" spans="1:46" x14ac:dyDescent="0.3">
      <c r="A157" s="420" t="s">
        <v>3</v>
      </c>
      <c r="B157" s="274" t="s">
        <v>4</v>
      </c>
      <c r="C157" s="274" t="s">
        <v>342</v>
      </c>
      <c r="D157" s="281">
        <v>1</v>
      </c>
      <c r="E157" s="276">
        <v>20406.13276336317</v>
      </c>
      <c r="F157" s="281"/>
      <c r="G157" s="276">
        <v>0</v>
      </c>
      <c r="H157" s="281"/>
      <c r="I157" s="276">
        <v>0</v>
      </c>
      <c r="J157" s="281"/>
      <c r="K157" s="276">
        <v>0</v>
      </c>
      <c r="L157" s="281"/>
      <c r="M157" s="276">
        <v>0</v>
      </c>
      <c r="N157" s="281"/>
      <c r="O157" s="276">
        <v>0</v>
      </c>
      <c r="P157" s="281"/>
      <c r="Q157" s="276">
        <v>0</v>
      </c>
      <c r="R157" s="281"/>
      <c r="S157" s="276">
        <v>0</v>
      </c>
      <c r="T157" s="281"/>
      <c r="U157" s="276">
        <v>0</v>
      </c>
      <c r="V157" s="281"/>
      <c r="W157" s="276">
        <v>0</v>
      </c>
      <c r="X157" s="281"/>
      <c r="Y157" s="276">
        <v>0</v>
      </c>
      <c r="Z157" s="281"/>
      <c r="AA157" s="276">
        <v>0</v>
      </c>
      <c r="AB157" s="400"/>
      <c r="AC157" s="310">
        <v>0</v>
      </c>
      <c r="AD157" s="277"/>
      <c r="AE157" s="329">
        <v>0</v>
      </c>
      <c r="AF157" s="145"/>
      <c r="AG157" s="56">
        <v>0</v>
      </c>
      <c r="AH157" s="144"/>
      <c r="AI157" s="56">
        <v>0</v>
      </c>
      <c r="AJ157" s="144"/>
      <c r="AK157" s="56">
        <v>0</v>
      </c>
      <c r="AL157" s="144"/>
      <c r="AM157" s="56">
        <v>0</v>
      </c>
      <c r="AN157" s="81">
        <v>20406.13276336317</v>
      </c>
      <c r="AO157" s="106">
        <v>1</v>
      </c>
      <c r="AP157" s="122" t="s">
        <v>318</v>
      </c>
      <c r="AQ157" s="127">
        <v>1</v>
      </c>
      <c r="AR157" s="121">
        <v>20406.13276336317</v>
      </c>
      <c r="AS157" s="333" t="s">
        <v>353</v>
      </c>
      <c r="AT157" s="360">
        <v>18</v>
      </c>
    </row>
    <row r="158" spans="1:46" x14ac:dyDescent="0.3">
      <c r="A158" s="420" t="s">
        <v>15</v>
      </c>
      <c r="B158" s="274" t="s">
        <v>16</v>
      </c>
      <c r="C158" s="274" t="s">
        <v>342</v>
      </c>
      <c r="D158" s="281"/>
      <c r="E158" s="276">
        <v>0</v>
      </c>
      <c r="F158" s="281"/>
      <c r="G158" s="276">
        <v>0</v>
      </c>
      <c r="H158" s="281"/>
      <c r="I158" s="276">
        <v>0</v>
      </c>
      <c r="J158" s="281"/>
      <c r="K158" s="276">
        <v>0</v>
      </c>
      <c r="L158" s="281"/>
      <c r="M158" s="276">
        <v>0</v>
      </c>
      <c r="N158" s="281">
        <v>1</v>
      </c>
      <c r="O158" s="276">
        <v>22052.520800552971</v>
      </c>
      <c r="P158" s="281"/>
      <c r="Q158" s="276">
        <v>0</v>
      </c>
      <c r="R158" s="281"/>
      <c r="S158" s="276">
        <v>0</v>
      </c>
      <c r="T158" s="281"/>
      <c r="U158" s="276">
        <v>0</v>
      </c>
      <c r="V158" s="281"/>
      <c r="W158" s="276">
        <v>0</v>
      </c>
      <c r="X158" s="281"/>
      <c r="Y158" s="276">
        <v>0</v>
      </c>
      <c r="Z158" s="281"/>
      <c r="AA158" s="276">
        <v>0</v>
      </c>
      <c r="AB158" s="400"/>
      <c r="AC158" s="310">
        <v>0</v>
      </c>
      <c r="AD158" s="277"/>
      <c r="AE158" s="329">
        <v>0</v>
      </c>
      <c r="AF158" s="145"/>
      <c r="AG158" s="56">
        <v>0</v>
      </c>
      <c r="AH158" s="144"/>
      <c r="AI158" s="56">
        <v>0</v>
      </c>
      <c r="AJ158" s="144"/>
      <c r="AK158" s="56">
        <v>0</v>
      </c>
      <c r="AL158" s="144">
        <v>1</v>
      </c>
      <c r="AM158" s="56">
        <v>22052.520800552971</v>
      </c>
      <c r="AN158" s="81">
        <v>44105.041601105942</v>
      </c>
      <c r="AO158" s="106">
        <v>2</v>
      </c>
      <c r="AP158" s="122" t="s">
        <v>318</v>
      </c>
      <c r="AQ158" s="127">
        <v>1</v>
      </c>
      <c r="AR158" s="121">
        <v>44105.041601105942</v>
      </c>
      <c r="AS158" s="333" t="s">
        <v>353</v>
      </c>
      <c r="AT158" s="360">
        <v>18</v>
      </c>
    </row>
    <row r="159" spans="1:46" x14ac:dyDescent="0.3">
      <c r="A159" s="420" t="s">
        <v>74</v>
      </c>
      <c r="B159" s="274" t="s">
        <v>75</v>
      </c>
      <c r="C159" s="274" t="s">
        <v>342</v>
      </c>
      <c r="D159" s="281">
        <v>1</v>
      </c>
      <c r="E159" s="276">
        <v>21404.190244376427</v>
      </c>
      <c r="F159" s="281"/>
      <c r="G159" s="276">
        <v>0</v>
      </c>
      <c r="H159" s="281"/>
      <c r="I159" s="276">
        <v>0</v>
      </c>
      <c r="J159" s="281"/>
      <c r="K159" s="276">
        <v>0</v>
      </c>
      <c r="L159" s="281"/>
      <c r="M159" s="276">
        <v>0</v>
      </c>
      <c r="N159" s="281"/>
      <c r="O159" s="276">
        <v>0</v>
      </c>
      <c r="P159" s="281"/>
      <c r="Q159" s="276">
        <v>0</v>
      </c>
      <c r="R159" s="281"/>
      <c r="S159" s="276">
        <v>0</v>
      </c>
      <c r="T159" s="281"/>
      <c r="U159" s="276">
        <v>0</v>
      </c>
      <c r="V159" s="281"/>
      <c r="W159" s="276">
        <v>0</v>
      </c>
      <c r="X159" s="281"/>
      <c r="Y159" s="276">
        <v>0</v>
      </c>
      <c r="Z159" s="281"/>
      <c r="AA159" s="276">
        <v>0</v>
      </c>
      <c r="AB159" s="400"/>
      <c r="AC159" s="310">
        <v>0</v>
      </c>
      <c r="AD159" s="277"/>
      <c r="AE159" s="329">
        <v>0</v>
      </c>
      <c r="AF159" s="145"/>
      <c r="AG159" s="56">
        <v>0</v>
      </c>
      <c r="AH159" s="144"/>
      <c r="AI159" s="56">
        <v>0</v>
      </c>
      <c r="AJ159" s="144"/>
      <c r="AK159" s="56">
        <v>0</v>
      </c>
      <c r="AL159" s="144"/>
      <c r="AM159" s="56">
        <v>0</v>
      </c>
      <c r="AN159" s="81">
        <v>21404.190244376427</v>
      </c>
      <c r="AO159" s="106">
        <v>1</v>
      </c>
      <c r="AP159" s="122" t="s">
        <v>319</v>
      </c>
      <c r="AQ159" s="127">
        <v>0</v>
      </c>
      <c r="AR159" s="121">
        <v>0</v>
      </c>
      <c r="AS159" s="333" t="s">
        <v>353</v>
      </c>
      <c r="AT159" s="360">
        <v>18</v>
      </c>
    </row>
    <row r="160" spans="1:46" x14ac:dyDescent="0.3">
      <c r="A160" s="420" t="s">
        <v>23</v>
      </c>
      <c r="B160" s="274" t="s">
        <v>24</v>
      </c>
      <c r="C160" s="274" t="s">
        <v>344</v>
      </c>
      <c r="D160" s="281">
        <v>1</v>
      </c>
      <c r="E160" s="276">
        <v>31881.451880098426</v>
      </c>
      <c r="F160" s="281"/>
      <c r="G160" s="276">
        <v>0</v>
      </c>
      <c r="H160" s="281"/>
      <c r="I160" s="276">
        <v>0</v>
      </c>
      <c r="J160" s="281"/>
      <c r="K160" s="276">
        <v>0</v>
      </c>
      <c r="L160" s="281"/>
      <c r="M160" s="276">
        <v>0</v>
      </c>
      <c r="N160" s="281"/>
      <c r="O160" s="276">
        <v>0</v>
      </c>
      <c r="P160" s="281"/>
      <c r="Q160" s="276">
        <v>0</v>
      </c>
      <c r="R160" s="281"/>
      <c r="S160" s="276">
        <v>0</v>
      </c>
      <c r="T160" s="281"/>
      <c r="U160" s="276">
        <v>0</v>
      </c>
      <c r="V160" s="281"/>
      <c r="W160" s="276">
        <v>0</v>
      </c>
      <c r="X160" s="281"/>
      <c r="Y160" s="276">
        <v>0</v>
      </c>
      <c r="Z160" s="281"/>
      <c r="AA160" s="276">
        <v>0</v>
      </c>
      <c r="AB160" s="400"/>
      <c r="AC160" s="310">
        <v>0</v>
      </c>
      <c r="AD160" s="277"/>
      <c r="AE160" s="329">
        <v>0</v>
      </c>
      <c r="AF160" s="145"/>
      <c r="AG160" s="56">
        <v>0</v>
      </c>
      <c r="AH160" s="144"/>
      <c r="AI160" s="56">
        <v>0</v>
      </c>
      <c r="AJ160" s="144"/>
      <c r="AK160" s="56">
        <v>0</v>
      </c>
      <c r="AL160" s="144"/>
      <c r="AM160" s="56">
        <v>0</v>
      </c>
      <c r="AN160" s="81">
        <v>31881.451880098426</v>
      </c>
      <c r="AO160" s="106">
        <v>1</v>
      </c>
      <c r="AP160" s="122" t="s">
        <v>318</v>
      </c>
      <c r="AQ160" s="127">
        <v>1</v>
      </c>
      <c r="AR160" s="121">
        <v>31881.451880098426</v>
      </c>
      <c r="AS160" s="333" t="s">
        <v>353</v>
      </c>
      <c r="AT160" s="360">
        <v>18</v>
      </c>
    </row>
    <row r="161" spans="1:46" x14ac:dyDescent="0.3">
      <c r="A161" s="420" t="s">
        <v>36</v>
      </c>
      <c r="B161" s="274" t="s">
        <v>136</v>
      </c>
      <c r="C161" s="274" t="s">
        <v>344</v>
      </c>
      <c r="D161" s="308">
        <v>8</v>
      </c>
      <c r="E161" s="276">
        <v>70240.958933331567</v>
      </c>
      <c r="F161" s="308">
        <v>8</v>
      </c>
      <c r="G161" s="276">
        <v>70240.958933331567</v>
      </c>
      <c r="H161" s="308">
        <v>8</v>
      </c>
      <c r="I161" s="276">
        <v>70240.958933331567</v>
      </c>
      <c r="J161" s="308">
        <v>8</v>
      </c>
      <c r="K161" s="276">
        <v>70240.958933331567</v>
      </c>
      <c r="L161" s="308">
        <v>8</v>
      </c>
      <c r="M161" s="276">
        <v>70240.958933331567</v>
      </c>
      <c r="N161" s="308">
        <v>8</v>
      </c>
      <c r="O161" s="276">
        <v>70240.958933331567</v>
      </c>
      <c r="P161" s="308">
        <v>8</v>
      </c>
      <c r="Q161" s="276">
        <v>70240.958933331567</v>
      </c>
      <c r="R161" s="308">
        <v>8</v>
      </c>
      <c r="S161" s="276">
        <v>70240.958933331567</v>
      </c>
      <c r="T161" s="308">
        <v>8</v>
      </c>
      <c r="U161" s="276">
        <v>70240.958933331567</v>
      </c>
      <c r="V161" s="308">
        <v>8</v>
      </c>
      <c r="W161" s="276">
        <v>70240.958933331567</v>
      </c>
      <c r="X161" s="308">
        <v>8</v>
      </c>
      <c r="Y161" s="276">
        <v>70240.958933331567</v>
      </c>
      <c r="Z161" s="308">
        <v>8</v>
      </c>
      <c r="AA161" s="276">
        <v>70240.958933331567</v>
      </c>
      <c r="AB161" s="400">
        <v>8</v>
      </c>
      <c r="AC161" s="310">
        <v>70240.958933331567</v>
      </c>
      <c r="AD161" s="277">
        <v>8</v>
      </c>
      <c r="AE161" s="329">
        <v>70240.958933331567</v>
      </c>
      <c r="AF161" s="145">
        <v>8</v>
      </c>
      <c r="AG161" s="56">
        <v>70240.958933331567</v>
      </c>
      <c r="AH161" s="144">
        <v>8</v>
      </c>
      <c r="AI161" s="56">
        <v>70240.958933331567</v>
      </c>
      <c r="AJ161" s="144">
        <v>8</v>
      </c>
      <c r="AK161" s="56">
        <v>70240.958933331567</v>
      </c>
      <c r="AL161" s="144">
        <v>8</v>
      </c>
      <c r="AM161" s="56">
        <v>70240.958933331567</v>
      </c>
      <c r="AN161" s="81">
        <v>1264337.2607999679</v>
      </c>
      <c r="AO161" s="106">
        <v>144</v>
      </c>
      <c r="AP161" s="122" t="s">
        <v>318</v>
      </c>
      <c r="AQ161" s="127">
        <v>1</v>
      </c>
      <c r="AR161" s="121">
        <v>1264337.2607999679</v>
      </c>
      <c r="AS161" s="333" t="s">
        <v>353</v>
      </c>
      <c r="AT161" s="360">
        <v>18</v>
      </c>
    </row>
    <row r="162" spans="1:46" x14ac:dyDescent="0.3">
      <c r="A162" s="420" t="s">
        <v>11</v>
      </c>
      <c r="B162" s="274" t="s">
        <v>138</v>
      </c>
      <c r="C162" s="274" t="s">
        <v>345</v>
      </c>
      <c r="D162" s="281">
        <v>2</v>
      </c>
      <c r="E162" s="276">
        <v>21664.611276863514</v>
      </c>
      <c r="F162" s="281">
        <v>2</v>
      </c>
      <c r="G162" s="276">
        <v>21664.611276863514</v>
      </c>
      <c r="H162" s="281">
        <v>2</v>
      </c>
      <c r="I162" s="276">
        <v>21664.611276863514</v>
      </c>
      <c r="J162" s="281">
        <v>2</v>
      </c>
      <c r="K162" s="276">
        <v>21664.611276863514</v>
      </c>
      <c r="L162" s="281">
        <v>2</v>
      </c>
      <c r="M162" s="276">
        <v>21664.611276863514</v>
      </c>
      <c r="N162" s="281">
        <v>2</v>
      </c>
      <c r="O162" s="276">
        <v>21664.611276863514</v>
      </c>
      <c r="P162" s="281">
        <v>2</v>
      </c>
      <c r="Q162" s="276">
        <v>21664.611276863514</v>
      </c>
      <c r="R162" s="281">
        <v>2</v>
      </c>
      <c r="S162" s="276">
        <v>21664.611276863514</v>
      </c>
      <c r="T162" s="281">
        <v>2</v>
      </c>
      <c r="U162" s="276">
        <v>21664.611276863514</v>
      </c>
      <c r="V162" s="281">
        <v>2</v>
      </c>
      <c r="W162" s="276">
        <v>21664.611276863514</v>
      </c>
      <c r="X162" s="281">
        <v>2</v>
      </c>
      <c r="Y162" s="276">
        <v>21664.611276863514</v>
      </c>
      <c r="Z162" s="281">
        <v>2</v>
      </c>
      <c r="AA162" s="276">
        <v>21664.611276863514</v>
      </c>
      <c r="AB162" s="400">
        <v>2</v>
      </c>
      <c r="AC162" s="310">
        <v>21664.611276863514</v>
      </c>
      <c r="AD162" s="277">
        <v>2</v>
      </c>
      <c r="AE162" s="329">
        <v>21664.611276863514</v>
      </c>
      <c r="AF162" s="145">
        <v>2</v>
      </c>
      <c r="AG162" s="56">
        <v>21664.611276863514</v>
      </c>
      <c r="AH162" s="144">
        <v>2</v>
      </c>
      <c r="AI162" s="56">
        <v>21664.611276863514</v>
      </c>
      <c r="AJ162" s="144">
        <v>2</v>
      </c>
      <c r="AK162" s="56">
        <v>21664.611276863514</v>
      </c>
      <c r="AL162" s="144">
        <v>2</v>
      </c>
      <c r="AM162" s="56">
        <v>21664.611276863514</v>
      </c>
      <c r="AN162" s="81">
        <v>389963.00298354321</v>
      </c>
      <c r="AO162" s="106">
        <v>36</v>
      </c>
      <c r="AP162" s="122" t="s">
        <v>318</v>
      </c>
      <c r="AQ162" s="127">
        <v>1</v>
      </c>
      <c r="AR162" s="121">
        <v>389963.00298354321</v>
      </c>
      <c r="AS162" s="333" t="s">
        <v>353</v>
      </c>
      <c r="AT162" s="360">
        <v>18</v>
      </c>
    </row>
    <row r="163" spans="1:46" x14ac:dyDescent="0.3">
      <c r="A163" s="420" t="s">
        <v>19</v>
      </c>
      <c r="B163" s="274" t="s">
        <v>20</v>
      </c>
      <c r="C163" s="274" t="s">
        <v>342</v>
      </c>
      <c r="D163" s="281">
        <v>1</v>
      </c>
      <c r="E163" s="276">
        <v>67398.098568534639</v>
      </c>
      <c r="F163" s="281"/>
      <c r="G163" s="276">
        <v>0</v>
      </c>
      <c r="H163" s="281"/>
      <c r="I163" s="276">
        <v>0</v>
      </c>
      <c r="J163" s="281"/>
      <c r="K163" s="276">
        <v>0</v>
      </c>
      <c r="L163" s="281"/>
      <c r="M163" s="276">
        <v>0</v>
      </c>
      <c r="N163" s="281"/>
      <c r="O163" s="276">
        <v>0</v>
      </c>
      <c r="P163" s="281"/>
      <c r="Q163" s="276">
        <v>0</v>
      </c>
      <c r="R163" s="281"/>
      <c r="S163" s="276">
        <v>0</v>
      </c>
      <c r="T163" s="281"/>
      <c r="U163" s="276">
        <v>0</v>
      </c>
      <c r="V163" s="281"/>
      <c r="W163" s="276">
        <v>0</v>
      </c>
      <c r="X163" s="281"/>
      <c r="Y163" s="276">
        <v>0</v>
      </c>
      <c r="Z163" s="281"/>
      <c r="AA163" s="276">
        <v>0</v>
      </c>
      <c r="AB163" s="400"/>
      <c r="AC163" s="310">
        <v>0</v>
      </c>
      <c r="AD163" s="277"/>
      <c r="AE163" s="329">
        <v>0</v>
      </c>
      <c r="AF163" s="145"/>
      <c r="AG163" s="56">
        <v>0</v>
      </c>
      <c r="AH163" s="144"/>
      <c r="AI163" s="56">
        <v>0</v>
      </c>
      <c r="AJ163" s="144"/>
      <c r="AK163" s="56">
        <v>0</v>
      </c>
      <c r="AL163" s="180"/>
      <c r="AM163" s="113">
        <v>0</v>
      </c>
      <c r="AN163" s="81">
        <v>67398.098568534639</v>
      </c>
      <c r="AO163" s="106">
        <v>1</v>
      </c>
      <c r="AP163" s="122" t="s">
        <v>319</v>
      </c>
      <c r="AQ163" s="127">
        <v>0.1</v>
      </c>
      <c r="AR163" s="121">
        <v>6739.8098568534642</v>
      </c>
      <c r="AS163" s="333" t="s">
        <v>353</v>
      </c>
      <c r="AT163" s="360">
        <v>18</v>
      </c>
    </row>
    <row r="164" spans="1:46" x14ac:dyDescent="0.3">
      <c r="A164" s="420" t="s">
        <v>21</v>
      </c>
      <c r="B164" s="274" t="s">
        <v>221</v>
      </c>
      <c r="C164" s="274" t="s">
        <v>342</v>
      </c>
      <c r="D164" s="281">
        <v>1</v>
      </c>
      <c r="E164" s="276">
        <v>67398.098568534639</v>
      </c>
      <c r="F164" s="281"/>
      <c r="G164" s="276">
        <v>0</v>
      </c>
      <c r="H164" s="281"/>
      <c r="I164" s="276">
        <v>0</v>
      </c>
      <c r="J164" s="281"/>
      <c r="K164" s="276">
        <v>0</v>
      </c>
      <c r="L164" s="281"/>
      <c r="M164" s="276">
        <v>0</v>
      </c>
      <c r="N164" s="281"/>
      <c r="O164" s="276">
        <v>0</v>
      </c>
      <c r="P164" s="281"/>
      <c r="Q164" s="276">
        <v>0</v>
      </c>
      <c r="R164" s="281"/>
      <c r="S164" s="276">
        <v>0</v>
      </c>
      <c r="T164" s="281"/>
      <c r="U164" s="276">
        <v>0</v>
      </c>
      <c r="V164" s="281"/>
      <c r="W164" s="276">
        <v>0</v>
      </c>
      <c r="X164" s="281"/>
      <c r="Y164" s="276">
        <v>0</v>
      </c>
      <c r="Z164" s="281"/>
      <c r="AA164" s="276">
        <v>0</v>
      </c>
      <c r="AB164" s="400"/>
      <c r="AC164" s="310">
        <v>0</v>
      </c>
      <c r="AD164" s="277"/>
      <c r="AE164" s="329">
        <v>0</v>
      </c>
      <c r="AF164" s="177"/>
      <c r="AG164" s="56">
        <v>0</v>
      </c>
      <c r="AH164" s="144"/>
      <c r="AI164" s="56">
        <v>0</v>
      </c>
      <c r="AJ164" s="144"/>
      <c r="AK164" s="56">
        <v>0</v>
      </c>
      <c r="AL164" s="144"/>
      <c r="AM164" s="56">
        <v>0</v>
      </c>
      <c r="AN164" s="81">
        <v>67398.098568534639</v>
      </c>
      <c r="AO164" s="106">
        <v>1</v>
      </c>
      <c r="AP164" s="122" t="s">
        <v>319</v>
      </c>
      <c r="AQ164" s="127">
        <v>1.1375</v>
      </c>
      <c r="AR164" s="121">
        <v>76665.337121708144</v>
      </c>
      <c r="AS164" s="333" t="s">
        <v>353</v>
      </c>
      <c r="AT164" s="360">
        <v>18</v>
      </c>
    </row>
    <row r="165" spans="1:46" x14ac:dyDescent="0.3">
      <c r="A165" s="420" t="s">
        <v>34</v>
      </c>
      <c r="B165" s="274" t="s">
        <v>35</v>
      </c>
      <c r="C165" s="274" t="s">
        <v>342</v>
      </c>
      <c r="D165" s="281">
        <v>1</v>
      </c>
      <c r="E165" s="276">
        <v>18146.717863439797</v>
      </c>
      <c r="F165" s="281"/>
      <c r="G165" s="276">
        <v>0</v>
      </c>
      <c r="H165" s="281"/>
      <c r="I165" s="276">
        <v>0</v>
      </c>
      <c r="J165" s="281"/>
      <c r="K165" s="276">
        <v>0</v>
      </c>
      <c r="L165" s="281"/>
      <c r="M165" s="276">
        <v>0</v>
      </c>
      <c r="N165" s="281"/>
      <c r="O165" s="276">
        <v>0</v>
      </c>
      <c r="P165" s="281"/>
      <c r="Q165" s="276">
        <v>0</v>
      </c>
      <c r="R165" s="281"/>
      <c r="S165" s="276">
        <v>0</v>
      </c>
      <c r="T165" s="281"/>
      <c r="U165" s="276">
        <v>0</v>
      </c>
      <c r="V165" s="281"/>
      <c r="W165" s="276">
        <v>0</v>
      </c>
      <c r="X165" s="281"/>
      <c r="Y165" s="276">
        <v>0</v>
      </c>
      <c r="Z165" s="281"/>
      <c r="AA165" s="276">
        <v>0</v>
      </c>
      <c r="AB165" s="400"/>
      <c r="AC165" s="310">
        <v>0</v>
      </c>
      <c r="AD165" s="277"/>
      <c r="AE165" s="329">
        <v>0</v>
      </c>
      <c r="AF165" s="145"/>
      <c r="AG165" s="56">
        <v>0</v>
      </c>
      <c r="AH165" s="144"/>
      <c r="AI165" s="56">
        <v>0</v>
      </c>
      <c r="AJ165" s="144"/>
      <c r="AK165" s="56">
        <v>0</v>
      </c>
      <c r="AL165" s="144"/>
      <c r="AM165" s="56">
        <v>0</v>
      </c>
      <c r="AN165" s="81">
        <v>18146.717863439797</v>
      </c>
      <c r="AO165" s="106">
        <v>1</v>
      </c>
      <c r="AP165" s="122" t="s">
        <v>318</v>
      </c>
      <c r="AQ165" s="127">
        <v>1</v>
      </c>
      <c r="AR165" s="121">
        <v>18146.717863439797</v>
      </c>
      <c r="AS165" s="333" t="s">
        <v>353</v>
      </c>
      <c r="AT165" s="360">
        <v>18</v>
      </c>
    </row>
    <row r="166" spans="1:46" x14ac:dyDescent="0.3">
      <c r="A166" s="420" t="s">
        <v>32</v>
      </c>
      <c r="B166" s="274" t="s">
        <v>33</v>
      </c>
      <c r="C166" s="274" t="s">
        <v>342</v>
      </c>
      <c r="D166" s="281"/>
      <c r="E166" s="276">
        <v>0</v>
      </c>
      <c r="F166" s="281"/>
      <c r="G166" s="276">
        <v>0</v>
      </c>
      <c r="H166" s="281">
        <v>1</v>
      </c>
      <c r="I166" s="276">
        <v>18146.717863439797</v>
      </c>
      <c r="J166" s="281"/>
      <c r="K166" s="276">
        <v>0</v>
      </c>
      <c r="L166" s="281"/>
      <c r="M166" s="276">
        <v>0</v>
      </c>
      <c r="N166" s="281"/>
      <c r="O166" s="276">
        <v>0</v>
      </c>
      <c r="P166" s="281"/>
      <c r="Q166" s="276">
        <v>0</v>
      </c>
      <c r="R166" s="281"/>
      <c r="S166" s="276">
        <v>0</v>
      </c>
      <c r="T166" s="281"/>
      <c r="U166" s="276">
        <v>0</v>
      </c>
      <c r="V166" s="281"/>
      <c r="W166" s="276">
        <v>0</v>
      </c>
      <c r="X166" s="281"/>
      <c r="Y166" s="276">
        <v>0</v>
      </c>
      <c r="Z166" s="281"/>
      <c r="AA166" s="276">
        <v>0</v>
      </c>
      <c r="AB166" s="400"/>
      <c r="AC166" s="310">
        <v>0</v>
      </c>
      <c r="AD166" s="277"/>
      <c r="AE166" s="329">
        <v>0</v>
      </c>
      <c r="AF166" s="144"/>
      <c r="AG166" s="56">
        <v>0</v>
      </c>
      <c r="AH166" s="144"/>
      <c r="AI166" s="56">
        <v>0</v>
      </c>
      <c r="AJ166" s="144"/>
      <c r="AK166" s="56">
        <v>0</v>
      </c>
      <c r="AL166" s="181"/>
      <c r="AM166" s="56">
        <v>0</v>
      </c>
      <c r="AN166" s="81">
        <v>18146.717863439797</v>
      </c>
      <c r="AO166" s="106">
        <v>1</v>
      </c>
      <c r="AP166" s="122" t="s">
        <v>319</v>
      </c>
      <c r="AQ166" s="127">
        <v>0</v>
      </c>
      <c r="AR166" s="121">
        <v>0</v>
      </c>
      <c r="AS166" s="333" t="s">
        <v>353</v>
      </c>
      <c r="AT166" s="360">
        <v>18</v>
      </c>
    </row>
    <row r="167" spans="1:46" x14ac:dyDescent="0.3">
      <c r="A167" s="420" t="s">
        <v>79</v>
      </c>
      <c r="B167" s="274" t="s">
        <v>197</v>
      </c>
      <c r="C167" s="274" t="s">
        <v>344</v>
      </c>
      <c r="D167" s="281">
        <v>4</v>
      </c>
      <c r="E167" s="276">
        <v>82211.022629484622</v>
      </c>
      <c r="F167" s="281">
        <v>4</v>
      </c>
      <c r="G167" s="276">
        <v>82211.022629484622</v>
      </c>
      <c r="H167" s="281">
        <v>4</v>
      </c>
      <c r="I167" s="276">
        <v>82211.022629484622</v>
      </c>
      <c r="J167" s="281">
        <v>4</v>
      </c>
      <c r="K167" s="276">
        <v>82211.022629484622</v>
      </c>
      <c r="L167" s="281">
        <v>4</v>
      </c>
      <c r="M167" s="276">
        <v>82211.022629484622</v>
      </c>
      <c r="N167" s="281">
        <v>4</v>
      </c>
      <c r="O167" s="276">
        <v>82211.022629484622</v>
      </c>
      <c r="P167" s="281">
        <v>4</v>
      </c>
      <c r="Q167" s="276">
        <v>82211.022629484622</v>
      </c>
      <c r="R167" s="281">
        <v>4</v>
      </c>
      <c r="S167" s="276">
        <v>82211.022629484622</v>
      </c>
      <c r="T167" s="281">
        <v>4</v>
      </c>
      <c r="U167" s="276">
        <v>82211.022629484622</v>
      </c>
      <c r="V167" s="281">
        <v>4</v>
      </c>
      <c r="W167" s="276">
        <v>82211.022629484622</v>
      </c>
      <c r="X167" s="281">
        <v>4</v>
      </c>
      <c r="Y167" s="276">
        <v>82211.022629484622</v>
      </c>
      <c r="Z167" s="281">
        <v>4</v>
      </c>
      <c r="AA167" s="276">
        <v>82211.022629484622</v>
      </c>
      <c r="AB167" s="400">
        <v>4</v>
      </c>
      <c r="AC167" s="310">
        <v>82211.022629484622</v>
      </c>
      <c r="AD167" s="277">
        <v>4</v>
      </c>
      <c r="AE167" s="329">
        <v>82211.022629484622</v>
      </c>
      <c r="AF167" s="145">
        <v>4</v>
      </c>
      <c r="AG167" s="56">
        <v>82211.022629484622</v>
      </c>
      <c r="AH167" s="144">
        <v>4</v>
      </c>
      <c r="AI167" s="56">
        <v>82211.022629484622</v>
      </c>
      <c r="AJ167" s="144">
        <v>4</v>
      </c>
      <c r="AK167" s="56">
        <v>82211.022629484622</v>
      </c>
      <c r="AL167" s="144">
        <v>4</v>
      </c>
      <c r="AM167" s="56">
        <v>82211.022629484622</v>
      </c>
      <c r="AN167" s="81">
        <v>1479798.407330723</v>
      </c>
      <c r="AO167" s="106">
        <v>72</v>
      </c>
      <c r="AP167" s="122" t="s">
        <v>318</v>
      </c>
      <c r="AQ167" s="127">
        <v>1</v>
      </c>
      <c r="AR167" s="121">
        <v>1479798.407330723</v>
      </c>
      <c r="AS167" s="333" t="s">
        <v>353</v>
      </c>
      <c r="AT167" s="360">
        <v>18</v>
      </c>
    </row>
    <row r="168" spans="1:46" x14ac:dyDescent="0.3">
      <c r="A168" s="420" t="s">
        <v>27</v>
      </c>
      <c r="B168" s="274" t="s">
        <v>28</v>
      </c>
      <c r="C168" s="274" t="s">
        <v>346</v>
      </c>
      <c r="D168" s="281">
        <v>1</v>
      </c>
      <c r="E168" s="276">
        <v>43480.816890660324</v>
      </c>
      <c r="F168" s="281"/>
      <c r="G168" s="276">
        <v>0</v>
      </c>
      <c r="H168" s="281"/>
      <c r="I168" s="276">
        <v>0</v>
      </c>
      <c r="J168" s="281"/>
      <c r="K168" s="276">
        <v>0</v>
      </c>
      <c r="L168" s="281"/>
      <c r="M168" s="276">
        <v>0</v>
      </c>
      <c r="N168" s="281"/>
      <c r="O168" s="276">
        <v>0</v>
      </c>
      <c r="P168" s="281"/>
      <c r="Q168" s="276">
        <v>0</v>
      </c>
      <c r="R168" s="281"/>
      <c r="S168" s="276">
        <v>0</v>
      </c>
      <c r="T168" s="281"/>
      <c r="U168" s="276">
        <v>0</v>
      </c>
      <c r="V168" s="281"/>
      <c r="W168" s="276">
        <v>0</v>
      </c>
      <c r="X168" s="281"/>
      <c r="Y168" s="276">
        <v>0</v>
      </c>
      <c r="Z168" s="281"/>
      <c r="AA168" s="276">
        <v>0</v>
      </c>
      <c r="AB168" s="400"/>
      <c r="AC168" s="310">
        <v>0</v>
      </c>
      <c r="AD168" s="277"/>
      <c r="AE168" s="329">
        <v>0</v>
      </c>
      <c r="AF168" s="145"/>
      <c r="AG168" s="56">
        <v>0</v>
      </c>
      <c r="AH168" s="144"/>
      <c r="AI168" s="56">
        <v>0</v>
      </c>
      <c r="AJ168" s="144"/>
      <c r="AK168" s="56">
        <v>0</v>
      </c>
      <c r="AL168" s="144">
        <v>1</v>
      </c>
      <c r="AM168" s="56">
        <v>43480.816890660324</v>
      </c>
      <c r="AN168" s="81">
        <v>86961.633781320648</v>
      </c>
      <c r="AO168" s="106">
        <v>2</v>
      </c>
      <c r="AP168" s="122" t="s">
        <v>318</v>
      </c>
      <c r="AQ168" s="127">
        <v>1</v>
      </c>
      <c r="AR168" s="121">
        <v>86961.633781320648</v>
      </c>
      <c r="AS168" s="333" t="s">
        <v>353</v>
      </c>
      <c r="AT168" s="360">
        <v>18</v>
      </c>
    </row>
    <row r="169" spans="1:46" x14ac:dyDescent="0.3">
      <c r="A169" s="420" t="s">
        <v>25</v>
      </c>
      <c r="B169" s="274" t="s">
        <v>26</v>
      </c>
      <c r="C169" s="274" t="s">
        <v>346</v>
      </c>
      <c r="D169" s="281">
        <v>1</v>
      </c>
      <c r="E169" s="276">
        <v>32117.31737996532</v>
      </c>
      <c r="F169" s="281"/>
      <c r="G169" s="276">
        <v>0</v>
      </c>
      <c r="H169" s="281"/>
      <c r="I169" s="276">
        <v>0</v>
      </c>
      <c r="J169" s="281"/>
      <c r="K169" s="276">
        <v>0</v>
      </c>
      <c r="L169" s="281"/>
      <c r="M169" s="276">
        <v>0</v>
      </c>
      <c r="N169" s="281"/>
      <c r="O169" s="276">
        <v>0</v>
      </c>
      <c r="P169" s="281"/>
      <c r="Q169" s="276">
        <v>0</v>
      </c>
      <c r="R169" s="281"/>
      <c r="S169" s="276">
        <v>0</v>
      </c>
      <c r="T169" s="281"/>
      <c r="U169" s="276">
        <v>0</v>
      </c>
      <c r="V169" s="281"/>
      <c r="W169" s="276">
        <v>0</v>
      </c>
      <c r="X169" s="281"/>
      <c r="Y169" s="276">
        <v>0</v>
      </c>
      <c r="Z169" s="281"/>
      <c r="AA169" s="276">
        <v>0</v>
      </c>
      <c r="AB169" s="400"/>
      <c r="AC169" s="310">
        <v>0</v>
      </c>
      <c r="AD169" s="277"/>
      <c r="AE169" s="329">
        <v>0</v>
      </c>
      <c r="AF169" s="145"/>
      <c r="AG169" s="56">
        <v>0</v>
      </c>
      <c r="AH169" s="146"/>
      <c r="AI169" s="56">
        <v>0</v>
      </c>
      <c r="AJ169" s="146"/>
      <c r="AK169" s="56">
        <v>0</v>
      </c>
      <c r="AL169" s="146">
        <v>1</v>
      </c>
      <c r="AM169" s="56">
        <v>32117.31737996532</v>
      </c>
      <c r="AN169" s="81">
        <v>64234.634759930639</v>
      </c>
      <c r="AO169" s="106">
        <v>2</v>
      </c>
      <c r="AP169" s="122" t="s">
        <v>318</v>
      </c>
      <c r="AQ169" s="127">
        <v>1</v>
      </c>
      <c r="AR169" s="121">
        <v>64234.634759930639</v>
      </c>
      <c r="AS169" s="333" t="s">
        <v>353</v>
      </c>
      <c r="AT169" s="360">
        <v>18</v>
      </c>
    </row>
    <row r="170" spans="1:46" x14ac:dyDescent="0.3">
      <c r="A170" s="420" t="s">
        <v>113</v>
      </c>
      <c r="B170" s="295" t="s">
        <v>139</v>
      </c>
      <c r="C170" s="274" t="s">
        <v>342</v>
      </c>
      <c r="D170" s="281">
        <v>1</v>
      </c>
      <c r="E170" s="276">
        <v>60236.092716419647</v>
      </c>
      <c r="F170" s="281"/>
      <c r="G170" s="276">
        <v>0</v>
      </c>
      <c r="H170" s="281"/>
      <c r="I170" s="276">
        <v>0</v>
      </c>
      <c r="J170" s="281"/>
      <c r="K170" s="276">
        <v>0</v>
      </c>
      <c r="L170" s="281"/>
      <c r="M170" s="276">
        <v>0</v>
      </c>
      <c r="N170" s="281"/>
      <c r="O170" s="276">
        <v>0</v>
      </c>
      <c r="P170" s="281"/>
      <c r="Q170" s="276">
        <v>0</v>
      </c>
      <c r="R170" s="281"/>
      <c r="S170" s="276">
        <v>0</v>
      </c>
      <c r="T170" s="281"/>
      <c r="U170" s="276">
        <v>0</v>
      </c>
      <c r="V170" s="281"/>
      <c r="W170" s="276">
        <v>0</v>
      </c>
      <c r="X170" s="281"/>
      <c r="Y170" s="276">
        <v>0</v>
      </c>
      <c r="Z170" s="281"/>
      <c r="AA170" s="276">
        <v>0</v>
      </c>
      <c r="AB170" s="400"/>
      <c r="AC170" s="310">
        <v>0</v>
      </c>
      <c r="AD170" s="277"/>
      <c r="AE170" s="329">
        <v>0</v>
      </c>
      <c r="AF170" s="145"/>
      <c r="AG170" s="56">
        <v>0</v>
      </c>
      <c r="AH170" s="144"/>
      <c r="AI170" s="56">
        <v>0</v>
      </c>
      <c r="AJ170" s="144"/>
      <c r="AK170" s="56">
        <v>0</v>
      </c>
      <c r="AL170" s="144"/>
      <c r="AM170" s="56">
        <v>0</v>
      </c>
      <c r="AN170" s="81">
        <v>60236.092716419647</v>
      </c>
      <c r="AO170" s="106">
        <v>1</v>
      </c>
      <c r="AP170" s="122" t="s">
        <v>319</v>
      </c>
      <c r="AQ170" s="127">
        <v>0.05</v>
      </c>
      <c r="AR170" s="121">
        <v>3011.8046358209826</v>
      </c>
      <c r="AS170" s="333" t="s">
        <v>353</v>
      </c>
      <c r="AT170" s="360">
        <v>18</v>
      </c>
    </row>
    <row r="171" spans="1:46" x14ac:dyDescent="0.3">
      <c r="A171" s="420" t="s">
        <v>114</v>
      </c>
      <c r="B171" s="274" t="s">
        <v>140</v>
      </c>
      <c r="C171" s="274" t="s">
        <v>342</v>
      </c>
      <c r="D171" s="281"/>
      <c r="E171" s="276">
        <v>0</v>
      </c>
      <c r="F171" s="281"/>
      <c r="G171" s="276">
        <v>0</v>
      </c>
      <c r="H171" s="281"/>
      <c r="I171" s="276">
        <v>0</v>
      </c>
      <c r="J171" s="281"/>
      <c r="K171" s="276">
        <v>0</v>
      </c>
      <c r="L171" s="281"/>
      <c r="M171" s="276">
        <v>0</v>
      </c>
      <c r="N171" s="281"/>
      <c r="O171" s="276">
        <v>0</v>
      </c>
      <c r="P171" s="281"/>
      <c r="Q171" s="276">
        <v>0</v>
      </c>
      <c r="R171" s="281"/>
      <c r="S171" s="276">
        <v>0</v>
      </c>
      <c r="T171" s="281"/>
      <c r="U171" s="276">
        <v>0</v>
      </c>
      <c r="V171" s="281"/>
      <c r="W171" s="276">
        <v>0</v>
      </c>
      <c r="X171" s="281"/>
      <c r="Y171" s="276">
        <v>0</v>
      </c>
      <c r="Z171" s="281"/>
      <c r="AA171" s="276">
        <v>0</v>
      </c>
      <c r="AB171" s="400"/>
      <c r="AC171" s="310">
        <v>0</v>
      </c>
      <c r="AD171" s="277"/>
      <c r="AE171" s="329">
        <v>0</v>
      </c>
      <c r="AF171" s="144"/>
      <c r="AG171" s="56">
        <v>0</v>
      </c>
      <c r="AH171" s="144"/>
      <c r="AI171" s="56">
        <v>0</v>
      </c>
      <c r="AJ171" s="144"/>
      <c r="AK171" s="56">
        <v>0</v>
      </c>
      <c r="AL171" s="144"/>
      <c r="AM171" s="56">
        <v>0</v>
      </c>
      <c r="AN171" s="81">
        <v>0</v>
      </c>
      <c r="AO171" s="106">
        <v>0</v>
      </c>
      <c r="AP171" s="122" t="s">
        <v>319</v>
      </c>
      <c r="AQ171" s="127">
        <v>0</v>
      </c>
      <c r="AR171" s="121">
        <v>0</v>
      </c>
      <c r="AS171" s="333" t="s">
        <v>353</v>
      </c>
      <c r="AT171" s="360">
        <v>18</v>
      </c>
    </row>
    <row r="172" spans="1:46" x14ac:dyDescent="0.3">
      <c r="A172" s="420" t="s">
        <v>115</v>
      </c>
      <c r="B172" s="274" t="s">
        <v>141</v>
      </c>
      <c r="C172" s="274" t="s">
        <v>342</v>
      </c>
      <c r="D172" s="281"/>
      <c r="E172" s="276">
        <v>0</v>
      </c>
      <c r="F172" s="281"/>
      <c r="G172" s="276">
        <v>0</v>
      </c>
      <c r="H172" s="281"/>
      <c r="I172" s="276">
        <v>0</v>
      </c>
      <c r="J172" s="281"/>
      <c r="K172" s="276">
        <v>0</v>
      </c>
      <c r="L172" s="281"/>
      <c r="M172" s="276">
        <v>0</v>
      </c>
      <c r="N172" s="281"/>
      <c r="O172" s="276">
        <v>0</v>
      </c>
      <c r="P172" s="281"/>
      <c r="Q172" s="276">
        <v>0</v>
      </c>
      <c r="R172" s="281"/>
      <c r="S172" s="276">
        <v>0</v>
      </c>
      <c r="T172" s="281"/>
      <c r="U172" s="276">
        <v>0</v>
      </c>
      <c r="V172" s="281"/>
      <c r="W172" s="276">
        <v>0</v>
      </c>
      <c r="X172" s="281"/>
      <c r="Y172" s="276">
        <v>0</v>
      </c>
      <c r="Z172" s="281"/>
      <c r="AA172" s="276">
        <v>0</v>
      </c>
      <c r="AB172" s="400"/>
      <c r="AC172" s="310">
        <v>0</v>
      </c>
      <c r="AD172" s="277"/>
      <c r="AE172" s="329">
        <v>0</v>
      </c>
      <c r="AF172" s="144"/>
      <c r="AG172" s="56">
        <v>0</v>
      </c>
      <c r="AH172" s="144"/>
      <c r="AI172" s="56">
        <v>0</v>
      </c>
      <c r="AJ172" s="144"/>
      <c r="AK172" s="56">
        <v>0</v>
      </c>
      <c r="AL172" s="144">
        <v>1</v>
      </c>
      <c r="AM172" s="56">
        <v>62748.232282880919</v>
      </c>
      <c r="AN172" s="81">
        <v>62748.232282880919</v>
      </c>
      <c r="AO172" s="106">
        <v>1</v>
      </c>
      <c r="AP172" s="122" t="s">
        <v>319</v>
      </c>
      <c r="AQ172" s="127">
        <v>0</v>
      </c>
      <c r="AR172" s="121">
        <v>0</v>
      </c>
      <c r="AS172" s="333" t="s">
        <v>353</v>
      </c>
      <c r="AT172" s="360">
        <v>18</v>
      </c>
    </row>
    <row r="173" spans="1:46" x14ac:dyDescent="0.3">
      <c r="A173" s="420" t="s">
        <v>52</v>
      </c>
      <c r="B173" s="274" t="s">
        <v>191</v>
      </c>
      <c r="C173" s="274" t="s">
        <v>342</v>
      </c>
      <c r="D173" s="281">
        <v>1</v>
      </c>
      <c r="E173" s="276">
        <v>26897.079640267821</v>
      </c>
      <c r="F173" s="281"/>
      <c r="G173" s="276">
        <v>0</v>
      </c>
      <c r="H173" s="281"/>
      <c r="I173" s="276">
        <v>0</v>
      </c>
      <c r="J173" s="281"/>
      <c r="K173" s="276">
        <v>0</v>
      </c>
      <c r="L173" s="281"/>
      <c r="M173" s="276">
        <v>0</v>
      </c>
      <c r="N173" s="281"/>
      <c r="O173" s="276">
        <v>0</v>
      </c>
      <c r="P173" s="281"/>
      <c r="Q173" s="276">
        <v>0</v>
      </c>
      <c r="R173" s="281"/>
      <c r="S173" s="276">
        <v>0</v>
      </c>
      <c r="T173" s="281"/>
      <c r="U173" s="276">
        <v>0</v>
      </c>
      <c r="V173" s="281"/>
      <c r="W173" s="276">
        <v>0</v>
      </c>
      <c r="X173" s="281"/>
      <c r="Y173" s="276">
        <v>0</v>
      </c>
      <c r="Z173" s="281"/>
      <c r="AA173" s="276">
        <v>0</v>
      </c>
      <c r="AB173" s="400"/>
      <c r="AC173" s="310">
        <v>0</v>
      </c>
      <c r="AD173" s="277"/>
      <c r="AE173" s="329">
        <v>0</v>
      </c>
      <c r="AF173" s="145"/>
      <c r="AG173" s="56">
        <v>0</v>
      </c>
      <c r="AH173" s="144"/>
      <c r="AI173" s="56">
        <v>0</v>
      </c>
      <c r="AJ173" s="144"/>
      <c r="AK173" s="56">
        <v>0</v>
      </c>
      <c r="AL173" s="144"/>
      <c r="AM173" s="56">
        <v>0</v>
      </c>
      <c r="AN173" s="81">
        <v>26897.079640267821</v>
      </c>
      <c r="AO173" s="106">
        <v>1</v>
      </c>
      <c r="AP173" s="122" t="s">
        <v>319</v>
      </c>
      <c r="AQ173" s="127">
        <v>0</v>
      </c>
      <c r="AR173" s="121">
        <v>0</v>
      </c>
      <c r="AS173" s="333" t="s">
        <v>353</v>
      </c>
      <c r="AT173" s="360">
        <v>18</v>
      </c>
    </row>
    <row r="174" spans="1:46" x14ac:dyDescent="0.3">
      <c r="A174" s="420" t="s">
        <v>53</v>
      </c>
      <c r="B174" s="274" t="s">
        <v>190</v>
      </c>
      <c r="C174" s="274" t="s">
        <v>342</v>
      </c>
      <c r="D174" s="281">
        <v>1</v>
      </c>
      <c r="E174" s="276">
        <v>26897.079640267817</v>
      </c>
      <c r="F174" s="281"/>
      <c r="G174" s="276">
        <v>0</v>
      </c>
      <c r="H174" s="281"/>
      <c r="I174" s="276">
        <v>0</v>
      </c>
      <c r="J174" s="281"/>
      <c r="K174" s="276">
        <v>0</v>
      </c>
      <c r="L174" s="281"/>
      <c r="M174" s="276">
        <v>0</v>
      </c>
      <c r="N174" s="281"/>
      <c r="O174" s="276">
        <v>0</v>
      </c>
      <c r="P174" s="281"/>
      <c r="Q174" s="276">
        <v>0</v>
      </c>
      <c r="R174" s="281"/>
      <c r="S174" s="276">
        <v>0</v>
      </c>
      <c r="T174" s="281"/>
      <c r="U174" s="276">
        <v>0</v>
      </c>
      <c r="V174" s="281"/>
      <c r="W174" s="276">
        <v>0</v>
      </c>
      <c r="X174" s="281"/>
      <c r="Y174" s="276">
        <v>0</v>
      </c>
      <c r="Z174" s="281"/>
      <c r="AA174" s="276">
        <v>0</v>
      </c>
      <c r="AB174" s="400"/>
      <c r="AC174" s="310">
        <v>0</v>
      </c>
      <c r="AD174" s="277"/>
      <c r="AE174" s="329">
        <v>0</v>
      </c>
      <c r="AF174" s="145"/>
      <c r="AG174" s="56">
        <v>0</v>
      </c>
      <c r="AH174" s="144"/>
      <c r="AI174" s="56">
        <v>0</v>
      </c>
      <c r="AJ174" s="144"/>
      <c r="AK174" s="56">
        <v>0</v>
      </c>
      <c r="AL174" s="144"/>
      <c r="AM174" s="56">
        <v>0</v>
      </c>
      <c r="AN174" s="81">
        <v>26897.079640267817</v>
      </c>
      <c r="AO174" s="106">
        <v>1</v>
      </c>
      <c r="AP174" s="122" t="s">
        <v>319</v>
      </c>
      <c r="AQ174" s="127">
        <v>1</v>
      </c>
      <c r="AR174" s="121">
        <v>26897.079640267817</v>
      </c>
      <c r="AS174" s="333" t="s">
        <v>353</v>
      </c>
      <c r="AT174" s="360">
        <v>18</v>
      </c>
    </row>
    <row r="175" spans="1:46" x14ac:dyDescent="0.3">
      <c r="A175" s="420" t="s">
        <v>29</v>
      </c>
      <c r="B175" s="274" t="s">
        <v>196</v>
      </c>
      <c r="C175" s="274" t="s">
        <v>344</v>
      </c>
      <c r="D175" s="281"/>
      <c r="E175" s="276">
        <v>0</v>
      </c>
      <c r="F175" s="281"/>
      <c r="G175" s="276">
        <v>0</v>
      </c>
      <c r="H175" s="281"/>
      <c r="I175" s="276">
        <v>0</v>
      </c>
      <c r="J175" s="281"/>
      <c r="K175" s="276">
        <v>0</v>
      </c>
      <c r="L175" s="281"/>
      <c r="M175" s="276">
        <v>0</v>
      </c>
      <c r="N175" s="281"/>
      <c r="O175" s="276">
        <v>0</v>
      </c>
      <c r="P175" s="281"/>
      <c r="Q175" s="276">
        <v>0</v>
      </c>
      <c r="R175" s="281"/>
      <c r="S175" s="276">
        <v>0</v>
      </c>
      <c r="T175" s="281"/>
      <c r="U175" s="276">
        <v>0</v>
      </c>
      <c r="V175" s="281"/>
      <c r="W175" s="276">
        <v>0</v>
      </c>
      <c r="X175" s="281"/>
      <c r="Y175" s="276">
        <v>0</v>
      </c>
      <c r="Z175" s="281"/>
      <c r="AA175" s="276">
        <v>0</v>
      </c>
      <c r="AB175" s="400"/>
      <c r="AC175" s="310">
        <v>0</v>
      </c>
      <c r="AD175" s="277"/>
      <c r="AE175" s="329">
        <v>0</v>
      </c>
      <c r="AF175" s="145"/>
      <c r="AG175" s="56">
        <v>0</v>
      </c>
      <c r="AH175" s="144"/>
      <c r="AI175" s="56">
        <v>0</v>
      </c>
      <c r="AJ175" s="144"/>
      <c r="AK175" s="56">
        <v>0</v>
      </c>
      <c r="AL175" s="144">
        <v>1</v>
      </c>
      <c r="AM175" s="56">
        <v>31881.451880098426</v>
      </c>
      <c r="AN175" s="81">
        <v>31881.451880098426</v>
      </c>
      <c r="AO175" s="106">
        <v>1</v>
      </c>
      <c r="AP175" s="122" t="s">
        <v>318</v>
      </c>
      <c r="AQ175" s="127">
        <v>1</v>
      </c>
      <c r="AR175" s="121">
        <v>31881.451880098426</v>
      </c>
      <c r="AS175" s="333" t="s">
        <v>353</v>
      </c>
      <c r="AT175" s="360">
        <v>18</v>
      </c>
    </row>
    <row r="176" spans="1:46" x14ac:dyDescent="0.3">
      <c r="A176" s="420" t="s">
        <v>38</v>
      </c>
      <c r="B176" s="274" t="s">
        <v>137</v>
      </c>
      <c r="C176" s="274" t="s">
        <v>342</v>
      </c>
      <c r="D176" s="281">
        <v>1</v>
      </c>
      <c r="E176" s="276">
        <v>56420.692787682223</v>
      </c>
      <c r="F176" s="281"/>
      <c r="G176" s="276">
        <v>0</v>
      </c>
      <c r="H176" s="281"/>
      <c r="I176" s="276">
        <v>0</v>
      </c>
      <c r="J176" s="281"/>
      <c r="K176" s="276">
        <v>0</v>
      </c>
      <c r="L176" s="281"/>
      <c r="M176" s="276">
        <v>0</v>
      </c>
      <c r="N176" s="281"/>
      <c r="O176" s="276">
        <v>0</v>
      </c>
      <c r="P176" s="281"/>
      <c r="Q176" s="276">
        <v>0</v>
      </c>
      <c r="R176" s="281"/>
      <c r="S176" s="276">
        <v>0</v>
      </c>
      <c r="T176" s="281"/>
      <c r="U176" s="276">
        <v>0</v>
      </c>
      <c r="V176" s="281"/>
      <c r="W176" s="276">
        <v>0</v>
      </c>
      <c r="X176" s="281"/>
      <c r="Y176" s="276">
        <v>0</v>
      </c>
      <c r="Z176" s="281"/>
      <c r="AA176" s="276">
        <v>0</v>
      </c>
      <c r="AB176" s="400"/>
      <c r="AC176" s="310">
        <v>0</v>
      </c>
      <c r="AD176" s="277"/>
      <c r="AE176" s="329">
        <v>0</v>
      </c>
      <c r="AF176" s="144"/>
      <c r="AG176" s="56">
        <v>0</v>
      </c>
      <c r="AH176" s="144"/>
      <c r="AI176" s="56">
        <v>0</v>
      </c>
      <c r="AJ176" s="144"/>
      <c r="AK176" s="56">
        <v>0</v>
      </c>
      <c r="AL176" s="144"/>
      <c r="AM176" s="56">
        <v>0</v>
      </c>
      <c r="AN176" s="81">
        <v>56420.692787682223</v>
      </c>
      <c r="AO176" s="106">
        <v>1</v>
      </c>
      <c r="AP176" s="122" t="s">
        <v>319</v>
      </c>
      <c r="AQ176" s="127">
        <v>0.23749999999999999</v>
      </c>
      <c r="AR176" s="121">
        <v>13399.914537074528</v>
      </c>
      <c r="AS176" s="333" t="s">
        <v>353</v>
      </c>
      <c r="AT176" s="360">
        <v>18</v>
      </c>
    </row>
    <row r="177" spans="1:46" x14ac:dyDescent="0.3">
      <c r="A177" s="420" t="s">
        <v>46</v>
      </c>
      <c r="B177" s="274" t="s">
        <v>47</v>
      </c>
      <c r="C177" s="274" t="s">
        <v>342</v>
      </c>
      <c r="D177" s="281"/>
      <c r="E177" s="276">
        <v>0</v>
      </c>
      <c r="F177" s="280"/>
      <c r="G177" s="276">
        <v>0</v>
      </c>
      <c r="H177" s="280"/>
      <c r="I177" s="276">
        <v>0</v>
      </c>
      <c r="J177" s="280"/>
      <c r="K177" s="276">
        <v>0</v>
      </c>
      <c r="L177" s="280"/>
      <c r="M177" s="276">
        <v>0</v>
      </c>
      <c r="N177" s="280"/>
      <c r="O177" s="276">
        <v>0</v>
      </c>
      <c r="P177" s="280"/>
      <c r="Q177" s="276">
        <v>0</v>
      </c>
      <c r="R177" s="280"/>
      <c r="S177" s="276">
        <v>0</v>
      </c>
      <c r="T177" s="280"/>
      <c r="U177" s="276">
        <v>0</v>
      </c>
      <c r="V177" s="280"/>
      <c r="W177" s="276">
        <v>0</v>
      </c>
      <c r="X177" s="280"/>
      <c r="Y177" s="276">
        <v>0</v>
      </c>
      <c r="Z177" s="280"/>
      <c r="AA177" s="276">
        <v>0</v>
      </c>
      <c r="AB177" s="400"/>
      <c r="AC177" s="310">
        <v>0</v>
      </c>
      <c r="AD177" s="277"/>
      <c r="AE177" s="329">
        <v>0</v>
      </c>
      <c r="AF177" s="145"/>
      <c r="AG177" s="56">
        <v>0</v>
      </c>
      <c r="AH177" s="144"/>
      <c r="AI177" s="56">
        <v>0</v>
      </c>
      <c r="AJ177" s="144"/>
      <c r="AK177" s="56">
        <v>0</v>
      </c>
      <c r="AL177" s="144"/>
      <c r="AM177" s="56">
        <v>0</v>
      </c>
      <c r="AN177" s="81">
        <v>0</v>
      </c>
      <c r="AO177" s="106">
        <v>0</v>
      </c>
      <c r="AP177" s="122" t="s">
        <v>319</v>
      </c>
      <c r="AQ177" s="127">
        <v>0</v>
      </c>
      <c r="AR177" s="121">
        <v>0</v>
      </c>
      <c r="AS177" s="333" t="s">
        <v>353</v>
      </c>
      <c r="AT177" s="360">
        <v>18</v>
      </c>
    </row>
    <row r="178" spans="1:46" x14ac:dyDescent="0.3">
      <c r="A178" s="420" t="s">
        <v>48</v>
      </c>
      <c r="B178" s="274" t="s">
        <v>222</v>
      </c>
      <c r="C178" s="274" t="s">
        <v>342</v>
      </c>
      <c r="D178" s="281"/>
      <c r="E178" s="276">
        <v>0</v>
      </c>
      <c r="F178" s="281"/>
      <c r="G178" s="276">
        <v>0</v>
      </c>
      <c r="H178" s="281"/>
      <c r="I178" s="276">
        <v>0</v>
      </c>
      <c r="J178" s="281"/>
      <c r="K178" s="276">
        <v>0</v>
      </c>
      <c r="L178" s="281"/>
      <c r="M178" s="276">
        <v>0</v>
      </c>
      <c r="N178" s="281"/>
      <c r="O178" s="276">
        <v>0</v>
      </c>
      <c r="P178" s="281"/>
      <c r="Q178" s="276">
        <v>0</v>
      </c>
      <c r="R178" s="281"/>
      <c r="S178" s="276">
        <v>0</v>
      </c>
      <c r="T178" s="281"/>
      <c r="U178" s="276">
        <v>0</v>
      </c>
      <c r="V178" s="281"/>
      <c r="W178" s="276">
        <v>0</v>
      </c>
      <c r="X178" s="281"/>
      <c r="Y178" s="276">
        <v>0</v>
      </c>
      <c r="Z178" s="281"/>
      <c r="AA178" s="276">
        <v>0</v>
      </c>
      <c r="AB178" s="400"/>
      <c r="AC178" s="310">
        <v>0</v>
      </c>
      <c r="AD178" s="277"/>
      <c r="AE178" s="329">
        <v>0</v>
      </c>
      <c r="AF178" s="145"/>
      <c r="AG178" s="56">
        <v>0</v>
      </c>
      <c r="AH178" s="144"/>
      <c r="AI178" s="56">
        <v>0</v>
      </c>
      <c r="AJ178" s="144"/>
      <c r="AK178" s="56">
        <v>0</v>
      </c>
      <c r="AL178" s="144"/>
      <c r="AM178" s="56">
        <v>0</v>
      </c>
      <c r="AN178" s="81">
        <v>0</v>
      </c>
      <c r="AO178" s="106">
        <v>0</v>
      </c>
      <c r="AP178" s="122" t="s">
        <v>319</v>
      </c>
      <c r="AQ178" s="127">
        <v>1</v>
      </c>
      <c r="AR178" s="121">
        <v>0</v>
      </c>
      <c r="AS178" s="333" t="s">
        <v>353</v>
      </c>
      <c r="AT178" s="360">
        <v>18</v>
      </c>
    </row>
    <row r="179" spans="1:46" x14ac:dyDescent="0.3">
      <c r="A179" s="421" t="s">
        <v>80</v>
      </c>
      <c r="B179" s="311" t="s">
        <v>193</v>
      </c>
      <c r="C179" s="274" t="s">
        <v>343</v>
      </c>
      <c r="D179" s="289"/>
      <c r="E179" s="276">
        <v>0</v>
      </c>
      <c r="F179" s="289"/>
      <c r="G179" s="276">
        <v>0</v>
      </c>
      <c r="H179" s="289"/>
      <c r="I179" s="276">
        <v>0</v>
      </c>
      <c r="J179" s="289"/>
      <c r="K179" s="276">
        <v>0</v>
      </c>
      <c r="L179" s="289"/>
      <c r="M179" s="276">
        <v>0</v>
      </c>
      <c r="N179" s="289"/>
      <c r="O179" s="276">
        <v>0</v>
      </c>
      <c r="P179" s="289"/>
      <c r="Q179" s="276">
        <v>0</v>
      </c>
      <c r="R179" s="289"/>
      <c r="S179" s="276">
        <v>0</v>
      </c>
      <c r="T179" s="289"/>
      <c r="U179" s="276">
        <v>0</v>
      </c>
      <c r="V179" s="289"/>
      <c r="W179" s="276">
        <v>0</v>
      </c>
      <c r="X179" s="289"/>
      <c r="Y179" s="276">
        <v>0</v>
      </c>
      <c r="Z179" s="289"/>
      <c r="AA179" s="276">
        <v>0</v>
      </c>
      <c r="AB179" s="400"/>
      <c r="AC179" s="310">
        <v>0</v>
      </c>
      <c r="AD179" s="277"/>
      <c r="AE179" s="329">
        <v>0</v>
      </c>
      <c r="AF179" s="145"/>
      <c r="AG179" s="56">
        <v>0</v>
      </c>
      <c r="AH179" s="144"/>
      <c r="AI179" s="56">
        <v>0</v>
      </c>
      <c r="AJ179" s="144"/>
      <c r="AK179" s="56">
        <v>0</v>
      </c>
      <c r="AL179" s="144">
        <v>1</v>
      </c>
      <c r="AM179" s="56">
        <v>12908.291642219636</v>
      </c>
      <c r="AN179" s="81">
        <v>12908.291642219636</v>
      </c>
      <c r="AO179" s="106">
        <v>1</v>
      </c>
      <c r="AP179" s="122" t="s">
        <v>318</v>
      </c>
      <c r="AQ179" s="127">
        <v>1</v>
      </c>
      <c r="AR179" s="121">
        <v>12908.291642219636</v>
      </c>
      <c r="AS179" s="333" t="s">
        <v>353</v>
      </c>
      <c r="AT179" s="360">
        <v>18</v>
      </c>
    </row>
    <row r="180" spans="1:46" x14ac:dyDescent="0.3">
      <c r="A180" s="414" t="s">
        <v>421</v>
      </c>
      <c r="B180" s="96" t="s">
        <v>422</v>
      </c>
      <c r="C180" s="96" t="s">
        <v>423</v>
      </c>
      <c r="D180" s="181"/>
      <c r="E180" s="56"/>
      <c r="F180" s="181"/>
      <c r="G180" s="56"/>
      <c r="H180" s="181"/>
      <c r="I180" s="56"/>
      <c r="J180" s="181"/>
      <c r="K180" s="56"/>
      <c r="L180" s="181"/>
      <c r="M180" s="56"/>
      <c r="N180" s="181"/>
      <c r="O180" s="56"/>
      <c r="P180" s="181"/>
      <c r="Q180" s="56"/>
      <c r="R180" s="181"/>
      <c r="S180" s="56"/>
      <c r="T180" s="181"/>
      <c r="U180" s="56"/>
      <c r="V180" s="181"/>
      <c r="W180" s="56"/>
      <c r="X180" s="181"/>
      <c r="Y180" s="56"/>
      <c r="Z180" s="181"/>
      <c r="AA180" s="56"/>
      <c r="AB180" s="81"/>
      <c r="AC180" s="106"/>
      <c r="AD180" s="315"/>
      <c r="AE180" s="329"/>
      <c r="AF180" s="285"/>
      <c r="AG180" s="314"/>
      <c r="AI180" s="56"/>
      <c r="AJ180" s="144"/>
      <c r="AK180" s="56"/>
      <c r="AL180" s="181"/>
      <c r="AM180" s="56"/>
      <c r="AN180" s="81"/>
      <c r="AO180" s="106"/>
      <c r="AP180" s="104" t="s">
        <v>318</v>
      </c>
      <c r="AQ180" s="119"/>
      <c r="AR180" s="47"/>
      <c r="AS180" s="333" t="s">
        <v>353</v>
      </c>
      <c r="AT180" s="333">
        <v>18</v>
      </c>
    </row>
    <row r="181" spans="1:46" x14ac:dyDescent="0.3">
      <c r="A181" s="422" t="s">
        <v>13</v>
      </c>
      <c r="B181" s="274" t="s">
        <v>14</v>
      </c>
      <c r="C181" s="274" t="s">
        <v>343</v>
      </c>
      <c r="D181" s="281">
        <v>1</v>
      </c>
      <c r="E181" s="276">
        <v>20552.755657371155</v>
      </c>
      <c r="F181" s="280"/>
      <c r="G181" s="276">
        <v>0</v>
      </c>
      <c r="H181" s="280"/>
      <c r="I181" s="276">
        <v>0</v>
      </c>
      <c r="J181" s="280"/>
      <c r="K181" s="276">
        <v>0</v>
      </c>
      <c r="L181" s="280"/>
      <c r="M181" s="276">
        <v>0</v>
      </c>
      <c r="N181" s="280"/>
      <c r="O181" s="276">
        <v>0</v>
      </c>
      <c r="P181" s="280"/>
      <c r="Q181" s="276">
        <v>0</v>
      </c>
      <c r="R181" s="280"/>
      <c r="S181" s="276">
        <v>0</v>
      </c>
      <c r="T181" s="280"/>
      <c r="U181" s="276">
        <v>0</v>
      </c>
      <c r="V181" s="280"/>
      <c r="W181" s="276">
        <v>0</v>
      </c>
      <c r="X181" s="280"/>
      <c r="Y181" s="276">
        <v>0</v>
      </c>
      <c r="Z181" s="280"/>
      <c r="AA181" s="312">
        <v>0</v>
      </c>
      <c r="AB181" s="398"/>
      <c r="AC181" s="305">
        <v>0</v>
      </c>
      <c r="AD181" s="313"/>
      <c r="AE181" s="329">
        <v>0</v>
      </c>
      <c r="AF181" s="145"/>
      <c r="AG181" s="56">
        <v>0</v>
      </c>
      <c r="AH181" s="144"/>
      <c r="AI181" s="56">
        <v>0</v>
      </c>
      <c r="AJ181" s="144"/>
      <c r="AK181" s="56">
        <v>0</v>
      </c>
      <c r="AL181" s="144"/>
      <c r="AM181" s="56">
        <v>0</v>
      </c>
      <c r="AN181" s="81">
        <v>20552.755657371155</v>
      </c>
      <c r="AO181" s="106">
        <v>1</v>
      </c>
      <c r="AP181" s="122" t="s">
        <v>318</v>
      </c>
      <c r="AQ181" s="127">
        <v>1</v>
      </c>
      <c r="AR181" s="121">
        <v>20552.755657371155</v>
      </c>
      <c r="AS181" s="333" t="s">
        <v>354</v>
      </c>
      <c r="AT181" s="360">
        <v>18</v>
      </c>
    </row>
    <row r="182" spans="1:46" x14ac:dyDescent="0.3">
      <c r="A182" s="422" t="s">
        <v>98</v>
      </c>
      <c r="B182" s="274" t="s">
        <v>99</v>
      </c>
      <c r="C182" s="274" t="s">
        <v>342</v>
      </c>
      <c r="D182" s="281">
        <v>1</v>
      </c>
      <c r="E182" s="276">
        <v>17887.388810409495</v>
      </c>
      <c r="F182" s="280"/>
      <c r="G182" s="276">
        <v>0</v>
      </c>
      <c r="H182" s="280"/>
      <c r="I182" s="276">
        <v>0</v>
      </c>
      <c r="J182" s="280"/>
      <c r="K182" s="276">
        <v>0</v>
      </c>
      <c r="L182" s="280"/>
      <c r="M182" s="276">
        <v>0</v>
      </c>
      <c r="N182" s="280"/>
      <c r="O182" s="276">
        <v>0</v>
      </c>
      <c r="P182" s="280"/>
      <c r="Q182" s="276">
        <v>0</v>
      </c>
      <c r="R182" s="280"/>
      <c r="S182" s="276">
        <v>0</v>
      </c>
      <c r="T182" s="280"/>
      <c r="U182" s="276">
        <v>0</v>
      </c>
      <c r="V182" s="280"/>
      <c r="W182" s="276">
        <v>0</v>
      </c>
      <c r="X182" s="280"/>
      <c r="Y182" s="276">
        <v>0</v>
      </c>
      <c r="Z182" s="280"/>
      <c r="AA182" s="306">
        <v>0</v>
      </c>
      <c r="AB182" s="398"/>
      <c r="AC182" s="305">
        <v>0</v>
      </c>
      <c r="AD182" s="313"/>
      <c r="AE182" s="329">
        <v>0</v>
      </c>
      <c r="AF182" s="145"/>
      <c r="AG182" s="56">
        <v>0</v>
      </c>
      <c r="AH182" s="144"/>
      <c r="AI182" s="56">
        <v>0</v>
      </c>
      <c r="AJ182" s="144"/>
      <c r="AK182" s="56">
        <v>0</v>
      </c>
      <c r="AL182" s="144"/>
      <c r="AM182" s="56">
        <v>0</v>
      </c>
      <c r="AN182" s="81">
        <v>17887.388810409495</v>
      </c>
      <c r="AO182" s="106">
        <v>1</v>
      </c>
      <c r="AP182" s="122" t="s">
        <v>318</v>
      </c>
      <c r="AQ182" s="127">
        <v>1</v>
      </c>
      <c r="AR182" s="121">
        <v>17887.388810409495</v>
      </c>
      <c r="AS182" s="333" t="s">
        <v>354</v>
      </c>
      <c r="AT182" s="360">
        <v>18</v>
      </c>
    </row>
    <row r="183" spans="1:46" x14ac:dyDescent="0.3">
      <c r="A183" s="422" t="s">
        <v>104</v>
      </c>
      <c r="B183" s="274" t="s">
        <v>105</v>
      </c>
      <c r="C183" s="274" t="s">
        <v>342</v>
      </c>
      <c r="D183" s="281"/>
      <c r="E183" s="276">
        <v>0</v>
      </c>
      <c r="F183" s="280"/>
      <c r="G183" s="276">
        <v>0</v>
      </c>
      <c r="H183" s="280"/>
      <c r="I183" s="276">
        <v>0</v>
      </c>
      <c r="J183" s="280"/>
      <c r="K183" s="276">
        <v>0</v>
      </c>
      <c r="L183" s="280"/>
      <c r="M183" s="276">
        <v>0</v>
      </c>
      <c r="N183" s="281"/>
      <c r="O183" s="276">
        <v>0</v>
      </c>
      <c r="P183" s="280"/>
      <c r="Q183" s="276">
        <v>0</v>
      </c>
      <c r="R183" s="280"/>
      <c r="S183" s="276">
        <v>0</v>
      </c>
      <c r="T183" s="280"/>
      <c r="U183" s="276">
        <v>0</v>
      </c>
      <c r="V183" s="280"/>
      <c r="W183" s="276">
        <v>0</v>
      </c>
      <c r="X183" s="280"/>
      <c r="Y183" s="276">
        <v>0</v>
      </c>
      <c r="Z183" s="287"/>
      <c r="AA183" s="306">
        <v>0</v>
      </c>
      <c r="AB183" s="398"/>
      <c r="AC183" s="305">
        <v>0</v>
      </c>
      <c r="AD183" s="315"/>
      <c r="AE183" s="329">
        <v>0</v>
      </c>
      <c r="AF183" s="145"/>
      <c r="AG183" s="56">
        <v>0</v>
      </c>
      <c r="AH183" s="144"/>
      <c r="AI183" s="56">
        <v>0</v>
      </c>
      <c r="AJ183" s="144"/>
      <c r="AK183" s="56">
        <v>0</v>
      </c>
      <c r="AL183" s="144">
        <v>1</v>
      </c>
      <c r="AM183" s="56">
        <v>17887.388810409495</v>
      </c>
      <c r="AN183" s="81">
        <v>17887.388810409495</v>
      </c>
      <c r="AO183" s="106">
        <v>1</v>
      </c>
      <c r="AP183" s="122" t="s">
        <v>319</v>
      </c>
      <c r="AQ183" s="127">
        <v>6.5359477124183009E-3</v>
      </c>
      <c r="AR183" s="121">
        <v>116.91103797653265</v>
      </c>
      <c r="AS183" s="333" t="s">
        <v>354</v>
      </c>
      <c r="AT183" s="360">
        <v>18</v>
      </c>
    </row>
    <row r="184" spans="1:46" x14ac:dyDescent="0.3">
      <c r="A184" s="422" t="s">
        <v>27</v>
      </c>
      <c r="B184" s="274" t="s">
        <v>28</v>
      </c>
      <c r="C184" s="274" t="s">
        <v>346</v>
      </c>
      <c r="D184" s="281">
        <v>1</v>
      </c>
      <c r="E184" s="276">
        <v>43480.816890660324</v>
      </c>
      <c r="F184" s="280"/>
      <c r="G184" s="276">
        <v>0</v>
      </c>
      <c r="H184" s="280"/>
      <c r="I184" s="276">
        <v>0</v>
      </c>
      <c r="J184" s="280"/>
      <c r="K184" s="276">
        <v>0</v>
      </c>
      <c r="L184" s="280"/>
      <c r="M184" s="276">
        <v>0</v>
      </c>
      <c r="N184" s="281">
        <v>1</v>
      </c>
      <c r="O184" s="276">
        <v>43480.816890660324</v>
      </c>
      <c r="P184" s="280"/>
      <c r="Q184" s="276">
        <v>0</v>
      </c>
      <c r="R184" s="280"/>
      <c r="S184" s="276">
        <v>0</v>
      </c>
      <c r="T184" s="280"/>
      <c r="U184" s="276">
        <v>0</v>
      </c>
      <c r="V184" s="280"/>
      <c r="W184" s="276">
        <v>0</v>
      </c>
      <c r="X184" s="280"/>
      <c r="Y184" s="276">
        <v>0</v>
      </c>
      <c r="Z184" s="281"/>
      <c r="AA184" s="306">
        <v>0</v>
      </c>
      <c r="AB184" s="398"/>
      <c r="AC184" s="305">
        <v>0</v>
      </c>
      <c r="AD184" s="313"/>
      <c r="AE184" s="329">
        <v>0</v>
      </c>
      <c r="AF184" s="145"/>
      <c r="AG184" s="56">
        <v>0</v>
      </c>
      <c r="AH184" s="144"/>
      <c r="AI184" s="56">
        <v>0</v>
      </c>
      <c r="AJ184" s="144"/>
      <c r="AK184" s="56">
        <v>0</v>
      </c>
      <c r="AL184" s="144">
        <v>1</v>
      </c>
      <c r="AM184" s="56">
        <v>43480.816890660324</v>
      </c>
      <c r="AN184" s="81">
        <v>130442.45067198097</v>
      </c>
      <c r="AO184" s="106">
        <v>3</v>
      </c>
      <c r="AP184" s="122" t="s">
        <v>318</v>
      </c>
      <c r="AQ184" s="127">
        <v>1</v>
      </c>
      <c r="AR184" s="121">
        <v>130442.45067198097</v>
      </c>
      <c r="AS184" s="333" t="s">
        <v>354</v>
      </c>
      <c r="AT184" s="360">
        <v>18</v>
      </c>
    </row>
    <row r="185" spans="1:46" x14ac:dyDescent="0.3">
      <c r="A185" s="422" t="s">
        <v>25</v>
      </c>
      <c r="B185" s="274" t="s">
        <v>26</v>
      </c>
      <c r="C185" s="274" t="s">
        <v>346</v>
      </c>
      <c r="D185" s="281">
        <v>1</v>
      </c>
      <c r="E185" s="276">
        <v>32117.31737996532</v>
      </c>
      <c r="F185" s="280"/>
      <c r="G185" s="276">
        <v>0</v>
      </c>
      <c r="H185" s="280"/>
      <c r="I185" s="276">
        <v>0</v>
      </c>
      <c r="J185" s="280"/>
      <c r="K185" s="276">
        <v>0</v>
      </c>
      <c r="L185" s="280"/>
      <c r="M185" s="276">
        <v>0</v>
      </c>
      <c r="N185" s="281">
        <v>1</v>
      </c>
      <c r="O185" s="276">
        <v>32117.31737996532</v>
      </c>
      <c r="P185" s="280"/>
      <c r="Q185" s="276">
        <v>0</v>
      </c>
      <c r="R185" s="280"/>
      <c r="S185" s="276">
        <v>0</v>
      </c>
      <c r="T185" s="280"/>
      <c r="U185" s="276">
        <v>0</v>
      </c>
      <c r="V185" s="280"/>
      <c r="W185" s="276">
        <v>0</v>
      </c>
      <c r="X185" s="280"/>
      <c r="Y185" s="276">
        <v>0</v>
      </c>
      <c r="Z185" s="281"/>
      <c r="AA185" s="306">
        <v>0</v>
      </c>
      <c r="AB185" s="398"/>
      <c r="AC185" s="305">
        <v>0</v>
      </c>
      <c r="AD185" s="313"/>
      <c r="AE185" s="329">
        <v>0</v>
      </c>
      <c r="AF185" s="144"/>
      <c r="AG185" s="56">
        <v>0</v>
      </c>
      <c r="AH185" s="144"/>
      <c r="AI185" s="56">
        <v>0</v>
      </c>
      <c r="AJ185" s="144"/>
      <c r="AK185" s="56">
        <v>0</v>
      </c>
      <c r="AL185" s="144">
        <v>1</v>
      </c>
      <c r="AM185" s="56">
        <v>32117.31737996532</v>
      </c>
      <c r="AN185" s="81">
        <v>96351.952139895962</v>
      </c>
      <c r="AO185" s="106">
        <v>3</v>
      </c>
      <c r="AP185" s="122" t="s">
        <v>318</v>
      </c>
      <c r="AQ185" s="127">
        <v>1</v>
      </c>
      <c r="AR185" s="121">
        <v>96351.952139895962</v>
      </c>
      <c r="AS185" s="333" t="s">
        <v>354</v>
      </c>
      <c r="AT185" s="360">
        <v>18</v>
      </c>
    </row>
    <row r="186" spans="1:46" x14ac:dyDescent="0.3">
      <c r="A186" s="422" t="s">
        <v>3</v>
      </c>
      <c r="B186" s="274" t="s">
        <v>4</v>
      </c>
      <c r="C186" s="274" t="s">
        <v>342</v>
      </c>
      <c r="D186" s="281">
        <v>1</v>
      </c>
      <c r="E186" s="276">
        <v>20406.13276336317</v>
      </c>
      <c r="F186" s="280"/>
      <c r="G186" s="276">
        <v>0</v>
      </c>
      <c r="H186" s="280"/>
      <c r="I186" s="276">
        <v>0</v>
      </c>
      <c r="J186" s="280"/>
      <c r="K186" s="276">
        <v>0</v>
      </c>
      <c r="L186" s="280"/>
      <c r="M186" s="276">
        <v>0</v>
      </c>
      <c r="N186" s="280"/>
      <c r="O186" s="276">
        <v>0</v>
      </c>
      <c r="P186" s="280"/>
      <c r="Q186" s="276">
        <v>0</v>
      </c>
      <c r="R186" s="280"/>
      <c r="S186" s="276">
        <v>0</v>
      </c>
      <c r="T186" s="280"/>
      <c r="U186" s="276">
        <v>0</v>
      </c>
      <c r="V186" s="280"/>
      <c r="W186" s="276">
        <v>0</v>
      </c>
      <c r="X186" s="280"/>
      <c r="Y186" s="276">
        <v>0</v>
      </c>
      <c r="Z186" s="280"/>
      <c r="AA186" s="306">
        <v>0</v>
      </c>
      <c r="AB186" s="398"/>
      <c r="AC186" s="305">
        <v>0</v>
      </c>
      <c r="AD186" s="313"/>
      <c r="AE186" s="329">
        <v>0</v>
      </c>
      <c r="AF186" s="145"/>
      <c r="AG186" s="56">
        <v>0</v>
      </c>
      <c r="AH186" s="144"/>
      <c r="AI186" s="56">
        <v>0</v>
      </c>
      <c r="AJ186" s="144"/>
      <c r="AK186" s="56">
        <v>0</v>
      </c>
      <c r="AL186" s="144"/>
      <c r="AM186" s="56">
        <v>0</v>
      </c>
      <c r="AN186" s="81">
        <v>20406.13276336317</v>
      </c>
      <c r="AO186" s="106">
        <v>1</v>
      </c>
      <c r="AP186" s="122" t="s">
        <v>318</v>
      </c>
      <c r="AQ186" s="127">
        <v>1</v>
      </c>
      <c r="AR186" s="121">
        <v>20406.13276336317</v>
      </c>
      <c r="AS186" s="333" t="s">
        <v>354</v>
      </c>
      <c r="AT186" s="360">
        <v>18</v>
      </c>
    </row>
    <row r="187" spans="1:46" x14ac:dyDescent="0.3">
      <c r="A187" s="422" t="s">
        <v>5</v>
      </c>
      <c r="B187" s="274" t="s">
        <v>6</v>
      </c>
      <c r="C187" s="274" t="s">
        <v>342</v>
      </c>
      <c r="D187" s="281">
        <v>1</v>
      </c>
      <c r="E187" s="276">
        <v>18768.367820181349</v>
      </c>
      <c r="F187" s="280"/>
      <c r="G187" s="276">
        <v>0</v>
      </c>
      <c r="H187" s="280"/>
      <c r="I187" s="276">
        <v>0</v>
      </c>
      <c r="J187" s="280"/>
      <c r="K187" s="276">
        <v>0</v>
      </c>
      <c r="L187" s="280"/>
      <c r="M187" s="276">
        <v>0</v>
      </c>
      <c r="N187" s="280"/>
      <c r="O187" s="276">
        <v>0</v>
      </c>
      <c r="P187" s="280"/>
      <c r="Q187" s="276">
        <v>0</v>
      </c>
      <c r="R187" s="280"/>
      <c r="S187" s="276">
        <v>0</v>
      </c>
      <c r="T187" s="280"/>
      <c r="U187" s="276">
        <v>0</v>
      </c>
      <c r="V187" s="280"/>
      <c r="W187" s="276">
        <v>0</v>
      </c>
      <c r="X187" s="280"/>
      <c r="Y187" s="276">
        <v>0</v>
      </c>
      <c r="Z187" s="280"/>
      <c r="AA187" s="306">
        <v>0</v>
      </c>
      <c r="AB187" s="398"/>
      <c r="AC187" s="305">
        <v>0</v>
      </c>
      <c r="AD187" s="313"/>
      <c r="AE187" s="329">
        <v>0</v>
      </c>
      <c r="AF187" s="145"/>
      <c r="AG187" s="56">
        <v>0</v>
      </c>
      <c r="AH187" s="144"/>
      <c r="AI187" s="56">
        <v>0</v>
      </c>
      <c r="AJ187" s="144"/>
      <c r="AK187" s="56">
        <v>0</v>
      </c>
      <c r="AL187" s="144"/>
      <c r="AM187" s="56">
        <v>0</v>
      </c>
      <c r="AN187" s="81">
        <v>18768.367820181349</v>
      </c>
      <c r="AO187" s="106">
        <v>1</v>
      </c>
      <c r="AP187" s="122" t="s">
        <v>318</v>
      </c>
      <c r="AQ187" s="127">
        <v>1</v>
      </c>
      <c r="AR187" s="121">
        <v>18768.367820181349</v>
      </c>
      <c r="AS187" s="333" t="s">
        <v>354</v>
      </c>
      <c r="AT187" s="360">
        <v>18</v>
      </c>
    </row>
    <row r="188" spans="1:46" x14ac:dyDescent="0.3">
      <c r="A188" s="422" t="s">
        <v>23</v>
      </c>
      <c r="B188" s="274" t="s">
        <v>24</v>
      </c>
      <c r="C188" s="274" t="s">
        <v>344</v>
      </c>
      <c r="D188" s="281">
        <v>1</v>
      </c>
      <c r="E188" s="276">
        <v>31881.451880098426</v>
      </c>
      <c r="F188" s="280"/>
      <c r="G188" s="276">
        <v>0</v>
      </c>
      <c r="H188" s="280"/>
      <c r="I188" s="276">
        <v>0</v>
      </c>
      <c r="J188" s="280"/>
      <c r="K188" s="276">
        <v>0</v>
      </c>
      <c r="L188" s="280"/>
      <c r="M188" s="276">
        <v>0</v>
      </c>
      <c r="N188" s="280"/>
      <c r="O188" s="276">
        <v>0</v>
      </c>
      <c r="P188" s="280"/>
      <c r="Q188" s="276">
        <v>0</v>
      </c>
      <c r="R188" s="280"/>
      <c r="S188" s="276">
        <v>0</v>
      </c>
      <c r="T188" s="280"/>
      <c r="U188" s="276">
        <v>0</v>
      </c>
      <c r="V188" s="280"/>
      <c r="W188" s="276">
        <v>0</v>
      </c>
      <c r="X188" s="280"/>
      <c r="Y188" s="276">
        <v>0</v>
      </c>
      <c r="Z188" s="280"/>
      <c r="AA188" s="306">
        <v>0</v>
      </c>
      <c r="AB188" s="398"/>
      <c r="AC188" s="305">
        <v>0</v>
      </c>
      <c r="AD188" s="313"/>
      <c r="AE188" s="329">
        <v>0</v>
      </c>
      <c r="AF188" s="144"/>
      <c r="AG188" s="56">
        <v>0</v>
      </c>
      <c r="AH188" s="144"/>
      <c r="AI188" s="56">
        <v>0</v>
      </c>
      <c r="AJ188" s="144"/>
      <c r="AK188" s="56">
        <v>0</v>
      </c>
      <c r="AL188" s="144"/>
      <c r="AM188" s="56">
        <v>0</v>
      </c>
      <c r="AN188" s="81">
        <v>31881.451880098426</v>
      </c>
      <c r="AO188" s="106">
        <v>1</v>
      </c>
      <c r="AP188" s="122" t="s">
        <v>318</v>
      </c>
      <c r="AQ188" s="127">
        <v>0.30593607305936071</v>
      </c>
      <c r="AR188" s="121">
        <v>9753.6861916282851</v>
      </c>
      <c r="AS188" s="333" t="s">
        <v>354</v>
      </c>
      <c r="AT188" s="360">
        <v>18</v>
      </c>
    </row>
    <row r="189" spans="1:46" x14ac:dyDescent="0.3">
      <c r="A189" s="422" t="s">
        <v>36</v>
      </c>
      <c r="B189" s="274" t="s">
        <v>136</v>
      </c>
      <c r="C189" s="274" t="s">
        <v>344</v>
      </c>
      <c r="D189" s="281"/>
      <c r="E189" s="276">
        <v>0</v>
      </c>
      <c r="F189" s="281">
        <v>8</v>
      </c>
      <c r="G189" s="276">
        <v>70240.958933331567</v>
      </c>
      <c r="H189" s="281">
        <v>8</v>
      </c>
      <c r="I189" s="276">
        <v>70240.958933331567</v>
      </c>
      <c r="J189" s="281">
        <v>8</v>
      </c>
      <c r="K189" s="276">
        <v>70240.958933331567</v>
      </c>
      <c r="L189" s="281">
        <v>8</v>
      </c>
      <c r="M189" s="276">
        <v>70240.958933331567</v>
      </c>
      <c r="N189" s="281">
        <v>8</v>
      </c>
      <c r="O189" s="276">
        <v>70240.958933331567</v>
      </c>
      <c r="P189" s="281">
        <v>8</v>
      </c>
      <c r="Q189" s="276">
        <v>70240.958933331567</v>
      </c>
      <c r="R189" s="281">
        <v>8</v>
      </c>
      <c r="S189" s="276">
        <v>70240.958933331567</v>
      </c>
      <c r="T189" s="281">
        <v>8</v>
      </c>
      <c r="U189" s="276">
        <v>70240.958933331567</v>
      </c>
      <c r="V189" s="281">
        <v>8</v>
      </c>
      <c r="W189" s="276">
        <v>70240.958933331567</v>
      </c>
      <c r="X189" s="281">
        <v>8</v>
      </c>
      <c r="Y189" s="276">
        <v>70240.958933331567</v>
      </c>
      <c r="Z189" s="281">
        <v>8</v>
      </c>
      <c r="AA189" s="306">
        <v>70240.958933331567</v>
      </c>
      <c r="AB189" s="398">
        <v>8</v>
      </c>
      <c r="AC189" s="305">
        <v>70240.958933331567</v>
      </c>
      <c r="AD189" s="313">
        <v>8</v>
      </c>
      <c r="AE189" s="329">
        <v>70240.958933331567</v>
      </c>
      <c r="AF189" s="144">
        <v>8</v>
      </c>
      <c r="AG189" s="56">
        <v>70240.958933331567</v>
      </c>
      <c r="AH189" s="144">
        <v>8</v>
      </c>
      <c r="AI189" s="56">
        <v>70240.958933331567</v>
      </c>
      <c r="AJ189" s="144">
        <v>8</v>
      </c>
      <c r="AK189" s="56">
        <v>70240.958933331567</v>
      </c>
      <c r="AL189" s="144">
        <v>8</v>
      </c>
      <c r="AM189" s="56">
        <v>70240.958933331567</v>
      </c>
      <c r="AN189" s="81">
        <v>1194096.3018666364</v>
      </c>
      <c r="AO189" s="106">
        <v>136</v>
      </c>
      <c r="AP189" s="179" t="s">
        <v>318</v>
      </c>
      <c r="AQ189" s="127">
        <v>1</v>
      </c>
      <c r="AR189" s="121">
        <v>1194096.3018666364</v>
      </c>
      <c r="AS189" s="333" t="s">
        <v>354</v>
      </c>
      <c r="AT189" s="360">
        <v>18</v>
      </c>
    </row>
    <row r="190" spans="1:46" x14ac:dyDescent="0.3">
      <c r="A190" s="422" t="s">
        <v>15</v>
      </c>
      <c r="B190" s="274" t="s">
        <v>16</v>
      </c>
      <c r="C190" s="274" t="s">
        <v>342</v>
      </c>
      <c r="D190" s="281"/>
      <c r="E190" s="276">
        <v>0</v>
      </c>
      <c r="F190" s="281"/>
      <c r="G190" s="276">
        <v>0</v>
      </c>
      <c r="H190" s="281"/>
      <c r="I190" s="276">
        <v>0</v>
      </c>
      <c r="J190" s="281">
        <v>1</v>
      </c>
      <c r="K190" s="276">
        <v>22052.520800552971</v>
      </c>
      <c r="L190" s="281"/>
      <c r="M190" s="276">
        <v>0</v>
      </c>
      <c r="N190" s="281"/>
      <c r="O190" s="276">
        <v>0</v>
      </c>
      <c r="P190" s="281"/>
      <c r="Q190" s="276">
        <v>0</v>
      </c>
      <c r="R190" s="281">
        <v>1</v>
      </c>
      <c r="S190" s="276">
        <v>22052.520800552971</v>
      </c>
      <c r="T190" s="281"/>
      <c r="U190" s="276">
        <v>0</v>
      </c>
      <c r="V190" s="281"/>
      <c r="W190" s="276">
        <v>0</v>
      </c>
      <c r="X190" s="281"/>
      <c r="Y190" s="276">
        <v>0</v>
      </c>
      <c r="Z190" s="281"/>
      <c r="AA190" s="306">
        <v>0</v>
      </c>
      <c r="AB190" s="398"/>
      <c r="AC190" s="305">
        <v>0</v>
      </c>
      <c r="AD190" s="313"/>
      <c r="AE190" s="329">
        <v>0</v>
      </c>
      <c r="AF190" s="144"/>
      <c r="AG190" s="56">
        <v>0</v>
      </c>
      <c r="AH190" s="144"/>
      <c r="AI190" s="56">
        <v>0</v>
      </c>
      <c r="AJ190" s="144"/>
      <c r="AK190" s="56">
        <v>0</v>
      </c>
      <c r="AL190" s="144">
        <v>1</v>
      </c>
      <c r="AM190" s="56">
        <v>22052.520800552971</v>
      </c>
      <c r="AN190" s="81">
        <v>66157.562401658914</v>
      </c>
      <c r="AO190" s="106">
        <v>3</v>
      </c>
      <c r="AP190" s="179" t="s">
        <v>318</v>
      </c>
      <c r="AQ190" s="127">
        <v>1.2648401826484019</v>
      </c>
      <c r="AR190" s="121">
        <v>83678.743311687314</v>
      </c>
      <c r="AS190" s="333" t="s">
        <v>354</v>
      </c>
      <c r="AT190" s="360">
        <v>18</v>
      </c>
    </row>
    <row r="191" spans="1:46" x14ac:dyDescent="0.3">
      <c r="A191" s="422" t="s">
        <v>17</v>
      </c>
      <c r="B191" s="274" t="s">
        <v>18</v>
      </c>
      <c r="C191" s="274" t="s">
        <v>342</v>
      </c>
      <c r="D191" s="280"/>
      <c r="E191" s="276">
        <v>0</v>
      </c>
      <c r="F191" s="280"/>
      <c r="G191" s="276">
        <v>0</v>
      </c>
      <c r="H191" s="280"/>
      <c r="I191" s="276">
        <v>0</v>
      </c>
      <c r="J191" s="280"/>
      <c r="K191" s="276">
        <v>0</v>
      </c>
      <c r="L191" s="280"/>
      <c r="M191" s="276">
        <v>0</v>
      </c>
      <c r="N191" s="281">
        <v>1</v>
      </c>
      <c r="O191" s="276">
        <v>20414.75585737115</v>
      </c>
      <c r="P191" s="280"/>
      <c r="Q191" s="276">
        <v>0</v>
      </c>
      <c r="R191" s="280"/>
      <c r="S191" s="276">
        <v>0</v>
      </c>
      <c r="T191" s="280"/>
      <c r="U191" s="276">
        <v>0</v>
      </c>
      <c r="V191" s="280"/>
      <c r="W191" s="276">
        <v>0</v>
      </c>
      <c r="X191" s="280"/>
      <c r="Y191" s="276">
        <v>0</v>
      </c>
      <c r="Z191" s="281"/>
      <c r="AA191" s="306">
        <v>0</v>
      </c>
      <c r="AB191" s="398"/>
      <c r="AC191" s="305">
        <v>0</v>
      </c>
      <c r="AD191" s="313"/>
      <c r="AE191" s="329">
        <v>0</v>
      </c>
      <c r="AF191" s="145"/>
      <c r="AG191" s="56">
        <v>0</v>
      </c>
      <c r="AH191" s="144"/>
      <c r="AI191" s="56">
        <v>0</v>
      </c>
      <c r="AJ191" s="144"/>
      <c r="AK191" s="56">
        <v>0</v>
      </c>
      <c r="AL191" s="144">
        <v>1</v>
      </c>
      <c r="AM191" s="56">
        <v>20414.75585737115</v>
      </c>
      <c r="AN191" s="81">
        <v>40829.511714742301</v>
      </c>
      <c r="AO191" s="106">
        <v>2</v>
      </c>
      <c r="AP191" s="122" t="s">
        <v>318</v>
      </c>
      <c r="AQ191" s="127">
        <v>6.5019505851755528E-4</v>
      </c>
      <c r="AR191" s="121">
        <v>26.547146758610079</v>
      </c>
      <c r="AS191" s="333" t="s">
        <v>354</v>
      </c>
      <c r="AT191" s="360">
        <v>18</v>
      </c>
    </row>
    <row r="192" spans="1:46" x14ac:dyDescent="0.3">
      <c r="A192" s="422" t="s">
        <v>19</v>
      </c>
      <c r="B192" s="274" t="s">
        <v>20</v>
      </c>
      <c r="C192" s="274" t="s">
        <v>342</v>
      </c>
      <c r="D192" s="281">
        <v>1</v>
      </c>
      <c r="E192" s="276">
        <v>67398.098568534639</v>
      </c>
      <c r="F192" s="280"/>
      <c r="G192" s="276">
        <v>0</v>
      </c>
      <c r="H192" s="280"/>
      <c r="I192" s="276">
        <v>0</v>
      </c>
      <c r="J192" s="280"/>
      <c r="K192" s="276">
        <v>0</v>
      </c>
      <c r="L192" s="280"/>
      <c r="M192" s="276">
        <v>0</v>
      </c>
      <c r="N192" s="280"/>
      <c r="O192" s="276">
        <v>0</v>
      </c>
      <c r="P192" s="280"/>
      <c r="Q192" s="276">
        <v>0</v>
      </c>
      <c r="R192" s="280"/>
      <c r="S192" s="276">
        <v>0</v>
      </c>
      <c r="T192" s="280"/>
      <c r="U192" s="276">
        <v>0</v>
      </c>
      <c r="V192" s="280"/>
      <c r="W192" s="276">
        <v>0</v>
      </c>
      <c r="X192" s="280"/>
      <c r="Y192" s="276">
        <v>0</v>
      </c>
      <c r="Z192" s="280"/>
      <c r="AA192" s="306">
        <v>0</v>
      </c>
      <c r="AB192" s="398"/>
      <c r="AC192" s="305">
        <v>0</v>
      </c>
      <c r="AD192" s="315"/>
      <c r="AE192" s="329">
        <v>0</v>
      </c>
      <c r="AF192" s="144"/>
      <c r="AG192" s="56">
        <v>0</v>
      </c>
      <c r="AH192" s="144"/>
      <c r="AI192" s="56">
        <v>0</v>
      </c>
      <c r="AJ192" s="144"/>
      <c r="AK192" s="56">
        <v>0</v>
      </c>
      <c r="AL192" s="144"/>
      <c r="AM192" s="56">
        <v>0</v>
      </c>
      <c r="AN192" s="81">
        <v>67398.098568534639</v>
      </c>
      <c r="AO192" s="106">
        <v>1</v>
      </c>
      <c r="AP192" s="122" t="s">
        <v>318</v>
      </c>
      <c r="AQ192" s="127">
        <v>1</v>
      </c>
      <c r="AR192" s="121">
        <v>67398.098568534639</v>
      </c>
      <c r="AS192" s="333" t="s">
        <v>354</v>
      </c>
      <c r="AT192" s="360">
        <v>18</v>
      </c>
    </row>
    <row r="193" spans="1:46" x14ac:dyDescent="0.3">
      <c r="A193" s="422" t="s">
        <v>21</v>
      </c>
      <c r="B193" s="274" t="s">
        <v>221</v>
      </c>
      <c r="C193" s="274" t="s">
        <v>342</v>
      </c>
      <c r="D193" s="281">
        <v>1</v>
      </c>
      <c r="E193" s="276">
        <v>67398.098568534639</v>
      </c>
      <c r="F193" s="281"/>
      <c r="G193" s="276">
        <v>0</v>
      </c>
      <c r="H193" s="281"/>
      <c r="I193" s="276">
        <v>0</v>
      </c>
      <c r="J193" s="281"/>
      <c r="K193" s="276">
        <v>0</v>
      </c>
      <c r="L193" s="281"/>
      <c r="M193" s="276">
        <v>0</v>
      </c>
      <c r="N193" s="281"/>
      <c r="O193" s="276">
        <v>0</v>
      </c>
      <c r="P193" s="281"/>
      <c r="Q193" s="276">
        <v>0</v>
      </c>
      <c r="R193" s="281"/>
      <c r="S193" s="276">
        <v>0</v>
      </c>
      <c r="T193" s="281"/>
      <c r="U193" s="276">
        <v>0</v>
      </c>
      <c r="V193" s="281"/>
      <c r="W193" s="276">
        <v>0</v>
      </c>
      <c r="X193" s="281"/>
      <c r="Y193" s="276">
        <v>0</v>
      </c>
      <c r="Z193" s="281"/>
      <c r="AA193" s="306">
        <v>0</v>
      </c>
      <c r="AB193" s="398"/>
      <c r="AC193" s="305">
        <v>0</v>
      </c>
      <c r="AD193" s="315"/>
      <c r="AE193" s="329">
        <v>0</v>
      </c>
      <c r="AF193" s="144"/>
      <c r="AG193" s="56">
        <v>0</v>
      </c>
      <c r="AH193" s="144"/>
      <c r="AI193" s="56">
        <v>0</v>
      </c>
      <c r="AJ193" s="144"/>
      <c r="AK193" s="56">
        <v>0</v>
      </c>
      <c r="AL193" s="144"/>
      <c r="AM193" s="56">
        <v>0</v>
      </c>
      <c r="AN193" s="81">
        <v>67398.098568534639</v>
      </c>
      <c r="AO193" s="106">
        <v>1</v>
      </c>
      <c r="AP193" s="122" t="s">
        <v>319</v>
      </c>
      <c r="AQ193" s="127">
        <v>0.64052287581699341</v>
      </c>
      <c r="AR193" s="121">
        <v>43170.023919714993</v>
      </c>
      <c r="AS193" s="333" t="s">
        <v>354</v>
      </c>
      <c r="AT193" s="360">
        <v>18</v>
      </c>
    </row>
    <row r="194" spans="1:46" x14ac:dyDescent="0.3">
      <c r="A194" s="422" t="s">
        <v>29</v>
      </c>
      <c r="B194" s="274" t="s">
        <v>196</v>
      </c>
      <c r="C194" s="274" t="s">
        <v>344</v>
      </c>
      <c r="D194" s="280"/>
      <c r="E194" s="276">
        <v>0</v>
      </c>
      <c r="F194" s="280"/>
      <c r="G194" s="276">
        <v>0</v>
      </c>
      <c r="H194" s="280"/>
      <c r="I194" s="276">
        <v>0</v>
      </c>
      <c r="J194" s="280"/>
      <c r="K194" s="276">
        <v>0</v>
      </c>
      <c r="L194" s="280"/>
      <c r="M194" s="276">
        <v>0</v>
      </c>
      <c r="N194" s="280"/>
      <c r="O194" s="276">
        <v>0</v>
      </c>
      <c r="P194" s="280"/>
      <c r="Q194" s="276">
        <v>0</v>
      </c>
      <c r="R194" s="280"/>
      <c r="S194" s="276">
        <v>0</v>
      </c>
      <c r="T194" s="280"/>
      <c r="U194" s="276">
        <v>0</v>
      </c>
      <c r="V194" s="280"/>
      <c r="W194" s="276">
        <v>0</v>
      </c>
      <c r="X194" s="280"/>
      <c r="Y194" s="276">
        <v>0</v>
      </c>
      <c r="Z194" s="281"/>
      <c r="AA194" s="306">
        <v>0</v>
      </c>
      <c r="AB194" s="398"/>
      <c r="AC194" s="305">
        <v>0</v>
      </c>
      <c r="AD194" s="313"/>
      <c r="AE194" s="329">
        <v>0</v>
      </c>
      <c r="AF194" s="145"/>
      <c r="AG194" s="56">
        <v>0</v>
      </c>
      <c r="AH194" s="144"/>
      <c r="AI194" s="56">
        <v>0</v>
      </c>
      <c r="AJ194" s="144"/>
      <c r="AK194" s="56">
        <v>0</v>
      </c>
      <c r="AL194" s="144">
        <v>1</v>
      </c>
      <c r="AM194" s="56">
        <v>31881.451880098426</v>
      </c>
      <c r="AN194" s="81">
        <v>31881.451880098426</v>
      </c>
      <c r="AO194" s="106">
        <v>1</v>
      </c>
      <c r="AP194" s="122" t="s">
        <v>318</v>
      </c>
      <c r="AQ194" s="127">
        <v>2.6940639269406392</v>
      </c>
      <c r="AR194" s="121">
        <v>85890.669448666988</v>
      </c>
      <c r="AS194" s="333" t="s">
        <v>354</v>
      </c>
      <c r="AT194" s="360">
        <v>18</v>
      </c>
    </row>
    <row r="195" spans="1:46" x14ac:dyDescent="0.3">
      <c r="A195" s="422" t="s">
        <v>34</v>
      </c>
      <c r="B195" s="274" t="s">
        <v>35</v>
      </c>
      <c r="C195" s="274" t="s">
        <v>342</v>
      </c>
      <c r="D195" s="281">
        <v>1</v>
      </c>
      <c r="E195" s="276">
        <v>18146.717863439797</v>
      </c>
      <c r="F195" s="280"/>
      <c r="G195" s="276">
        <v>0</v>
      </c>
      <c r="H195" s="280"/>
      <c r="I195" s="276">
        <v>0</v>
      </c>
      <c r="J195" s="280"/>
      <c r="K195" s="276">
        <v>0</v>
      </c>
      <c r="L195" s="280"/>
      <c r="M195" s="276">
        <v>0</v>
      </c>
      <c r="N195" s="280"/>
      <c r="O195" s="276">
        <v>0</v>
      </c>
      <c r="P195" s="280"/>
      <c r="Q195" s="276">
        <v>0</v>
      </c>
      <c r="R195" s="280"/>
      <c r="S195" s="276">
        <v>0</v>
      </c>
      <c r="T195" s="280"/>
      <c r="U195" s="276">
        <v>0</v>
      </c>
      <c r="V195" s="280"/>
      <c r="W195" s="276">
        <v>0</v>
      </c>
      <c r="X195" s="280"/>
      <c r="Y195" s="276">
        <v>0</v>
      </c>
      <c r="Z195" s="280"/>
      <c r="AA195" s="306">
        <v>0</v>
      </c>
      <c r="AB195" s="398"/>
      <c r="AC195" s="305">
        <v>0</v>
      </c>
      <c r="AD195" s="313"/>
      <c r="AE195" s="329">
        <v>0</v>
      </c>
      <c r="AF195" s="145"/>
      <c r="AG195" s="56">
        <v>0</v>
      </c>
      <c r="AH195" s="144"/>
      <c r="AI195" s="56">
        <v>0</v>
      </c>
      <c r="AJ195" s="144"/>
      <c r="AK195" s="56">
        <v>0</v>
      </c>
      <c r="AL195" s="144"/>
      <c r="AM195" s="56">
        <v>0</v>
      </c>
      <c r="AN195" s="81">
        <v>18146.717863439797</v>
      </c>
      <c r="AO195" s="106">
        <v>1</v>
      </c>
      <c r="AP195" s="122" t="s">
        <v>318</v>
      </c>
      <c r="AQ195" s="127">
        <v>0.13698630136986301</v>
      </c>
      <c r="AR195" s="121">
        <v>2485.8517621150404</v>
      </c>
      <c r="AS195" s="333" t="s">
        <v>354</v>
      </c>
      <c r="AT195" s="360">
        <v>18</v>
      </c>
    </row>
    <row r="196" spans="1:46" x14ac:dyDescent="0.3">
      <c r="A196" s="422" t="s">
        <v>38</v>
      </c>
      <c r="B196" s="274" t="s">
        <v>137</v>
      </c>
      <c r="C196" s="274" t="s">
        <v>342</v>
      </c>
      <c r="D196" s="281">
        <v>1</v>
      </c>
      <c r="E196" s="276">
        <v>56420.692787682223</v>
      </c>
      <c r="F196" s="281"/>
      <c r="G196" s="276">
        <v>0</v>
      </c>
      <c r="H196" s="281"/>
      <c r="I196" s="276">
        <v>0</v>
      </c>
      <c r="J196" s="281"/>
      <c r="K196" s="276">
        <v>0</v>
      </c>
      <c r="L196" s="281"/>
      <c r="M196" s="276">
        <v>0</v>
      </c>
      <c r="N196" s="281"/>
      <c r="O196" s="276">
        <v>0</v>
      </c>
      <c r="P196" s="281"/>
      <c r="Q196" s="276">
        <v>0</v>
      </c>
      <c r="R196" s="281"/>
      <c r="S196" s="276">
        <v>0</v>
      </c>
      <c r="T196" s="281"/>
      <c r="U196" s="276">
        <v>0</v>
      </c>
      <c r="V196" s="281"/>
      <c r="W196" s="276">
        <v>0</v>
      </c>
      <c r="X196" s="281"/>
      <c r="Y196" s="276">
        <v>0</v>
      </c>
      <c r="Z196" s="281"/>
      <c r="AA196" s="306">
        <v>0</v>
      </c>
      <c r="AB196" s="398"/>
      <c r="AC196" s="305">
        <v>0</v>
      </c>
      <c r="AD196" s="315"/>
      <c r="AE196" s="329">
        <v>0</v>
      </c>
      <c r="AF196" s="145"/>
      <c r="AG196" s="56">
        <v>0</v>
      </c>
      <c r="AH196" s="144"/>
      <c r="AI196" s="56">
        <v>0</v>
      </c>
      <c r="AJ196" s="144"/>
      <c r="AK196" s="56">
        <v>0</v>
      </c>
      <c r="AL196" s="144"/>
      <c r="AM196" s="56">
        <v>0</v>
      </c>
      <c r="AN196" s="81">
        <v>56420.692787682223</v>
      </c>
      <c r="AO196" s="106">
        <v>1</v>
      </c>
      <c r="AP196" s="122" t="s">
        <v>319</v>
      </c>
      <c r="AQ196" s="127">
        <v>9.8039215686274508E-2</v>
      </c>
      <c r="AR196" s="121">
        <v>5531.44046938061</v>
      </c>
      <c r="AS196" s="333" t="s">
        <v>354</v>
      </c>
      <c r="AT196" s="360">
        <v>18</v>
      </c>
    </row>
    <row r="197" spans="1:46" x14ac:dyDescent="0.3">
      <c r="A197" s="422" t="s">
        <v>32</v>
      </c>
      <c r="B197" s="274" t="s">
        <v>33</v>
      </c>
      <c r="C197" s="274" t="s">
        <v>342</v>
      </c>
      <c r="D197" s="281">
        <v>1</v>
      </c>
      <c r="E197" s="276">
        <v>18146.717863439797</v>
      </c>
      <c r="F197" s="281"/>
      <c r="G197" s="276">
        <v>0</v>
      </c>
      <c r="H197" s="281"/>
      <c r="I197" s="276">
        <v>0</v>
      </c>
      <c r="J197" s="281"/>
      <c r="K197" s="276">
        <v>0</v>
      </c>
      <c r="L197" s="281"/>
      <c r="M197" s="276">
        <v>0</v>
      </c>
      <c r="N197" s="281"/>
      <c r="O197" s="276">
        <v>0</v>
      </c>
      <c r="P197" s="281"/>
      <c r="Q197" s="276">
        <v>0</v>
      </c>
      <c r="R197" s="281"/>
      <c r="S197" s="276">
        <v>0</v>
      </c>
      <c r="T197" s="281"/>
      <c r="U197" s="276">
        <v>0</v>
      </c>
      <c r="V197" s="281"/>
      <c r="W197" s="276">
        <v>0</v>
      </c>
      <c r="X197" s="281"/>
      <c r="Y197" s="276">
        <v>0</v>
      </c>
      <c r="Z197" s="281"/>
      <c r="AA197" s="306">
        <v>0</v>
      </c>
      <c r="AB197" s="398"/>
      <c r="AC197" s="305">
        <v>0</v>
      </c>
      <c r="AD197" s="315"/>
      <c r="AE197" s="329">
        <v>0</v>
      </c>
      <c r="AF197" s="145"/>
      <c r="AG197" s="56">
        <v>0</v>
      </c>
      <c r="AH197" s="144"/>
      <c r="AI197" s="56">
        <v>0</v>
      </c>
      <c r="AJ197" s="144"/>
      <c r="AK197" s="56">
        <v>0</v>
      </c>
      <c r="AL197" s="144"/>
      <c r="AM197" s="56">
        <v>0</v>
      </c>
      <c r="AN197" s="81">
        <v>18146.717863439797</v>
      </c>
      <c r="AO197" s="106">
        <v>1</v>
      </c>
      <c r="AP197" s="122" t="s">
        <v>318</v>
      </c>
      <c r="AQ197" s="127">
        <v>1</v>
      </c>
      <c r="AR197" s="121">
        <v>18146.717863439797</v>
      </c>
      <c r="AS197" s="333" t="s">
        <v>354</v>
      </c>
      <c r="AT197" s="360">
        <v>18</v>
      </c>
    </row>
    <row r="198" spans="1:46" x14ac:dyDescent="0.3">
      <c r="A198" s="422" t="s">
        <v>1</v>
      </c>
      <c r="B198" s="274" t="s">
        <v>2</v>
      </c>
      <c r="C198" s="274" t="s">
        <v>342</v>
      </c>
      <c r="D198" s="280"/>
      <c r="E198" s="276">
        <v>0</v>
      </c>
      <c r="F198" s="280"/>
      <c r="G198" s="276">
        <v>0</v>
      </c>
      <c r="H198" s="280"/>
      <c r="I198" s="276">
        <v>0</v>
      </c>
      <c r="J198" s="280"/>
      <c r="K198" s="276">
        <v>0</v>
      </c>
      <c r="L198" s="280"/>
      <c r="M198" s="276">
        <v>0</v>
      </c>
      <c r="N198" s="280"/>
      <c r="O198" s="276">
        <v>0</v>
      </c>
      <c r="P198" s="280"/>
      <c r="Q198" s="276">
        <v>0</v>
      </c>
      <c r="R198" s="280"/>
      <c r="S198" s="276">
        <v>0</v>
      </c>
      <c r="T198" s="280"/>
      <c r="U198" s="276">
        <v>0</v>
      </c>
      <c r="V198" s="280"/>
      <c r="W198" s="276">
        <v>0</v>
      </c>
      <c r="X198" s="280"/>
      <c r="Y198" s="276">
        <v>0</v>
      </c>
      <c r="Z198" s="281"/>
      <c r="AA198" s="306">
        <v>0</v>
      </c>
      <c r="AB198" s="398"/>
      <c r="AC198" s="305">
        <v>0</v>
      </c>
      <c r="AD198" s="313"/>
      <c r="AE198" s="329">
        <v>0</v>
      </c>
      <c r="AF198" s="145"/>
      <c r="AG198" s="56">
        <v>0</v>
      </c>
      <c r="AH198" s="144"/>
      <c r="AI198" s="56">
        <v>0</v>
      </c>
      <c r="AJ198" s="144"/>
      <c r="AK198" s="56">
        <v>0</v>
      </c>
      <c r="AL198" s="144">
        <v>1</v>
      </c>
      <c r="AM198" s="56">
        <v>21014.39667403782</v>
      </c>
      <c r="AN198" s="81">
        <v>21014.39667403782</v>
      </c>
      <c r="AO198" s="106">
        <v>1</v>
      </c>
      <c r="AP198" s="122" t="s">
        <v>318</v>
      </c>
      <c r="AQ198" s="127">
        <v>1</v>
      </c>
      <c r="AR198" s="121">
        <v>21014.39667403782</v>
      </c>
      <c r="AS198" s="333" t="s">
        <v>354</v>
      </c>
      <c r="AT198" s="360">
        <v>18</v>
      </c>
    </row>
    <row r="199" spans="1:46" x14ac:dyDescent="0.3">
      <c r="A199" s="422" t="s">
        <v>46</v>
      </c>
      <c r="B199" s="274" t="s">
        <v>47</v>
      </c>
      <c r="C199" s="274" t="s">
        <v>342</v>
      </c>
      <c r="D199" s="281">
        <v>1</v>
      </c>
      <c r="E199" s="276">
        <v>83398.098568534639</v>
      </c>
      <c r="F199" s="280"/>
      <c r="G199" s="276">
        <v>0</v>
      </c>
      <c r="H199" s="280"/>
      <c r="I199" s="276">
        <v>0</v>
      </c>
      <c r="J199" s="280"/>
      <c r="K199" s="276">
        <v>0</v>
      </c>
      <c r="L199" s="280"/>
      <c r="M199" s="276">
        <v>0</v>
      </c>
      <c r="N199" s="280"/>
      <c r="O199" s="276">
        <v>0</v>
      </c>
      <c r="P199" s="280"/>
      <c r="Q199" s="276">
        <v>0</v>
      </c>
      <c r="R199" s="280"/>
      <c r="S199" s="276">
        <v>0</v>
      </c>
      <c r="T199" s="280"/>
      <c r="U199" s="276">
        <v>0</v>
      </c>
      <c r="V199" s="280"/>
      <c r="W199" s="276">
        <v>0</v>
      </c>
      <c r="X199" s="280"/>
      <c r="Y199" s="276">
        <v>0</v>
      </c>
      <c r="Z199" s="280"/>
      <c r="AA199" s="306">
        <v>0</v>
      </c>
      <c r="AB199" s="398"/>
      <c r="AC199" s="305">
        <v>0</v>
      </c>
      <c r="AD199" s="315"/>
      <c r="AE199" s="329">
        <v>0</v>
      </c>
      <c r="AF199" s="145"/>
      <c r="AG199" s="56">
        <v>0</v>
      </c>
      <c r="AH199" s="144"/>
      <c r="AI199" s="56">
        <v>0</v>
      </c>
      <c r="AJ199" s="144"/>
      <c r="AK199" s="56">
        <v>0</v>
      </c>
      <c r="AL199" s="144"/>
      <c r="AM199" s="56">
        <v>0</v>
      </c>
      <c r="AN199" s="81">
        <v>83398.098568534639</v>
      </c>
      <c r="AO199" s="106">
        <v>1</v>
      </c>
      <c r="AP199" s="122" t="s">
        <v>319</v>
      </c>
      <c r="AQ199" s="127">
        <v>0.1095890410958904</v>
      </c>
      <c r="AR199" s="121">
        <v>9139.5176513462611</v>
      </c>
      <c r="AS199" s="333" t="s">
        <v>354</v>
      </c>
      <c r="AT199" s="360">
        <v>18</v>
      </c>
    </row>
    <row r="200" spans="1:46" x14ac:dyDescent="0.3">
      <c r="A200" s="422" t="s">
        <v>48</v>
      </c>
      <c r="B200" s="274" t="s">
        <v>222</v>
      </c>
      <c r="C200" s="274" t="s">
        <v>342</v>
      </c>
      <c r="D200" s="281">
        <v>1</v>
      </c>
      <c r="E200" s="276">
        <v>77398.098568534639</v>
      </c>
      <c r="F200" s="281"/>
      <c r="G200" s="276">
        <v>0</v>
      </c>
      <c r="H200" s="281"/>
      <c r="I200" s="276">
        <v>0</v>
      </c>
      <c r="J200" s="281"/>
      <c r="K200" s="276">
        <v>0</v>
      </c>
      <c r="L200" s="281"/>
      <c r="M200" s="276">
        <v>0</v>
      </c>
      <c r="N200" s="281"/>
      <c r="O200" s="276">
        <v>0</v>
      </c>
      <c r="P200" s="281"/>
      <c r="Q200" s="276">
        <v>0</v>
      </c>
      <c r="R200" s="281"/>
      <c r="S200" s="276">
        <v>0</v>
      </c>
      <c r="T200" s="281"/>
      <c r="U200" s="276">
        <v>0</v>
      </c>
      <c r="V200" s="281"/>
      <c r="W200" s="276">
        <v>0</v>
      </c>
      <c r="X200" s="281"/>
      <c r="Y200" s="276">
        <v>0</v>
      </c>
      <c r="Z200" s="281"/>
      <c r="AA200" s="306">
        <v>0</v>
      </c>
      <c r="AB200" s="398"/>
      <c r="AC200" s="305">
        <v>0</v>
      </c>
      <c r="AD200" s="315"/>
      <c r="AE200" s="329">
        <v>0</v>
      </c>
      <c r="AF200" s="145"/>
      <c r="AG200" s="56">
        <v>0</v>
      </c>
      <c r="AH200" s="144"/>
      <c r="AI200" s="56">
        <v>0</v>
      </c>
      <c r="AJ200" s="144"/>
      <c r="AK200" s="56">
        <v>0</v>
      </c>
      <c r="AL200" s="144"/>
      <c r="AM200" s="56">
        <v>0</v>
      </c>
      <c r="AN200" s="81">
        <v>77398.098568534639</v>
      </c>
      <c r="AO200" s="106">
        <v>1</v>
      </c>
      <c r="AP200" s="122" t="s">
        <v>319</v>
      </c>
      <c r="AQ200" s="127">
        <v>2.6143790849673203E-2</v>
      </c>
      <c r="AR200" s="121">
        <v>2023.4797011381606</v>
      </c>
      <c r="AS200" s="333" t="s">
        <v>354</v>
      </c>
      <c r="AT200" s="360">
        <v>18</v>
      </c>
    </row>
    <row r="201" spans="1:46" x14ac:dyDescent="0.3">
      <c r="A201" s="422" t="s">
        <v>9</v>
      </c>
      <c r="B201" s="274" t="s">
        <v>220</v>
      </c>
      <c r="C201" s="274" t="s">
        <v>342</v>
      </c>
      <c r="D201" s="281"/>
      <c r="E201" s="276">
        <v>0</v>
      </c>
      <c r="F201" s="281"/>
      <c r="G201" s="276">
        <v>0</v>
      </c>
      <c r="H201" s="281">
        <v>1</v>
      </c>
      <c r="I201" s="276">
        <v>55794.181771015559</v>
      </c>
      <c r="J201" s="281"/>
      <c r="K201" s="276">
        <v>0</v>
      </c>
      <c r="L201" s="281"/>
      <c r="M201" s="276">
        <v>0</v>
      </c>
      <c r="N201" s="281">
        <v>1</v>
      </c>
      <c r="O201" s="276">
        <v>55794.181771015559</v>
      </c>
      <c r="P201" s="281"/>
      <c r="Q201" s="276">
        <v>0</v>
      </c>
      <c r="R201" s="281"/>
      <c r="S201" s="276">
        <v>0</v>
      </c>
      <c r="T201" s="281">
        <v>1</v>
      </c>
      <c r="U201" s="276">
        <v>55794.181771015559</v>
      </c>
      <c r="V201" s="281"/>
      <c r="W201" s="276">
        <v>0</v>
      </c>
      <c r="X201" s="281"/>
      <c r="Y201" s="276">
        <v>0</v>
      </c>
      <c r="Z201" s="281"/>
      <c r="AA201" s="306">
        <v>0</v>
      </c>
      <c r="AB201" s="398"/>
      <c r="AC201" s="305">
        <v>0</v>
      </c>
      <c r="AD201" s="313"/>
      <c r="AE201" s="329">
        <v>0</v>
      </c>
      <c r="AF201" s="145"/>
      <c r="AG201" s="56">
        <v>0</v>
      </c>
      <c r="AH201" s="144"/>
      <c r="AI201" s="56">
        <v>0</v>
      </c>
      <c r="AJ201" s="144"/>
      <c r="AK201" s="56">
        <v>0</v>
      </c>
      <c r="AL201" s="144">
        <v>1</v>
      </c>
      <c r="AM201" s="56">
        <v>55794.181771015559</v>
      </c>
      <c r="AN201" s="81">
        <v>223176.72708406224</v>
      </c>
      <c r="AO201" s="106">
        <v>4</v>
      </c>
      <c r="AP201" s="122" t="s">
        <v>318</v>
      </c>
      <c r="AQ201" s="127">
        <v>3.1963470319634701E-2</v>
      </c>
      <c r="AR201" s="121">
        <v>7133.5026921846375</v>
      </c>
      <c r="AS201" s="333" t="s">
        <v>354</v>
      </c>
      <c r="AT201" s="360">
        <v>18</v>
      </c>
    </row>
    <row r="202" spans="1:46" x14ac:dyDescent="0.3">
      <c r="A202" s="422" t="s">
        <v>7</v>
      </c>
      <c r="B202" s="274" t="s">
        <v>8</v>
      </c>
      <c r="C202" s="274" t="s">
        <v>342</v>
      </c>
      <c r="D202" s="281">
        <v>1</v>
      </c>
      <c r="E202" s="276">
        <v>55794.181771015559</v>
      </c>
      <c r="F202" s="280"/>
      <c r="G202" s="276">
        <v>0</v>
      </c>
      <c r="H202" s="280"/>
      <c r="I202" s="276">
        <v>0</v>
      </c>
      <c r="J202" s="280"/>
      <c r="K202" s="276">
        <v>0</v>
      </c>
      <c r="L202" s="280"/>
      <c r="M202" s="276">
        <v>0</v>
      </c>
      <c r="N202" s="280"/>
      <c r="O202" s="276">
        <v>0</v>
      </c>
      <c r="P202" s="280"/>
      <c r="Q202" s="276">
        <v>0</v>
      </c>
      <c r="R202" s="280"/>
      <c r="S202" s="276">
        <v>0</v>
      </c>
      <c r="T202" s="280"/>
      <c r="U202" s="276">
        <v>0</v>
      </c>
      <c r="V202" s="280"/>
      <c r="W202" s="276">
        <v>0</v>
      </c>
      <c r="X202" s="280"/>
      <c r="Y202" s="276">
        <v>0</v>
      </c>
      <c r="Z202" s="280"/>
      <c r="AA202" s="306">
        <v>0</v>
      </c>
      <c r="AB202" s="398"/>
      <c r="AC202" s="305">
        <v>0</v>
      </c>
      <c r="AD202" s="313"/>
      <c r="AE202" s="329">
        <v>0</v>
      </c>
      <c r="AF202" s="145"/>
      <c r="AG202" s="56">
        <v>0</v>
      </c>
      <c r="AH202" s="144"/>
      <c r="AI202" s="56">
        <v>0</v>
      </c>
      <c r="AJ202" s="144"/>
      <c r="AK202" s="56">
        <v>0</v>
      </c>
      <c r="AL202" s="144"/>
      <c r="AM202" s="56">
        <v>0</v>
      </c>
      <c r="AN202" s="81">
        <v>55794.181771015559</v>
      </c>
      <c r="AO202" s="106">
        <v>1</v>
      </c>
      <c r="AP202" s="122" t="s">
        <v>318</v>
      </c>
      <c r="AQ202" s="127">
        <v>1</v>
      </c>
      <c r="AR202" s="121">
        <v>55794.181771015559</v>
      </c>
      <c r="AS202" s="333" t="s">
        <v>354</v>
      </c>
      <c r="AT202" s="360">
        <v>18</v>
      </c>
    </row>
    <row r="203" spans="1:46" x14ac:dyDescent="0.3">
      <c r="A203" s="422" t="s">
        <v>52</v>
      </c>
      <c r="B203" s="274" t="s">
        <v>191</v>
      </c>
      <c r="C203" s="274" t="s">
        <v>342</v>
      </c>
      <c r="D203" s="281">
        <v>1</v>
      </c>
      <c r="E203" s="276">
        <v>26897.079640267821</v>
      </c>
      <c r="F203" s="280"/>
      <c r="G203" s="276">
        <v>0</v>
      </c>
      <c r="H203" s="280"/>
      <c r="I203" s="276">
        <v>0</v>
      </c>
      <c r="J203" s="280"/>
      <c r="K203" s="276">
        <v>0</v>
      </c>
      <c r="L203" s="280"/>
      <c r="M203" s="276">
        <v>0</v>
      </c>
      <c r="N203" s="280"/>
      <c r="O203" s="276">
        <v>0</v>
      </c>
      <c r="P203" s="280"/>
      <c r="Q203" s="276">
        <v>0</v>
      </c>
      <c r="R203" s="280"/>
      <c r="S203" s="276">
        <v>0</v>
      </c>
      <c r="T203" s="280"/>
      <c r="U203" s="276">
        <v>0</v>
      </c>
      <c r="V203" s="280"/>
      <c r="W203" s="276">
        <v>0</v>
      </c>
      <c r="X203" s="280"/>
      <c r="Y203" s="276">
        <v>0</v>
      </c>
      <c r="Z203" s="280"/>
      <c r="AA203" s="306">
        <v>0</v>
      </c>
      <c r="AB203" s="398"/>
      <c r="AC203" s="305">
        <v>0</v>
      </c>
      <c r="AD203" s="315"/>
      <c r="AE203" s="329">
        <v>0</v>
      </c>
      <c r="AF203" s="145"/>
      <c r="AG203" s="56">
        <v>0</v>
      </c>
      <c r="AH203" s="144"/>
      <c r="AI203" s="56">
        <v>0</v>
      </c>
      <c r="AJ203" s="144"/>
      <c r="AK203" s="56">
        <v>0</v>
      </c>
      <c r="AL203" s="144"/>
      <c r="AM203" s="56">
        <v>0</v>
      </c>
      <c r="AN203" s="81">
        <v>26897.079640267821</v>
      </c>
      <c r="AO203" s="106">
        <v>1</v>
      </c>
      <c r="AP203" s="122" t="s">
        <v>319</v>
      </c>
      <c r="AQ203" s="127">
        <v>6.5359477124183009E-3</v>
      </c>
      <c r="AR203" s="121">
        <v>175.7979061455413</v>
      </c>
      <c r="AS203" s="333" t="s">
        <v>354</v>
      </c>
      <c r="AT203" s="360">
        <v>18</v>
      </c>
    </row>
    <row r="204" spans="1:46" x14ac:dyDescent="0.3">
      <c r="A204" s="422" t="s">
        <v>53</v>
      </c>
      <c r="B204" s="274" t="s">
        <v>230</v>
      </c>
      <c r="C204" s="274" t="s">
        <v>342</v>
      </c>
      <c r="D204" s="281">
        <v>1</v>
      </c>
      <c r="E204" s="276">
        <v>26897.079640267817</v>
      </c>
      <c r="F204" s="281"/>
      <c r="G204" s="276">
        <v>0</v>
      </c>
      <c r="H204" s="281"/>
      <c r="I204" s="276">
        <v>0</v>
      </c>
      <c r="J204" s="281"/>
      <c r="K204" s="276">
        <v>0</v>
      </c>
      <c r="L204" s="281"/>
      <c r="M204" s="276">
        <v>0</v>
      </c>
      <c r="N204" s="281"/>
      <c r="O204" s="276">
        <v>0</v>
      </c>
      <c r="P204" s="281"/>
      <c r="Q204" s="276">
        <v>0</v>
      </c>
      <c r="R204" s="281"/>
      <c r="S204" s="276">
        <v>0</v>
      </c>
      <c r="T204" s="281"/>
      <c r="U204" s="276">
        <v>0</v>
      </c>
      <c r="V204" s="281"/>
      <c r="W204" s="276">
        <v>0</v>
      </c>
      <c r="X204" s="281"/>
      <c r="Y204" s="276">
        <v>0</v>
      </c>
      <c r="Z204" s="281"/>
      <c r="AA204" s="306">
        <v>0</v>
      </c>
      <c r="AB204" s="398"/>
      <c r="AC204" s="305">
        <v>0</v>
      </c>
      <c r="AD204" s="315"/>
      <c r="AE204" s="329">
        <v>0</v>
      </c>
      <c r="AF204" s="145"/>
      <c r="AG204" s="56">
        <v>0</v>
      </c>
      <c r="AH204" s="144"/>
      <c r="AI204" s="56">
        <v>0</v>
      </c>
      <c r="AJ204" s="144"/>
      <c r="AK204" s="56">
        <v>0</v>
      </c>
      <c r="AL204" s="180"/>
      <c r="AM204" s="113">
        <v>0</v>
      </c>
      <c r="AN204" s="81">
        <v>26897.079640267817</v>
      </c>
      <c r="AO204" s="106">
        <v>1</v>
      </c>
      <c r="AP204" s="122" t="s">
        <v>319</v>
      </c>
      <c r="AQ204" s="127">
        <v>6.5359477124183009E-3</v>
      </c>
      <c r="AR204" s="121">
        <v>175.7979061455413</v>
      </c>
      <c r="AS204" s="333" t="s">
        <v>354</v>
      </c>
      <c r="AT204" s="360">
        <v>18</v>
      </c>
    </row>
    <row r="205" spans="1:46" x14ac:dyDescent="0.3">
      <c r="A205" s="422" t="s">
        <v>113</v>
      </c>
      <c r="B205" s="295" t="s">
        <v>139</v>
      </c>
      <c r="C205" s="274" t="s">
        <v>342</v>
      </c>
      <c r="D205" s="281">
        <v>1</v>
      </c>
      <c r="E205" s="276">
        <v>60236.092716419647</v>
      </c>
      <c r="F205" s="281"/>
      <c r="G205" s="276">
        <v>0</v>
      </c>
      <c r="H205" s="281"/>
      <c r="I205" s="276">
        <v>0</v>
      </c>
      <c r="J205" s="281"/>
      <c r="K205" s="276">
        <v>0</v>
      </c>
      <c r="L205" s="281"/>
      <c r="M205" s="276">
        <v>0</v>
      </c>
      <c r="N205" s="281"/>
      <c r="O205" s="276">
        <v>0</v>
      </c>
      <c r="P205" s="281"/>
      <c r="Q205" s="276">
        <v>0</v>
      </c>
      <c r="R205" s="281"/>
      <c r="S205" s="276">
        <v>0</v>
      </c>
      <c r="T205" s="281"/>
      <c r="U205" s="276">
        <v>0</v>
      </c>
      <c r="V205" s="281"/>
      <c r="W205" s="276">
        <v>0</v>
      </c>
      <c r="X205" s="281"/>
      <c r="Y205" s="276">
        <v>0</v>
      </c>
      <c r="Z205" s="281"/>
      <c r="AA205" s="306">
        <v>0</v>
      </c>
      <c r="AB205" s="398"/>
      <c r="AC205" s="305">
        <v>0</v>
      </c>
      <c r="AD205" s="315"/>
      <c r="AE205" s="329">
        <v>0</v>
      </c>
      <c r="AF205" s="177"/>
      <c r="AG205" s="56">
        <v>0</v>
      </c>
      <c r="AH205" s="144"/>
      <c r="AI205" s="56">
        <v>0</v>
      </c>
      <c r="AJ205" s="144"/>
      <c r="AK205" s="56">
        <v>0</v>
      </c>
      <c r="AL205" s="144"/>
      <c r="AM205" s="56">
        <v>0</v>
      </c>
      <c r="AN205" s="81">
        <v>60236.092716419647</v>
      </c>
      <c r="AO205" s="106">
        <v>1</v>
      </c>
      <c r="AP205" s="122" t="s">
        <v>319</v>
      </c>
      <c r="AQ205" s="127">
        <v>9.1503267973856203E-2</v>
      </c>
      <c r="AR205" s="121">
        <v>5511.7993335285946</v>
      </c>
      <c r="AS205" s="333" t="s">
        <v>354</v>
      </c>
      <c r="AT205" s="360">
        <v>18</v>
      </c>
    </row>
    <row r="206" spans="1:46" x14ac:dyDescent="0.3">
      <c r="A206" s="422" t="s">
        <v>114</v>
      </c>
      <c r="B206" s="274" t="s">
        <v>140</v>
      </c>
      <c r="C206" s="274" t="s">
        <v>342</v>
      </c>
      <c r="D206" s="281"/>
      <c r="E206" s="276">
        <v>0</v>
      </c>
      <c r="F206" s="281"/>
      <c r="G206" s="276">
        <v>0</v>
      </c>
      <c r="H206" s="281"/>
      <c r="I206" s="276">
        <v>0</v>
      </c>
      <c r="J206" s="281">
        <v>1</v>
      </c>
      <c r="K206" s="276">
        <v>62748.232282880919</v>
      </c>
      <c r="L206" s="281"/>
      <c r="M206" s="276">
        <v>0</v>
      </c>
      <c r="N206" s="281"/>
      <c r="O206" s="276">
        <v>0</v>
      </c>
      <c r="P206" s="281">
        <v>1</v>
      </c>
      <c r="Q206" s="276">
        <v>62748.232282880919</v>
      </c>
      <c r="R206" s="281"/>
      <c r="S206" s="276">
        <v>0</v>
      </c>
      <c r="T206" s="281"/>
      <c r="U206" s="276">
        <v>0</v>
      </c>
      <c r="V206" s="281">
        <v>1</v>
      </c>
      <c r="W206" s="276">
        <v>62748.232282880919</v>
      </c>
      <c r="X206" s="281"/>
      <c r="Y206" s="276">
        <v>0</v>
      </c>
      <c r="Z206" s="281"/>
      <c r="AA206" s="306">
        <v>0</v>
      </c>
      <c r="AB206" s="398"/>
      <c r="AC206" s="305">
        <v>0</v>
      </c>
      <c r="AD206" s="315"/>
      <c r="AE206" s="329">
        <v>0</v>
      </c>
      <c r="AF206" s="145"/>
      <c r="AG206" s="56">
        <v>0</v>
      </c>
      <c r="AH206" s="144"/>
      <c r="AI206" s="56">
        <v>0</v>
      </c>
      <c r="AJ206" s="144"/>
      <c r="AK206" s="56">
        <v>0</v>
      </c>
      <c r="AL206" s="144"/>
      <c r="AM206" s="56">
        <v>0</v>
      </c>
      <c r="AN206" s="81">
        <v>188244.69684864275</v>
      </c>
      <c r="AO206" s="106">
        <v>3</v>
      </c>
      <c r="AP206" s="122" t="s">
        <v>319</v>
      </c>
      <c r="AQ206" s="127">
        <v>4.5751633986928102E-2</v>
      </c>
      <c r="AR206" s="121">
        <v>8612.5024701993407</v>
      </c>
      <c r="AS206" s="333" t="s">
        <v>354</v>
      </c>
      <c r="AT206" s="360">
        <v>18</v>
      </c>
    </row>
    <row r="207" spans="1:46" x14ac:dyDescent="0.3">
      <c r="A207" s="422" t="s">
        <v>115</v>
      </c>
      <c r="B207" s="274" t="s">
        <v>141</v>
      </c>
      <c r="C207" s="274" t="s">
        <v>342</v>
      </c>
      <c r="D207" s="281"/>
      <c r="E207" s="276">
        <v>0</v>
      </c>
      <c r="F207" s="281"/>
      <c r="G207" s="276">
        <v>0</v>
      </c>
      <c r="H207" s="281"/>
      <c r="I207" s="276">
        <v>0</v>
      </c>
      <c r="J207" s="281"/>
      <c r="K207" s="276">
        <v>0</v>
      </c>
      <c r="L207" s="281"/>
      <c r="M207" s="276">
        <v>0</v>
      </c>
      <c r="N207" s="281"/>
      <c r="O207" s="276">
        <v>0</v>
      </c>
      <c r="P207" s="281"/>
      <c r="Q207" s="276">
        <v>0</v>
      </c>
      <c r="R207" s="281"/>
      <c r="S207" s="276">
        <v>0</v>
      </c>
      <c r="T207" s="281"/>
      <c r="U207" s="276">
        <v>0</v>
      </c>
      <c r="V207" s="281"/>
      <c r="W207" s="276">
        <v>0</v>
      </c>
      <c r="X207" s="281"/>
      <c r="Y207" s="276">
        <v>0</v>
      </c>
      <c r="Z207" s="281"/>
      <c r="AA207" s="316">
        <v>0</v>
      </c>
      <c r="AB207" s="398"/>
      <c r="AC207" s="305">
        <v>0</v>
      </c>
      <c r="AD207" s="315"/>
      <c r="AE207" s="329">
        <v>0</v>
      </c>
      <c r="AF207" s="144"/>
      <c r="AG207" s="56">
        <v>0</v>
      </c>
      <c r="AH207" s="144"/>
      <c r="AI207" s="56">
        <v>0</v>
      </c>
      <c r="AJ207" s="144"/>
      <c r="AK207" s="56">
        <v>0</v>
      </c>
      <c r="AL207" s="181">
        <v>1</v>
      </c>
      <c r="AM207" s="56">
        <v>62748.232282880919</v>
      </c>
      <c r="AN207" s="81">
        <v>62748.232282880919</v>
      </c>
      <c r="AO207" s="106">
        <v>1</v>
      </c>
      <c r="AP207" s="122" t="s">
        <v>319</v>
      </c>
      <c r="AQ207" s="127">
        <v>0</v>
      </c>
      <c r="AR207" s="121">
        <v>0</v>
      </c>
      <c r="AS207" s="333" t="s">
        <v>354</v>
      </c>
      <c r="AT207" s="360">
        <v>18</v>
      </c>
    </row>
    <row r="208" spans="1:46" x14ac:dyDescent="0.3">
      <c r="A208" s="414" t="s">
        <v>421</v>
      </c>
      <c r="B208" s="96" t="s">
        <v>422</v>
      </c>
      <c r="C208" s="96" t="s">
        <v>423</v>
      </c>
      <c r="D208" s="181"/>
      <c r="E208" s="56"/>
      <c r="F208" s="181"/>
      <c r="G208" s="56"/>
      <c r="H208" s="181"/>
      <c r="I208" s="56"/>
      <c r="J208" s="181"/>
      <c r="K208" s="56"/>
      <c r="L208" s="181"/>
      <c r="M208" s="56"/>
      <c r="N208" s="181"/>
      <c r="O208" s="56"/>
      <c r="P208" s="181"/>
      <c r="Q208" s="56"/>
      <c r="R208" s="181"/>
      <c r="S208" s="56"/>
      <c r="T208" s="181"/>
      <c r="U208" s="56"/>
      <c r="V208" s="181"/>
      <c r="W208" s="56"/>
      <c r="X208" s="181"/>
      <c r="Y208" s="56"/>
      <c r="Z208" s="181"/>
      <c r="AA208" s="56"/>
      <c r="AB208" s="81"/>
      <c r="AC208" s="106"/>
      <c r="AD208" s="315"/>
      <c r="AE208" s="329"/>
      <c r="AF208" s="285"/>
      <c r="AG208" s="314"/>
      <c r="AI208" s="56"/>
      <c r="AJ208" s="144"/>
      <c r="AK208" s="56"/>
      <c r="AL208" s="181"/>
      <c r="AM208" s="56"/>
      <c r="AN208" s="81"/>
      <c r="AO208" s="106"/>
      <c r="AP208" s="104" t="s">
        <v>318</v>
      </c>
      <c r="AQ208" s="119"/>
      <c r="AR208" s="47"/>
      <c r="AS208" s="333" t="s">
        <v>354</v>
      </c>
      <c r="AT208" s="333">
        <v>18</v>
      </c>
    </row>
    <row r="209" spans="1:46" x14ac:dyDescent="0.3">
      <c r="A209" s="423" t="s">
        <v>13</v>
      </c>
      <c r="B209" s="274" t="s">
        <v>14</v>
      </c>
      <c r="C209" s="274" t="s">
        <v>343</v>
      </c>
      <c r="D209" s="281">
        <v>1</v>
      </c>
      <c r="E209" s="276">
        <v>20552.755657371155</v>
      </c>
      <c r="F209" s="291"/>
      <c r="G209" s="276">
        <v>0</v>
      </c>
      <c r="H209" s="291"/>
      <c r="I209" s="276">
        <v>0</v>
      </c>
      <c r="J209" s="291"/>
      <c r="K209" s="276">
        <v>0</v>
      </c>
      <c r="L209" s="291"/>
      <c r="M209" s="276">
        <v>0</v>
      </c>
      <c r="N209" s="291"/>
      <c r="O209" s="276">
        <v>0</v>
      </c>
      <c r="P209" s="291"/>
      <c r="Q209" s="276">
        <v>0</v>
      </c>
      <c r="R209" s="291"/>
      <c r="S209" s="276">
        <v>0</v>
      </c>
      <c r="T209" s="291"/>
      <c r="U209" s="276">
        <v>0</v>
      </c>
      <c r="V209" s="291"/>
      <c r="W209" s="276">
        <v>0</v>
      </c>
      <c r="X209" s="291"/>
      <c r="Y209" s="276">
        <v>0</v>
      </c>
      <c r="Z209" s="291"/>
      <c r="AA209" s="276">
        <v>0</v>
      </c>
      <c r="AB209" s="400"/>
      <c r="AC209" s="305">
        <v>0</v>
      </c>
      <c r="AD209" s="284"/>
      <c r="AE209" s="329">
        <v>0</v>
      </c>
      <c r="AF209" s="145"/>
      <c r="AG209" s="56">
        <v>0</v>
      </c>
      <c r="AH209" s="144"/>
      <c r="AI209" s="56">
        <v>0</v>
      </c>
      <c r="AJ209" s="144"/>
      <c r="AK209" s="56">
        <v>0</v>
      </c>
      <c r="AL209" s="144"/>
      <c r="AM209" s="56">
        <v>0</v>
      </c>
      <c r="AN209" s="81">
        <v>20552.755657371155</v>
      </c>
      <c r="AO209" s="106">
        <v>1</v>
      </c>
      <c r="AP209" s="122" t="s">
        <v>318</v>
      </c>
      <c r="AQ209" s="127">
        <v>1</v>
      </c>
      <c r="AR209" s="121">
        <v>20552.755657371155</v>
      </c>
      <c r="AS209" s="333" t="s">
        <v>355</v>
      </c>
      <c r="AT209" s="360">
        <v>18</v>
      </c>
    </row>
    <row r="210" spans="1:46" x14ac:dyDescent="0.3">
      <c r="A210" s="423" t="s">
        <v>98</v>
      </c>
      <c r="B210" s="274" t="s">
        <v>99</v>
      </c>
      <c r="C210" s="274" t="s">
        <v>342</v>
      </c>
      <c r="D210" s="281">
        <v>1</v>
      </c>
      <c r="E210" s="276">
        <v>17887.388810409495</v>
      </c>
      <c r="F210" s="291"/>
      <c r="G210" s="276">
        <v>0</v>
      </c>
      <c r="H210" s="291"/>
      <c r="I210" s="276">
        <v>0</v>
      </c>
      <c r="J210" s="291"/>
      <c r="K210" s="276">
        <v>0</v>
      </c>
      <c r="L210" s="291"/>
      <c r="M210" s="276">
        <v>0</v>
      </c>
      <c r="N210" s="291"/>
      <c r="O210" s="276">
        <v>0</v>
      </c>
      <c r="P210" s="291"/>
      <c r="Q210" s="276">
        <v>0</v>
      </c>
      <c r="R210" s="291"/>
      <c r="S210" s="276">
        <v>0</v>
      </c>
      <c r="T210" s="291"/>
      <c r="U210" s="276">
        <v>0</v>
      </c>
      <c r="V210" s="291"/>
      <c r="W210" s="276">
        <v>0</v>
      </c>
      <c r="X210" s="291"/>
      <c r="Y210" s="276">
        <v>0</v>
      </c>
      <c r="Z210" s="291"/>
      <c r="AA210" s="276">
        <v>0</v>
      </c>
      <c r="AB210" s="400"/>
      <c r="AC210" s="305">
        <v>0</v>
      </c>
      <c r="AD210" s="284"/>
      <c r="AE210" s="329">
        <v>0</v>
      </c>
      <c r="AF210" s="145"/>
      <c r="AG210" s="56">
        <v>0</v>
      </c>
      <c r="AH210" s="144"/>
      <c r="AI210" s="56">
        <v>0</v>
      </c>
      <c r="AJ210" s="144"/>
      <c r="AK210" s="56">
        <v>0</v>
      </c>
      <c r="AL210" s="144"/>
      <c r="AM210" s="56">
        <v>0</v>
      </c>
      <c r="AN210" s="81">
        <v>17887.388810409495</v>
      </c>
      <c r="AO210" s="106">
        <v>1</v>
      </c>
      <c r="AP210" s="122" t="s">
        <v>318</v>
      </c>
      <c r="AQ210" s="127">
        <v>1</v>
      </c>
      <c r="AR210" s="121">
        <v>17887.388810409495</v>
      </c>
      <c r="AS210" s="333" t="s">
        <v>355</v>
      </c>
      <c r="AT210" s="360">
        <v>18</v>
      </c>
    </row>
    <row r="211" spans="1:46" x14ac:dyDescent="0.3">
      <c r="A211" s="423" t="s">
        <v>104</v>
      </c>
      <c r="B211" s="274" t="s">
        <v>105</v>
      </c>
      <c r="C211" s="274" t="s">
        <v>342</v>
      </c>
      <c r="D211" s="281"/>
      <c r="E211" s="276">
        <v>0</v>
      </c>
      <c r="F211" s="291"/>
      <c r="G211" s="276">
        <v>0</v>
      </c>
      <c r="H211" s="291"/>
      <c r="I211" s="276">
        <v>0</v>
      </c>
      <c r="J211" s="291"/>
      <c r="K211" s="276">
        <v>0</v>
      </c>
      <c r="L211" s="291"/>
      <c r="M211" s="276">
        <v>0</v>
      </c>
      <c r="N211" s="290"/>
      <c r="O211" s="276">
        <v>0</v>
      </c>
      <c r="P211" s="291"/>
      <c r="Q211" s="276">
        <v>0</v>
      </c>
      <c r="R211" s="291"/>
      <c r="S211" s="276">
        <v>0</v>
      </c>
      <c r="T211" s="291"/>
      <c r="U211" s="276">
        <v>0</v>
      </c>
      <c r="V211" s="291"/>
      <c r="W211" s="276">
        <v>0</v>
      </c>
      <c r="X211" s="291"/>
      <c r="Y211" s="276">
        <v>0</v>
      </c>
      <c r="Z211" s="294"/>
      <c r="AA211" s="276">
        <v>0</v>
      </c>
      <c r="AB211" s="400"/>
      <c r="AC211" s="305">
        <v>0</v>
      </c>
      <c r="AD211" s="315"/>
      <c r="AE211" s="329">
        <v>0</v>
      </c>
      <c r="AF211" s="145"/>
      <c r="AG211" s="56">
        <v>0</v>
      </c>
      <c r="AH211" s="146"/>
      <c r="AI211" s="56">
        <v>0</v>
      </c>
      <c r="AJ211" s="146"/>
      <c r="AK211" s="56">
        <v>0</v>
      </c>
      <c r="AL211" s="146">
        <v>1</v>
      </c>
      <c r="AM211" s="56">
        <v>17887.388810409495</v>
      </c>
      <c r="AN211" s="81">
        <v>17887.388810409495</v>
      </c>
      <c r="AO211" s="106">
        <v>1</v>
      </c>
      <c r="AP211" s="122" t="s">
        <v>319</v>
      </c>
      <c r="AQ211" s="127">
        <v>0.25</v>
      </c>
      <c r="AR211" s="121">
        <v>4471.8472026023737</v>
      </c>
      <c r="AS211" s="333" t="s">
        <v>355</v>
      </c>
      <c r="AT211" s="360">
        <v>18</v>
      </c>
    </row>
    <row r="212" spans="1:46" x14ac:dyDescent="0.3">
      <c r="A212" s="423" t="s">
        <v>3</v>
      </c>
      <c r="B212" s="274" t="s">
        <v>4</v>
      </c>
      <c r="C212" s="274" t="s">
        <v>342</v>
      </c>
      <c r="D212" s="281">
        <v>1</v>
      </c>
      <c r="E212" s="276">
        <v>20406.13276336317</v>
      </c>
      <c r="F212" s="290"/>
      <c r="G212" s="276">
        <v>0</v>
      </c>
      <c r="H212" s="290"/>
      <c r="I212" s="276">
        <v>0</v>
      </c>
      <c r="J212" s="290"/>
      <c r="K212" s="276">
        <v>0</v>
      </c>
      <c r="L212" s="290"/>
      <c r="M212" s="276">
        <v>0</v>
      </c>
      <c r="N212" s="290"/>
      <c r="O212" s="276">
        <v>0</v>
      </c>
      <c r="P212" s="290"/>
      <c r="Q212" s="276">
        <v>0</v>
      </c>
      <c r="R212" s="290"/>
      <c r="S212" s="276">
        <v>0</v>
      </c>
      <c r="T212" s="290"/>
      <c r="U212" s="276">
        <v>0</v>
      </c>
      <c r="V212" s="290"/>
      <c r="W212" s="276">
        <v>0</v>
      </c>
      <c r="X212" s="290"/>
      <c r="Y212" s="276">
        <v>0</v>
      </c>
      <c r="Z212" s="290"/>
      <c r="AA212" s="276">
        <v>0</v>
      </c>
      <c r="AB212" s="400"/>
      <c r="AC212" s="305">
        <v>0</v>
      </c>
      <c r="AD212" s="284"/>
      <c r="AE212" s="329">
        <v>0</v>
      </c>
      <c r="AF212" s="145"/>
      <c r="AG212" s="56">
        <v>0</v>
      </c>
      <c r="AH212" s="144"/>
      <c r="AI212" s="56">
        <v>0</v>
      </c>
      <c r="AJ212" s="144"/>
      <c r="AK212" s="56">
        <v>0</v>
      </c>
      <c r="AL212" s="144"/>
      <c r="AM212" s="56">
        <v>0</v>
      </c>
      <c r="AN212" s="81">
        <v>20406.13276336317</v>
      </c>
      <c r="AO212" s="106">
        <v>1</v>
      </c>
      <c r="AP212" s="122" t="s">
        <v>318</v>
      </c>
      <c r="AQ212" s="127">
        <v>1</v>
      </c>
      <c r="AR212" s="121">
        <v>20406.13276336317</v>
      </c>
      <c r="AS212" s="333" t="s">
        <v>355</v>
      </c>
      <c r="AT212" s="360">
        <v>18</v>
      </c>
    </row>
    <row r="213" spans="1:46" x14ac:dyDescent="0.3">
      <c r="A213" s="423" t="s">
        <v>15</v>
      </c>
      <c r="B213" s="274" t="s">
        <v>16</v>
      </c>
      <c r="C213" s="274" t="s">
        <v>342</v>
      </c>
      <c r="D213" s="281"/>
      <c r="E213" s="276">
        <v>0</v>
      </c>
      <c r="F213" s="290"/>
      <c r="G213" s="276">
        <v>0</v>
      </c>
      <c r="H213" s="290"/>
      <c r="I213" s="276">
        <v>0</v>
      </c>
      <c r="J213" s="290"/>
      <c r="K213" s="276">
        <v>0</v>
      </c>
      <c r="L213" s="290"/>
      <c r="M213" s="276">
        <v>0</v>
      </c>
      <c r="N213" s="290">
        <v>1</v>
      </c>
      <c r="O213" s="276">
        <v>22052.520800552971</v>
      </c>
      <c r="P213" s="290"/>
      <c r="Q213" s="276">
        <v>0</v>
      </c>
      <c r="R213" s="290"/>
      <c r="S213" s="276">
        <v>0</v>
      </c>
      <c r="T213" s="290"/>
      <c r="U213" s="276">
        <v>0</v>
      </c>
      <c r="V213" s="290"/>
      <c r="W213" s="276">
        <v>0</v>
      </c>
      <c r="X213" s="290"/>
      <c r="Y213" s="276">
        <v>0</v>
      </c>
      <c r="Z213" s="290"/>
      <c r="AA213" s="276">
        <v>0</v>
      </c>
      <c r="AB213" s="400"/>
      <c r="AC213" s="305">
        <v>0</v>
      </c>
      <c r="AD213" s="284"/>
      <c r="AE213" s="329">
        <v>0</v>
      </c>
      <c r="AF213" s="144"/>
      <c r="AG213" s="56">
        <v>0</v>
      </c>
      <c r="AH213" s="144"/>
      <c r="AI213" s="56">
        <v>0</v>
      </c>
      <c r="AJ213" s="144"/>
      <c r="AK213" s="56">
        <v>0</v>
      </c>
      <c r="AL213" s="144">
        <v>1</v>
      </c>
      <c r="AM213" s="56">
        <v>22052.520800552971</v>
      </c>
      <c r="AN213" s="81">
        <v>44105.041601105942</v>
      </c>
      <c r="AO213" s="106">
        <v>2</v>
      </c>
      <c r="AP213" s="122" t="s">
        <v>318</v>
      </c>
      <c r="AQ213" s="127">
        <v>1</v>
      </c>
      <c r="AR213" s="121">
        <v>44105.041601105942</v>
      </c>
      <c r="AS213" s="333" t="s">
        <v>355</v>
      </c>
      <c r="AT213" s="360">
        <v>18</v>
      </c>
    </row>
    <row r="214" spans="1:46" x14ac:dyDescent="0.3">
      <c r="A214" s="423" t="s">
        <v>74</v>
      </c>
      <c r="B214" s="274" t="s">
        <v>75</v>
      </c>
      <c r="C214" s="274" t="s">
        <v>342</v>
      </c>
      <c r="D214" s="281">
        <v>1</v>
      </c>
      <c r="E214" s="276">
        <v>21404.190244376427</v>
      </c>
      <c r="F214" s="290"/>
      <c r="G214" s="276">
        <v>0</v>
      </c>
      <c r="H214" s="290"/>
      <c r="I214" s="276">
        <v>0</v>
      </c>
      <c r="J214" s="290"/>
      <c r="K214" s="276">
        <v>0</v>
      </c>
      <c r="L214" s="290"/>
      <c r="M214" s="276">
        <v>0</v>
      </c>
      <c r="N214" s="290"/>
      <c r="O214" s="276">
        <v>0</v>
      </c>
      <c r="P214" s="290"/>
      <c r="Q214" s="276">
        <v>0</v>
      </c>
      <c r="R214" s="290"/>
      <c r="S214" s="276">
        <v>0</v>
      </c>
      <c r="T214" s="290"/>
      <c r="U214" s="276">
        <v>0</v>
      </c>
      <c r="V214" s="290"/>
      <c r="W214" s="276">
        <v>0</v>
      </c>
      <c r="X214" s="290"/>
      <c r="Y214" s="276">
        <v>0</v>
      </c>
      <c r="Z214" s="290"/>
      <c r="AA214" s="276">
        <v>0</v>
      </c>
      <c r="AB214" s="400"/>
      <c r="AC214" s="305">
        <v>0</v>
      </c>
      <c r="AD214" s="315"/>
      <c r="AE214" s="329">
        <v>0</v>
      </c>
      <c r="AF214" s="144"/>
      <c r="AG214" s="56">
        <v>0</v>
      </c>
      <c r="AH214" s="144"/>
      <c r="AI214" s="56">
        <v>0</v>
      </c>
      <c r="AJ214" s="144"/>
      <c r="AK214" s="56">
        <v>0</v>
      </c>
      <c r="AL214" s="144"/>
      <c r="AM214" s="56">
        <v>0</v>
      </c>
      <c r="AN214" s="81">
        <v>21404.190244376427</v>
      </c>
      <c r="AO214" s="106">
        <v>1</v>
      </c>
      <c r="AP214" s="122" t="s">
        <v>319</v>
      </c>
      <c r="AQ214" s="127">
        <v>1</v>
      </c>
      <c r="AR214" s="121">
        <v>21404.190244376427</v>
      </c>
      <c r="AS214" s="333" t="s">
        <v>355</v>
      </c>
      <c r="AT214" s="360">
        <v>18</v>
      </c>
    </row>
    <row r="215" spans="1:46" x14ac:dyDescent="0.3">
      <c r="A215" s="423" t="s">
        <v>23</v>
      </c>
      <c r="B215" s="274" t="s">
        <v>24</v>
      </c>
      <c r="C215" s="274" t="s">
        <v>344</v>
      </c>
      <c r="D215" s="281">
        <v>1</v>
      </c>
      <c r="E215" s="276">
        <v>31881.451880098426</v>
      </c>
      <c r="F215" s="290"/>
      <c r="G215" s="276">
        <v>0</v>
      </c>
      <c r="H215" s="290"/>
      <c r="I215" s="276">
        <v>0</v>
      </c>
      <c r="J215" s="290"/>
      <c r="K215" s="276">
        <v>0</v>
      </c>
      <c r="L215" s="290"/>
      <c r="M215" s="276">
        <v>0</v>
      </c>
      <c r="N215" s="290"/>
      <c r="O215" s="276">
        <v>0</v>
      </c>
      <c r="P215" s="290"/>
      <c r="Q215" s="276">
        <v>0</v>
      </c>
      <c r="R215" s="290"/>
      <c r="S215" s="276">
        <v>0</v>
      </c>
      <c r="T215" s="290"/>
      <c r="U215" s="276">
        <v>0</v>
      </c>
      <c r="V215" s="290"/>
      <c r="W215" s="276">
        <v>0</v>
      </c>
      <c r="X215" s="290"/>
      <c r="Y215" s="276">
        <v>0</v>
      </c>
      <c r="Z215" s="290"/>
      <c r="AA215" s="276">
        <v>0</v>
      </c>
      <c r="AB215" s="400"/>
      <c r="AC215" s="305">
        <v>0</v>
      </c>
      <c r="AD215" s="284"/>
      <c r="AE215" s="329">
        <v>0</v>
      </c>
      <c r="AF215" s="145"/>
      <c r="AG215" s="56">
        <v>0</v>
      </c>
      <c r="AH215" s="144"/>
      <c r="AI215" s="56">
        <v>0</v>
      </c>
      <c r="AJ215" s="144"/>
      <c r="AK215" s="56">
        <v>0</v>
      </c>
      <c r="AL215" s="144"/>
      <c r="AM215" s="56">
        <v>0</v>
      </c>
      <c r="AN215" s="81">
        <v>31881.451880098426</v>
      </c>
      <c r="AO215" s="106">
        <v>1</v>
      </c>
      <c r="AP215" s="122" t="s">
        <v>318</v>
      </c>
      <c r="AQ215" s="127">
        <v>1</v>
      </c>
      <c r="AR215" s="121">
        <v>31881.451880098426</v>
      </c>
      <c r="AS215" s="333" t="s">
        <v>355</v>
      </c>
      <c r="AT215" s="360">
        <v>18</v>
      </c>
    </row>
    <row r="216" spans="1:46" x14ac:dyDescent="0.3">
      <c r="A216" s="423" t="s">
        <v>36</v>
      </c>
      <c r="B216" s="274" t="s">
        <v>136</v>
      </c>
      <c r="C216" s="274" t="s">
        <v>344</v>
      </c>
      <c r="D216" s="281">
        <v>8</v>
      </c>
      <c r="E216" s="276">
        <v>70240.958933331567</v>
      </c>
      <c r="F216" s="290">
        <v>8</v>
      </c>
      <c r="G216" s="276">
        <v>70240.958933331567</v>
      </c>
      <c r="H216" s="290">
        <v>8</v>
      </c>
      <c r="I216" s="276">
        <v>70240.958933331567</v>
      </c>
      <c r="J216" s="290">
        <v>8</v>
      </c>
      <c r="K216" s="276">
        <v>70240.958933331567</v>
      </c>
      <c r="L216" s="290">
        <v>8</v>
      </c>
      <c r="M216" s="276">
        <v>70240.958933331567</v>
      </c>
      <c r="N216" s="290">
        <v>8</v>
      </c>
      <c r="O216" s="276">
        <v>70240.958933331567</v>
      </c>
      <c r="P216" s="290">
        <v>8</v>
      </c>
      <c r="Q216" s="276">
        <v>70240.958933331567</v>
      </c>
      <c r="R216" s="290">
        <v>8</v>
      </c>
      <c r="S216" s="276">
        <v>70240.958933331567</v>
      </c>
      <c r="T216" s="290">
        <v>8</v>
      </c>
      <c r="U216" s="276">
        <v>70240.958933331567</v>
      </c>
      <c r="V216" s="290">
        <v>8</v>
      </c>
      <c r="W216" s="276">
        <v>70240.958933331567</v>
      </c>
      <c r="X216" s="290">
        <v>8</v>
      </c>
      <c r="Y216" s="276">
        <v>70240.958933331567</v>
      </c>
      <c r="Z216" s="290">
        <v>8</v>
      </c>
      <c r="AA216" s="276">
        <v>70240.958933331567</v>
      </c>
      <c r="AB216" s="400">
        <v>8</v>
      </c>
      <c r="AC216" s="305">
        <v>70240.958933331567</v>
      </c>
      <c r="AD216" s="284">
        <v>8</v>
      </c>
      <c r="AE216" s="329">
        <v>70240.958933331567</v>
      </c>
      <c r="AF216" s="145">
        <v>8</v>
      </c>
      <c r="AG216" s="56">
        <v>70240.958933331567</v>
      </c>
      <c r="AH216" s="144">
        <v>8</v>
      </c>
      <c r="AI216" s="56">
        <v>70240.958933331567</v>
      </c>
      <c r="AJ216" s="144">
        <v>8</v>
      </c>
      <c r="AK216" s="56">
        <v>70240.958933331567</v>
      </c>
      <c r="AL216" s="144">
        <v>8</v>
      </c>
      <c r="AM216" s="56">
        <v>70240.958933331567</v>
      </c>
      <c r="AN216" s="81">
        <v>1264337.2607999679</v>
      </c>
      <c r="AO216" s="106">
        <v>144</v>
      </c>
      <c r="AP216" s="122" t="s">
        <v>318</v>
      </c>
      <c r="AQ216" s="127">
        <v>1</v>
      </c>
      <c r="AR216" s="121">
        <v>1264337.2607999679</v>
      </c>
      <c r="AS216" s="333" t="s">
        <v>355</v>
      </c>
      <c r="AT216" s="360">
        <v>18</v>
      </c>
    </row>
    <row r="217" spans="1:46" x14ac:dyDescent="0.3">
      <c r="A217" s="423" t="s">
        <v>11</v>
      </c>
      <c r="B217" s="274" t="s">
        <v>138</v>
      </c>
      <c r="C217" s="274" t="s">
        <v>345</v>
      </c>
      <c r="D217" s="281">
        <v>2</v>
      </c>
      <c r="E217" s="276">
        <v>21664.611276863514</v>
      </c>
      <c r="F217" s="290">
        <v>2</v>
      </c>
      <c r="G217" s="276">
        <v>21664.611276863514</v>
      </c>
      <c r="H217" s="290">
        <v>2</v>
      </c>
      <c r="I217" s="276">
        <v>21664.611276863514</v>
      </c>
      <c r="J217" s="290">
        <v>2</v>
      </c>
      <c r="K217" s="276">
        <v>21664.611276863514</v>
      </c>
      <c r="L217" s="290">
        <v>2</v>
      </c>
      <c r="M217" s="276">
        <v>21664.611276863514</v>
      </c>
      <c r="N217" s="290">
        <v>2</v>
      </c>
      <c r="O217" s="276">
        <v>21664.611276863514</v>
      </c>
      <c r="P217" s="290">
        <v>2</v>
      </c>
      <c r="Q217" s="276">
        <v>21664.611276863514</v>
      </c>
      <c r="R217" s="290">
        <v>2</v>
      </c>
      <c r="S217" s="276">
        <v>21664.611276863514</v>
      </c>
      <c r="T217" s="290">
        <v>2</v>
      </c>
      <c r="U217" s="276">
        <v>21664.611276863514</v>
      </c>
      <c r="V217" s="290">
        <v>2</v>
      </c>
      <c r="W217" s="276">
        <v>21664.611276863514</v>
      </c>
      <c r="X217" s="290">
        <v>2</v>
      </c>
      <c r="Y217" s="276">
        <v>21664.611276863514</v>
      </c>
      <c r="Z217" s="290">
        <v>2</v>
      </c>
      <c r="AA217" s="276">
        <v>21664.611276863514</v>
      </c>
      <c r="AB217" s="400">
        <v>2</v>
      </c>
      <c r="AC217" s="305">
        <v>21664.611276863514</v>
      </c>
      <c r="AD217" s="284">
        <v>2</v>
      </c>
      <c r="AE217" s="329">
        <v>21664.611276863514</v>
      </c>
      <c r="AF217" s="145">
        <v>2</v>
      </c>
      <c r="AG217" s="56">
        <v>21664.611276863514</v>
      </c>
      <c r="AH217" s="144">
        <v>2</v>
      </c>
      <c r="AI217" s="56">
        <v>21664.611276863514</v>
      </c>
      <c r="AJ217" s="144">
        <v>2</v>
      </c>
      <c r="AK217" s="56">
        <v>21664.611276863514</v>
      </c>
      <c r="AL217" s="144">
        <v>2</v>
      </c>
      <c r="AM217" s="56">
        <v>21664.611276863514</v>
      </c>
      <c r="AN217" s="81">
        <v>389963.00298354321</v>
      </c>
      <c r="AO217" s="106">
        <v>36</v>
      </c>
      <c r="AP217" s="122" t="s">
        <v>318</v>
      </c>
      <c r="AQ217" s="127">
        <v>1</v>
      </c>
      <c r="AR217" s="121">
        <v>389963.00298354321</v>
      </c>
      <c r="AS217" s="333" t="s">
        <v>355</v>
      </c>
      <c r="AT217" s="360">
        <v>18</v>
      </c>
    </row>
    <row r="218" spans="1:46" x14ac:dyDescent="0.3">
      <c r="A218" s="423" t="s">
        <v>19</v>
      </c>
      <c r="B218" s="274" t="s">
        <v>20</v>
      </c>
      <c r="C218" s="274" t="s">
        <v>342</v>
      </c>
      <c r="D218" s="281">
        <v>1</v>
      </c>
      <c r="E218" s="276">
        <v>67398.098568534639</v>
      </c>
      <c r="F218" s="290"/>
      <c r="G218" s="276">
        <v>0</v>
      </c>
      <c r="H218" s="290"/>
      <c r="I218" s="276">
        <v>0</v>
      </c>
      <c r="J218" s="290"/>
      <c r="K218" s="276">
        <v>0</v>
      </c>
      <c r="L218" s="290"/>
      <c r="M218" s="276">
        <v>0</v>
      </c>
      <c r="N218" s="290"/>
      <c r="O218" s="276">
        <v>0</v>
      </c>
      <c r="P218" s="290"/>
      <c r="Q218" s="276">
        <v>0</v>
      </c>
      <c r="R218" s="290"/>
      <c r="S218" s="276">
        <v>0</v>
      </c>
      <c r="T218" s="290"/>
      <c r="U218" s="276">
        <v>0</v>
      </c>
      <c r="V218" s="290"/>
      <c r="W218" s="276">
        <v>0</v>
      </c>
      <c r="X218" s="290"/>
      <c r="Y218" s="276">
        <v>0</v>
      </c>
      <c r="Z218" s="290"/>
      <c r="AA218" s="276">
        <v>0</v>
      </c>
      <c r="AB218" s="400"/>
      <c r="AC218" s="305">
        <v>0</v>
      </c>
      <c r="AD218" s="315"/>
      <c r="AE218" s="329">
        <v>0</v>
      </c>
      <c r="AF218" s="144"/>
      <c r="AG218" s="56">
        <v>0</v>
      </c>
      <c r="AH218" s="144"/>
      <c r="AI218" s="56">
        <v>0</v>
      </c>
      <c r="AJ218" s="144"/>
      <c r="AK218" s="56">
        <v>0</v>
      </c>
      <c r="AL218" s="144"/>
      <c r="AM218" s="56">
        <v>0</v>
      </c>
      <c r="AN218" s="81">
        <v>67398.098568534639</v>
      </c>
      <c r="AO218" s="106">
        <v>1</v>
      </c>
      <c r="AP218" s="122" t="s">
        <v>319</v>
      </c>
      <c r="AQ218" s="127">
        <v>0.10714285714285714</v>
      </c>
      <c r="AR218" s="121">
        <v>7221.224846628711</v>
      </c>
      <c r="AS218" s="333" t="s">
        <v>355</v>
      </c>
      <c r="AT218" s="360">
        <v>18</v>
      </c>
    </row>
    <row r="219" spans="1:46" x14ac:dyDescent="0.3">
      <c r="A219" s="423" t="s">
        <v>21</v>
      </c>
      <c r="B219" s="274" t="s">
        <v>221</v>
      </c>
      <c r="C219" s="274" t="s">
        <v>342</v>
      </c>
      <c r="D219" s="281">
        <v>1</v>
      </c>
      <c r="E219" s="276">
        <v>67398.098568534639</v>
      </c>
      <c r="F219" s="290"/>
      <c r="G219" s="276">
        <v>0</v>
      </c>
      <c r="H219" s="290"/>
      <c r="I219" s="276">
        <v>0</v>
      </c>
      <c r="J219" s="290"/>
      <c r="K219" s="276">
        <v>0</v>
      </c>
      <c r="L219" s="290"/>
      <c r="M219" s="276">
        <v>0</v>
      </c>
      <c r="N219" s="290"/>
      <c r="O219" s="276">
        <v>0</v>
      </c>
      <c r="P219" s="290"/>
      <c r="Q219" s="276">
        <v>0</v>
      </c>
      <c r="R219" s="290"/>
      <c r="S219" s="276">
        <v>0</v>
      </c>
      <c r="T219" s="290"/>
      <c r="U219" s="276">
        <v>0</v>
      </c>
      <c r="V219" s="290"/>
      <c r="W219" s="276">
        <v>0</v>
      </c>
      <c r="X219" s="290"/>
      <c r="Y219" s="276">
        <v>0</v>
      </c>
      <c r="Z219" s="290"/>
      <c r="AA219" s="276">
        <v>0</v>
      </c>
      <c r="AB219" s="400"/>
      <c r="AC219" s="305">
        <v>0</v>
      </c>
      <c r="AD219" s="315"/>
      <c r="AE219" s="329">
        <v>0</v>
      </c>
      <c r="AF219" s="145"/>
      <c r="AG219" s="56">
        <v>0</v>
      </c>
      <c r="AH219" s="144"/>
      <c r="AI219" s="56">
        <v>0</v>
      </c>
      <c r="AJ219" s="144"/>
      <c r="AK219" s="56">
        <v>0</v>
      </c>
      <c r="AL219" s="144"/>
      <c r="AM219" s="56">
        <v>0</v>
      </c>
      <c r="AN219" s="81">
        <v>67398.098568534639</v>
      </c>
      <c r="AO219" s="106">
        <v>1</v>
      </c>
      <c r="AP219" s="122" t="s">
        <v>319</v>
      </c>
      <c r="AQ219" s="127">
        <v>1</v>
      </c>
      <c r="AR219" s="121">
        <v>67398.098568534639</v>
      </c>
      <c r="AS219" s="333" t="s">
        <v>355</v>
      </c>
      <c r="AT219" s="360">
        <v>18</v>
      </c>
    </row>
    <row r="220" spans="1:46" x14ac:dyDescent="0.3">
      <c r="A220" s="423" t="s">
        <v>34</v>
      </c>
      <c r="B220" s="274" t="s">
        <v>35</v>
      </c>
      <c r="C220" s="274" t="s">
        <v>342</v>
      </c>
      <c r="D220" s="281">
        <v>1</v>
      </c>
      <c r="E220" s="276">
        <v>18146.717863439797</v>
      </c>
      <c r="F220" s="290"/>
      <c r="G220" s="276">
        <v>0</v>
      </c>
      <c r="H220" s="290"/>
      <c r="I220" s="276">
        <v>0</v>
      </c>
      <c r="J220" s="290"/>
      <c r="K220" s="276">
        <v>0</v>
      </c>
      <c r="L220" s="290"/>
      <c r="M220" s="276">
        <v>0</v>
      </c>
      <c r="N220" s="290"/>
      <c r="O220" s="276">
        <v>0</v>
      </c>
      <c r="P220" s="290"/>
      <c r="Q220" s="276">
        <v>0</v>
      </c>
      <c r="R220" s="290"/>
      <c r="S220" s="276">
        <v>0</v>
      </c>
      <c r="T220" s="290"/>
      <c r="U220" s="276">
        <v>0</v>
      </c>
      <c r="V220" s="290"/>
      <c r="W220" s="276">
        <v>0</v>
      </c>
      <c r="X220" s="290"/>
      <c r="Y220" s="276">
        <v>0</v>
      </c>
      <c r="Z220" s="290"/>
      <c r="AA220" s="276">
        <v>0</v>
      </c>
      <c r="AB220" s="400"/>
      <c r="AC220" s="305">
        <v>0</v>
      </c>
      <c r="AD220" s="284"/>
      <c r="AE220" s="329">
        <v>0</v>
      </c>
      <c r="AF220" s="145"/>
      <c r="AG220" s="56">
        <v>0</v>
      </c>
      <c r="AH220" s="144"/>
      <c r="AI220" s="56">
        <v>0</v>
      </c>
      <c r="AJ220" s="144"/>
      <c r="AK220" s="56">
        <v>0</v>
      </c>
      <c r="AL220" s="144"/>
      <c r="AM220" s="56">
        <v>0</v>
      </c>
      <c r="AN220" s="81">
        <v>18146.717863439797</v>
      </c>
      <c r="AO220" s="106">
        <v>1</v>
      </c>
      <c r="AP220" s="122" t="s">
        <v>318</v>
      </c>
      <c r="AQ220" s="127">
        <v>1</v>
      </c>
      <c r="AR220" s="121">
        <v>18146.717863439797</v>
      </c>
      <c r="AS220" s="333" t="s">
        <v>355</v>
      </c>
      <c r="AT220" s="360">
        <v>18</v>
      </c>
    </row>
    <row r="221" spans="1:46" x14ac:dyDescent="0.3">
      <c r="A221" s="423" t="s">
        <v>32</v>
      </c>
      <c r="B221" s="274" t="s">
        <v>33</v>
      </c>
      <c r="C221" s="274" t="s">
        <v>342</v>
      </c>
      <c r="D221" s="281"/>
      <c r="E221" s="276">
        <v>0</v>
      </c>
      <c r="F221" s="290"/>
      <c r="G221" s="276">
        <v>0</v>
      </c>
      <c r="H221" s="290">
        <v>1</v>
      </c>
      <c r="I221" s="276">
        <v>18146.717863439797</v>
      </c>
      <c r="J221" s="290"/>
      <c r="K221" s="276">
        <v>0</v>
      </c>
      <c r="L221" s="290"/>
      <c r="M221" s="276">
        <v>0</v>
      </c>
      <c r="N221" s="290">
        <v>1</v>
      </c>
      <c r="O221" s="276">
        <v>18146.717863439797</v>
      </c>
      <c r="P221" s="290"/>
      <c r="Q221" s="276">
        <v>0</v>
      </c>
      <c r="R221" s="290"/>
      <c r="S221" s="276">
        <v>0</v>
      </c>
      <c r="T221" s="290">
        <v>1</v>
      </c>
      <c r="U221" s="276">
        <v>18146.717863439797</v>
      </c>
      <c r="V221" s="290"/>
      <c r="W221" s="276">
        <v>0</v>
      </c>
      <c r="X221" s="290"/>
      <c r="Y221" s="276">
        <v>0</v>
      </c>
      <c r="Z221" s="290"/>
      <c r="AA221" s="276">
        <v>0</v>
      </c>
      <c r="AB221" s="400"/>
      <c r="AC221" s="305">
        <v>0</v>
      </c>
      <c r="AD221" s="315"/>
      <c r="AE221" s="329">
        <v>0</v>
      </c>
      <c r="AF221" s="145"/>
      <c r="AG221" s="56">
        <v>0</v>
      </c>
      <c r="AH221" s="144"/>
      <c r="AI221" s="56">
        <v>0</v>
      </c>
      <c r="AJ221" s="144"/>
      <c r="AK221" s="56">
        <v>0</v>
      </c>
      <c r="AL221" s="144">
        <v>1</v>
      </c>
      <c r="AM221" s="56">
        <v>18146.717863439797</v>
      </c>
      <c r="AN221" s="81">
        <v>72586.871453759188</v>
      </c>
      <c r="AO221" s="106">
        <v>4</v>
      </c>
      <c r="AP221" s="122" t="s">
        <v>319</v>
      </c>
      <c r="AQ221" s="127">
        <v>1</v>
      </c>
      <c r="AR221" s="121">
        <v>72586.871453759188</v>
      </c>
      <c r="AS221" s="333" t="s">
        <v>355</v>
      </c>
      <c r="AT221" s="360">
        <v>18</v>
      </c>
    </row>
    <row r="222" spans="1:46" x14ac:dyDescent="0.3">
      <c r="A222" s="423" t="s">
        <v>79</v>
      </c>
      <c r="B222" s="274" t="s">
        <v>197</v>
      </c>
      <c r="C222" s="274" t="s">
        <v>344</v>
      </c>
      <c r="D222" s="281">
        <v>4</v>
      </c>
      <c r="E222" s="276">
        <v>82211.022629484622</v>
      </c>
      <c r="F222" s="290">
        <v>4</v>
      </c>
      <c r="G222" s="276">
        <v>82211.022629484622</v>
      </c>
      <c r="H222" s="290">
        <v>4</v>
      </c>
      <c r="I222" s="276">
        <v>82211.022629484622</v>
      </c>
      <c r="J222" s="290">
        <v>4</v>
      </c>
      <c r="K222" s="276">
        <v>82211.022629484622</v>
      </c>
      <c r="L222" s="290">
        <v>4</v>
      </c>
      <c r="M222" s="276">
        <v>82211.022629484622</v>
      </c>
      <c r="N222" s="290">
        <v>4</v>
      </c>
      <c r="O222" s="276">
        <v>82211.022629484622</v>
      </c>
      <c r="P222" s="290">
        <v>4</v>
      </c>
      <c r="Q222" s="276">
        <v>82211.022629484622</v>
      </c>
      <c r="R222" s="290">
        <v>4</v>
      </c>
      <c r="S222" s="276">
        <v>82211.022629484622</v>
      </c>
      <c r="T222" s="290">
        <v>4</v>
      </c>
      <c r="U222" s="276">
        <v>82211.022629484622</v>
      </c>
      <c r="V222" s="290">
        <v>4</v>
      </c>
      <c r="W222" s="276">
        <v>82211.022629484622</v>
      </c>
      <c r="X222" s="290">
        <v>4</v>
      </c>
      <c r="Y222" s="276">
        <v>82211.022629484622</v>
      </c>
      <c r="Z222" s="290">
        <v>4</v>
      </c>
      <c r="AA222" s="276">
        <v>82211.022629484622</v>
      </c>
      <c r="AB222" s="400">
        <v>4</v>
      </c>
      <c r="AC222" s="305">
        <v>82211.022629484622</v>
      </c>
      <c r="AD222" s="315">
        <v>4</v>
      </c>
      <c r="AE222" s="329">
        <v>82211.022629484622</v>
      </c>
      <c r="AF222" s="145">
        <v>4</v>
      </c>
      <c r="AG222" s="56">
        <v>82211.022629484622</v>
      </c>
      <c r="AH222" s="144">
        <v>4</v>
      </c>
      <c r="AI222" s="56">
        <v>82211.022629484622</v>
      </c>
      <c r="AJ222" s="144">
        <v>4</v>
      </c>
      <c r="AK222" s="56">
        <v>82211.022629484622</v>
      </c>
      <c r="AL222" s="144">
        <v>4</v>
      </c>
      <c r="AM222" s="56">
        <v>82211.022629484622</v>
      </c>
      <c r="AN222" s="81">
        <v>1479798.407330723</v>
      </c>
      <c r="AO222" s="106">
        <v>72</v>
      </c>
      <c r="AP222" s="122" t="s">
        <v>318</v>
      </c>
      <c r="AQ222" s="127">
        <v>1</v>
      </c>
      <c r="AR222" s="121">
        <v>1479798.407330723</v>
      </c>
      <c r="AS222" s="333" t="s">
        <v>355</v>
      </c>
      <c r="AT222" s="360">
        <v>18</v>
      </c>
    </row>
    <row r="223" spans="1:46" x14ac:dyDescent="0.3">
      <c r="A223" s="423" t="s">
        <v>27</v>
      </c>
      <c r="B223" s="274" t="s">
        <v>28</v>
      </c>
      <c r="C223" s="274" t="s">
        <v>346</v>
      </c>
      <c r="D223" s="281">
        <v>1</v>
      </c>
      <c r="E223" s="276">
        <v>43480.816890660324</v>
      </c>
      <c r="F223" s="290"/>
      <c r="G223" s="276">
        <v>0</v>
      </c>
      <c r="H223" s="290"/>
      <c r="I223" s="276">
        <v>0</v>
      </c>
      <c r="J223" s="290"/>
      <c r="K223" s="276">
        <v>0</v>
      </c>
      <c r="L223" s="290"/>
      <c r="M223" s="276">
        <v>0</v>
      </c>
      <c r="N223" s="290"/>
      <c r="O223" s="276">
        <v>0</v>
      </c>
      <c r="P223" s="290"/>
      <c r="Q223" s="276">
        <v>0</v>
      </c>
      <c r="R223" s="290"/>
      <c r="S223" s="276">
        <v>0</v>
      </c>
      <c r="T223" s="290"/>
      <c r="U223" s="276">
        <v>0</v>
      </c>
      <c r="V223" s="290"/>
      <c r="W223" s="276">
        <v>0</v>
      </c>
      <c r="X223" s="290"/>
      <c r="Y223" s="276">
        <v>0</v>
      </c>
      <c r="Z223" s="290"/>
      <c r="AA223" s="276">
        <v>0</v>
      </c>
      <c r="AB223" s="400"/>
      <c r="AC223" s="305">
        <v>0</v>
      </c>
      <c r="AD223" s="284"/>
      <c r="AE223" s="329">
        <v>0</v>
      </c>
      <c r="AF223" s="145"/>
      <c r="AG223" s="56">
        <v>0</v>
      </c>
      <c r="AH223" s="144"/>
      <c r="AI223" s="56">
        <v>0</v>
      </c>
      <c r="AJ223" s="144"/>
      <c r="AK223" s="56">
        <v>0</v>
      </c>
      <c r="AL223" s="144">
        <v>1</v>
      </c>
      <c r="AM223" s="56">
        <v>43480.816890660324</v>
      </c>
      <c r="AN223" s="81">
        <v>86961.633781320648</v>
      </c>
      <c r="AO223" s="106">
        <v>2</v>
      </c>
      <c r="AP223" s="122" t="s">
        <v>318</v>
      </c>
      <c r="AQ223" s="127">
        <v>1</v>
      </c>
      <c r="AR223" s="121">
        <v>86961.633781320648</v>
      </c>
      <c r="AS223" s="333" t="s">
        <v>355</v>
      </c>
      <c r="AT223" s="360">
        <v>18</v>
      </c>
    </row>
    <row r="224" spans="1:46" x14ac:dyDescent="0.3">
      <c r="A224" s="423" t="s">
        <v>25</v>
      </c>
      <c r="B224" s="274" t="s">
        <v>26</v>
      </c>
      <c r="C224" s="274" t="s">
        <v>346</v>
      </c>
      <c r="D224" s="281">
        <v>1</v>
      </c>
      <c r="E224" s="276">
        <v>32117.31737996532</v>
      </c>
      <c r="F224" s="290"/>
      <c r="G224" s="276">
        <v>0</v>
      </c>
      <c r="H224" s="290"/>
      <c r="I224" s="276">
        <v>0</v>
      </c>
      <c r="J224" s="290"/>
      <c r="K224" s="276">
        <v>0</v>
      </c>
      <c r="L224" s="290"/>
      <c r="M224" s="276">
        <v>0</v>
      </c>
      <c r="N224" s="290"/>
      <c r="O224" s="276">
        <v>0</v>
      </c>
      <c r="P224" s="290"/>
      <c r="Q224" s="276">
        <v>0</v>
      </c>
      <c r="R224" s="290"/>
      <c r="S224" s="276">
        <v>0</v>
      </c>
      <c r="T224" s="290"/>
      <c r="U224" s="276">
        <v>0</v>
      </c>
      <c r="V224" s="290"/>
      <c r="W224" s="276">
        <v>0</v>
      </c>
      <c r="X224" s="290"/>
      <c r="Y224" s="276">
        <v>0</v>
      </c>
      <c r="Z224" s="290"/>
      <c r="AA224" s="276">
        <v>0</v>
      </c>
      <c r="AB224" s="400"/>
      <c r="AC224" s="305">
        <v>0</v>
      </c>
      <c r="AD224" s="284"/>
      <c r="AE224" s="329">
        <v>0</v>
      </c>
      <c r="AF224" s="145"/>
      <c r="AG224" s="56">
        <v>0</v>
      </c>
      <c r="AH224" s="144"/>
      <c r="AI224" s="56">
        <v>0</v>
      </c>
      <c r="AJ224" s="144"/>
      <c r="AK224" s="56">
        <v>0</v>
      </c>
      <c r="AL224" s="144">
        <v>1</v>
      </c>
      <c r="AM224" s="56">
        <v>32117.31737996532</v>
      </c>
      <c r="AN224" s="81">
        <v>64234.634759930639</v>
      </c>
      <c r="AO224" s="106">
        <v>2</v>
      </c>
      <c r="AP224" s="122" t="s">
        <v>318</v>
      </c>
      <c r="AQ224" s="127">
        <v>1</v>
      </c>
      <c r="AR224" s="121">
        <v>64234.634759930639</v>
      </c>
      <c r="AS224" s="333" t="s">
        <v>355</v>
      </c>
      <c r="AT224" s="360">
        <v>18</v>
      </c>
    </row>
    <row r="225" spans="1:46" x14ac:dyDescent="0.3">
      <c r="A225" s="423" t="s">
        <v>1</v>
      </c>
      <c r="B225" s="274" t="s">
        <v>2</v>
      </c>
      <c r="C225" s="274" t="s">
        <v>342</v>
      </c>
      <c r="D225" s="281"/>
      <c r="E225" s="276">
        <v>0</v>
      </c>
      <c r="F225" s="290"/>
      <c r="G225" s="276">
        <v>0</v>
      </c>
      <c r="H225" s="290"/>
      <c r="I225" s="276">
        <v>0</v>
      </c>
      <c r="J225" s="290"/>
      <c r="K225" s="276">
        <v>0</v>
      </c>
      <c r="L225" s="290"/>
      <c r="M225" s="276">
        <v>0</v>
      </c>
      <c r="N225" s="290"/>
      <c r="O225" s="276">
        <v>0</v>
      </c>
      <c r="P225" s="290"/>
      <c r="Q225" s="276">
        <v>0</v>
      </c>
      <c r="R225" s="290"/>
      <c r="S225" s="276">
        <v>0</v>
      </c>
      <c r="T225" s="290"/>
      <c r="U225" s="276">
        <v>0</v>
      </c>
      <c r="V225" s="290"/>
      <c r="W225" s="276">
        <v>0</v>
      </c>
      <c r="X225" s="290"/>
      <c r="Y225" s="276">
        <v>0</v>
      </c>
      <c r="Z225" s="290"/>
      <c r="AA225" s="276">
        <v>0</v>
      </c>
      <c r="AB225" s="400"/>
      <c r="AC225" s="305">
        <v>0</v>
      </c>
      <c r="AD225" s="284"/>
      <c r="AE225" s="329">
        <v>0</v>
      </c>
      <c r="AF225" s="145"/>
      <c r="AG225" s="56">
        <v>0</v>
      </c>
      <c r="AH225" s="144"/>
      <c r="AI225" s="56">
        <v>0</v>
      </c>
      <c r="AJ225" s="144"/>
      <c r="AK225" s="56">
        <v>0</v>
      </c>
      <c r="AL225" s="144">
        <v>1</v>
      </c>
      <c r="AM225" s="56">
        <v>21014.39667403782</v>
      </c>
      <c r="AN225" s="81">
        <v>21014.39667403782</v>
      </c>
      <c r="AO225" s="106">
        <v>1</v>
      </c>
      <c r="AP225" s="122" t="s">
        <v>318</v>
      </c>
      <c r="AQ225" s="127">
        <v>1</v>
      </c>
      <c r="AR225" s="121">
        <v>21014.39667403782</v>
      </c>
      <c r="AS225" s="333" t="s">
        <v>355</v>
      </c>
      <c r="AT225" s="360">
        <v>18</v>
      </c>
    </row>
    <row r="226" spans="1:46" x14ac:dyDescent="0.3">
      <c r="A226" s="423" t="s">
        <v>113</v>
      </c>
      <c r="B226" s="295" t="s">
        <v>139</v>
      </c>
      <c r="C226" s="274" t="s">
        <v>342</v>
      </c>
      <c r="D226" s="281">
        <v>1</v>
      </c>
      <c r="E226" s="276">
        <v>60236.092716419647</v>
      </c>
      <c r="F226" s="290"/>
      <c r="G226" s="276">
        <v>0</v>
      </c>
      <c r="H226" s="290"/>
      <c r="I226" s="276">
        <v>0</v>
      </c>
      <c r="J226" s="290"/>
      <c r="K226" s="276">
        <v>0</v>
      </c>
      <c r="L226" s="290"/>
      <c r="M226" s="276">
        <v>0</v>
      </c>
      <c r="N226" s="290"/>
      <c r="O226" s="276">
        <v>0</v>
      </c>
      <c r="P226" s="290"/>
      <c r="Q226" s="276">
        <v>0</v>
      </c>
      <c r="R226" s="290"/>
      <c r="S226" s="276">
        <v>0</v>
      </c>
      <c r="T226" s="290"/>
      <c r="U226" s="276">
        <v>0</v>
      </c>
      <c r="V226" s="290"/>
      <c r="W226" s="276">
        <v>0</v>
      </c>
      <c r="X226" s="290"/>
      <c r="Y226" s="276">
        <v>0</v>
      </c>
      <c r="Z226" s="290"/>
      <c r="AA226" s="276">
        <v>0</v>
      </c>
      <c r="AB226" s="400"/>
      <c r="AC226" s="305">
        <v>0</v>
      </c>
      <c r="AD226" s="315"/>
      <c r="AE226" s="329">
        <v>0</v>
      </c>
      <c r="AF226" s="144"/>
      <c r="AG226" s="56">
        <v>0</v>
      </c>
      <c r="AH226" s="144"/>
      <c r="AI226" s="56">
        <v>0</v>
      </c>
      <c r="AJ226" s="144"/>
      <c r="AK226" s="56">
        <v>0</v>
      </c>
      <c r="AL226" s="144"/>
      <c r="AM226" s="56">
        <v>0</v>
      </c>
      <c r="AN226" s="81">
        <v>60236.092716419647</v>
      </c>
      <c r="AO226" s="106">
        <v>1</v>
      </c>
      <c r="AP226" s="122" t="s">
        <v>319</v>
      </c>
      <c r="AQ226" s="127">
        <v>3.5714285714285712E-2</v>
      </c>
      <c r="AR226" s="121">
        <v>2151.2890255864158</v>
      </c>
      <c r="AS226" s="333" t="s">
        <v>355</v>
      </c>
      <c r="AT226" s="360">
        <v>18</v>
      </c>
    </row>
    <row r="227" spans="1:46" x14ac:dyDescent="0.3">
      <c r="A227" s="423" t="s">
        <v>114</v>
      </c>
      <c r="B227" s="274" t="s">
        <v>140</v>
      </c>
      <c r="C227" s="274" t="s">
        <v>342</v>
      </c>
      <c r="D227" s="281"/>
      <c r="E227" s="276">
        <v>0</v>
      </c>
      <c r="F227" s="290"/>
      <c r="G227" s="276">
        <v>0</v>
      </c>
      <c r="H227" s="290"/>
      <c r="I227" s="276">
        <v>0</v>
      </c>
      <c r="J227" s="290"/>
      <c r="K227" s="276">
        <v>0</v>
      </c>
      <c r="L227" s="290"/>
      <c r="M227" s="276">
        <v>0</v>
      </c>
      <c r="N227" s="290"/>
      <c r="O227" s="276">
        <v>0</v>
      </c>
      <c r="P227" s="290"/>
      <c r="Q227" s="276">
        <v>0</v>
      </c>
      <c r="R227" s="290"/>
      <c r="S227" s="276">
        <v>0</v>
      </c>
      <c r="T227" s="290"/>
      <c r="U227" s="276">
        <v>0</v>
      </c>
      <c r="V227" s="290"/>
      <c r="W227" s="276">
        <v>0</v>
      </c>
      <c r="X227" s="290"/>
      <c r="Y227" s="276">
        <v>0</v>
      </c>
      <c r="Z227" s="290"/>
      <c r="AA227" s="276">
        <v>0</v>
      </c>
      <c r="AB227" s="400"/>
      <c r="AC227" s="305">
        <v>0</v>
      </c>
      <c r="AD227" s="315"/>
      <c r="AE227" s="329">
        <v>0</v>
      </c>
      <c r="AF227" s="145"/>
      <c r="AG227" s="56">
        <v>0</v>
      </c>
      <c r="AH227" s="144"/>
      <c r="AI227" s="56">
        <v>0</v>
      </c>
      <c r="AJ227" s="144"/>
      <c r="AK227" s="56">
        <v>0</v>
      </c>
      <c r="AL227" s="144"/>
      <c r="AM227" s="56">
        <v>0</v>
      </c>
      <c r="AN227" s="81">
        <v>0</v>
      </c>
      <c r="AO227" s="106">
        <v>0</v>
      </c>
      <c r="AP227" s="122" t="s">
        <v>319</v>
      </c>
      <c r="AQ227" s="127">
        <v>0</v>
      </c>
      <c r="AR227" s="121">
        <v>0</v>
      </c>
      <c r="AS227" s="333" t="s">
        <v>355</v>
      </c>
      <c r="AT227" s="360">
        <v>18</v>
      </c>
    </row>
    <row r="228" spans="1:46" x14ac:dyDescent="0.3">
      <c r="A228" s="423" t="s">
        <v>115</v>
      </c>
      <c r="B228" s="274" t="s">
        <v>141</v>
      </c>
      <c r="C228" s="274" t="s">
        <v>342</v>
      </c>
      <c r="D228" s="281"/>
      <c r="E228" s="276">
        <v>0</v>
      </c>
      <c r="F228" s="290"/>
      <c r="G228" s="276">
        <v>0</v>
      </c>
      <c r="H228" s="290"/>
      <c r="I228" s="276">
        <v>0</v>
      </c>
      <c r="J228" s="290"/>
      <c r="K228" s="276">
        <v>0</v>
      </c>
      <c r="L228" s="290"/>
      <c r="M228" s="276">
        <v>0</v>
      </c>
      <c r="N228" s="290"/>
      <c r="O228" s="276">
        <v>0</v>
      </c>
      <c r="P228" s="290"/>
      <c r="Q228" s="276">
        <v>0</v>
      </c>
      <c r="R228" s="290"/>
      <c r="S228" s="276">
        <v>0</v>
      </c>
      <c r="T228" s="290"/>
      <c r="U228" s="276">
        <v>0</v>
      </c>
      <c r="V228" s="290"/>
      <c r="W228" s="276">
        <v>0</v>
      </c>
      <c r="X228" s="290"/>
      <c r="Y228" s="276">
        <v>0</v>
      </c>
      <c r="Z228" s="290"/>
      <c r="AA228" s="276">
        <v>0</v>
      </c>
      <c r="AB228" s="400"/>
      <c r="AC228" s="305">
        <v>0</v>
      </c>
      <c r="AD228" s="315"/>
      <c r="AE228" s="329">
        <v>0</v>
      </c>
      <c r="AF228" s="145"/>
      <c r="AG228" s="56">
        <v>0</v>
      </c>
      <c r="AH228" s="144"/>
      <c r="AI228" s="56">
        <v>0</v>
      </c>
      <c r="AJ228" s="144"/>
      <c r="AK228" s="56">
        <v>0</v>
      </c>
      <c r="AL228" s="144">
        <v>1</v>
      </c>
      <c r="AM228" s="56">
        <v>62748.232282880919</v>
      </c>
      <c r="AN228" s="81">
        <v>62748.232282880919</v>
      </c>
      <c r="AO228" s="106">
        <v>1</v>
      </c>
      <c r="AP228" s="122" t="s">
        <v>319</v>
      </c>
      <c r="AQ228" s="127">
        <v>0</v>
      </c>
      <c r="AR228" s="121">
        <v>0</v>
      </c>
      <c r="AS228" s="333" t="s">
        <v>355</v>
      </c>
      <c r="AT228" s="360">
        <v>18</v>
      </c>
    </row>
    <row r="229" spans="1:46" x14ac:dyDescent="0.3">
      <c r="A229" s="423" t="s">
        <v>52</v>
      </c>
      <c r="B229" s="274" t="s">
        <v>191</v>
      </c>
      <c r="C229" s="274" t="s">
        <v>342</v>
      </c>
      <c r="D229" s="281">
        <v>1</v>
      </c>
      <c r="E229" s="276">
        <v>26897.079640267821</v>
      </c>
      <c r="F229" s="290"/>
      <c r="G229" s="276">
        <v>0</v>
      </c>
      <c r="H229" s="290"/>
      <c r="I229" s="276">
        <v>0</v>
      </c>
      <c r="J229" s="290"/>
      <c r="K229" s="276">
        <v>0</v>
      </c>
      <c r="L229" s="290"/>
      <c r="M229" s="276">
        <v>0</v>
      </c>
      <c r="N229" s="290"/>
      <c r="O229" s="276">
        <v>0</v>
      </c>
      <c r="P229" s="290"/>
      <c r="Q229" s="276">
        <v>0</v>
      </c>
      <c r="R229" s="290"/>
      <c r="S229" s="276">
        <v>0</v>
      </c>
      <c r="T229" s="290"/>
      <c r="U229" s="276">
        <v>0</v>
      </c>
      <c r="V229" s="290"/>
      <c r="W229" s="276">
        <v>0</v>
      </c>
      <c r="X229" s="290"/>
      <c r="Y229" s="276">
        <v>0</v>
      </c>
      <c r="Z229" s="290"/>
      <c r="AA229" s="276">
        <v>0</v>
      </c>
      <c r="AB229" s="400"/>
      <c r="AC229" s="305">
        <v>0</v>
      </c>
      <c r="AD229" s="315"/>
      <c r="AE229" s="329">
        <v>0</v>
      </c>
      <c r="AF229" s="144"/>
      <c r="AG229" s="56">
        <v>0</v>
      </c>
      <c r="AH229" s="144"/>
      <c r="AI229" s="56">
        <v>0</v>
      </c>
      <c r="AJ229" s="144"/>
      <c r="AK229" s="56">
        <v>0</v>
      </c>
      <c r="AL229" s="144"/>
      <c r="AM229" s="56">
        <v>0</v>
      </c>
      <c r="AN229" s="81">
        <v>26897.079640267821</v>
      </c>
      <c r="AO229" s="106">
        <v>1</v>
      </c>
      <c r="AP229" s="122" t="s">
        <v>319</v>
      </c>
      <c r="AQ229" s="127">
        <v>1</v>
      </c>
      <c r="AR229" s="121">
        <v>26897.079640267821</v>
      </c>
      <c r="AS229" s="333" t="s">
        <v>355</v>
      </c>
      <c r="AT229" s="360">
        <v>18</v>
      </c>
    </row>
    <row r="230" spans="1:46" x14ac:dyDescent="0.3">
      <c r="A230" s="423" t="s">
        <v>53</v>
      </c>
      <c r="B230" s="274" t="s">
        <v>230</v>
      </c>
      <c r="C230" s="274" t="s">
        <v>342</v>
      </c>
      <c r="D230" s="281">
        <v>1</v>
      </c>
      <c r="E230" s="276">
        <v>26897.079640267817</v>
      </c>
      <c r="F230" s="290"/>
      <c r="G230" s="276">
        <v>0</v>
      </c>
      <c r="H230" s="290"/>
      <c r="I230" s="276">
        <v>0</v>
      </c>
      <c r="J230" s="290"/>
      <c r="K230" s="276">
        <v>0</v>
      </c>
      <c r="L230" s="290"/>
      <c r="M230" s="276">
        <v>0</v>
      </c>
      <c r="N230" s="290"/>
      <c r="O230" s="276">
        <v>0</v>
      </c>
      <c r="P230" s="290"/>
      <c r="Q230" s="276">
        <v>0</v>
      </c>
      <c r="R230" s="290"/>
      <c r="S230" s="276">
        <v>0</v>
      </c>
      <c r="T230" s="290"/>
      <c r="U230" s="276">
        <v>0</v>
      </c>
      <c r="V230" s="290"/>
      <c r="W230" s="276">
        <v>0</v>
      </c>
      <c r="X230" s="290"/>
      <c r="Y230" s="276">
        <v>0</v>
      </c>
      <c r="Z230" s="290"/>
      <c r="AA230" s="276">
        <v>0</v>
      </c>
      <c r="AB230" s="400"/>
      <c r="AC230" s="305">
        <v>0</v>
      </c>
      <c r="AD230" s="315"/>
      <c r="AE230" s="329">
        <v>0</v>
      </c>
      <c r="AF230" s="144"/>
      <c r="AG230" s="56">
        <v>0</v>
      </c>
      <c r="AH230" s="144"/>
      <c r="AI230" s="56">
        <v>0</v>
      </c>
      <c r="AJ230" s="144"/>
      <c r="AK230" s="56">
        <v>0</v>
      </c>
      <c r="AL230" s="144"/>
      <c r="AM230" s="56">
        <v>0</v>
      </c>
      <c r="AN230" s="81">
        <v>26897.079640267817</v>
      </c>
      <c r="AO230" s="106">
        <v>1</v>
      </c>
      <c r="AP230" s="179" t="s">
        <v>319</v>
      </c>
      <c r="AQ230" s="127">
        <v>3.5714285714285712E-2</v>
      </c>
      <c r="AR230" s="121">
        <v>960.60998715242204</v>
      </c>
      <c r="AS230" s="333" t="s">
        <v>355</v>
      </c>
      <c r="AT230" s="360">
        <v>18</v>
      </c>
    </row>
    <row r="231" spans="1:46" x14ac:dyDescent="0.3">
      <c r="A231" s="423" t="s">
        <v>29</v>
      </c>
      <c r="B231" s="274" t="s">
        <v>196</v>
      </c>
      <c r="C231" s="274" t="s">
        <v>344</v>
      </c>
      <c r="D231" s="281"/>
      <c r="E231" s="276">
        <v>0</v>
      </c>
      <c r="F231" s="290"/>
      <c r="G231" s="276">
        <v>0</v>
      </c>
      <c r="H231" s="290"/>
      <c r="I231" s="276">
        <v>0</v>
      </c>
      <c r="J231" s="290"/>
      <c r="K231" s="276">
        <v>0</v>
      </c>
      <c r="L231" s="290"/>
      <c r="M231" s="276">
        <v>0</v>
      </c>
      <c r="N231" s="290"/>
      <c r="O231" s="276">
        <v>0</v>
      </c>
      <c r="P231" s="290"/>
      <c r="Q231" s="276">
        <v>0</v>
      </c>
      <c r="R231" s="290"/>
      <c r="S231" s="276">
        <v>0</v>
      </c>
      <c r="T231" s="290"/>
      <c r="U231" s="276">
        <v>0</v>
      </c>
      <c r="V231" s="290"/>
      <c r="W231" s="276">
        <v>0</v>
      </c>
      <c r="X231" s="290"/>
      <c r="Y231" s="276">
        <v>0</v>
      </c>
      <c r="Z231" s="290"/>
      <c r="AA231" s="276">
        <v>0</v>
      </c>
      <c r="AB231" s="400"/>
      <c r="AC231" s="305">
        <v>0</v>
      </c>
      <c r="AD231" s="284"/>
      <c r="AE231" s="329">
        <v>0</v>
      </c>
      <c r="AF231" s="144"/>
      <c r="AG231" s="56">
        <v>0</v>
      </c>
      <c r="AH231" s="144"/>
      <c r="AI231" s="56">
        <v>0</v>
      </c>
      <c r="AJ231" s="144"/>
      <c r="AK231" s="56">
        <v>0</v>
      </c>
      <c r="AL231" s="144">
        <v>1</v>
      </c>
      <c r="AM231" s="56">
        <v>31881.451880098426</v>
      </c>
      <c r="AN231" s="81">
        <v>31881.451880098426</v>
      </c>
      <c r="AO231" s="106">
        <v>1</v>
      </c>
      <c r="AP231" s="179" t="s">
        <v>318</v>
      </c>
      <c r="AQ231" s="127">
        <v>1</v>
      </c>
      <c r="AR231" s="121">
        <v>31881.451880098426</v>
      </c>
      <c r="AS231" s="333" t="s">
        <v>355</v>
      </c>
      <c r="AT231" s="360">
        <v>18</v>
      </c>
    </row>
    <row r="232" spans="1:46" x14ac:dyDescent="0.3">
      <c r="A232" s="423" t="s">
        <v>38</v>
      </c>
      <c r="B232" s="274" t="s">
        <v>137</v>
      </c>
      <c r="C232" s="274" t="s">
        <v>342</v>
      </c>
      <c r="D232" s="281">
        <v>1</v>
      </c>
      <c r="E232" s="276">
        <v>56420.692787682223</v>
      </c>
      <c r="F232" s="290"/>
      <c r="G232" s="276">
        <v>0</v>
      </c>
      <c r="H232" s="290"/>
      <c r="I232" s="276"/>
      <c r="J232" s="290"/>
      <c r="K232" s="276">
        <v>0</v>
      </c>
      <c r="L232" s="290"/>
      <c r="M232" s="276">
        <v>0</v>
      </c>
      <c r="N232" s="290"/>
      <c r="O232" s="276">
        <v>0</v>
      </c>
      <c r="P232" s="290"/>
      <c r="Q232" s="276">
        <v>0</v>
      </c>
      <c r="R232" s="290"/>
      <c r="S232" s="276">
        <v>0</v>
      </c>
      <c r="T232" s="290"/>
      <c r="U232" s="276">
        <v>0</v>
      </c>
      <c r="V232" s="290"/>
      <c r="W232" s="276">
        <v>0</v>
      </c>
      <c r="X232" s="290"/>
      <c r="Y232" s="276">
        <v>0</v>
      </c>
      <c r="Z232" s="290"/>
      <c r="AA232" s="276">
        <v>0</v>
      </c>
      <c r="AB232" s="400"/>
      <c r="AC232" s="305">
        <v>0</v>
      </c>
      <c r="AD232" s="315"/>
      <c r="AE232" s="329">
        <v>0</v>
      </c>
      <c r="AF232" s="145"/>
      <c r="AG232" s="56">
        <v>0</v>
      </c>
      <c r="AH232" s="144"/>
      <c r="AI232" s="56">
        <v>0</v>
      </c>
      <c r="AJ232" s="144"/>
      <c r="AK232" s="56">
        <v>0</v>
      </c>
      <c r="AL232" s="144"/>
      <c r="AM232" s="56">
        <v>0</v>
      </c>
      <c r="AN232" s="81">
        <v>56420.692787682223</v>
      </c>
      <c r="AO232" s="106">
        <v>1</v>
      </c>
      <c r="AP232" s="122" t="s">
        <v>319</v>
      </c>
      <c r="AQ232" s="127">
        <v>0.14285714285714285</v>
      </c>
      <c r="AR232" s="121">
        <v>8060.0989696688885</v>
      </c>
      <c r="AS232" s="333" t="s">
        <v>355</v>
      </c>
      <c r="AT232" s="360">
        <v>18</v>
      </c>
    </row>
    <row r="233" spans="1:46" x14ac:dyDescent="0.3">
      <c r="A233" s="423" t="s">
        <v>84</v>
      </c>
      <c r="B233" s="274" t="s">
        <v>85</v>
      </c>
      <c r="C233" s="274" t="s">
        <v>346</v>
      </c>
      <c r="D233" s="281">
        <v>1</v>
      </c>
      <c r="E233" s="276">
        <v>68748.387080831264</v>
      </c>
      <c r="F233" s="291"/>
      <c r="G233" s="276">
        <v>0</v>
      </c>
      <c r="H233" s="291"/>
      <c r="I233" s="276">
        <v>0</v>
      </c>
      <c r="J233" s="291"/>
      <c r="K233" s="276">
        <v>0</v>
      </c>
      <c r="L233" s="291"/>
      <c r="M233" s="276">
        <v>0</v>
      </c>
      <c r="N233" s="291"/>
      <c r="O233" s="276">
        <v>0</v>
      </c>
      <c r="P233" s="291"/>
      <c r="Q233" s="276">
        <v>0</v>
      </c>
      <c r="R233" s="291"/>
      <c r="S233" s="276">
        <v>0</v>
      </c>
      <c r="T233" s="291"/>
      <c r="U233" s="276">
        <v>0</v>
      </c>
      <c r="V233" s="291"/>
      <c r="W233" s="276">
        <v>0</v>
      </c>
      <c r="X233" s="291"/>
      <c r="Y233" s="276">
        <v>0</v>
      </c>
      <c r="Z233" s="291"/>
      <c r="AA233" s="276">
        <v>0</v>
      </c>
      <c r="AB233" s="400"/>
      <c r="AC233" s="305">
        <v>0</v>
      </c>
      <c r="AD233" s="315"/>
      <c r="AE233" s="329">
        <v>0</v>
      </c>
      <c r="AF233" s="144"/>
      <c r="AG233" s="56">
        <v>0</v>
      </c>
      <c r="AH233" s="144"/>
      <c r="AI233" s="56">
        <v>0</v>
      </c>
      <c r="AJ233" s="144"/>
      <c r="AK233" s="56">
        <v>0</v>
      </c>
      <c r="AL233" s="144"/>
      <c r="AM233" s="56">
        <v>0</v>
      </c>
      <c r="AN233" s="81">
        <v>68748.387080831264</v>
      </c>
      <c r="AO233" s="106">
        <v>1</v>
      </c>
      <c r="AP233" s="122" t="s">
        <v>319</v>
      </c>
      <c r="AQ233" s="127">
        <v>1.5037593984962405E-2</v>
      </c>
      <c r="AR233" s="121">
        <v>1033.8103320425753</v>
      </c>
      <c r="AS233" s="333" t="s">
        <v>355</v>
      </c>
      <c r="AT233" s="360">
        <v>18</v>
      </c>
    </row>
    <row r="234" spans="1:46" x14ac:dyDescent="0.3">
      <c r="A234" s="423" t="s">
        <v>82</v>
      </c>
      <c r="B234" s="274" t="s">
        <v>83</v>
      </c>
      <c r="C234" s="274" t="s">
        <v>346</v>
      </c>
      <c r="D234" s="281">
        <v>1</v>
      </c>
      <c r="E234" s="276">
        <v>65169.207262455195</v>
      </c>
      <c r="F234" s="291"/>
      <c r="G234" s="276">
        <v>0</v>
      </c>
      <c r="H234" s="291"/>
      <c r="I234" s="276">
        <v>0</v>
      </c>
      <c r="J234" s="291"/>
      <c r="K234" s="276">
        <v>0</v>
      </c>
      <c r="L234" s="291"/>
      <c r="M234" s="276">
        <v>0</v>
      </c>
      <c r="N234" s="291"/>
      <c r="O234" s="276">
        <v>0</v>
      </c>
      <c r="P234" s="291"/>
      <c r="Q234" s="276">
        <v>0</v>
      </c>
      <c r="R234" s="291"/>
      <c r="S234" s="276">
        <v>0</v>
      </c>
      <c r="T234" s="291"/>
      <c r="U234" s="276">
        <v>0</v>
      </c>
      <c r="V234" s="291"/>
      <c r="W234" s="276">
        <v>0</v>
      </c>
      <c r="X234" s="291"/>
      <c r="Y234" s="276">
        <v>0</v>
      </c>
      <c r="Z234" s="291"/>
      <c r="AA234" s="276">
        <v>0</v>
      </c>
      <c r="AB234" s="400"/>
      <c r="AC234" s="305">
        <v>0</v>
      </c>
      <c r="AD234" s="315"/>
      <c r="AE234" s="329">
        <v>0</v>
      </c>
      <c r="AF234" s="144"/>
      <c r="AG234" s="56">
        <v>0</v>
      </c>
      <c r="AH234" s="144"/>
      <c r="AI234" s="56">
        <v>0</v>
      </c>
      <c r="AJ234" s="144"/>
      <c r="AK234" s="56">
        <v>0</v>
      </c>
      <c r="AL234" s="144"/>
      <c r="AM234" s="56">
        <v>0</v>
      </c>
      <c r="AN234" s="81">
        <v>65169.207262455195</v>
      </c>
      <c r="AO234" s="106">
        <v>1</v>
      </c>
      <c r="AP234" s="122" t="s">
        <v>319</v>
      </c>
      <c r="AQ234" s="127">
        <v>2.0885547201336674E-2</v>
      </c>
      <c r="AR234" s="121">
        <v>1361.0945543537007</v>
      </c>
      <c r="AS234" s="333" t="s">
        <v>355</v>
      </c>
      <c r="AT234" s="360">
        <v>18</v>
      </c>
    </row>
    <row r="235" spans="1:46" x14ac:dyDescent="0.3">
      <c r="A235" s="423" t="s">
        <v>54</v>
      </c>
      <c r="B235" s="274" t="s">
        <v>195</v>
      </c>
      <c r="C235" s="274" t="s">
        <v>343</v>
      </c>
      <c r="D235" s="281">
        <v>1</v>
      </c>
      <c r="E235" s="276">
        <v>145259.19237771924</v>
      </c>
      <c r="F235" s="291"/>
      <c r="G235" s="276">
        <v>0</v>
      </c>
      <c r="H235" s="291"/>
      <c r="I235" s="276">
        <v>0</v>
      </c>
      <c r="J235" s="291"/>
      <c r="K235" s="276">
        <v>0</v>
      </c>
      <c r="L235" s="291"/>
      <c r="M235" s="276">
        <v>0</v>
      </c>
      <c r="N235" s="291"/>
      <c r="O235" s="276">
        <v>0</v>
      </c>
      <c r="P235" s="291"/>
      <c r="Q235" s="276">
        <v>0</v>
      </c>
      <c r="R235" s="291"/>
      <c r="S235" s="276">
        <v>0</v>
      </c>
      <c r="T235" s="291"/>
      <c r="U235" s="276">
        <v>0</v>
      </c>
      <c r="V235" s="291"/>
      <c r="W235" s="276">
        <v>0</v>
      </c>
      <c r="X235" s="291"/>
      <c r="Y235" s="276">
        <v>0</v>
      </c>
      <c r="Z235" s="291"/>
      <c r="AA235" s="276">
        <v>0</v>
      </c>
      <c r="AB235" s="400"/>
      <c r="AC235" s="305">
        <v>0</v>
      </c>
      <c r="AD235" s="315"/>
      <c r="AE235" s="329">
        <v>0</v>
      </c>
      <c r="AF235" s="145"/>
      <c r="AG235" s="56">
        <v>0</v>
      </c>
      <c r="AH235" s="144"/>
      <c r="AI235" s="56">
        <v>0</v>
      </c>
      <c r="AJ235" s="144"/>
      <c r="AK235" s="56">
        <v>0</v>
      </c>
      <c r="AL235" s="144"/>
      <c r="AM235" s="56">
        <v>0</v>
      </c>
      <c r="AN235" s="81">
        <v>145259.19237771924</v>
      </c>
      <c r="AO235" s="106">
        <v>1</v>
      </c>
      <c r="AP235" s="122" t="s">
        <v>319</v>
      </c>
      <c r="AQ235" s="127">
        <v>3.5714285714285712E-2</v>
      </c>
      <c r="AR235" s="121">
        <v>5187.8282992042587</v>
      </c>
      <c r="AS235" s="333" t="s">
        <v>355</v>
      </c>
      <c r="AT235" s="360">
        <v>18</v>
      </c>
    </row>
    <row r="236" spans="1:46" x14ac:dyDescent="0.3">
      <c r="A236" s="424" t="s">
        <v>30</v>
      </c>
      <c r="B236" s="311" t="s">
        <v>31</v>
      </c>
      <c r="C236" s="274" t="s">
        <v>343</v>
      </c>
      <c r="D236" s="288"/>
      <c r="E236" s="276">
        <v>0</v>
      </c>
      <c r="F236" s="318"/>
      <c r="G236" s="276">
        <v>0</v>
      </c>
      <c r="H236" s="318"/>
      <c r="I236" s="276">
        <v>0</v>
      </c>
      <c r="J236" s="318"/>
      <c r="K236" s="276">
        <v>0</v>
      </c>
      <c r="L236" s="318"/>
      <c r="M236" s="276">
        <v>0</v>
      </c>
      <c r="N236" s="318"/>
      <c r="O236" s="276">
        <v>0</v>
      </c>
      <c r="P236" s="318"/>
      <c r="Q236" s="276">
        <v>0</v>
      </c>
      <c r="R236" s="318"/>
      <c r="S236" s="276">
        <v>0</v>
      </c>
      <c r="T236" s="318"/>
      <c r="U236" s="276">
        <v>0</v>
      </c>
      <c r="V236" s="318"/>
      <c r="W236" s="276">
        <v>0</v>
      </c>
      <c r="X236" s="318"/>
      <c r="Y236" s="276">
        <v>0</v>
      </c>
      <c r="Z236" s="319"/>
      <c r="AA236" s="276">
        <v>0</v>
      </c>
      <c r="AB236" s="400"/>
      <c r="AC236" s="305">
        <v>0</v>
      </c>
      <c r="AD236" s="284"/>
      <c r="AE236" s="329">
        <v>0</v>
      </c>
      <c r="AF236" s="145"/>
      <c r="AG236" s="56">
        <v>0</v>
      </c>
      <c r="AH236" s="144"/>
      <c r="AI236" s="56">
        <v>0</v>
      </c>
      <c r="AJ236" s="144"/>
      <c r="AK236" s="56">
        <v>0</v>
      </c>
      <c r="AL236" s="144">
        <v>1</v>
      </c>
      <c r="AM236" s="56">
        <v>12908.291642219636</v>
      </c>
      <c r="AN236" s="81">
        <v>12908.291642219636</v>
      </c>
      <c r="AO236" s="106">
        <v>1</v>
      </c>
      <c r="AP236" s="122" t="s">
        <v>318</v>
      </c>
      <c r="AQ236" s="127">
        <v>1</v>
      </c>
      <c r="AR236" s="121">
        <v>12908.291642219636</v>
      </c>
      <c r="AS236" s="333" t="s">
        <v>355</v>
      </c>
      <c r="AT236" s="360">
        <v>18</v>
      </c>
    </row>
    <row r="237" spans="1:46" x14ac:dyDescent="0.3">
      <c r="A237" s="414" t="s">
        <v>421</v>
      </c>
      <c r="B237" s="96" t="s">
        <v>422</v>
      </c>
      <c r="C237" s="96" t="s">
        <v>423</v>
      </c>
      <c r="D237" s="181"/>
      <c r="E237" s="56"/>
      <c r="F237" s="181"/>
      <c r="G237" s="56"/>
      <c r="H237" s="181"/>
      <c r="I237" s="56"/>
      <c r="J237" s="181"/>
      <c r="K237" s="56"/>
      <c r="L237" s="181"/>
      <c r="M237" s="56"/>
      <c r="N237" s="181"/>
      <c r="O237" s="56"/>
      <c r="P237" s="181"/>
      <c r="Q237" s="56"/>
      <c r="R237" s="181"/>
      <c r="S237" s="56"/>
      <c r="T237" s="181"/>
      <c r="U237" s="56"/>
      <c r="V237" s="181"/>
      <c r="W237" s="56"/>
      <c r="X237" s="181"/>
      <c r="Y237" s="56"/>
      <c r="Z237" s="181"/>
      <c r="AA237" s="56"/>
      <c r="AB237" s="81"/>
      <c r="AC237" s="106"/>
      <c r="AD237" s="315"/>
      <c r="AE237" s="329"/>
      <c r="AF237" s="285"/>
      <c r="AG237" s="314"/>
      <c r="AI237" s="56"/>
      <c r="AJ237" s="144"/>
      <c r="AK237" s="56"/>
      <c r="AL237" s="181"/>
      <c r="AM237" s="56"/>
      <c r="AN237" s="81"/>
      <c r="AO237" s="106"/>
      <c r="AP237" s="104" t="s">
        <v>318</v>
      </c>
      <c r="AQ237" s="119"/>
      <c r="AR237" s="47"/>
      <c r="AS237" s="333" t="s">
        <v>355</v>
      </c>
      <c r="AT237" s="333">
        <v>18</v>
      </c>
    </row>
    <row r="238" spans="1:46" x14ac:dyDescent="0.3">
      <c r="A238" s="425" t="s">
        <v>13</v>
      </c>
      <c r="B238" s="274" t="s">
        <v>14</v>
      </c>
      <c r="C238" s="274" t="s">
        <v>343</v>
      </c>
      <c r="D238" s="281">
        <v>1</v>
      </c>
      <c r="E238" s="276">
        <v>20552.755657371155</v>
      </c>
      <c r="F238" s="281"/>
      <c r="G238" s="276">
        <v>0</v>
      </c>
      <c r="H238" s="281"/>
      <c r="I238" s="276">
        <v>0</v>
      </c>
      <c r="J238" s="281"/>
      <c r="K238" s="276">
        <v>0</v>
      </c>
      <c r="L238" s="281"/>
      <c r="M238" s="276">
        <v>0</v>
      </c>
      <c r="N238" s="281"/>
      <c r="O238" s="276">
        <v>0</v>
      </c>
      <c r="P238" s="281"/>
      <c r="Q238" s="276">
        <v>0</v>
      </c>
      <c r="R238" s="281"/>
      <c r="S238" s="276">
        <v>0</v>
      </c>
      <c r="T238" s="281"/>
      <c r="U238" s="276">
        <v>0</v>
      </c>
      <c r="V238" s="281"/>
      <c r="W238" s="276">
        <v>0</v>
      </c>
      <c r="X238" s="281"/>
      <c r="Y238" s="276">
        <v>0</v>
      </c>
      <c r="Z238" s="281"/>
      <c r="AA238" s="276">
        <v>0</v>
      </c>
      <c r="AB238" s="401"/>
      <c r="AC238" s="305">
        <v>0</v>
      </c>
      <c r="AD238" s="284"/>
      <c r="AE238" s="329">
        <v>0</v>
      </c>
      <c r="AF238" s="145"/>
      <c r="AG238" s="56">
        <v>0</v>
      </c>
      <c r="AH238" s="144"/>
      <c r="AI238" s="56">
        <v>0</v>
      </c>
      <c r="AJ238" s="144"/>
      <c r="AK238" s="56">
        <v>0</v>
      </c>
      <c r="AL238" s="144"/>
      <c r="AM238" s="56">
        <v>0</v>
      </c>
      <c r="AN238" s="81">
        <v>20552.755657371155</v>
      </c>
      <c r="AO238" s="106">
        <v>1</v>
      </c>
      <c r="AP238" s="122" t="s">
        <v>318</v>
      </c>
      <c r="AQ238" s="127">
        <v>1</v>
      </c>
      <c r="AR238" s="121">
        <v>20552.755657371155</v>
      </c>
      <c r="AS238" s="333" t="s">
        <v>356</v>
      </c>
      <c r="AT238" s="360">
        <v>18</v>
      </c>
    </row>
    <row r="239" spans="1:46" x14ac:dyDescent="0.3">
      <c r="A239" s="425" t="s">
        <v>98</v>
      </c>
      <c r="B239" s="274" t="s">
        <v>99</v>
      </c>
      <c r="C239" s="274" t="s">
        <v>342</v>
      </c>
      <c r="D239" s="281">
        <v>1</v>
      </c>
      <c r="E239" s="276">
        <v>17887.388810409495</v>
      </c>
      <c r="F239" s="280"/>
      <c r="G239" s="276">
        <v>0</v>
      </c>
      <c r="H239" s="280"/>
      <c r="I239" s="276">
        <v>0</v>
      </c>
      <c r="J239" s="280"/>
      <c r="K239" s="276">
        <v>0</v>
      </c>
      <c r="L239" s="280"/>
      <c r="M239" s="276">
        <v>0</v>
      </c>
      <c r="N239" s="280"/>
      <c r="O239" s="276">
        <v>0</v>
      </c>
      <c r="P239" s="280"/>
      <c r="Q239" s="276">
        <v>0</v>
      </c>
      <c r="R239" s="280"/>
      <c r="S239" s="276">
        <v>0</v>
      </c>
      <c r="T239" s="280"/>
      <c r="U239" s="276">
        <v>0</v>
      </c>
      <c r="V239" s="280"/>
      <c r="W239" s="276">
        <v>0</v>
      </c>
      <c r="X239" s="280"/>
      <c r="Y239" s="276">
        <v>0</v>
      </c>
      <c r="Z239" s="280"/>
      <c r="AA239" s="276">
        <v>0</v>
      </c>
      <c r="AB239" s="401"/>
      <c r="AC239" s="305">
        <v>0</v>
      </c>
      <c r="AD239" s="284"/>
      <c r="AE239" s="329">
        <v>0</v>
      </c>
      <c r="AF239" s="145"/>
      <c r="AG239" s="56">
        <v>0</v>
      </c>
      <c r="AH239" s="144"/>
      <c r="AI239" s="56">
        <v>0</v>
      </c>
      <c r="AJ239" s="144"/>
      <c r="AK239" s="56">
        <v>0</v>
      </c>
      <c r="AL239" s="144"/>
      <c r="AM239" s="56">
        <v>0</v>
      </c>
      <c r="AN239" s="81">
        <v>17887.388810409495</v>
      </c>
      <c r="AO239" s="106">
        <v>1</v>
      </c>
      <c r="AP239" s="122" t="s">
        <v>318</v>
      </c>
      <c r="AQ239" s="127">
        <v>1</v>
      </c>
      <c r="AR239" s="121">
        <v>17887.388810409495</v>
      </c>
      <c r="AS239" s="333" t="s">
        <v>356</v>
      </c>
      <c r="AT239" s="360">
        <v>18</v>
      </c>
    </row>
    <row r="240" spans="1:46" x14ac:dyDescent="0.3">
      <c r="A240" s="425" t="s">
        <v>104</v>
      </c>
      <c r="B240" s="274" t="s">
        <v>105</v>
      </c>
      <c r="C240" s="274" t="s">
        <v>342</v>
      </c>
      <c r="D240" s="281"/>
      <c r="E240" s="276">
        <v>0</v>
      </c>
      <c r="F240" s="280"/>
      <c r="G240" s="276">
        <v>0</v>
      </c>
      <c r="H240" s="280"/>
      <c r="I240" s="276">
        <v>0</v>
      </c>
      <c r="J240" s="280"/>
      <c r="K240" s="276">
        <v>0</v>
      </c>
      <c r="L240" s="280"/>
      <c r="M240" s="276">
        <v>0</v>
      </c>
      <c r="N240" s="281"/>
      <c r="O240" s="276">
        <v>0</v>
      </c>
      <c r="P240" s="280"/>
      <c r="Q240" s="276">
        <v>0</v>
      </c>
      <c r="R240" s="280"/>
      <c r="S240" s="276">
        <v>0</v>
      </c>
      <c r="T240" s="280"/>
      <c r="U240" s="276">
        <v>0</v>
      </c>
      <c r="V240" s="280"/>
      <c r="W240" s="276">
        <v>0</v>
      </c>
      <c r="X240" s="280"/>
      <c r="Y240" s="276">
        <v>0</v>
      </c>
      <c r="Z240" s="281"/>
      <c r="AA240" s="276">
        <v>0</v>
      </c>
      <c r="AB240" s="401"/>
      <c r="AC240" s="305">
        <v>0</v>
      </c>
      <c r="AD240" s="315"/>
      <c r="AE240" s="329">
        <v>0</v>
      </c>
      <c r="AF240" s="145"/>
      <c r="AG240" s="56">
        <v>0</v>
      </c>
      <c r="AH240" s="144"/>
      <c r="AI240" s="56">
        <v>0</v>
      </c>
      <c r="AJ240" s="144"/>
      <c r="AK240" s="56">
        <v>0</v>
      </c>
      <c r="AL240" s="144">
        <v>1</v>
      </c>
      <c r="AM240" s="56">
        <v>17887.388810409495</v>
      </c>
      <c r="AN240" s="81">
        <v>17887.388810409495</v>
      </c>
      <c r="AO240" s="106">
        <v>1</v>
      </c>
      <c r="AP240" s="122" t="s">
        <v>319</v>
      </c>
      <c r="AQ240" s="127">
        <v>0.26666666666666666</v>
      </c>
      <c r="AR240" s="121">
        <v>4769.9703494425321</v>
      </c>
      <c r="AS240" s="333" t="s">
        <v>356</v>
      </c>
      <c r="AT240" s="360">
        <v>18</v>
      </c>
    </row>
    <row r="241" spans="1:46" x14ac:dyDescent="0.3">
      <c r="A241" s="425" t="s">
        <v>25</v>
      </c>
      <c r="B241" s="274" t="s">
        <v>26</v>
      </c>
      <c r="C241" s="274" t="s">
        <v>346</v>
      </c>
      <c r="D241" s="281">
        <v>1</v>
      </c>
      <c r="E241" s="276">
        <v>32117.31737996532</v>
      </c>
      <c r="F241" s="280"/>
      <c r="G241" s="276">
        <v>0</v>
      </c>
      <c r="H241" s="280"/>
      <c r="I241" s="276">
        <v>0</v>
      </c>
      <c r="J241" s="280"/>
      <c r="K241" s="276">
        <v>0</v>
      </c>
      <c r="L241" s="280"/>
      <c r="M241" s="276">
        <v>0</v>
      </c>
      <c r="N241" s="281">
        <v>1</v>
      </c>
      <c r="O241" s="276">
        <v>32117.31737996532</v>
      </c>
      <c r="P241" s="280"/>
      <c r="Q241" s="276">
        <v>0</v>
      </c>
      <c r="R241" s="280"/>
      <c r="S241" s="276">
        <v>0</v>
      </c>
      <c r="T241" s="280"/>
      <c r="U241" s="276">
        <v>0</v>
      </c>
      <c r="V241" s="280"/>
      <c r="W241" s="276">
        <v>0</v>
      </c>
      <c r="X241" s="280"/>
      <c r="Y241" s="276">
        <v>0</v>
      </c>
      <c r="Z241" s="281"/>
      <c r="AA241" s="276">
        <v>0</v>
      </c>
      <c r="AB241" s="401"/>
      <c r="AC241" s="305">
        <v>0</v>
      </c>
      <c r="AD241" s="284"/>
      <c r="AE241" s="329">
        <v>0</v>
      </c>
      <c r="AF241" s="145"/>
      <c r="AG241" s="56">
        <v>0</v>
      </c>
      <c r="AH241" s="144"/>
      <c r="AI241" s="56">
        <v>0</v>
      </c>
      <c r="AJ241" s="144"/>
      <c r="AK241" s="56">
        <v>0</v>
      </c>
      <c r="AL241" s="144">
        <v>1</v>
      </c>
      <c r="AM241" s="56">
        <v>32117.31737996532</v>
      </c>
      <c r="AN241" s="81">
        <v>96351.952139895962</v>
      </c>
      <c r="AO241" s="106">
        <v>3</v>
      </c>
      <c r="AP241" s="122" t="s">
        <v>318</v>
      </c>
      <c r="AQ241" s="127">
        <v>1</v>
      </c>
      <c r="AR241" s="121">
        <v>96351.952139895962</v>
      </c>
      <c r="AS241" s="333" t="s">
        <v>356</v>
      </c>
      <c r="AT241" s="360">
        <v>18</v>
      </c>
    </row>
    <row r="242" spans="1:46" x14ac:dyDescent="0.3">
      <c r="A242" s="425" t="s">
        <v>27</v>
      </c>
      <c r="B242" s="274" t="s">
        <v>28</v>
      </c>
      <c r="C242" s="274" t="s">
        <v>346</v>
      </c>
      <c r="D242" s="281">
        <v>1</v>
      </c>
      <c r="E242" s="276">
        <v>43480.816890660324</v>
      </c>
      <c r="F242" s="280"/>
      <c r="G242" s="276">
        <v>0</v>
      </c>
      <c r="H242" s="280"/>
      <c r="I242" s="276">
        <v>0</v>
      </c>
      <c r="J242" s="280"/>
      <c r="K242" s="276">
        <v>0</v>
      </c>
      <c r="L242" s="280"/>
      <c r="M242" s="276">
        <v>0</v>
      </c>
      <c r="N242" s="281">
        <v>1</v>
      </c>
      <c r="O242" s="276">
        <v>43480.816890660324</v>
      </c>
      <c r="P242" s="280"/>
      <c r="Q242" s="276">
        <v>0</v>
      </c>
      <c r="R242" s="280"/>
      <c r="S242" s="276">
        <v>0</v>
      </c>
      <c r="T242" s="280"/>
      <c r="U242" s="276">
        <v>0</v>
      </c>
      <c r="V242" s="280"/>
      <c r="W242" s="276">
        <v>0</v>
      </c>
      <c r="X242" s="280"/>
      <c r="Y242" s="276">
        <v>0</v>
      </c>
      <c r="Z242" s="281"/>
      <c r="AA242" s="276">
        <v>0</v>
      </c>
      <c r="AB242" s="401"/>
      <c r="AC242" s="305">
        <v>0</v>
      </c>
      <c r="AD242" s="284"/>
      <c r="AE242" s="329">
        <v>0</v>
      </c>
      <c r="AF242" s="145"/>
      <c r="AG242" s="56">
        <v>0</v>
      </c>
      <c r="AH242" s="144"/>
      <c r="AI242" s="56">
        <v>0</v>
      </c>
      <c r="AJ242" s="144"/>
      <c r="AK242" s="56">
        <v>0</v>
      </c>
      <c r="AL242" s="144">
        <v>1</v>
      </c>
      <c r="AM242" s="56">
        <v>43480.816890660324</v>
      </c>
      <c r="AN242" s="81">
        <v>130442.45067198097</v>
      </c>
      <c r="AO242" s="106">
        <v>3</v>
      </c>
      <c r="AP242" s="122" t="s">
        <v>318</v>
      </c>
      <c r="AQ242" s="127">
        <v>1</v>
      </c>
      <c r="AR242" s="121">
        <v>130442.45067198097</v>
      </c>
      <c r="AS242" s="333" t="s">
        <v>356</v>
      </c>
      <c r="AT242" s="360">
        <v>18</v>
      </c>
    </row>
    <row r="243" spans="1:46" x14ac:dyDescent="0.3">
      <c r="A243" s="425" t="s">
        <v>84</v>
      </c>
      <c r="B243" s="274" t="s">
        <v>85</v>
      </c>
      <c r="C243" s="274" t="s">
        <v>346</v>
      </c>
      <c r="D243" s="281">
        <v>1</v>
      </c>
      <c r="E243" s="276">
        <v>68748.387080831264</v>
      </c>
      <c r="F243" s="280"/>
      <c r="G243" s="276">
        <v>0</v>
      </c>
      <c r="H243" s="280"/>
      <c r="I243" s="276">
        <v>0</v>
      </c>
      <c r="J243" s="280"/>
      <c r="K243" s="276">
        <v>0</v>
      </c>
      <c r="L243" s="280"/>
      <c r="M243" s="276">
        <v>0</v>
      </c>
      <c r="N243" s="281">
        <v>1</v>
      </c>
      <c r="O243" s="276">
        <v>68748.387080831264</v>
      </c>
      <c r="P243" s="280"/>
      <c r="Q243" s="276">
        <v>0</v>
      </c>
      <c r="R243" s="280"/>
      <c r="S243" s="276">
        <v>0</v>
      </c>
      <c r="T243" s="280"/>
      <c r="U243" s="276">
        <v>0</v>
      </c>
      <c r="V243" s="280"/>
      <c r="W243" s="276">
        <v>0</v>
      </c>
      <c r="X243" s="280"/>
      <c r="Y243" s="276">
        <v>0</v>
      </c>
      <c r="Z243" s="281"/>
      <c r="AA243" s="276">
        <v>0</v>
      </c>
      <c r="AB243" s="401"/>
      <c r="AC243" s="305">
        <v>0</v>
      </c>
      <c r="AD243" s="284"/>
      <c r="AE243" s="329">
        <v>0</v>
      </c>
      <c r="AF243" s="145"/>
      <c r="AG243" s="56">
        <v>0</v>
      </c>
      <c r="AH243" s="144"/>
      <c r="AI243" s="56">
        <v>0</v>
      </c>
      <c r="AJ243" s="144"/>
      <c r="AK243" s="56">
        <v>0</v>
      </c>
      <c r="AL243" s="144">
        <v>1</v>
      </c>
      <c r="AM243" s="56">
        <v>68748.387080831264</v>
      </c>
      <c r="AN243" s="81">
        <v>206245.16124249378</v>
      </c>
      <c r="AO243" s="106">
        <v>3</v>
      </c>
      <c r="AP243" s="122" t="s">
        <v>318</v>
      </c>
      <c r="AQ243" s="127">
        <v>1</v>
      </c>
      <c r="AR243" s="121">
        <v>206245.16124249378</v>
      </c>
      <c r="AS243" s="333" t="s">
        <v>356</v>
      </c>
      <c r="AT243" s="360">
        <v>18</v>
      </c>
    </row>
    <row r="244" spans="1:46" x14ac:dyDescent="0.3">
      <c r="A244" s="425" t="s">
        <v>23</v>
      </c>
      <c r="B244" s="274" t="s">
        <v>24</v>
      </c>
      <c r="C244" s="274" t="s">
        <v>344</v>
      </c>
      <c r="D244" s="281">
        <v>1</v>
      </c>
      <c r="E244" s="276">
        <v>31881.451880098426</v>
      </c>
      <c r="F244" s="281"/>
      <c r="G244" s="276">
        <v>0</v>
      </c>
      <c r="H244" s="281"/>
      <c r="I244" s="276">
        <v>0</v>
      </c>
      <c r="J244" s="281"/>
      <c r="K244" s="276">
        <v>0</v>
      </c>
      <c r="L244" s="281"/>
      <c r="M244" s="276">
        <v>0</v>
      </c>
      <c r="N244" s="281"/>
      <c r="O244" s="276">
        <v>0</v>
      </c>
      <c r="P244" s="281"/>
      <c r="Q244" s="276">
        <v>0</v>
      </c>
      <c r="R244" s="281"/>
      <c r="S244" s="276">
        <v>0</v>
      </c>
      <c r="T244" s="281"/>
      <c r="U244" s="276">
        <v>0</v>
      </c>
      <c r="V244" s="281"/>
      <c r="W244" s="276">
        <v>0</v>
      </c>
      <c r="X244" s="281"/>
      <c r="Y244" s="276">
        <v>0</v>
      </c>
      <c r="Z244" s="281"/>
      <c r="AA244" s="276">
        <v>0</v>
      </c>
      <c r="AB244" s="401"/>
      <c r="AC244" s="305">
        <v>0</v>
      </c>
      <c r="AD244" s="284"/>
      <c r="AE244" s="329">
        <v>0</v>
      </c>
      <c r="AF244" s="145"/>
      <c r="AG244" s="56">
        <v>0</v>
      </c>
      <c r="AH244" s="144"/>
      <c r="AI244" s="56">
        <v>0</v>
      </c>
      <c r="AJ244" s="144"/>
      <c r="AK244" s="56">
        <v>0</v>
      </c>
      <c r="AL244" s="144"/>
      <c r="AM244" s="56">
        <v>0</v>
      </c>
      <c r="AN244" s="81">
        <v>31881.451880098426</v>
      </c>
      <c r="AO244" s="106">
        <v>1</v>
      </c>
      <c r="AP244" s="122" t="s">
        <v>318</v>
      </c>
      <c r="AQ244" s="127">
        <v>1</v>
      </c>
      <c r="AR244" s="121">
        <v>31881.451880098426</v>
      </c>
      <c r="AS244" s="333" t="s">
        <v>356</v>
      </c>
      <c r="AT244" s="360">
        <v>18</v>
      </c>
    </row>
    <row r="245" spans="1:46" x14ac:dyDescent="0.3">
      <c r="A245" s="425" t="s">
        <v>36</v>
      </c>
      <c r="B245" s="274" t="s">
        <v>136</v>
      </c>
      <c r="C245" s="274" t="s">
        <v>344</v>
      </c>
      <c r="D245" s="281">
        <v>8</v>
      </c>
      <c r="E245" s="276">
        <v>70240.958933331567</v>
      </c>
      <c r="F245" s="281">
        <v>8</v>
      </c>
      <c r="G245" s="276">
        <v>70240.958933331567</v>
      </c>
      <c r="H245" s="281">
        <v>8</v>
      </c>
      <c r="I245" s="276">
        <v>70240.958933331567</v>
      </c>
      <c r="J245" s="281">
        <v>8</v>
      </c>
      <c r="K245" s="276">
        <v>70240.958933331567</v>
      </c>
      <c r="L245" s="281">
        <v>8</v>
      </c>
      <c r="M245" s="276">
        <v>70240.958933331567</v>
      </c>
      <c r="N245" s="281">
        <v>8</v>
      </c>
      <c r="O245" s="276">
        <v>70240.958933331567</v>
      </c>
      <c r="P245" s="281">
        <v>8</v>
      </c>
      <c r="Q245" s="276">
        <v>70240.958933331567</v>
      </c>
      <c r="R245" s="281">
        <v>8</v>
      </c>
      <c r="S245" s="276">
        <v>70240.958933331567</v>
      </c>
      <c r="T245" s="281">
        <v>8</v>
      </c>
      <c r="U245" s="276">
        <v>70240.958933331567</v>
      </c>
      <c r="V245" s="281">
        <v>8</v>
      </c>
      <c r="W245" s="276">
        <v>70240.958933331567</v>
      </c>
      <c r="X245" s="281">
        <v>8</v>
      </c>
      <c r="Y245" s="276">
        <v>70240.958933331567</v>
      </c>
      <c r="Z245" s="281">
        <v>8</v>
      </c>
      <c r="AA245" s="276">
        <v>70240.958933331567</v>
      </c>
      <c r="AB245" s="401">
        <v>8</v>
      </c>
      <c r="AC245" s="305">
        <v>70240.958933331567</v>
      </c>
      <c r="AD245" s="284">
        <v>8</v>
      </c>
      <c r="AE245" s="329">
        <v>70240.958933331567</v>
      </c>
      <c r="AF245" s="145">
        <v>8</v>
      </c>
      <c r="AG245" s="56">
        <v>70240.958933331567</v>
      </c>
      <c r="AH245" s="144">
        <v>8</v>
      </c>
      <c r="AI245" s="56">
        <v>70240.958933331567</v>
      </c>
      <c r="AJ245" s="144">
        <v>8</v>
      </c>
      <c r="AK245" s="56">
        <v>70240.958933331567</v>
      </c>
      <c r="AL245" s="144">
        <v>8</v>
      </c>
      <c r="AM245" s="56">
        <v>70240.958933331567</v>
      </c>
      <c r="AN245" s="81">
        <v>1264337.2607999679</v>
      </c>
      <c r="AO245" s="106">
        <v>144</v>
      </c>
      <c r="AP245" s="122" t="s">
        <v>318</v>
      </c>
      <c r="AQ245" s="127">
        <v>1</v>
      </c>
      <c r="AR245" s="121">
        <v>1264337.2607999679</v>
      </c>
      <c r="AS245" s="333" t="s">
        <v>356</v>
      </c>
      <c r="AT245" s="360">
        <v>18</v>
      </c>
    </row>
    <row r="246" spans="1:46" x14ac:dyDescent="0.3">
      <c r="A246" s="425" t="s">
        <v>3</v>
      </c>
      <c r="B246" s="274" t="s">
        <v>4</v>
      </c>
      <c r="C246" s="274" t="s">
        <v>342</v>
      </c>
      <c r="D246" s="281">
        <v>1</v>
      </c>
      <c r="E246" s="276">
        <v>20406.13276336317</v>
      </c>
      <c r="F246" s="281"/>
      <c r="G246" s="276">
        <v>0</v>
      </c>
      <c r="H246" s="281"/>
      <c r="I246" s="276">
        <v>0</v>
      </c>
      <c r="J246" s="281"/>
      <c r="K246" s="276">
        <v>0</v>
      </c>
      <c r="L246" s="281"/>
      <c r="M246" s="276">
        <v>0</v>
      </c>
      <c r="N246" s="281"/>
      <c r="O246" s="276">
        <v>0</v>
      </c>
      <c r="P246" s="281"/>
      <c r="Q246" s="276">
        <v>0</v>
      </c>
      <c r="R246" s="281"/>
      <c r="S246" s="276">
        <v>0</v>
      </c>
      <c r="T246" s="281"/>
      <c r="U246" s="276">
        <v>0</v>
      </c>
      <c r="V246" s="281"/>
      <c r="W246" s="276">
        <v>0</v>
      </c>
      <c r="X246" s="281"/>
      <c r="Y246" s="276">
        <v>0</v>
      </c>
      <c r="Z246" s="281"/>
      <c r="AA246" s="276">
        <v>0</v>
      </c>
      <c r="AB246" s="401"/>
      <c r="AC246" s="305">
        <v>0</v>
      </c>
      <c r="AD246" s="284"/>
      <c r="AE246" s="329">
        <v>0</v>
      </c>
      <c r="AF246" s="145"/>
      <c r="AG246" s="56">
        <v>0</v>
      </c>
      <c r="AH246" s="144"/>
      <c r="AI246" s="56">
        <v>0</v>
      </c>
      <c r="AJ246" s="144"/>
      <c r="AK246" s="56">
        <v>0</v>
      </c>
      <c r="AL246" s="180"/>
      <c r="AM246" s="113">
        <v>0</v>
      </c>
      <c r="AN246" s="81">
        <v>20406.13276336317</v>
      </c>
      <c r="AO246" s="106">
        <v>1</v>
      </c>
      <c r="AP246" s="122" t="s">
        <v>318</v>
      </c>
      <c r="AQ246" s="127">
        <v>1</v>
      </c>
      <c r="AR246" s="121">
        <v>20406.13276336317</v>
      </c>
      <c r="AS246" s="333" t="s">
        <v>356</v>
      </c>
      <c r="AT246" s="360">
        <v>18</v>
      </c>
    </row>
    <row r="247" spans="1:46" x14ac:dyDescent="0.3">
      <c r="A247" s="425" t="s">
        <v>15</v>
      </c>
      <c r="B247" s="274" t="s">
        <v>16</v>
      </c>
      <c r="C247" s="274" t="s">
        <v>342</v>
      </c>
      <c r="D247" s="280"/>
      <c r="E247" s="276">
        <v>0</v>
      </c>
      <c r="F247" s="280"/>
      <c r="G247" s="276">
        <v>0</v>
      </c>
      <c r="H247" s="280"/>
      <c r="I247" s="276">
        <v>0</v>
      </c>
      <c r="J247" s="280"/>
      <c r="K247" s="276">
        <v>0</v>
      </c>
      <c r="L247" s="280"/>
      <c r="M247" s="276">
        <v>0</v>
      </c>
      <c r="N247" s="281">
        <v>1</v>
      </c>
      <c r="O247" s="276">
        <v>22052.520800552971</v>
      </c>
      <c r="P247" s="280"/>
      <c r="Q247" s="276">
        <v>0</v>
      </c>
      <c r="R247" s="280"/>
      <c r="S247" s="276">
        <v>0</v>
      </c>
      <c r="T247" s="280"/>
      <c r="U247" s="276">
        <v>0</v>
      </c>
      <c r="V247" s="280"/>
      <c r="W247" s="276">
        <v>0</v>
      </c>
      <c r="X247" s="280"/>
      <c r="Y247" s="276">
        <v>0</v>
      </c>
      <c r="Z247" s="281"/>
      <c r="AA247" s="276">
        <v>0</v>
      </c>
      <c r="AB247" s="401"/>
      <c r="AC247" s="305">
        <v>0</v>
      </c>
      <c r="AD247" s="284"/>
      <c r="AE247" s="329">
        <v>0</v>
      </c>
      <c r="AF247" s="177"/>
      <c r="AG247" s="56">
        <v>0</v>
      </c>
      <c r="AH247" s="144"/>
      <c r="AI247" s="56">
        <v>0</v>
      </c>
      <c r="AJ247" s="144"/>
      <c r="AK247" s="56">
        <v>0</v>
      </c>
      <c r="AL247" s="144">
        <v>1</v>
      </c>
      <c r="AM247" s="56">
        <v>22052.520800552971</v>
      </c>
      <c r="AN247" s="81">
        <v>44105.041601105942</v>
      </c>
      <c r="AO247" s="106">
        <v>2</v>
      </c>
      <c r="AP247" s="122" t="s">
        <v>318</v>
      </c>
      <c r="AQ247" s="127">
        <v>1</v>
      </c>
      <c r="AR247" s="121">
        <v>44105.041601105942</v>
      </c>
      <c r="AS247" s="333" t="s">
        <v>356</v>
      </c>
      <c r="AT247" s="360">
        <v>18</v>
      </c>
    </row>
    <row r="248" spans="1:46" x14ac:dyDescent="0.3">
      <c r="A248" s="425" t="s">
        <v>1</v>
      </c>
      <c r="B248" s="274" t="s">
        <v>2</v>
      </c>
      <c r="C248" s="274" t="s">
        <v>342</v>
      </c>
      <c r="D248" s="281"/>
      <c r="E248" s="276">
        <v>0</v>
      </c>
      <c r="F248" s="281"/>
      <c r="G248" s="276">
        <v>0</v>
      </c>
      <c r="H248" s="281"/>
      <c r="I248" s="276">
        <v>0</v>
      </c>
      <c r="J248" s="281"/>
      <c r="K248" s="276">
        <v>0</v>
      </c>
      <c r="L248" s="281"/>
      <c r="M248" s="276">
        <v>0</v>
      </c>
      <c r="N248" s="281"/>
      <c r="O248" s="276">
        <v>0</v>
      </c>
      <c r="P248" s="281"/>
      <c r="Q248" s="276">
        <v>0</v>
      </c>
      <c r="R248" s="281"/>
      <c r="S248" s="276">
        <v>0</v>
      </c>
      <c r="T248" s="281"/>
      <c r="U248" s="276">
        <v>0</v>
      </c>
      <c r="V248" s="281"/>
      <c r="W248" s="276">
        <v>0</v>
      </c>
      <c r="X248" s="281"/>
      <c r="Y248" s="276">
        <v>0</v>
      </c>
      <c r="Z248" s="281"/>
      <c r="AA248" s="276">
        <v>0</v>
      </c>
      <c r="AB248" s="401"/>
      <c r="AC248" s="305">
        <v>0</v>
      </c>
      <c r="AD248" s="284"/>
      <c r="AE248" s="329">
        <v>0</v>
      </c>
      <c r="AF248" s="145"/>
      <c r="AG248" s="56">
        <v>0</v>
      </c>
      <c r="AH248" s="144"/>
      <c r="AI248" s="56">
        <v>0</v>
      </c>
      <c r="AJ248" s="144"/>
      <c r="AK248" s="56">
        <v>0</v>
      </c>
      <c r="AL248" s="144">
        <v>1</v>
      </c>
      <c r="AM248" s="56">
        <v>21014.39667403782</v>
      </c>
      <c r="AN248" s="81">
        <v>21014.39667403782</v>
      </c>
      <c r="AO248" s="106">
        <v>1</v>
      </c>
      <c r="AP248" s="122" t="s">
        <v>318</v>
      </c>
      <c r="AQ248" s="127">
        <v>1</v>
      </c>
      <c r="AR248" s="121">
        <v>21014.39667403782</v>
      </c>
      <c r="AS248" s="333" t="s">
        <v>356</v>
      </c>
      <c r="AT248" s="360">
        <v>18</v>
      </c>
    </row>
    <row r="249" spans="1:46" x14ac:dyDescent="0.3">
      <c r="A249" s="425" t="s">
        <v>19</v>
      </c>
      <c r="B249" s="274" t="s">
        <v>20</v>
      </c>
      <c r="C249" s="274" t="s">
        <v>342</v>
      </c>
      <c r="D249" s="281">
        <v>1</v>
      </c>
      <c r="E249" s="276">
        <v>67398.098568534639</v>
      </c>
      <c r="F249" s="281"/>
      <c r="G249" s="276">
        <v>0</v>
      </c>
      <c r="H249" s="281"/>
      <c r="I249" s="276">
        <v>0</v>
      </c>
      <c r="J249" s="281"/>
      <c r="K249" s="276">
        <v>0</v>
      </c>
      <c r="L249" s="281"/>
      <c r="M249" s="276">
        <v>0</v>
      </c>
      <c r="N249" s="281"/>
      <c r="O249" s="276">
        <v>0</v>
      </c>
      <c r="P249" s="281"/>
      <c r="Q249" s="276">
        <v>0</v>
      </c>
      <c r="R249" s="281"/>
      <c r="S249" s="276">
        <v>0</v>
      </c>
      <c r="T249" s="281"/>
      <c r="U249" s="276">
        <v>0</v>
      </c>
      <c r="V249" s="281"/>
      <c r="W249" s="276">
        <v>0</v>
      </c>
      <c r="X249" s="281"/>
      <c r="Y249" s="276">
        <v>0</v>
      </c>
      <c r="Z249" s="281"/>
      <c r="AA249" s="276">
        <v>0</v>
      </c>
      <c r="AB249" s="401"/>
      <c r="AC249" s="305">
        <v>0</v>
      </c>
      <c r="AD249" s="315"/>
      <c r="AE249" s="329">
        <v>0</v>
      </c>
      <c r="AF249" s="144"/>
      <c r="AG249" s="56">
        <v>0</v>
      </c>
      <c r="AH249" s="144"/>
      <c r="AI249" s="56">
        <v>0</v>
      </c>
      <c r="AJ249" s="144"/>
      <c r="AK249" s="56">
        <v>0</v>
      </c>
      <c r="AL249" s="181"/>
      <c r="AM249" s="56">
        <v>0</v>
      </c>
      <c r="AN249" s="81">
        <v>67398.098568534639</v>
      </c>
      <c r="AO249" s="106">
        <v>1</v>
      </c>
      <c r="AP249" s="122" t="s">
        <v>319</v>
      </c>
      <c r="AQ249" s="127">
        <v>6.6666666666666666E-2</v>
      </c>
      <c r="AR249" s="121">
        <v>4493.2065712356425</v>
      </c>
      <c r="AS249" s="333" t="s">
        <v>356</v>
      </c>
      <c r="AT249" s="360">
        <v>18</v>
      </c>
    </row>
    <row r="250" spans="1:46" x14ac:dyDescent="0.3">
      <c r="A250" s="425" t="s">
        <v>21</v>
      </c>
      <c r="B250" s="274" t="s">
        <v>221</v>
      </c>
      <c r="C250" s="274" t="s">
        <v>342</v>
      </c>
      <c r="D250" s="281">
        <v>1</v>
      </c>
      <c r="E250" s="276">
        <v>67398.098568534639</v>
      </c>
      <c r="F250" s="281">
        <v>1</v>
      </c>
      <c r="G250" s="276">
        <v>67398.098568534639</v>
      </c>
      <c r="H250" s="281">
        <v>1</v>
      </c>
      <c r="I250" s="276">
        <v>67398.098568534639</v>
      </c>
      <c r="J250" s="281">
        <v>1</v>
      </c>
      <c r="K250" s="276">
        <v>67398.098568534639</v>
      </c>
      <c r="L250" s="281">
        <v>1</v>
      </c>
      <c r="M250" s="276">
        <v>67398.098568534639</v>
      </c>
      <c r="N250" s="281">
        <v>1</v>
      </c>
      <c r="O250" s="276">
        <v>67398.098568534639</v>
      </c>
      <c r="P250" s="281">
        <v>1</v>
      </c>
      <c r="Q250" s="276">
        <v>67398.098568534639</v>
      </c>
      <c r="R250" s="281">
        <v>1</v>
      </c>
      <c r="S250" s="276">
        <v>67398.098568534639</v>
      </c>
      <c r="T250" s="281">
        <v>1</v>
      </c>
      <c r="U250" s="276">
        <v>67398.098568534639</v>
      </c>
      <c r="V250" s="281">
        <v>1</v>
      </c>
      <c r="W250" s="276">
        <v>67398.098568534639</v>
      </c>
      <c r="X250" s="281">
        <v>1</v>
      </c>
      <c r="Y250" s="276">
        <v>67398.098568534639</v>
      </c>
      <c r="Z250" s="281">
        <v>1</v>
      </c>
      <c r="AA250" s="276">
        <v>67398.098568534639</v>
      </c>
      <c r="AB250" s="401">
        <v>1</v>
      </c>
      <c r="AC250" s="305">
        <v>67398.098568534639</v>
      </c>
      <c r="AD250" s="315">
        <v>1</v>
      </c>
      <c r="AE250" s="329">
        <v>67398.098568534639</v>
      </c>
      <c r="AF250" s="145">
        <v>1</v>
      </c>
      <c r="AG250" s="56">
        <v>67398.098568534639</v>
      </c>
      <c r="AH250" s="144">
        <v>1</v>
      </c>
      <c r="AI250" s="56">
        <v>67398.098568534639</v>
      </c>
      <c r="AJ250" s="144">
        <v>1</v>
      </c>
      <c r="AK250" s="56">
        <v>67398.098568534639</v>
      </c>
      <c r="AL250" s="144">
        <v>1</v>
      </c>
      <c r="AM250" s="56">
        <v>67398.098568534639</v>
      </c>
      <c r="AN250" s="81">
        <v>1213165.7742336234</v>
      </c>
      <c r="AO250" s="106">
        <v>18</v>
      </c>
      <c r="AP250" s="122" t="s">
        <v>319</v>
      </c>
      <c r="AQ250" s="127">
        <v>0.4</v>
      </c>
      <c r="AR250" s="121">
        <v>485266.30969344941</v>
      </c>
      <c r="AS250" s="333" t="s">
        <v>356</v>
      </c>
      <c r="AT250" s="360">
        <v>18</v>
      </c>
    </row>
    <row r="251" spans="1:46" x14ac:dyDescent="0.3">
      <c r="A251" s="425" t="s">
        <v>52</v>
      </c>
      <c r="B251" s="274" t="s">
        <v>191</v>
      </c>
      <c r="C251" s="274" t="s">
        <v>342</v>
      </c>
      <c r="D251" s="281">
        <v>1</v>
      </c>
      <c r="E251" s="276">
        <v>26897.079640267821</v>
      </c>
      <c r="F251" s="281"/>
      <c r="G251" s="276">
        <v>0</v>
      </c>
      <c r="H251" s="281"/>
      <c r="I251" s="276">
        <v>0</v>
      </c>
      <c r="J251" s="281"/>
      <c r="K251" s="276">
        <v>0</v>
      </c>
      <c r="L251" s="281"/>
      <c r="M251" s="276">
        <v>0</v>
      </c>
      <c r="N251" s="281"/>
      <c r="O251" s="276">
        <v>0</v>
      </c>
      <c r="P251" s="281"/>
      <c r="Q251" s="276">
        <v>0</v>
      </c>
      <c r="R251" s="281"/>
      <c r="S251" s="276">
        <v>0</v>
      </c>
      <c r="T251" s="281"/>
      <c r="U251" s="276">
        <v>0</v>
      </c>
      <c r="V251" s="281"/>
      <c r="W251" s="276">
        <v>0</v>
      </c>
      <c r="X251" s="281"/>
      <c r="Y251" s="276">
        <v>0</v>
      </c>
      <c r="Z251" s="281"/>
      <c r="AA251" s="276">
        <v>0</v>
      </c>
      <c r="AB251" s="401"/>
      <c r="AC251" s="305">
        <v>0</v>
      </c>
      <c r="AD251" s="315"/>
      <c r="AE251" s="329">
        <v>0</v>
      </c>
      <c r="AF251" s="145"/>
      <c r="AG251" s="56">
        <v>0</v>
      </c>
      <c r="AH251" s="144"/>
      <c r="AI251" s="56">
        <v>0</v>
      </c>
      <c r="AJ251" s="144"/>
      <c r="AK251" s="56">
        <v>0</v>
      </c>
      <c r="AL251" s="144"/>
      <c r="AM251" s="56">
        <v>0</v>
      </c>
      <c r="AN251" s="81">
        <v>26897.079640267821</v>
      </c>
      <c r="AO251" s="106">
        <v>1</v>
      </c>
      <c r="AP251" s="122" t="s">
        <v>319</v>
      </c>
      <c r="AQ251" s="127">
        <v>0</v>
      </c>
      <c r="AR251" s="121">
        <v>0</v>
      </c>
      <c r="AS251" s="333" t="s">
        <v>356</v>
      </c>
      <c r="AT251" s="360">
        <v>18</v>
      </c>
    </row>
    <row r="252" spans="1:46" x14ac:dyDescent="0.3">
      <c r="A252" s="425" t="s">
        <v>53</v>
      </c>
      <c r="B252" s="274" t="s">
        <v>230</v>
      </c>
      <c r="C252" s="274" t="s">
        <v>342</v>
      </c>
      <c r="D252" s="281">
        <v>1</v>
      </c>
      <c r="E252" s="276">
        <v>26897.079640267817</v>
      </c>
      <c r="F252" s="281"/>
      <c r="G252" s="276">
        <v>0</v>
      </c>
      <c r="H252" s="281"/>
      <c r="I252" s="276">
        <v>0</v>
      </c>
      <c r="J252" s="281"/>
      <c r="K252" s="276">
        <v>0</v>
      </c>
      <c r="L252" s="281"/>
      <c r="M252" s="276">
        <v>0</v>
      </c>
      <c r="N252" s="281"/>
      <c r="O252" s="276">
        <v>0</v>
      </c>
      <c r="P252" s="281"/>
      <c r="Q252" s="276">
        <v>0</v>
      </c>
      <c r="R252" s="281"/>
      <c r="S252" s="276">
        <v>0</v>
      </c>
      <c r="T252" s="281"/>
      <c r="U252" s="276">
        <v>0</v>
      </c>
      <c r="V252" s="281"/>
      <c r="W252" s="276">
        <v>0</v>
      </c>
      <c r="X252" s="281"/>
      <c r="Y252" s="276">
        <v>0</v>
      </c>
      <c r="Z252" s="281"/>
      <c r="AA252" s="276">
        <v>0</v>
      </c>
      <c r="AB252" s="401"/>
      <c r="AC252" s="305">
        <v>0</v>
      </c>
      <c r="AD252" s="315"/>
      <c r="AE252" s="329">
        <v>0</v>
      </c>
      <c r="AF252" s="145"/>
      <c r="AG252" s="56">
        <v>0</v>
      </c>
      <c r="AH252" s="146"/>
      <c r="AI252" s="56">
        <v>0</v>
      </c>
      <c r="AJ252" s="146"/>
      <c r="AK252" s="56">
        <v>0</v>
      </c>
      <c r="AL252" s="146"/>
      <c r="AM252" s="56">
        <v>0</v>
      </c>
      <c r="AN252" s="81">
        <v>26897.079640267817</v>
      </c>
      <c r="AO252" s="106">
        <v>1</v>
      </c>
      <c r="AP252" s="122" t="s">
        <v>319</v>
      </c>
      <c r="AQ252" s="127">
        <v>0</v>
      </c>
      <c r="AR252" s="121">
        <v>0</v>
      </c>
      <c r="AS252" s="333" t="s">
        <v>356</v>
      </c>
      <c r="AT252" s="360">
        <v>18</v>
      </c>
    </row>
    <row r="253" spans="1:46" x14ac:dyDescent="0.3">
      <c r="A253" s="425" t="s">
        <v>5</v>
      </c>
      <c r="B253" s="274" t="s">
        <v>6</v>
      </c>
      <c r="C253" s="274" t="s">
        <v>342</v>
      </c>
      <c r="D253" s="281">
        <v>1</v>
      </c>
      <c r="E253" s="276">
        <v>18768.367820181349</v>
      </c>
      <c r="F253" s="281"/>
      <c r="G253" s="276">
        <v>0</v>
      </c>
      <c r="H253" s="281"/>
      <c r="I253" s="276">
        <v>0</v>
      </c>
      <c r="J253" s="281"/>
      <c r="K253" s="276">
        <v>0</v>
      </c>
      <c r="L253" s="281"/>
      <c r="M253" s="276">
        <v>0</v>
      </c>
      <c r="N253" s="281"/>
      <c r="O253" s="276">
        <v>0</v>
      </c>
      <c r="P253" s="280"/>
      <c r="Q253" s="276">
        <v>0</v>
      </c>
      <c r="R253" s="280"/>
      <c r="S253" s="276">
        <v>0</v>
      </c>
      <c r="T253" s="280"/>
      <c r="U253" s="276">
        <v>0</v>
      </c>
      <c r="V253" s="280"/>
      <c r="W253" s="276">
        <v>0</v>
      </c>
      <c r="X253" s="280"/>
      <c r="Y253" s="276">
        <v>0</v>
      </c>
      <c r="Z253" s="281"/>
      <c r="AA253" s="276">
        <v>0</v>
      </c>
      <c r="AB253" s="401"/>
      <c r="AC253" s="305">
        <v>0</v>
      </c>
      <c r="AD253" s="284"/>
      <c r="AE253" s="329">
        <v>0</v>
      </c>
      <c r="AF253" s="145"/>
      <c r="AG253" s="56">
        <v>0</v>
      </c>
      <c r="AH253" s="144"/>
      <c r="AI253" s="56">
        <v>0</v>
      </c>
      <c r="AJ253" s="144"/>
      <c r="AK253" s="56">
        <v>0</v>
      </c>
      <c r="AL253" s="144"/>
      <c r="AM253" s="56">
        <v>0</v>
      </c>
      <c r="AN253" s="81">
        <v>18768.367820181349</v>
      </c>
      <c r="AO253" s="106">
        <v>1</v>
      </c>
      <c r="AP253" s="122" t="s">
        <v>318</v>
      </c>
      <c r="AQ253" s="127">
        <v>1</v>
      </c>
      <c r="AR253" s="121">
        <v>18768.367820181349</v>
      </c>
      <c r="AS253" s="333" t="s">
        <v>356</v>
      </c>
      <c r="AT253" s="360">
        <v>18</v>
      </c>
    </row>
    <row r="254" spans="1:46" x14ac:dyDescent="0.3">
      <c r="A254" s="425" t="s">
        <v>17</v>
      </c>
      <c r="B254" s="274" t="s">
        <v>18</v>
      </c>
      <c r="C254" s="274" t="s">
        <v>342</v>
      </c>
      <c r="D254" s="281"/>
      <c r="E254" s="276">
        <v>0</v>
      </c>
      <c r="F254" s="281"/>
      <c r="G254" s="276">
        <v>0</v>
      </c>
      <c r="H254" s="281"/>
      <c r="I254" s="276">
        <v>0</v>
      </c>
      <c r="J254" s="281"/>
      <c r="K254" s="276">
        <v>0</v>
      </c>
      <c r="L254" s="281"/>
      <c r="M254" s="276">
        <v>0</v>
      </c>
      <c r="N254" s="281">
        <v>1</v>
      </c>
      <c r="O254" s="276">
        <v>20414.75585737115</v>
      </c>
      <c r="P254" s="280"/>
      <c r="Q254" s="276">
        <v>0</v>
      </c>
      <c r="R254" s="280"/>
      <c r="S254" s="276">
        <v>0</v>
      </c>
      <c r="T254" s="280"/>
      <c r="U254" s="276">
        <v>0</v>
      </c>
      <c r="V254" s="280"/>
      <c r="W254" s="276">
        <v>0</v>
      </c>
      <c r="X254" s="280"/>
      <c r="Y254" s="276">
        <v>0</v>
      </c>
      <c r="Z254" s="281"/>
      <c r="AA254" s="276">
        <v>0</v>
      </c>
      <c r="AB254" s="401"/>
      <c r="AC254" s="305">
        <v>0</v>
      </c>
      <c r="AD254" s="284"/>
      <c r="AE254" s="329">
        <v>0</v>
      </c>
      <c r="AF254" s="144"/>
      <c r="AG254" s="56">
        <v>0</v>
      </c>
      <c r="AH254" s="144"/>
      <c r="AI254" s="56">
        <v>0</v>
      </c>
      <c r="AJ254" s="144"/>
      <c r="AK254" s="56">
        <v>0</v>
      </c>
      <c r="AL254" s="144">
        <v>1</v>
      </c>
      <c r="AM254" s="56">
        <v>20414.75585737115</v>
      </c>
      <c r="AN254" s="81">
        <v>40829.511714742301</v>
      </c>
      <c r="AO254" s="106">
        <v>2</v>
      </c>
      <c r="AP254" s="122" t="s">
        <v>318</v>
      </c>
      <c r="AQ254" s="127">
        <v>1</v>
      </c>
      <c r="AR254" s="121">
        <v>40829.511714742301</v>
      </c>
      <c r="AS254" s="333" t="s">
        <v>356</v>
      </c>
      <c r="AT254" s="360">
        <v>18</v>
      </c>
    </row>
    <row r="255" spans="1:46" x14ac:dyDescent="0.3">
      <c r="A255" s="425" t="s">
        <v>113</v>
      </c>
      <c r="B255" s="295" t="s">
        <v>139</v>
      </c>
      <c r="C255" s="274" t="s">
        <v>342</v>
      </c>
      <c r="D255" s="281">
        <v>1</v>
      </c>
      <c r="E255" s="276">
        <v>60236.092716419647</v>
      </c>
      <c r="F255" s="281"/>
      <c r="G255" s="276">
        <v>0</v>
      </c>
      <c r="H255" s="281"/>
      <c r="I255" s="276">
        <v>0</v>
      </c>
      <c r="J255" s="281"/>
      <c r="K255" s="276">
        <v>0</v>
      </c>
      <c r="L255" s="281"/>
      <c r="M255" s="276">
        <v>0</v>
      </c>
      <c r="N255" s="281"/>
      <c r="O255" s="276">
        <v>0</v>
      </c>
      <c r="P255" s="281"/>
      <c r="Q255" s="276">
        <v>0</v>
      </c>
      <c r="R255" s="281"/>
      <c r="S255" s="276">
        <v>0</v>
      </c>
      <c r="T255" s="281"/>
      <c r="U255" s="276">
        <v>0</v>
      </c>
      <c r="V255" s="281"/>
      <c r="W255" s="276">
        <v>0</v>
      </c>
      <c r="X255" s="281"/>
      <c r="Y255" s="276">
        <v>0</v>
      </c>
      <c r="Z255" s="281"/>
      <c r="AA255" s="276">
        <v>0</v>
      </c>
      <c r="AB255" s="401"/>
      <c r="AC255" s="305">
        <v>0</v>
      </c>
      <c r="AD255" s="315"/>
      <c r="AE255" s="329">
        <v>0</v>
      </c>
      <c r="AF255" s="144"/>
      <c r="AG255" s="56">
        <v>0</v>
      </c>
      <c r="AH255" s="144"/>
      <c r="AI255" s="56">
        <v>0</v>
      </c>
      <c r="AJ255" s="144"/>
      <c r="AK255" s="56">
        <v>0</v>
      </c>
      <c r="AL255" s="144"/>
      <c r="AM255" s="56">
        <v>0</v>
      </c>
      <c r="AN255" s="81">
        <v>60236.092716419647</v>
      </c>
      <c r="AO255" s="106">
        <v>1</v>
      </c>
      <c r="AP255" s="122" t="s">
        <v>319</v>
      </c>
      <c r="AQ255" s="127">
        <v>0</v>
      </c>
      <c r="AR255" s="121">
        <v>0</v>
      </c>
      <c r="AS255" s="333" t="s">
        <v>356</v>
      </c>
      <c r="AT255" s="360">
        <v>18</v>
      </c>
    </row>
    <row r="256" spans="1:46" x14ac:dyDescent="0.3">
      <c r="A256" s="425" t="s">
        <v>114</v>
      </c>
      <c r="B256" s="274" t="s">
        <v>140</v>
      </c>
      <c r="C256" s="274" t="s">
        <v>342</v>
      </c>
      <c r="D256" s="281">
        <v>1</v>
      </c>
      <c r="E256" s="276">
        <v>62748.232282880919</v>
      </c>
      <c r="F256" s="281"/>
      <c r="G256" s="276">
        <v>0</v>
      </c>
      <c r="H256" s="281"/>
      <c r="I256" s="276">
        <v>0</v>
      </c>
      <c r="J256" s="281"/>
      <c r="K256" s="276">
        <v>0</v>
      </c>
      <c r="L256" s="281"/>
      <c r="M256" s="276">
        <v>0</v>
      </c>
      <c r="N256" s="281"/>
      <c r="O256" s="276">
        <v>0</v>
      </c>
      <c r="P256" s="281"/>
      <c r="Q256" s="276">
        <v>0</v>
      </c>
      <c r="R256" s="281"/>
      <c r="S256" s="276">
        <v>0</v>
      </c>
      <c r="T256" s="281"/>
      <c r="U256" s="276">
        <v>0</v>
      </c>
      <c r="V256" s="281"/>
      <c r="W256" s="276">
        <v>0</v>
      </c>
      <c r="X256" s="281"/>
      <c r="Y256" s="276">
        <v>0</v>
      </c>
      <c r="Z256" s="281"/>
      <c r="AA256" s="276">
        <v>0</v>
      </c>
      <c r="AB256" s="401"/>
      <c r="AC256" s="305">
        <v>0</v>
      </c>
      <c r="AD256" s="315"/>
      <c r="AE256" s="329">
        <v>0</v>
      </c>
      <c r="AF256" s="145"/>
      <c r="AG256" s="56">
        <v>0</v>
      </c>
      <c r="AH256" s="144"/>
      <c r="AI256" s="56">
        <v>0</v>
      </c>
      <c r="AJ256" s="144"/>
      <c r="AK256" s="56">
        <v>0</v>
      </c>
      <c r="AL256" s="144"/>
      <c r="AM256" s="56">
        <v>0</v>
      </c>
      <c r="AN256" s="81">
        <v>62748.232282880919</v>
      </c>
      <c r="AO256" s="106">
        <v>1</v>
      </c>
      <c r="AP256" s="122" t="s">
        <v>319</v>
      </c>
      <c r="AQ256" s="127">
        <v>0</v>
      </c>
      <c r="AR256" s="121">
        <v>0</v>
      </c>
      <c r="AS256" s="333" t="s">
        <v>356</v>
      </c>
      <c r="AT256" s="360">
        <v>18</v>
      </c>
    </row>
    <row r="257" spans="1:46" x14ac:dyDescent="0.3">
      <c r="A257" s="425" t="s">
        <v>115</v>
      </c>
      <c r="B257" s="274" t="s">
        <v>141</v>
      </c>
      <c r="C257" s="274" t="s">
        <v>342</v>
      </c>
      <c r="D257" s="281"/>
      <c r="E257" s="276">
        <v>0</v>
      </c>
      <c r="F257" s="281"/>
      <c r="G257" s="276">
        <v>0</v>
      </c>
      <c r="H257" s="281"/>
      <c r="I257" s="276">
        <v>0</v>
      </c>
      <c r="J257" s="281"/>
      <c r="K257" s="276">
        <v>0</v>
      </c>
      <c r="L257" s="281"/>
      <c r="M257" s="276">
        <v>0</v>
      </c>
      <c r="N257" s="281"/>
      <c r="O257" s="276">
        <v>0</v>
      </c>
      <c r="P257" s="281"/>
      <c r="Q257" s="276">
        <v>0</v>
      </c>
      <c r="R257" s="281"/>
      <c r="S257" s="276">
        <v>0</v>
      </c>
      <c r="T257" s="281"/>
      <c r="U257" s="276">
        <v>0</v>
      </c>
      <c r="V257" s="281"/>
      <c r="W257" s="276">
        <v>0</v>
      </c>
      <c r="X257" s="281"/>
      <c r="Y257" s="276">
        <v>0</v>
      </c>
      <c r="Z257" s="281"/>
      <c r="AA257" s="276">
        <v>0</v>
      </c>
      <c r="AB257" s="401"/>
      <c r="AC257" s="305">
        <v>0</v>
      </c>
      <c r="AD257" s="315"/>
      <c r="AE257" s="329">
        <v>0</v>
      </c>
      <c r="AF257" s="145"/>
      <c r="AG257" s="56">
        <v>0</v>
      </c>
      <c r="AH257" s="144"/>
      <c r="AI257" s="56">
        <v>0</v>
      </c>
      <c r="AJ257" s="144"/>
      <c r="AK257" s="56">
        <v>0</v>
      </c>
      <c r="AL257" s="144">
        <v>1</v>
      </c>
      <c r="AM257" s="56">
        <v>62748.232282880919</v>
      </c>
      <c r="AN257" s="81">
        <v>62748.232282880919</v>
      </c>
      <c r="AO257" s="106">
        <v>1</v>
      </c>
      <c r="AP257" s="122" t="s">
        <v>319</v>
      </c>
      <c r="AQ257" s="127">
        <v>0</v>
      </c>
      <c r="AR257" s="121">
        <v>0</v>
      </c>
      <c r="AS257" s="333" t="s">
        <v>356</v>
      </c>
      <c r="AT257" s="360">
        <v>18</v>
      </c>
    </row>
    <row r="258" spans="1:46" x14ac:dyDescent="0.3">
      <c r="A258" s="425" t="s">
        <v>34</v>
      </c>
      <c r="B258" s="274" t="s">
        <v>35</v>
      </c>
      <c r="C258" s="274" t="s">
        <v>342</v>
      </c>
      <c r="D258" s="281">
        <v>1</v>
      </c>
      <c r="E258" s="276">
        <v>18146.717863439797</v>
      </c>
      <c r="F258" s="281"/>
      <c r="G258" s="276">
        <v>0</v>
      </c>
      <c r="H258" s="281"/>
      <c r="I258" s="276">
        <v>0</v>
      </c>
      <c r="J258" s="281"/>
      <c r="K258" s="276">
        <v>0</v>
      </c>
      <c r="L258" s="281"/>
      <c r="M258" s="276">
        <v>0</v>
      </c>
      <c r="N258" s="281"/>
      <c r="O258" s="276">
        <v>0</v>
      </c>
      <c r="P258" s="281"/>
      <c r="Q258" s="276">
        <v>0</v>
      </c>
      <c r="R258" s="281"/>
      <c r="S258" s="276">
        <v>0</v>
      </c>
      <c r="T258" s="281"/>
      <c r="U258" s="276">
        <v>0</v>
      </c>
      <c r="V258" s="281"/>
      <c r="W258" s="276">
        <v>0</v>
      </c>
      <c r="X258" s="281"/>
      <c r="Y258" s="276">
        <v>0</v>
      </c>
      <c r="Z258" s="281"/>
      <c r="AA258" s="276">
        <v>0</v>
      </c>
      <c r="AB258" s="401"/>
      <c r="AC258" s="305">
        <v>0</v>
      </c>
      <c r="AD258" s="284"/>
      <c r="AE258" s="329">
        <v>0</v>
      </c>
      <c r="AF258" s="145"/>
      <c r="AG258" s="56">
        <v>0</v>
      </c>
      <c r="AH258" s="144"/>
      <c r="AI258" s="56">
        <v>0</v>
      </c>
      <c r="AJ258" s="144"/>
      <c r="AK258" s="56">
        <v>0</v>
      </c>
      <c r="AL258" s="144"/>
      <c r="AM258" s="56">
        <v>0</v>
      </c>
      <c r="AN258" s="81">
        <v>18146.717863439797</v>
      </c>
      <c r="AO258" s="106">
        <v>1</v>
      </c>
      <c r="AP258" s="122" t="s">
        <v>318</v>
      </c>
      <c r="AQ258" s="127">
        <v>1</v>
      </c>
      <c r="AR258" s="121">
        <v>18146.717863439797</v>
      </c>
      <c r="AS258" s="333" t="s">
        <v>356</v>
      </c>
      <c r="AT258" s="360">
        <v>18</v>
      </c>
    </row>
    <row r="259" spans="1:46" x14ac:dyDescent="0.3">
      <c r="A259" s="425" t="s">
        <v>32</v>
      </c>
      <c r="B259" s="274" t="s">
        <v>143</v>
      </c>
      <c r="C259" s="274" t="s">
        <v>342</v>
      </c>
      <c r="D259" s="281">
        <v>1</v>
      </c>
      <c r="E259" s="276">
        <v>18146.717863439797</v>
      </c>
      <c r="F259" s="281"/>
      <c r="G259" s="276">
        <v>0</v>
      </c>
      <c r="H259" s="281"/>
      <c r="I259" s="276">
        <v>0</v>
      </c>
      <c r="J259" s="281"/>
      <c r="K259" s="276">
        <v>0</v>
      </c>
      <c r="L259" s="281"/>
      <c r="M259" s="276">
        <v>0</v>
      </c>
      <c r="N259" s="281"/>
      <c r="O259" s="276">
        <v>0</v>
      </c>
      <c r="P259" s="281"/>
      <c r="Q259" s="276">
        <v>0</v>
      </c>
      <c r="R259" s="281"/>
      <c r="S259" s="276">
        <v>0</v>
      </c>
      <c r="T259" s="281"/>
      <c r="U259" s="276">
        <v>0</v>
      </c>
      <c r="V259" s="281"/>
      <c r="W259" s="276">
        <v>0</v>
      </c>
      <c r="X259" s="281"/>
      <c r="Y259" s="276">
        <v>0</v>
      </c>
      <c r="Z259" s="281"/>
      <c r="AA259" s="276">
        <v>0</v>
      </c>
      <c r="AB259" s="401"/>
      <c r="AC259" s="305">
        <v>0</v>
      </c>
      <c r="AD259" s="315"/>
      <c r="AE259" s="329">
        <v>0</v>
      </c>
      <c r="AF259" s="144"/>
      <c r="AG259" s="56">
        <v>0</v>
      </c>
      <c r="AH259" s="144"/>
      <c r="AI259" s="56">
        <v>0</v>
      </c>
      <c r="AJ259" s="144"/>
      <c r="AK259" s="56">
        <v>0</v>
      </c>
      <c r="AL259" s="144"/>
      <c r="AM259" s="56">
        <v>0</v>
      </c>
      <c r="AN259" s="81">
        <v>18146.717863439797</v>
      </c>
      <c r="AO259" s="106">
        <v>1</v>
      </c>
      <c r="AP259" s="122" t="s">
        <v>319</v>
      </c>
      <c r="AQ259" s="127">
        <v>0</v>
      </c>
      <c r="AR259" s="121">
        <v>0</v>
      </c>
      <c r="AS259" s="333" t="s">
        <v>356</v>
      </c>
      <c r="AT259" s="360">
        <v>18</v>
      </c>
    </row>
    <row r="260" spans="1:46" x14ac:dyDescent="0.3">
      <c r="A260" s="425" t="s">
        <v>38</v>
      </c>
      <c r="B260" s="274" t="s">
        <v>137</v>
      </c>
      <c r="C260" s="274" t="s">
        <v>342</v>
      </c>
      <c r="D260" s="281">
        <v>1</v>
      </c>
      <c r="E260" s="276">
        <v>56420.692787682223</v>
      </c>
      <c r="F260" s="281"/>
      <c r="G260" s="276">
        <v>0</v>
      </c>
      <c r="H260" s="281"/>
      <c r="I260" s="276">
        <v>0</v>
      </c>
      <c r="J260" s="281"/>
      <c r="K260" s="276">
        <v>0</v>
      </c>
      <c r="L260" s="281"/>
      <c r="M260" s="276">
        <v>0</v>
      </c>
      <c r="N260" s="281"/>
      <c r="O260" s="276">
        <v>0</v>
      </c>
      <c r="P260" s="281"/>
      <c r="Q260" s="276">
        <v>0</v>
      </c>
      <c r="R260" s="281"/>
      <c r="S260" s="276">
        <v>0</v>
      </c>
      <c r="T260" s="281"/>
      <c r="U260" s="276">
        <v>0</v>
      </c>
      <c r="V260" s="281"/>
      <c r="W260" s="276">
        <v>0</v>
      </c>
      <c r="X260" s="281"/>
      <c r="Y260" s="276">
        <v>0</v>
      </c>
      <c r="Z260" s="281"/>
      <c r="AA260" s="276">
        <v>0</v>
      </c>
      <c r="AB260" s="401"/>
      <c r="AC260" s="305">
        <v>0</v>
      </c>
      <c r="AD260" s="315"/>
      <c r="AE260" s="329">
        <v>0</v>
      </c>
      <c r="AF260" s="145"/>
      <c r="AG260" s="56">
        <v>0</v>
      </c>
      <c r="AH260" s="144"/>
      <c r="AI260" s="56">
        <v>0</v>
      </c>
      <c r="AJ260" s="144"/>
      <c r="AK260" s="56">
        <v>0</v>
      </c>
      <c r="AL260" s="144"/>
      <c r="AM260" s="56">
        <v>0</v>
      </c>
      <c r="AN260" s="81">
        <v>56420.692787682223</v>
      </c>
      <c r="AO260" s="106">
        <v>1</v>
      </c>
      <c r="AP260" s="122" t="s">
        <v>319</v>
      </c>
      <c r="AQ260" s="127">
        <v>0.2</v>
      </c>
      <c r="AR260" s="121">
        <v>11284.138557536446</v>
      </c>
      <c r="AS260" s="333" t="s">
        <v>356</v>
      </c>
      <c r="AT260" s="360">
        <v>18</v>
      </c>
    </row>
    <row r="261" spans="1:46" x14ac:dyDescent="0.3">
      <c r="A261" s="425" t="s">
        <v>42</v>
      </c>
      <c r="B261" s="274" t="s">
        <v>228</v>
      </c>
      <c r="C261" s="274" t="s">
        <v>344</v>
      </c>
      <c r="D261" s="281">
        <v>1</v>
      </c>
      <c r="E261" s="276">
        <v>31714.220952863223</v>
      </c>
      <c r="F261" s="281"/>
      <c r="G261" s="276">
        <v>0</v>
      </c>
      <c r="H261" s="281"/>
      <c r="I261" s="276">
        <v>0</v>
      </c>
      <c r="J261" s="281"/>
      <c r="K261" s="276">
        <v>0</v>
      </c>
      <c r="L261" s="281"/>
      <c r="M261" s="276">
        <v>0</v>
      </c>
      <c r="N261" s="281"/>
      <c r="O261" s="276">
        <v>0</v>
      </c>
      <c r="P261" s="281"/>
      <c r="Q261" s="276">
        <v>0</v>
      </c>
      <c r="R261" s="281"/>
      <c r="S261" s="276">
        <v>0</v>
      </c>
      <c r="T261" s="281"/>
      <c r="U261" s="276">
        <v>0</v>
      </c>
      <c r="V261" s="281"/>
      <c r="W261" s="276">
        <v>0</v>
      </c>
      <c r="X261" s="281"/>
      <c r="Y261" s="276">
        <v>0</v>
      </c>
      <c r="Z261" s="281"/>
      <c r="AA261" s="276">
        <v>0</v>
      </c>
      <c r="AB261" s="401"/>
      <c r="AC261" s="305">
        <v>0</v>
      </c>
      <c r="AD261" s="315"/>
      <c r="AE261" s="329">
        <v>0</v>
      </c>
      <c r="AF261" s="145"/>
      <c r="AG261" s="56">
        <v>0</v>
      </c>
      <c r="AH261" s="144"/>
      <c r="AI261" s="56">
        <v>0</v>
      </c>
      <c r="AJ261" s="144"/>
      <c r="AK261" s="56">
        <v>0</v>
      </c>
      <c r="AL261" s="144"/>
      <c r="AM261" s="56">
        <v>0</v>
      </c>
      <c r="AN261" s="81">
        <v>31714.220952863223</v>
      </c>
      <c r="AO261" s="106">
        <v>1</v>
      </c>
      <c r="AP261" s="122" t="s">
        <v>319</v>
      </c>
      <c r="AQ261" s="127">
        <v>0</v>
      </c>
      <c r="AR261" s="121">
        <v>0</v>
      </c>
      <c r="AS261" s="333" t="s">
        <v>356</v>
      </c>
      <c r="AT261" s="360">
        <v>18</v>
      </c>
    </row>
    <row r="262" spans="1:46" x14ac:dyDescent="0.3">
      <c r="A262" s="425" t="s">
        <v>44</v>
      </c>
      <c r="B262" s="274" t="s">
        <v>229</v>
      </c>
      <c r="C262" s="274" t="s">
        <v>344</v>
      </c>
      <c r="D262" s="281">
        <v>1</v>
      </c>
      <c r="E262" s="276">
        <v>31714.220952863223</v>
      </c>
      <c r="F262" s="281"/>
      <c r="G262" s="276">
        <v>0</v>
      </c>
      <c r="H262" s="281"/>
      <c r="I262" s="276">
        <v>0</v>
      </c>
      <c r="J262" s="281"/>
      <c r="K262" s="276">
        <v>0</v>
      </c>
      <c r="L262" s="281"/>
      <c r="M262" s="276">
        <v>0</v>
      </c>
      <c r="N262" s="281"/>
      <c r="O262" s="276">
        <v>0</v>
      </c>
      <c r="P262" s="281"/>
      <c r="Q262" s="276">
        <v>0</v>
      </c>
      <c r="R262" s="281"/>
      <c r="S262" s="276">
        <v>0</v>
      </c>
      <c r="T262" s="281"/>
      <c r="U262" s="276">
        <v>0</v>
      </c>
      <c r="V262" s="281"/>
      <c r="W262" s="276">
        <v>0</v>
      </c>
      <c r="X262" s="281"/>
      <c r="Y262" s="276">
        <v>0</v>
      </c>
      <c r="Z262" s="281"/>
      <c r="AA262" s="276">
        <v>0</v>
      </c>
      <c r="AB262" s="401"/>
      <c r="AC262" s="305">
        <v>0</v>
      </c>
      <c r="AD262" s="315"/>
      <c r="AE262" s="329">
        <v>0</v>
      </c>
      <c r="AF262" s="145"/>
      <c r="AG262" s="56">
        <v>0</v>
      </c>
      <c r="AH262" s="144"/>
      <c r="AI262" s="56">
        <v>0</v>
      </c>
      <c r="AJ262" s="144"/>
      <c r="AK262" s="56">
        <v>0</v>
      </c>
      <c r="AL262" s="144"/>
      <c r="AM262" s="56">
        <v>0</v>
      </c>
      <c r="AN262" s="81">
        <v>31714.220952863223</v>
      </c>
      <c r="AO262" s="106">
        <v>1</v>
      </c>
      <c r="AP262" s="122" t="s">
        <v>319</v>
      </c>
      <c r="AQ262" s="127">
        <v>0</v>
      </c>
      <c r="AR262" s="121">
        <v>0</v>
      </c>
      <c r="AS262" s="333" t="s">
        <v>356</v>
      </c>
      <c r="AT262" s="360">
        <v>18</v>
      </c>
    </row>
    <row r="263" spans="1:46" x14ac:dyDescent="0.3">
      <c r="A263" s="425" t="s">
        <v>29</v>
      </c>
      <c r="B263" s="274" t="s">
        <v>196</v>
      </c>
      <c r="C263" s="274" t="s">
        <v>344</v>
      </c>
      <c r="D263" s="281"/>
      <c r="E263" s="276">
        <v>0</v>
      </c>
      <c r="F263" s="281"/>
      <c r="G263" s="276">
        <v>0</v>
      </c>
      <c r="H263" s="281"/>
      <c r="I263" s="276">
        <v>0</v>
      </c>
      <c r="J263" s="281"/>
      <c r="K263" s="276">
        <v>0</v>
      </c>
      <c r="L263" s="281"/>
      <c r="M263" s="276">
        <v>0</v>
      </c>
      <c r="N263" s="281"/>
      <c r="O263" s="276">
        <v>0</v>
      </c>
      <c r="P263" s="281"/>
      <c r="Q263" s="276">
        <v>0</v>
      </c>
      <c r="R263" s="281"/>
      <c r="S263" s="276">
        <v>0</v>
      </c>
      <c r="T263" s="281"/>
      <c r="U263" s="276">
        <v>0</v>
      </c>
      <c r="V263" s="281"/>
      <c r="W263" s="276">
        <v>0</v>
      </c>
      <c r="X263" s="281"/>
      <c r="Y263" s="276">
        <v>0</v>
      </c>
      <c r="Z263" s="281"/>
      <c r="AA263" s="276">
        <v>0</v>
      </c>
      <c r="AB263" s="401"/>
      <c r="AC263" s="305">
        <v>0</v>
      </c>
      <c r="AD263" s="284"/>
      <c r="AE263" s="329">
        <v>0</v>
      </c>
      <c r="AF263" s="145"/>
      <c r="AG263" s="56">
        <v>0</v>
      </c>
      <c r="AH263" s="144"/>
      <c r="AI263" s="56">
        <v>0</v>
      </c>
      <c r="AJ263" s="144"/>
      <c r="AK263" s="56">
        <v>0</v>
      </c>
      <c r="AL263" s="144">
        <v>1</v>
      </c>
      <c r="AM263" s="56">
        <v>31881.451880098426</v>
      </c>
      <c r="AN263" s="81">
        <v>31881.451880098426</v>
      </c>
      <c r="AO263" s="106">
        <v>1</v>
      </c>
      <c r="AP263" s="122" t="s">
        <v>318</v>
      </c>
      <c r="AQ263" s="127">
        <v>1</v>
      </c>
      <c r="AR263" s="121">
        <v>31881.451880098426</v>
      </c>
      <c r="AS263" s="333" t="s">
        <v>356</v>
      </c>
      <c r="AT263" s="360">
        <v>18</v>
      </c>
    </row>
    <row r="264" spans="1:46" x14ac:dyDescent="0.3">
      <c r="A264" s="414" t="s">
        <v>421</v>
      </c>
      <c r="B264" s="96" t="s">
        <v>422</v>
      </c>
      <c r="C264" s="96" t="s">
        <v>423</v>
      </c>
      <c r="D264" s="181"/>
      <c r="E264" s="56"/>
      <c r="F264" s="181"/>
      <c r="G264" s="56"/>
      <c r="H264" s="181"/>
      <c r="I264" s="56"/>
      <c r="J264" s="181"/>
      <c r="K264" s="56"/>
      <c r="L264" s="181"/>
      <c r="M264" s="56"/>
      <c r="N264" s="181"/>
      <c r="O264" s="56"/>
      <c r="P264" s="181"/>
      <c r="Q264" s="56"/>
      <c r="R264" s="181"/>
      <c r="S264" s="56"/>
      <c r="T264" s="181"/>
      <c r="U264" s="56"/>
      <c r="V264" s="181"/>
      <c r="W264" s="56"/>
      <c r="X264" s="181"/>
      <c r="Y264" s="56"/>
      <c r="Z264" s="181"/>
      <c r="AA264" s="56"/>
      <c r="AB264" s="81"/>
      <c r="AC264" s="106"/>
      <c r="AD264" s="315"/>
      <c r="AE264" s="329"/>
      <c r="AF264" s="285"/>
      <c r="AG264" s="314"/>
      <c r="AI264" s="56"/>
      <c r="AJ264" s="144"/>
      <c r="AK264" s="56"/>
      <c r="AL264" s="181"/>
      <c r="AM264" s="56"/>
      <c r="AN264" s="81"/>
      <c r="AO264" s="106"/>
      <c r="AP264" s="104" t="s">
        <v>318</v>
      </c>
      <c r="AQ264" s="119"/>
      <c r="AR264" s="47"/>
      <c r="AS264" s="333" t="s">
        <v>356</v>
      </c>
      <c r="AT264" s="333">
        <v>18</v>
      </c>
    </row>
    <row r="265" spans="1:46" x14ac:dyDescent="0.3">
      <c r="A265" s="426" t="s">
        <v>13</v>
      </c>
      <c r="B265" s="279" t="s">
        <v>14</v>
      </c>
      <c r="C265" s="274" t="s">
        <v>343</v>
      </c>
      <c r="D265" s="281">
        <v>1</v>
      </c>
      <c r="E265" s="276">
        <v>20552.755657371155</v>
      </c>
      <c r="F265" s="280"/>
      <c r="G265" s="276">
        <v>0</v>
      </c>
      <c r="H265" s="280"/>
      <c r="I265" s="276">
        <v>0</v>
      </c>
      <c r="J265" s="280"/>
      <c r="K265" s="276">
        <v>0</v>
      </c>
      <c r="L265" s="280"/>
      <c r="M265" s="276">
        <v>0</v>
      </c>
      <c r="N265" s="280"/>
      <c r="O265" s="276">
        <v>0</v>
      </c>
      <c r="P265" s="280"/>
      <c r="Q265" s="276">
        <v>0</v>
      </c>
      <c r="R265" s="280"/>
      <c r="S265" s="276">
        <v>0</v>
      </c>
      <c r="T265" s="280"/>
      <c r="U265" s="276">
        <v>0</v>
      </c>
      <c r="V265" s="280"/>
      <c r="W265" s="276">
        <v>0</v>
      </c>
      <c r="X265" s="280"/>
      <c r="Y265" s="276">
        <v>0</v>
      </c>
      <c r="Z265" s="280"/>
      <c r="AA265" s="276">
        <v>0</v>
      </c>
      <c r="AB265" s="401"/>
      <c r="AC265" s="305">
        <v>0</v>
      </c>
      <c r="AD265" s="284"/>
      <c r="AE265" s="329">
        <v>0</v>
      </c>
      <c r="AF265" s="145"/>
      <c r="AG265" s="56">
        <v>0</v>
      </c>
      <c r="AH265" s="144"/>
      <c r="AI265" s="56">
        <v>0</v>
      </c>
      <c r="AJ265" s="144"/>
      <c r="AK265" s="56">
        <v>0</v>
      </c>
      <c r="AL265" s="144"/>
      <c r="AM265" s="56">
        <v>0</v>
      </c>
      <c r="AN265" s="81">
        <v>20552.755657371155</v>
      </c>
      <c r="AO265" s="106">
        <v>1</v>
      </c>
      <c r="AP265" s="122" t="s">
        <v>318</v>
      </c>
      <c r="AQ265" s="127">
        <v>1</v>
      </c>
      <c r="AR265" s="121">
        <v>20552.755657371155</v>
      </c>
      <c r="AS265" s="333" t="s">
        <v>357</v>
      </c>
      <c r="AT265" s="360">
        <v>18</v>
      </c>
    </row>
    <row r="266" spans="1:46" x14ac:dyDescent="0.3">
      <c r="A266" s="426">
        <v>890305</v>
      </c>
      <c r="B266" s="279" t="s">
        <v>123</v>
      </c>
      <c r="C266" s="274" t="s">
        <v>342</v>
      </c>
      <c r="D266" s="281">
        <v>1</v>
      </c>
      <c r="E266" s="276">
        <v>21014.396674037816</v>
      </c>
      <c r="F266" s="280"/>
      <c r="G266" s="276">
        <v>0</v>
      </c>
      <c r="H266" s="280"/>
      <c r="I266" s="276">
        <v>0</v>
      </c>
      <c r="J266" s="280"/>
      <c r="K266" s="276">
        <v>0</v>
      </c>
      <c r="L266" s="280"/>
      <c r="M266" s="276">
        <v>0</v>
      </c>
      <c r="N266" s="280"/>
      <c r="O266" s="276">
        <v>0</v>
      </c>
      <c r="P266" s="280"/>
      <c r="Q266" s="276">
        <v>0</v>
      </c>
      <c r="R266" s="280"/>
      <c r="S266" s="276">
        <v>0</v>
      </c>
      <c r="T266" s="280"/>
      <c r="U266" s="276">
        <v>0</v>
      </c>
      <c r="V266" s="280"/>
      <c r="W266" s="276">
        <v>0</v>
      </c>
      <c r="X266" s="280"/>
      <c r="Y266" s="276">
        <v>0</v>
      </c>
      <c r="Z266" s="280"/>
      <c r="AA266" s="276">
        <v>0</v>
      </c>
      <c r="AB266" s="401"/>
      <c r="AC266" s="305">
        <v>0</v>
      </c>
      <c r="AD266" s="284"/>
      <c r="AE266" s="329">
        <v>0</v>
      </c>
      <c r="AF266" s="145"/>
      <c r="AG266" s="56">
        <v>0</v>
      </c>
      <c r="AH266" s="144"/>
      <c r="AI266" s="56">
        <v>0</v>
      </c>
      <c r="AJ266" s="144"/>
      <c r="AK266" s="56">
        <v>0</v>
      </c>
      <c r="AL266" s="144"/>
      <c r="AM266" s="56">
        <v>0</v>
      </c>
      <c r="AN266" s="81">
        <v>21014.396674037816</v>
      </c>
      <c r="AO266" s="106">
        <v>1</v>
      </c>
      <c r="AP266" s="122" t="s">
        <v>318</v>
      </c>
      <c r="AQ266" s="127">
        <v>1</v>
      </c>
      <c r="AR266" s="121">
        <v>21014.396674037816</v>
      </c>
      <c r="AS266" s="333" t="s">
        <v>357</v>
      </c>
      <c r="AT266" s="360">
        <v>18</v>
      </c>
    </row>
    <row r="267" spans="1:46" x14ac:dyDescent="0.3">
      <c r="A267" s="426" t="s">
        <v>98</v>
      </c>
      <c r="B267" s="279" t="s">
        <v>99</v>
      </c>
      <c r="C267" s="274" t="s">
        <v>342</v>
      </c>
      <c r="D267" s="281">
        <v>1</v>
      </c>
      <c r="E267" s="276">
        <v>17887.388810409495</v>
      </c>
      <c r="F267" s="280"/>
      <c r="G267" s="276">
        <v>0</v>
      </c>
      <c r="H267" s="280"/>
      <c r="I267" s="276">
        <v>0</v>
      </c>
      <c r="J267" s="280"/>
      <c r="K267" s="276">
        <v>0</v>
      </c>
      <c r="L267" s="280"/>
      <c r="M267" s="276">
        <v>0</v>
      </c>
      <c r="N267" s="280"/>
      <c r="O267" s="276">
        <v>0</v>
      </c>
      <c r="P267" s="280"/>
      <c r="Q267" s="276">
        <v>0</v>
      </c>
      <c r="R267" s="280"/>
      <c r="S267" s="276">
        <v>0</v>
      </c>
      <c r="T267" s="280"/>
      <c r="U267" s="276">
        <v>0</v>
      </c>
      <c r="V267" s="280"/>
      <c r="W267" s="276">
        <v>0</v>
      </c>
      <c r="X267" s="280"/>
      <c r="Y267" s="276">
        <v>0</v>
      </c>
      <c r="Z267" s="280"/>
      <c r="AA267" s="276">
        <v>0</v>
      </c>
      <c r="AB267" s="401"/>
      <c r="AC267" s="305">
        <v>0</v>
      </c>
      <c r="AD267" s="284"/>
      <c r="AE267" s="329">
        <v>0</v>
      </c>
      <c r="AF267" s="145"/>
      <c r="AG267" s="56">
        <v>0</v>
      </c>
      <c r="AH267" s="144"/>
      <c r="AI267" s="56">
        <v>0</v>
      </c>
      <c r="AJ267" s="144"/>
      <c r="AK267" s="56">
        <v>0</v>
      </c>
      <c r="AL267" s="144"/>
      <c r="AM267" s="56">
        <v>0</v>
      </c>
      <c r="AN267" s="81">
        <v>17887.388810409495</v>
      </c>
      <c r="AO267" s="106">
        <v>1</v>
      </c>
      <c r="AP267" s="122" t="s">
        <v>318</v>
      </c>
      <c r="AQ267" s="127">
        <v>1</v>
      </c>
      <c r="AR267" s="121">
        <v>17887.388810409495</v>
      </c>
      <c r="AS267" s="333" t="s">
        <v>357</v>
      </c>
      <c r="AT267" s="360">
        <v>18</v>
      </c>
    </row>
    <row r="268" spans="1:46" x14ac:dyDescent="0.3">
      <c r="A268" s="426" t="s">
        <v>104</v>
      </c>
      <c r="B268" s="274" t="s">
        <v>105</v>
      </c>
      <c r="C268" s="274" t="s">
        <v>342</v>
      </c>
      <c r="D268" s="281"/>
      <c r="E268" s="276">
        <v>0</v>
      </c>
      <c r="F268" s="280"/>
      <c r="G268" s="276">
        <v>0</v>
      </c>
      <c r="H268" s="280"/>
      <c r="I268" s="276">
        <v>0</v>
      </c>
      <c r="J268" s="280"/>
      <c r="K268" s="276">
        <v>0</v>
      </c>
      <c r="L268" s="280"/>
      <c r="M268" s="276">
        <v>0</v>
      </c>
      <c r="N268" s="281"/>
      <c r="O268" s="276">
        <v>0</v>
      </c>
      <c r="P268" s="280"/>
      <c r="Q268" s="276">
        <v>0</v>
      </c>
      <c r="R268" s="280"/>
      <c r="S268" s="276">
        <v>0</v>
      </c>
      <c r="T268" s="280"/>
      <c r="U268" s="276">
        <v>0</v>
      </c>
      <c r="V268" s="280"/>
      <c r="W268" s="276">
        <v>0</v>
      </c>
      <c r="X268" s="280"/>
      <c r="Y268" s="276">
        <v>0</v>
      </c>
      <c r="Z268" s="287"/>
      <c r="AA268" s="276">
        <v>0</v>
      </c>
      <c r="AB268" s="401"/>
      <c r="AC268" s="305">
        <v>0</v>
      </c>
      <c r="AD268" s="315"/>
      <c r="AE268" s="329">
        <v>0</v>
      </c>
      <c r="AF268" s="144"/>
      <c r="AG268" s="56">
        <v>0</v>
      </c>
      <c r="AH268" s="144"/>
      <c r="AI268" s="56">
        <v>0</v>
      </c>
      <c r="AJ268" s="144"/>
      <c r="AK268" s="56">
        <v>0</v>
      </c>
      <c r="AL268" s="144">
        <v>1</v>
      </c>
      <c r="AM268" s="56">
        <v>17887.388810409495</v>
      </c>
      <c r="AN268" s="81">
        <v>17887.388810409495</v>
      </c>
      <c r="AO268" s="106">
        <v>1</v>
      </c>
      <c r="AP268" s="122" t="s">
        <v>319</v>
      </c>
      <c r="AQ268" s="127">
        <v>1</v>
      </c>
      <c r="AR268" s="121">
        <v>17887.388810409495</v>
      </c>
      <c r="AS268" s="333" t="s">
        <v>357</v>
      </c>
      <c r="AT268" s="360">
        <v>18</v>
      </c>
    </row>
    <row r="269" spans="1:46" x14ac:dyDescent="0.3">
      <c r="A269" s="426" t="s">
        <v>3</v>
      </c>
      <c r="B269" s="279" t="s">
        <v>4</v>
      </c>
      <c r="C269" s="274" t="s">
        <v>342</v>
      </c>
      <c r="D269" s="281">
        <v>1</v>
      </c>
      <c r="E269" s="276">
        <v>20406.13276336317</v>
      </c>
      <c r="F269" s="280"/>
      <c r="G269" s="276">
        <v>0</v>
      </c>
      <c r="H269" s="280"/>
      <c r="I269" s="276">
        <v>0</v>
      </c>
      <c r="J269" s="280"/>
      <c r="K269" s="276">
        <v>0</v>
      </c>
      <c r="L269" s="280"/>
      <c r="M269" s="276">
        <v>0</v>
      </c>
      <c r="N269" s="280"/>
      <c r="O269" s="276">
        <v>0</v>
      </c>
      <c r="P269" s="280"/>
      <c r="Q269" s="276">
        <v>0</v>
      </c>
      <c r="R269" s="280"/>
      <c r="S269" s="276">
        <v>0</v>
      </c>
      <c r="T269" s="280"/>
      <c r="U269" s="276">
        <v>0</v>
      </c>
      <c r="V269" s="280"/>
      <c r="W269" s="276">
        <v>0</v>
      </c>
      <c r="X269" s="280"/>
      <c r="Y269" s="276">
        <v>0</v>
      </c>
      <c r="Z269" s="280"/>
      <c r="AA269" s="276">
        <v>0</v>
      </c>
      <c r="AB269" s="401"/>
      <c r="AC269" s="305">
        <v>0</v>
      </c>
      <c r="AD269" s="284"/>
      <c r="AE269" s="329">
        <v>0</v>
      </c>
      <c r="AF269" s="145"/>
      <c r="AG269" s="56">
        <v>0</v>
      </c>
      <c r="AH269" s="144"/>
      <c r="AI269" s="56">
        <v>0</v>
      </c>
      <c r="AJ269" s="144"/>
      <c r="AK269" s="56">
        <v>0</v>
      </c>
      <c r="AL269" s="144"/>
      <c r="AM269" s="56">
        <v>0</v>
      </c>
      <c r="AN269" s="81">
        <v>20406.13276336317</v>
      </c>
      <c r="AO269" s="106">
        <v>1</v>
      </c>
      <c r="AP269" s="122" t="s">
        <v>318</v>
      </c>
      <c r="AQ269" s="127">
        <v>1</v>
      </c>
      <c r="AR269" s="121">
        <v>20406.13276336317</v>
      </c>
      <c r="AS269" s="333" t="s">
        <v>357</v>
      </c>
      <c r="AT269" s="360">
        <v>18</v>
      </c>
    </row>
    <row r="270" spans="1:46" x14ac:dyDescent="0.3">
      <c r="A270" s="426" t="s">
        <v>15</v>
      </c>
      <c r="B270" s="279" t="s">
        <v>16</v>
      </c>
      <c r="C270" s="274" t="s">
        <v>342</v>
      </c>
      <c r="D270" s="280"/>
      <c r="E270" s="276">
        <v>0</v>
      </c>
      <c r="F270" s="280"/>
      <c r="G270" s="276">
        <v>0</v>
      </c>
      <c r="H270" s="280"/>
      <c r="I270" s="276">
        <v>0</v>
      </c>
      <c r="J270" s="280"/>
      <c r="K270" s="276">
        <v>0</v>
      </c>
      <c r="L270" s="280"/>
      <c r="M270" s="276">
        <v>0</v>
      </c>
      <c r="N270" s="281">
        <v>1</v>
      </c>
      <c r="O270" s="276">
        <v>22052.520800552971</v>
      </c>
      <c r="P270" s="280"/>
      <c r="Q270" s="276">
        <v>0</v>
      </c>
      <c r="R270" s="280"/>
      <c r="S270" s="276">
        <v>0</v>
      </c>
      <c r="T270" s="280"/>
      <c r="U270" s="276">
        <v>0</v>
      </c>
      <c r="V270" s="280"/>
      <c r="W270" s="276">
        <v>0</v>
      </c>
      <c r="X270" s="280"/>
      <c r="Y270" s="276">
        <v>0</v>
      </c>
      <c r="Z270" s="281"/>
      <c r="AA270" s="276">
        <v>0</v>
      </c>
      <c r="AB270" s="401"/>
      <c r="AC270" s="305">
        <v>0</v>
      </c>
      <c r="AD270" s="284"/>
      <c r="AE270" s="329">
        <v>0</v>
      </c>
      <c r="AF270" s="145"/>
      <c r="AG270" s="56">
        <v>0</v>
      </c>
      <c r="AH270" s="144"/>
      <c r="AI270" s="56">
        <v>0</v>
      </c>
      <c r="AJ270" s="144"/>
      <c r="AK270" s="56">
        <v>0</v>
      </c>
      <c r="AL270" s="144">
        <v>1</v>
      </c>
      <c r="AM270" s="56">
        <v>22052.520800552971</v>
      </c>
      <c r="AN270" s="81">
        <v>44105.041601105942</v>
      </c>
      <c r="AO270" s="106">
        <v>2</v>
      </c>
      <c r="AP270" s="122" t="s">
        <v>318</v>
      </c>
      <c r="AQ270" s="127">
        <v>1</v>
      </c>
      <c r="AR270" s="121">
        <v>44105.041601105942</v>
      </c>
      <c r="AS270" s="333" t="s">
        <v>357</v>
      </c>
      <c r="AT270" s="360">
        <v>18</v>
      </c>
    </row>
    <row r="271" spans="1:46" x14ac:dyDescent="0.3">
      <c r="A271" s="426" t="s">
        <v>5</v>
      </c>
      <c r="B271" s="279" t="s">
        <v>6</v>
      </c>
      <c r="C271" s="274" t="s">
        <v>342</v>
      </c>
      <c r="D271" s="281">
        <v>1</v>
      </c>
      <c r="E271" s="276">
        <v>18768.367820181349</v>
      </c>
      <c r="F271" s="280"/>
      <c r="G271" s="276">
        <v>0</v>
      </c>
      <c r="H271" s="280"/>
      <c r="I271" s="276">
        <v>0</v>
      </c>
      <c r="J271" s="280"/>
      <c r="K271" s="276">
        <v>0</v>
      </c>
      <c r="L271" s="280"/>
      <c r="M271" s="276">
        <v>0</v>
      </c>
      <c r="N271" s="280"/>
      <c r="O271" s="276">
        <v>0</v>
      </c>
      <c r="P271" s="280"/>
      <c r="Q271" s="276">
        <v>0</v>
      </c>
      <c r="R271" s="280"/>
      <c r="S271" s="276">
        <v>0</v>
      </c>
      <c r="T271" s="280"/>
      <c r="U271" s="276">
        <v>0</v>
      </c>
      <c r="V271" s="280"/>
      <c r="W271" s="276">
        <v>0</v>
      </c>
      <c r="X271" s="280"/>
      <c r="Y271" s="276">
        <v>0</v>
      </c>
      <c r="Z271" s="280"/>
      <c r="AA271" s="276">
        <v>0</v>
      </c>
      <c r="AB271" s="401"/>
      <c r="AC271" s="305">
        <v>0</v>
      </c>
      <c r="AD271" s="284"/>
      <c r="AE271" s="329">
        <v>0</v>
      </c>
      <c r="AF271" s="144"/>
      <c r="AG271" s="56">
        <v>0</v>
      </c>
      <c r="AH271" s="144"/>
      <c r="AI271" s="56">
        <v>0</v>
      </c>
      <c r="AJ271" s="144"/>
      <c r="AK271" s="56">
        <v>0</v>
      </c>
      <c r="AL271" s="144"/>
      <c r="AM271" s="56">
        <v>0</v>
      </c>
      <c r="AN271" s="81">
        <v>18768.367820181349</v>
      </c>
      <c r="AO271" s="106">
        <v>1</v>
      </c>
      <c r="AP271" s="122" t="s">
        <v>318</v>
      </c>
      <c r="AQ271" s="127">
        <v>1</v>
      </c>
      <c r="AR271" s="121">
        <v>18768.367820181349</v>
      </c>
      <c r="AS271" s="333" t="s">
        <v>357</v>
      </c>
      <c r="AT271" s="360">
        <v>18</v>
      </c>
    </row>
    <row r="272" spans="1:46" x14ac:dyDescent="0.3">
      <c r="A272" s="427" t="s">
        <v>17</v>
      </c>
      <c r="B272" s="321" t="s">
        <v>18</v>
      </c>
      <c r="C272" s="274" t="s">
        <v>342</v>
      </c>
      <c r="D272" s="322"/>
      <c r="E272" s="276">
        <v>0</v>
      </c>
      <c r="F272" s="322"/>
      <c r="G272" s="276">
        <v>0</v>
      </c>
      <c r="H272" s="322"/>
      <c r="I272" s="276">
        <v>0</v>
      </c>
      <c r="J272" s="322"/>
      <c r="K272" s="276">
        <v>0</v>
      </c>
      <c r="L272" s="322"/>
      <c r="M272" s="276">
        <v>0</v>
      </c>
      <c r="N272" s="281">
        <v>1</v>
      </c>
      <c r="O272" s="276">
        <v>20414.75585737115</v>
      </c>
      <c r="P272" s="322"/>
      <c r="Q272" s="276">
        <v>0</v>
      </c>
      <c r="R272" s="322"/>
      <c r="S272" s="276">
        <v>0</v>
      </c>
      <c r="T272" s="322"/>
      <c r="U272" s="276">
        <v>0</v>
      </c>
      <c r="V272" s="322"/>
      <c r="W272" s="276">
        <v>0</v>
      </c>
      <c r="X272" s="322"/>
      <c r="Y272" s="276">
        <v>0</v>
      </c>
      <c r="Z272" s="281"/>
      <c r="AA272" s="276">
        <v>0</v>
      </c>
      <c r="AB272" s="401"/>
      <c r="AC272" s="305">
        <v>0</v>
      </c>
      <c r="AD272" s="284"/>
      <c r="AE272" s="329">
        <v>0</v>
      </c>
      <c r="AF272" s="144"/>
      <c r="AG272" s="56">
        <v>0</v>
      </c>
      <c r="AH272" s="144"/>
      <c r="AI272" s="56">
        <v>0</v>
      </c>
      <c r="AJ272" s="144"/>
      <c r="AK272" s="56">
        <v>0</v>
      </c>
      <c r="AL272" s="144">
        <v>1</v>
      </c>
      <c r="AM272" s="56">
        <v>20414.75585737115</v>
      </c>
      <c r="AN272" s="81">
        <v>40829.511714742301</v>
      </c>
      <c r="AO272" s="106">
        <v>2</v>
      </c>
      <c r="AP272" s="179" t="s">
        <v>318</v>
      </c>
      <c r="AQ272" s="127">
        <v>1</v>
      </c>
      <c r="AR272" s="121">
        <v>40829.511714742301</v>
      </c>
      <c r="AS272" s="333" t="s">
        <v>357</v>
      </c>
      <c r="AT272" s="360">
        <v>18</v>
      </c>
    </row>
    <row r="273" spans="1:46" x14ac:dyDescent="0.3">
      <c r="A273" s="426" t="s">
        <v>74</v>
      </c>
      <c r="B273" s="279" t="s">
        <v>75</v>
      </c>
      <c r="C273" s="274" t="s">
        <v>342</v>
      </c>
      <c r="D273" s="281">
        <v>1</v>
      </c>
      <c r="E273" s="276">
        <v>21404.190244376427</v>
      </c>
      <c r="F273" s="280"/>
      <c r="G273" s="276">
        <v>0</v>
      </c>
      <c r="H273" s="280"/>
      <c r="I273" s="276">
        <v>0</v>
      </c>
      <c r="J273" s="280"/>
      <c r="K273" s="276">
        <v>0</v>
      </c>
      <c r="L273" s="280"/>
      <c r="M273" s="276">
        <v>0</v>
      </c>
      <c r="N273" s="280"/>
      <c r="O273" s="276">
        <v>0</v>
      </c>
      <c r="P273" s="280"/>
      <c r="Q273" s="276">
        <v>0</v>
      </c>
      <c r="R273" s="280"/>
      <c r="S273" s="276">
        <v>0</v>
      </c>
      <c r="T273" s="280"/>
      <c r="U273" s="276">
        <v>0</v>
      </c>
      <c r="V273" s="280"/>
      <c r="W273" s="276">
        <v>0</v>
      </c>
      <c r="X273" s="280"/>
      <c r="Y273" s="276">
        <v>0</v>
      </c>
      <c r="Z273" s="280"/>
      <c r="AA273" s="276">
        <v>0</v>
      </c>
      <c r="AB273" s="401"/>
      <c r="AC273" s="305">
        <v>0</v>
      </c>
      <c r="AD273" s="315"/>
      <c r="AE273" s="329">
        <v>0</v>
      </c>
      <c r="AF273" s="144"/>
      <c r="AG273" s="56">
        <v>0</v>
      </c>
      <c r="AH273" s="144"/>
      <c r="AI273" s="56">
        <v>0</v>
      </c>
      <c r="AJ273" s="144"/>
      <c r="AK273" s="56">
        <v>0</v>
      </c>
      <c r="AL273" s="144"/>
      <c r="AM273" s="56">
        <v>0</v>
      </c>
      <c r="AN273" s="81">
        <v>21404.190244376427</v>
      </c>
      <c r="AO273" s="106">
        <v>1</v>
      </c>
      <c r="AP273" s="179" t="s">
        <v>319</v>
      </c>
      <c r="AQ273" s="127">
        <v>0</v>
      </c>
      <c r="AR273" s="121">
        <v>0</v>
      </c>
      <c r="AS273" s="333" t="s">
        <v>357</v>
      </c>
      <c r="AT273" s="360">
        <v>18</v>
      </c>
    </row>
    <row r="274" spans="1:46" x14ac:dyDescent="0.3">
      <c r="A274" s="426" t="s">
        <v>76</v>
      </c>
      <c r="B274" s="274" t="s">
        <v>77</v>
      </c>
      <c r="C274" s="274" t="s">
        <v>342</v>
      </c>
      <c r="D274" s="280"/>
      <c r="E274" s="276">
        <v>0</v>
      </c>
      <c r="F274" s="280"/>
      <c r="G274" s="276">
        <v>0</v>
      </c>
      <c r="H274" s="280"/>
      <c r="I274" s="276">
        <v>0</v>
      </c>
      <c r="J274" s="280"/>
      <c r="K274" s="276">
        <v>0</v>
      </c>
      <c r="L274" s="280"/>
      <c r="M274" s="276">
        <v>0</v>
      </c>
      <c r="N274" s="280"/>
      <c r="O274" s="276">
        <v>0</v>
      </c>
      <c r="P274" s="280"/>
      <c r="Q274" s="276">
        <v>0</v>
      </c>
      <c r="R274" s="280"/>
      <c r="S274" s="276">
        <v>0</v>
      </c>
      <c r="T274" s="280"/>
      <c r="U274" s="276">
        <v>0</v>
      </c>
      <c r="V274" s="280"/>
      <c r="W274" s="276">
        <v>0</v>
      </c>
      <c r="X274" s="280"/>
      <c r="Y274" s="276">
        <v>0</v>
      </c>
      <c r="Z274" s="281"/>
      <c r="AA274" s="276">
        <v>0</v>
      </c>
      <c r="AB274" s="401"/>
      <c r="AC274" s="305">
        <v>0</v>
      </c>
      <c r="AD274" s="315"/>
      <c r="AE274" s="329">
        <v>0</v>
      </c>
      <c r="AF274" s="145"/>
      <c r="AG274" s="56">
        <v>0</v>
      </c>
      <c r="AH274" s="144"/>
      <c r="AI274" s="56">
        <v>0</v>
      </c>
      <c r="AJ274" s="144"/>
      <c r="AK274" s="56">
        <v>0</v>
      </c>
      <c r="AL274" s="144">
        <v>1</v>
      </c>
      <c r="AM274" s="56">
        <v>21014.396674037816</v>
      </c>
      <c r="AN274" s="81">
        <v>21014.396674037816</v>
      </c>
      <c r="AO274" s="106">
        <v>1</v>
      </c>
      <c r="AP274" s="122" t="s">
        <v>319</v>
      </c>
      <c r="AQ274" s="127">
        <v>0</v>
      </c>
      <c r="AR274" s="121">
        <v>0</v>
      </c>
      <c r="AS274" s="333" t="s">
        <v>357</v>
      </c>
      <c r="AT274" s="360">
        <v>18</v>
      </c>
    </row>
    <row r="275" spans="1:46" x14ac:dyDescent="0.3">
      <c r="A275" s="426" t="s">
        <v>40</v>
      </c>
      <c r="B275" s="279" t="s">
        <v>41</v>
      </c>
      <c r="C275" s="274" t="s">
        <v>343</v>
      </c>
      <c r="D275" s="281">
        <v>1</v>
      </c>
      <c r="E275" s="276">
        <v>15634.853025719462</v>
      </c>
      <c r="F275" s="281">
        <v>1</v>
      </c>
      <c r="G275" s="276">
        <v>15634.853025719462</v>
      </c>
      <c r="H275" s="281">
        <v>1</v>
      </c>
      <c r="I275" s="276">
        <v>15634.853025719462</v>
      </c>
      <c r="J275" s="281">
        <v>1</v>
      </c>
      <c r="K275" s="276">
        <v>15634.853025719462</v>
      </c>
      <c r="L275" s="281">
        <v>1</v>
      </c>
      <c r="M275" s="276">
        <v>15634.853025719462</v>
      </c>
      <c r="N275" s="281">
        <v>1</v>
      </c>
      <c r="O275" s="276">
        <v>15634.853025719462</v>
      </c>
      <c r="P275" s="281">
        <v>1</v>
      </c>
      <c r="Q275" s="276">
        <v>15634.853025719462</v>
      </c>
      <c r="R275" s="281">
        <v>1</v>
      </c>
      <c r="S275" s="276">
        <v>15634.853025719462</v>
      </c>
      <c r="T275" s="281">
        <v>1</v>
      </c>
      <c r="U275" s="276">
        <v>15634.853025719462</v>
      </c>
      <c r="V275" s="281">
        <v>1</v>
      </c>
      <c r="W275" s="276">
        <v>15634.853025719462</v>
      </c>
      <c r="X275" s="281">
        <v>1</v>
      </c>
      <c r="Y275" s="276">
        <v>15634.853025719462</v>
      </c>
      <c r="Z275" s="281">
        <v>1</v>
      </c>
      <c r="AA275" s="276">
        <v>15634.853025719462</v>
      </c>
      <c r="AB275" s="401">
        <v>1</v>
      </c>
      <c r="AC275" s="305">
        <v>15634.853025719462</v>
      </c>
      <c r="AD275" s="284">
        <v>1</v>
      </c>
      <c r="AE275" s="329">
        <v>15634.853025719462</v>
      </c>
      <c r="AF275" s="144">
        <v>1</v>
      </c>
      <c r="AG275" s="56">
        <v>15634.853025719462</v>
      </c>
      <c r="AH275" s="144">
        <v>1</v>
      </c>
      <c r="AI275" s="56">
        <v>15634.853025719462</v>
      </c>
      <c r="AJ275" s="144">
        <v>1</v>
      </c>
      <c r="AK275" s="56">
        <v>15634.853025719462</v>
      </c>
      <c r="AL275" s="144">
        <v>1</v>
      </c>
      <c r="AM275" s="56">
        <v>15634.853025719462</v>
      </c>
      <c r="AN275" s="81">
        <v>281427.35446295032</v>
      </c>
      <c r="AO275" s="106">
        <v>18</v>
      </c>
      <c r="AP275" s="122" t="s">
        <v>318</v>
      </c>
      <c r="AQ275" s="127">
        <v>1</v>
      </c>
      <c r="AR275" s="121">
        <v>281427.35446295032</v>
      </c>
      <c r="AS275" s="333" t="s">
        <v>357</v>
      </c>
      <c r="AT275" s="360">
        <v>18</v>
      </c>
    </row>
    <row r="276" spans="1:46" x14ac:dyDescent="0.3">
      <c r="A276" s="426" t="s">
        <v>11</v>
      </c>
      <c r="B276" s="279" t="s">
        <v>12</v>
      </c>
      <c r="C276" s="274" t="s">
        <v>345</v>
      </c>
      <c r="D276" s="281">
        <v>1</v>
      </c>
      <c r="E276" s="276">
        <v>10832.305638431757</v>
      </c>
      <c r="F276" s="281">
        <v>1</v>
      </c>
      <c r="G276" s="276">
        <v>10832.305638431757</v>
      </c>
      <c r="H276" s="281">
        <v>1</v>
      </c>
      <c r="I276" s="276">
        <v>10832.305638431757</v>
      </c>
      <c r="J276" s="281">
        <v>1</v>
      </c>
      <c r="K276" s="276">
        <v>10832.305638431757</v>
      </c>
      <c r="L276" s="281">
        <v>1</v>
      </c>
      <c r="M276" s="276">
        <v>10832.305638431757</v>
      </c>
      <c r="N276" s="281">
        <v>1</v>
      </c>
      <c r="O276" s="276">
        <v>10832.305638431757</v>
      </c>
      <c r="P276" s="281">
        <v>1</v>
      </c>
      <c r="Q276" s="276">
        <v>10832.305638431757</v>
      </c>
      <c r="R276" s="281">
        <v>1</v>
      </c>
      <c r="S276" s="276">
        <v>10832.305638431757</v>
      </c>
      <c r="T276" s="281">
        <v>1</v>
      </c>
      <c r="U276" s="276">
        <v>10832.305638431757</v>
      </c>
      <c r="V276" s="281">
        <v>1</v>
      </c>
      <c r="W276" s="276">
        <v>10832.305638431757</v>
      </c>
      <c r="X276" s="281">
        <v>1</v>
      </c>
      <c r="Y276" s="276">
        <v>10832.305638431757</v>
      </c>
      <c r="Z276" s="281">
        <v>1</v>
      </c>
      <c r="AA276" s="276">
        <v>10832.305638431757</v>
      </c>
      <c r="AB276" s="401">
        <v>1</v>
      </c>
      <c r="AC276" s="305">
        <v>10832.305638431757</v>
      </c>
      <c r="AD276" s="284">
        <v>1</v>
      </c>
      <c r="AE276" s="329">
        <v>10832.305638431757</v>
      </c>
      <c r="AF276" s="144">
        <v>1</v>
      </c>
      <c r="AG276" s="56">
        <v>10832.305638431757</v>
      </c>
      <c r="AH276" s="144">
        <v>1</v>
      </c>
      <c r="AI276" s="56">
        <v>10832.305638431757</v>
      </c>
      <c r="AJ276" s="144">
        <v>1</v>
      </c>
      <c r="AK276" s="56">
        <v>10832.305638431757</v>
      </c>
      <c r="AL276" s="144">
        <v>1</v>
      </c>
      <c r="AM276" s="56">
        <v>10832.305638431757</v>
      </c>
      <c r="AN276" s="81">
        <v>194981.5014917716</v>
      </c>
      <c r="AO276" s="106">
        <v>18</v>
      </c>
      <c r="AP276" s="122" t="s">
        <v>318</v>
      </c>
      <c r="AQ276" s="127">
        <v>1</v>
      </c>
      <c r="AR276" s="121">
        <v>194981.5014917716</v>
      </c>
      <c r="AS276" s="333" t="s">
        <v>357</v>
      </c>
      <c r="AT276" s="360">
        <v>18</v>
      </c>
    </row>
    <row r="277" spans="1:46" x14ac:dyDescent="0.3">
      <c r="A277" s="426" t="s">
        <v>38</v>
      </c>
      <c r="B277" s="279" t="s">
        <v>137</v>
      </c>
      <c r="C277" s="274" t="s">
        <v>342</v>
      </c>
      <c r="D277" s="281">
        <v>1</v>
      </c>
      <c r="E277" s="276">
        <v>56420.692787682223</v>
      </c>
      <c r="F277" s="281"/>
      <c r="G277" s="276">
        <v>0</v>
      </c>
      <c r="H277" s="281"/>
      <c r="I277" s="276">
        <v>0</v>
      </c>
      <c r="J277" s="281"/>
      <c r="K277" s="276">
        <v>0</v>
      </c>
      <c r="L277" s="281"/>
      <c r="M277" s="276">
        <v>0</v>
      </c>
      <c r="N277" s="281"/>
      <c r="O277" s="276">
        <v>0</v>
      </c>
      <c r="P277" s="281"/>
      <c r="Q277" s="276">
        <v>0</v>
      </c>
      <c r="R277" s="281"/>
      <c r="S277" s="276">
        <v>0</v>
      </c>
      <c r="T277" s="281"/>
      <c r="U277" s="276">
        <v>0</v>
      </c>
      <c r="V277" s="281"/>
      <c r="W277" s="276">
        <v>0</v>
      </c>
      <c r="X277" s="281"/>
      <c r="Y277" s="276">
        <v>0</v>
      </c>
      <c r="Z277" s="281"/>
      <c r="AA277" s="276">
        <v>0</v>
      </c>
      <c r="AB277" s="401"/>
      <c r="AC277" s="305">
        <v>0</v>
      </c>
      <c r="AD277" s="315"/>
      <c r="AE277" s="329">
        <v>0</v>
      </c>
      <c r="AF277" s="145"/>
      <c r="AG277" s="56">
        <v>0</v>
      </c>
      <c r="AH277" s="144"/>
      <c r="AI277" s="56">
        <v>0</v>
      </c>
      <c r="AJ277" s="144"/>
      <c r="AK277" s="56">
        <v>0</v>
      </c>
      <c r="AL277" s="144"/>
      <c r="AM277" s="56">
        <v>0</v>
      </c>
      <c r="AN277" s="81">
        <v>56420.692787682223</v>
      </c>
      <c r="AO277" s="106">
        <v>1</v>
      </c>
      <c r="AP277" s="122" t="s">
        <v>319</v>
      </c>
      <c r="AQ277" s="127">
        <v>6.8965517241379309E-2</v>
      </c>
      <c r="AR277" s="121">
        <v>3891.0822612194638</v>
      </c>
      <c r="AS277" s="333" t="s">
        <v>357</v>
      </c>
      <c r="AT277" s="360">
        <v>18</v>
      </c>
    </row>
    <row r="278" spans="1:46" x14ac:dyDescent="0.3">
      <c r="A278" s="426" t="s">
        <v>34</v>
      </c>
      <c r="B278" s="274" t="s">
        <v>35</v>
      </c>
      <c r="C278" s="274" t="s">
        <v>342</v>
      </c>
      <c r="D278" s="281">
        <v>1</v>
      </c>
      <c r="E278" s="276">
        <v>18146.717863439797</v>
      </c>
      <c r="F278" s="280"/>
      <c r="G278" s="276">
        <v>0</v>
      </c>
      <c r="H278" s="280"/>
      <c r="I278" s="276">
        <v>0</v>
      </c>
      <c r="J278" s="280"/>
      <c r="K278" s="276">
        <v>0</v>
      </c>
      <c r="L278" s="280"/>
      <c r="M278" s="276">
        <v>0</v>
      </c>
      <c r="N278" s="280"/>
      <c r="O278" s="276">
        <v>0</v>
      </c>
      <c r="P278" s="280"/>
      <c r="Q278" s="276">
        <v>0</v>
      </c>
      <c r="R278" s="280"/>
      <c r="S278" s="276">
        <v>0</v>
      </c>
      <c r="T278" s="280"/>
      <c r="U278" s="276">
        <v>0</v>
      </c>
      <c r="V278" s="280"/>
      <c r="W278" s="276">
        <v>0</v>
      </c>
      <c r="X278" s="280"/>
      <c r="Y278" s="276">
        <v>0</v>
      </c>
      <c r="Z278" s="280"/>
      <c r="AA278" s="276">
        <v>0</v>
      </c>
      <c r="AB278" s="401"/>
      <c r="AC278" s="305">
        <v>0</v>
      </c>
      <c r="AD278" s="315"/>
      <c r="AE278" s="329">
        <v>0</v>
      </c>
      <c r="AF278" s="145"/>
      <c r="AG278" s="56">
        <v>0</v>
      </c>
      <c r="AH278" s="144"/>
      <c r="AI278" s="56">
        <v>0</v>
      </c>
      <c r="AJ278" s="144"/>
      <c r="AK278" s="56">
        <v>0</v>
      </c>
      <c r="AL278" s="144"/>
      <c r="AM278" s="56">
        <v>0</v>
      </c>
      <c r="AN278" s="81">
        <v>18146.717863439797</v>
      </c>
      <c r="AO278" s="106">
        <v>1</v>
      </c>
      <c r="AP278" s="122" t="s">
        <v>319</v>
      </c>
      <c r="AQ278" s="127">
        <v>0</v>
      </c>
      <c r="AR278" s="121">
        <v>0</v>
      </c>
      <c r="AS278" s="333" t="s">
        <v>357</v>
      </c>
      <c r="AT278" s="360">
        <v>18</v>
      </c>
    </row>
    <row r="279" spans="1:46" x14ac:dyDescent="0.3">
      <c r="A279" s="426" t="s">
        <v>19</v>
      </c>
      <c r="B279" s="279" t="s">
        <v>20</v>
      </c>
      <c r="C279" s="274" t="s">
        <v>342</v>
      </c>
      <c r="D279" s="281">
        <v>1</v>
      </c>
      <c r="E279" s="276">
        <v>67398.098568534639</v>
      </c>
      <c r="F279" s="280"/>
      <c r="G279" s="276">
        <v>0</v>
      </c>
      <c r="H279" s="280"/>
      <c r="I279" s="276">
        <v>0</v>
      </c>
      <c r="J279" s="280"/>
      <c r="K279" s="276">
        <v>0</v>
      </c>
      <c r="L279" s="280"/>
      <c r="M279" s="276">
        <v>0</v>
      </c>
      <c r="N279" s="280"/>
      <c r="O279" s="276">
        <v>0</v>
      </c>
      <c r="P279" s="280"/>
      <c r="Q279" s="276">
        <v>0</v>
      </c>
      <c r="R279" s="280"/>
      <c r="S279" s="276">
        <v>0</v>
      </c>
      <c r="T279" s="280"/>
      <c r="U279" s="276">
        <v>0</v>
      </c>
      <c r="V279" s="280"/>
      <c r="W279" s="276">
        <v>0</v>
      </c>
      <c r="X279" s="280"/>
      <c r="Y279" s="276">
        <v>0</v>
      </c>
      <c r="Z279" s="280"/>
      <c r="AA279" s="276">
        <v>0</v>
      </c>
      <c r="AB279" s="401"/>
      <c r="AC279" s="305">
        <v>0</v>
      </c>
      <c r="AD279" s="315"/>
      <c r="AE279" s="329">
        <v>0</v>
      </c>
      <c r="AF279" s="145"/>
      <c r="AG279" s="56">
        <v>0</v>
      </c>
      <c r="AH279" s="144"/>
      <c r="AI279" s="56">
        <v>0</v>
      </c>
      <c r="AJ279" s="144"/>
      <c r="AK279" s="56">
        <v>0</v>
      </c>
      <c r="AL279" s="144"/>
      <c r="AM279" s="56">
        <v>0</v>
      </c>
      <c r="AN279" s="81">
        <v>67398.098568534639</v>
      </c>
      <c r="AO279" s="106">
        <v>1</v>
      </c>
      <c r="AP279" s="122" t="s">
        <v>319</v>
      </c>
      <c r="AQ279" s="127">
        <v>0.1206896551724138</v>
      </c>
      <c r="AR279" s="121">
        <v>8134.2532755128013</v>
      </c>
      <c r="AS279" s="333" t="s">
        <v>357</v>
      </c>
      <c r="AT279" s="360">
        <v>18</v>
      </c>
    </row>
    <row r="280" spans="1:46" x14ac:dyDescent="0.3">
      <c r="A280" s="426" t="s">
        <v>21</v>
      </c>
      <c r="B280" s="279" t="s">
        <v>221</v>
      </c>
      <c r="C280" s="274" t="s">
        <v>342</v>
      </c>
      <c r="D280" s="281">
        <v>1</v>
      </c>
      <c r="E280" s="276">
        <v>67398.098568534639</v>
      </c>
      <c r="F280" s="281"/>
      <c r="G280" s="276">
        <v>0</v>
      </c>
      <c r="H280" s="281"/>
      <c r="I280" s="276">
        <v>0</v>
      </c>
      <c r="J280" s="281"/>
      <c r="K280" s="276">
        <v>0</v>
      </c>
      <c r="L280" s="281"/>
      <c r="M280" s="276">
        <v>0</v>
      </c>
      <c r="N280" s="281"/>
      <c r="O280" s="276">
        <v>0</v>
      </c>
      <c r="P280" s="281"/>
      <c r="Q280" s="276">
        <v>0</v>
      </c>
      <c r="R280" s="281"/>
      <c r="S280" s="276">
        <v>0</v>
      </c>
      <c r="T280" s="281"/>
      <c r="U280" s="276">
        <v>0</v>
      </c>
      <c r="V280" s="281"/>
      <c r="W280" s="276">
        <v>0</v>
      </c>
      <c r="X280" s="281"/>
      <c r="Y280" s="276">
        <v>0</v>
      </c>
      <c r="Z280" s="281"/>
      <c r="AA280" s="276">
        <v>0</v>
      </c>
      <c r="AB280" s="401"/>
      <c r="AC280" s="305">
        <v>0</v>
      </c>
      <c r="AD280" s="315"/>
      <c r="AE280" s="329">
        <v>0</v>
      </c>
      <c r="AF280" s="145"/>
      <c r="AG280" s="56">
        <v>0</v>
      </c>
      <c r="AH280" s="144"/>
      <c r="AI280" s="56">
        <v>0</v>
      </c>
      <c r="AJ280" s="144"/>
      <c r="AK280" s="56">
        <v>0</v>
      </c>
      <c r="AL280" s="144"/>
      <c r="AM280" s="56">
        <v>0</v>
      </c>
      <c r="AN280" s="81">
        <v>67398.098568534639</v>
      </c>
      <c r="AO280" s="106">
        <v>1</v>
      </c>
      <c r="AP280" s="122" t="s">
        <v>319</v>
      </c>
      <c r="AQ280" s="127">
        <v>2.4482758620689653</v>
      </c>
      <c r="AR280" s="121">
        <v>165009.13787468823</v>
      </c>
      <c r="AS280" s="333" t="s">
        <v>357</v>
      </c>
      <c r="AT280" s="360">
        <v>18</v>
      </c>
    </row>
    <row r="281" spans="1:46" x14ac:dyDescent="0.3">
      <c r="A281" s="426" t="s">
        <v>27</v>
      </c>
      <c r="B281" s="279" t="s">
        <v>223</v>
      </c>
      <c r="C281" s="274" t="s">
        <v>346</v>
      </c>
      <c r="D281" s="281">
        <v>1</v>
      </c>
      <c r="E281" s="276">
        <v>43480.816890660324</v>
      </c>
      <c r="F281" s="280"/>
      <c r="G281" s="276">
        <v>0</v>
      </c>
      <c r="H281" s="280"/>
      <c r="I281" s="276">
        <v>0</v>
      </c>
      <c r="J281" s="280"/>
      <c r="K281" s="276">
        <v>0</v>
      </c>
      <c r="L281" s="280"/>
      <c r="M281" s="276">
        <v>0</v>
      </c>
      <c r="N281" s="280"/>
      <c r="O281" s="276">
        <v>0</v>
      </c>
      <c r="P281" s="280"/>
      <c r="Q281" s="276">
        <v>0</v>
      </c>
      <c r="R281" s="280"/>
      <c r="S281" s="276">
        <v>0</v>
      </c>
      <c r="T281" s="280"/>
      <c r="U281" s="276">
        <v>0</v>
      </c>
      <c r="V281" s="280"/>
      <c r="W281" s="276">
        <v>0</v>
      </c>
      <c r="X281" s="280"/>
      <c r="Y281" s="276">
        <v>0</v>
      </c>
      <c r="Z281" s="281"/>
      <c r="AA281" s="276">
        <v>0</v>
      </c>
      <c r="AB281" s="401"/>
      <c r="AC281" s="305">
        <v>0</v>
      </c>
      <c r="AD281" s="315"/>
      <c r="AE281" s="329">
        <v>0</v>
      </c>
      <c r="AF281" s="145"/>
      <c r="AG281" s="56">
        <v>0</v>
      </c>
      <c r="AH281" s="144"/>
      <c r="AI281" s="56">
        <v>0</v>
      </c>
      <c r="AJ281" s="144"/>
      <c r="AK281" s="56">
        <v>0</v>
      </c>
      <c r="AL281" s="144"/>
      <c r="AM281" s="56">
        <v>0</v>
      </c>
      <c r="AN281" s="81">
        <v>43480.816890660324</v>
      </c>
      <c r="AO281" s="106">
        <v>1</v>
      </c>
      <c r="AP281" s="122" t="s">
        <v>319</v>
      </c>
      <c r="AQ281" s="127">
        <v>0.39655172413793105</v>
      </c>
      <c r="AR281" s="121">
        <v>17242.392904917026</v>
      </c>
      <c r="AS281" s="333" t="s">
        <v>357</v>
      </c>
      <c r="AT281" s="360">
        <v>18</v>
      </c>
    </row>
    <row r="282" spans="1:46" x14ac:dyDescent="0.3">
      <c r="A282" s="426" t="s">
        <v>25</v>
      </c>
      <c r="B282" s="279" t="s">
        <v>226</v>
      </c>
      <c r="C282" s="274" t="s">
        <v>346</v>
      </c>
      <c r="D282" s="281">
        <v>1</v>
      </c>
      <c r="E282" s="276">
        <v>32117.31737996532</v>
      </c>
      <c r="F282" s="280"/>
      <c r="G282" s="276">
        <v>0</v>
      </c>
      <c r="H282" s="280"/>
      <c r="I282" s="276">
        <v>0</v>
      </c>
      <c r="J282" s="280"/>
      <c r="K282" s="276">
        <v>0</v>
      </c>
      <c r="L282" s="280"/>
      <c r="M282" s="276">
        <v>0</v>
      </c>
      <c r="N282" s="280"/>
      <c r="O282" s="276">
        <v>0</v>
      </c>
      <c r="P282" s="280"/>
      <c r="Q282" s="276">
        <v>0</v>
      </c>
      <c r="R282" s="280"/>
      <c r="S282" s="276">
        <v>0</v>
      </c>
      <c r="T282" s="280"/>
      <c r="U282" s="276">
        <v>0</v>
      </c>
      <c r="V282" s="280"/>
      <c r="W282" s="276">
        <v>0</v>
      </c>
      <c r="X282" s="280"/>
      <c r="Y282" s="276">
        <v>0</v>
      </c>
      <c r="Z282" s="281"/>
      <c r="AA282" s="276">
        <v>0</v>
      </c>
      <c r="AB282" s="401"/>
      <c r="AC282" s="305">
        <v>0</v>
      </c>
      <c r="AD282" s="315"/>
      <c r="AE282" s="329">
        <v>0</v>
      </c>
      <c r="AF282" s="145"/>
      <c r="AG282" s="56">
        <v>0</v>
      </c>
      <c r="AH282" s="144"/>
      <c r="AI282" s="56">
        <v>0</v>
      </c>
      <c r="AJ282" s="144"/>
      <c r="AK282" s="56">
        <v>0</v>
      </c>
      <c r="AL282" s="144"/>
      <c r="AM282" s="56">
        <v>0</v>
      </c>
      <c r="AN282" s="81">
        <v>32117.31737996532</v>
      </c>
      <c r="AO282" s="106">
        <v>1</v>
      </c>
      <c r="AP282" s="122" t="s">
        <v>319</v>
      </c>
      <c r="AQ282" s="127">
        <v>0.22413793103448276</v>
      </c>
      <c r="AR282" s="121">
        <v>7198.7090679232615</v>
      </c>
      <c r="AS282" s="333" t="s">
        <v>357</v>
      </c>
      <c r="AT282" s="360">
        <v>18</v>
      </c>
    </row>
    <row r="283" spans="1:46" x14ac:dyDescent="0.3">
      <c r="A283" s="426" t="s">
        <v>42</v>
      </c>
      <c r="B283" s="279" t="s">
        <v>228</v>
      </c>
      <c r="C283" s="274" t="s">
        <v>344</v>
      </c>
      <c r="D283" s="281">
        <v>1</v>
      </c>
      <c r="E283" s="276">
        <v>31714.220952863223</v>
      </c>
      <c r="F283" s="280"/>
      <c r="G283" s="276">
        <v>0</v>
      </c>
      <c r="H283" s="280"/>
      <c r="I283" s="276">
        <v>0</v>
      </c>
      <c r="J283" s="280"/>
      <c r="K283" s="276">
        <v>0</v>
      </c>
      <c r="L283" s="280"/>
      <c r="M283" s="276">
        <v>0</v>
      </c>
      <c r="N283" s="280"/>
      <c r="O283" s="276">
        <v>0</v>
      </c>
      <c r="P283" s="280"/>
      <c r="Q283" s="276">
        <v>0</v>
      </c>
      <c r="R283" s="280"/>
      <c r="S283" s="276">
        <v>0</v>
      </c>
      <c r="T283" s="280"/>
      <c r="U283" s="276">
        <v>0</v>
      </c>
      <c r="V283" s="280"/>
      <c r="W283" s="276">
        <v>0</v>
      </c>
      <c r="X283" s="280"/>
      <c r="Y283" s="276">
        <v>0</v>
      </c>
      <c r="Z283" s="281"/>
      <c r="AA283" s="276">
        <v>0</v>
      </c>
      <c r="AB283" s="401"/>
      <c r="AC283" s="305">
        <v>0</v>
      </c>
      <c r="AD283" s="315"/>
      <c r="AE283" s="329">
        <v>0</v>
      </c>
      <c r="AF283" s="145"/>
      <c r="AG283" s="56">
        <v>0</v>
      </c>
      <c r="AH283" s="144"/>
      <c r="AI283" s="56">
        <v>0</v>
      </c>
      <c r="AJ283" s="144"/>
      <c r="AK283" s="56">
        <v>0</v>
      </c>
      <c r="AL283" s="144"/>
      <c r="AM283" s="56">
        <v>0</v>
      </c>
      <c r="AN283" s="81">
        <v>31714.220952863223</v>
      </c>
      <c r="AO283" s="106">
        <v>1</v>
      </c>
      <c r="AP283" s="122" t="s">
        <v>319</v>
      </c>
      <c r="AQ283" s="127">
        <v>1.7241379310344827E-2</v>
      </c>
      <c r="AR283" s="121">
        <v>546.79691298040041</v>
      </c>
      <c r="AS283" s="333" t="s">
        <v>357</v>
      </c>
      <c r="AT283" s="360">
        <v>18</v>
      </c>
    </row>
    <row r="284" spans="1:46" x14ac:dyDescent="0.3">
      <c r="A284" s="426" t="s">
        <v>44</v>
      </c>
      <c r="B284" s="279" t="s">
        <v>229</v>
      </c>
      <c r="C284" s="274" t="s">
        <v>344</v>
      </c>
      <c r="D284" s="281"/>
      <c r="E284" s="276">
        <v>0</v>
      </c>
      <c r="F284" s="281">
        <v>1</v>
      </c>
      <c r="G284" s="276">
        <v>31714.220952863223</v>
      </c>
      <c r="H284" s="281"/>
      <c r="I284" s="276">
        <v>0</v>
      </c>
      <c r="J284" s="281"/>
      <c r="K284" s="276">
        <v>0</v>
      </c>
      <c r="L284" s="281"/>
      <c r="M284" s="276">
        <v>0</v>
      </c>
      <c r="N284" s="281"/>
      <c r="O284" s="276">
        <v>0</v>
      </c>
      <c r="P284" s="281"/>
      <c r="Q284" s="276">
        <v>0</v>
      </c>
      <c r="R284" s="281"/>
      <c r="S284" s="276">
        <v>0</v>
      </c>
      <c r="T284" s="281"/>
      <c r="U284" s="276">
        <v>0</v>
      </c>
      <c r="V284" s="281"/>
      <c r="W284" s="276">
        <v>0</v>
      </c>
      <c r="X284" s="281"/>
      <c r="Y284" s="276">
        <v>0</v>
      </c>
      <c r="Z284" s="281"/>
      <c r="AA284" s="276">
        <v>0</v>
      </c>
      <c r="AB284" s="401"/>
      <c r="AC284" s="305">
        <v>0</v>
      </c>
      <c r="AD284" s="315"/>
      <c r="AE284" s="329">
        <v>0</v>
      </c>
      <c r="AF284" s="145"/>
      <c r="AG284" s="56">
        <v>0</v>
      </c>
      <c r="AH284" s="144"/>
      <c r="AI284" s="56">
        <v>0</v>
      </c>
      <c r="AJ284" s="144"/>
      <c r="AK284" s="56">
        <v>0</v>
      </c>
      <c r="AL284" s="144"/>
      <c r="AM284" s="56">
        <v>0</v>
      </c>
      <c r="AN284" s="81">
        <v>31714.220952863223</v>
      </c>
      <c r="AO284" s="106">
        <v>1</v>
      </c>
      <c r="AP284" s="122" t="s">
        <v>319</v>
      </c>
      <c r="AQ284" s="127">
        <v>0.13793103448275862</v>
      </c>
      <c r="AR284" s="121">
        <v>4374.3753038432033</v>
      </c>
      <c r="AS284" s="333" t="s">
        <v>357</v>
      </c>
      <c r="AT284" s="360">
        <v>18</v>
      </c>
    </row>
    <row r="285" spans="1:46" x14ac:dyDescent="0.3">
      <c r="A285" s="426" t="s">
        <v>52</v>
      </c>
      <c r="B285" s="279" t="s">
        <v>191</v>
      </c>
      <c r="C285" s="274" t="s">
        <v>342</v>
      </c>
      <c r="D285" s="281">
        <v>1</v>
      </c>
      <c r="E285" s="276">
        <v>26897.079640267821</v>
      </c>
      <c r="F285" s="280"/>
      <c r="G285" s="276">
        <v>0</v>
      </c>
      <c r="H285" s="280"/>
      <c r="I285" s="276">
        <v>0</v>
      </c>
      <c r="J285" s="280"/>
      <c r="K285" s="276">
        <v>0</v>
      </c>
      <c r="L285" s="280"/>
      <c r="M285" s="276">
        <v>0</v>
      </c>
      <c r="N285" s="280"/>
      <c r="O285" s="276">
        <v>0</v>
      </c>
      <c r="P285" s="280"/>
      <c r="Q285" s="276">
        <v>0</v>
      </c>
      <c r="R285" s="280"/>
      <c r="S285" s="276">
        <v>0</v>
      </c>
      <c r="T285" s="280"/>
      <c r="U285" s="276">
        <v>0</v>
      </c>
      <c r="V285" s="280"/>
      <c r="W285" s="276">
        <v>0</v>
      </c>
      <c r="X285" s="280"/>
      <c r="Y285" s="276">
        <v>0</v>
      </c>
      <c r="Z285" s="280"/>
      <c r="AA285" s="276">
        <v>0</v>
      </c>
      <c r="AB285" s="401"/>
      <c r="AC285" s="305">
        <v>0</v>
      </c>
      <c r="AD285" s="315"/>
      <c r="AE285" s="329">
        <v>0</v>
      </c>
      <c r="AF285" s="145"/>
      <c r="AG285" s="56">
        <v>0</v>
      </c>
      <c r="AH285" s="144"/>
      <c r="AI285" s="56">
        <v>0</v>
      </c>
      <c r="AJ285" s="144"/>
      <c r="AK285" s="56">
        <v>0</v>
      </c>
      <c r="AL285" s="144"/>
      <c r="AM285" s="56">
        <v>0</v>
      </c>
      <c r="AN285" s="81">
        <v>26897.079640267821</v>
      </c>
      <c r="AO285" s="106">
        <v>1</v>
      </c>
      <c r="AP285" s="122" t="s">
        <v>319</v>
      </c>
      <c r="AQ285" s="127">
        <v>0.15517241379310345</v>
      </c>
      <c r="AR285" s="121">
        <v>4173.6847717656965</v>
      </c>
      <c r="AS285" s="333" t="s">
        <v>357</v>
      </c>
      <c r="AT285" s="360">
        <v>18</v>
      </c>
    </row>
    <row r="286" spans="1:46" x14ac:dyDescent="0.3">
      <c r="A286" s="426" t="s">
        <v>53</v>
      </c>
      <c r="B286" s="279" t="s">
        <v>231</v>
      </c>
      <c r="C286" s="274" t="s">
        <v>342</v>
      </c>
      <c r="D286" s="281">
        <v>1</v>
      </c>
      <c r="E286" s="276">
        <v>26897.079640267817</v>
      </c>
      <c r="F286" s="281"/>
      <c r="G286" s="276">
        <v>0</v>
      </c>
      <c r="H286" s="281"/>
      <c r="I286" s="276">
        <v>0</v>
      </c>
      <c r="J286" s="281"/>
      <c r="K286" s="276">
        <v>0</v>
      </c>
      <c r="L286" s="281"/>
      <c r="M286" s="276">
        <v>0</v>
      </c>
      <c r="N286" s="281"/>
      <c r="O286" s="276">
        <v>0</v>
      </c>
      <c r="P286" s="281"/>
      <c r="Q286" s="276">
        <v>0</v>
      </c>
      <c r="R286" s="281"/>
      <c r="S286" s="276">
        <v>0</v>
      </c>
      <c r="T286" s="281"/>
      <c r="U286" s="276">
        <v>0</v>
      </c>
      <c r="V286" s="281"/>
      <c r="W286" s="276">
        <v>0</v>
      </c>
      <c r="X286" s="281"/>
      <c r="Y286" s="276">
        <v>0</v>
      </c>
      <c r="Z286" s="281"/>
      <c r="AA286" s="276">
        <v>0</v>
      </c>
      <c r="AB286" s="401"/>
      <c r="AC286" s="305">
        <v>0</v>
      </c>
      <c r="AD286" s="315"/>
      <c r="AE286" s="329">
        <v>0</v>
      </c>
      <c r="AF286" s="145"/>
      <c r="AG286" s="56">
        <v>0</v>
      </c>
      <c r="AH286" s="144"/>
      <c r="AI286" s="56">
        <v>0</v>
      </c>
      <c r="AJ286" s="144"/>
      <c r="AK286" s="56">
        <v>0</v>
      </c>
      <c r="AL286" s="144"/>
      <c r="AM286" s="56">
        <v>0</v>
      </c>
      <c r="AN286" s="81">
        <v>26897.079640267817</v>
      </c>
      <c r="AO286" s="106">
        <v>1</v>
      </c>
      <c r="AP286" s="122" t="s">
        <v>319</v>
      </c>
      <c r="AQ286" s="127">
        <v>3.9655172413793105</v>
      </c>
      <c r="AR286" s="121">
        <v>106660.83305623445</v>
      </c>
      <c r="AS286" s="333" t="s">
        <v>357</v>
      </c>
      <c r="AT286" s="360">
        <v>18</v>
      </c>
    </row>
    <row r="287" spans="1:46" x14ac:dyDescent="0.3">
      <c r="A287" s="428" t="s">
        <v>30</v>
      </c>
      <c r="B287" s="323" t="s">
        <v>31</v>
      </c>
      <c r="C287" s="311" t="s">
        <v>343</v>
      </c>
      <c r="D287" s="288"/>
      <c r="E287" s="301">
        <v>0</v>
      </c>
      <c r="F287" s="288"/>
      <c r="G287" s="301">
        <v>0</v>
      </c>
      <c r="H287" s="288"/>
      <c r="I287" s="301">
        <v>0</v>
      </c>
      <c r="J287" s="288"/>
      <c r="K287" s="301">
        <v>0</v>
      </c>
      <c r="L287" s="288"/>
      <c r="M287" s="301">
        <v>0</v>
      </c>
      <c r="N287" s="288"/>
      <c r="O287" s="301">
        <v>0</v>
      </c>
      <c r="P287" s="288"/>
      <c r="Q287" s="301">
        <v>0</v>
      </c>
      <c r="R287" s="288"/>
      <c r="S287" s="301">
        <v>0</v>
      </c>
      <c r="T287" s="288"/>
      <c r="U287" s="301">
        <v>0</v>
      </c>
      <c r="V287" s="288"/>
      <c r="W287" s="301">
        <v>0</v>
      </c>
      <c r="X287" s="288"/>
      <c r="Y287" s="301">
        <v>0</v>
      </c>
      <c r="Z287" s="289"/>
      <c r="AA287" s="301">
        <v>0</v>
      </c>
      <c r="AB287" s="402"/>
      <c r="AC287" s="325">
        <v>0</v>
      </c>
      <c r="AD287" s="326"/>
      <c r="AE287" s="329">
        <v>0</v>
      </c>
      <c r="AF287" s="145"/>
      <c r="AG287" s="56">
        <v>0</v>
      </c>
      <c r="AH287" s="144"/>
      <c r="AI287" s="56">
        <v>0</v>
      </c>
      <c r="AJ287" s="144"/>
      <c r="AK287" s="56">
        <v>0</v>
      </c>
      <c r="AL287" s="180">
        <v>1</v>
      </c>
      <c r="AM287" s="113">
        <v>12908.291642219636</v>
      </c>
      <c r="AN287" s="81">
        <v>12908.291642219636</v>
      </c>
      <c r="AO287" s="106">
        <v>1</v>
      </c>
      <c r="AP287" s="122" t="s">
        <v>318</v>
      </c>
      <c r="AQ287" s="127">
        <v>1</v>
      </c>
      <c r="AR287" s="121">
        <v>12908.291642219636</v>
      </c>
      <c r="AS287" s="333" t="s">
        <v>357</v>
      </c>
      <c r="AT287" s="360">
        <v>18</v>
      </c>
    </row>
    <row r="288" spans="1:46" x14ac:dyDescent="0.3">
      <c r="A288" s="428" t="s">
        <v>421</v>
      </c>
      <c r="B288" s="323" t="s">
        <v>422</v>
      </c>
      <c r="C288" s="311" t="s">
        <v>423</v>
      </c>
      <c r="D288" s="289"/>
      <c r="E288" s="301"/>
      <c r="F288" s="289"/>
      <c r="G288" s="301"/>
      <c r="H288" s="289"/>
      <c r="I288" s="301"/>
      <c r="J288" s="289"/>
      <c r="K288" s="301"/>
      <c r="L288" s="289"/>
      <c r="M288" s="301"/>
      <c r="N288" s="289"/>
      <c r="O288" s="301"/>
      <c r="P288" s="289"/>
      <c r="Q288" s="301"/>
      <c r="R288" s="289"/>
      <c r="S288" s="301"/>
      <c r="T288" s="289"/>
      <c r="U288" s="301"/>
      <c r="V288" s="289"/>
      <c r="W288" s="301"/>
      <c r="X288" s="289"/>
      <c r="Y288" s="301"/>
      <c r="Z288" s="289"/>
      <c r="AA288" s="467"/>
      <c r="AB288" s="402"/>
      <c r="AC288" s="468"/>
      <c r="AD288" s="469"/>
      <c r="AE288" s="465"/>
      <c r="AF288" s="327"/>
      <c r="AG288" s="328"/>
      <c r="AH288" s="470"/>
      <c r="AI288" s="471"/>
      <c r="AJ288" s="466"/>
      <c r="AK288" s="471"/>
      <c r="AL288" s="466"/>
      <c r="AM288" s="471"/>
      <c r="AN288" s="472"/>
      <c r="AO288" s="473"/>
      <c r="AP288" s="303" t="s">
        <v>318</v>
      </c>
      <c r="AQ288" s="474"/>
      <c r="AR288" s="475"/>
      <c r="AS288" s="333" t="s">
        <v>357</v>
      </c>
      <c r="AT288" s="108">
        <v>18</v>
      </c>
    </row>
  </sheetData>
  <conditionalFormatting sqref="AR2:AR41 AR43:AR70 AR72:AR100 AR102:AR126 AR128:AR152 AR154:AR179 AR181:AR207 AR209:AR236 AR238:AR263 AR265:AR28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41">
    <cfRule type="duplicateValues" dxfId="101" priority="30"/>
  </conditionalFormatting>
  <conditionalFormatting sqref="A68">
    <cfRule type="duplicateValues" dxfId="100" priority="31"/>
  </conditionalFormatting>
  <conditionalFormatting sqref="A69 A43:A67">
    <cfRule type="duplicateValues" dxfId="99" priority="32"/>
  </conditionalFormatting>
  <conditionalFormatting sqref="A70">
    <cfRule type="duplicateValues" dxfId="98" priority="33"/>
  </conditionalFormatting>
  <conditionalFormatting sqref="A103">
    <cfRule type="duplicateValues" dxfId="97" priority="56"/>
  </conditionalFormatting>
  <conditionalFormatting sqref="A104">
    <cfRule type="duplicateValues" dxfId="96" priority="55"/>
  </conditionalFormatting>
  <conditionalFormatting sqref="A120:A122">
    <cfRule type="duplicateValues" dxfId="95" priority="54"/>
  </conditionalFormatting>
  <conditionalFormatting sqref="A130">
    <cfRule type="duplicateValues" dxfId="94" priority="52"/>
  </conditionalFormatting>
  <conditionalFormatting sqref="A144:A146">
    <cfRule type="duplicateValues" dxfId="93" priority="51"/>
  </conditionalFormatting>
  <conditionalFormatting sqref="A147:A152 A128:A129 A132:A143">
    <cfRule type="duplicateValues" dxfId="92" priority="53"/>
  </conditionalFormatting>
  <conditionalFormatting sqref="A156">
    <cfRule type="duplicateValues" dxfId="91" priority="48"/>
  </conditionalFormatting>
  <conditionalFormatting sqref="A170:A172">
    <cfRule type="duplicateValues" dxfId="90" priority="50"/>
  </conditionalFormatting>
  <conditionalFormatting sqref="A177:A178">
    <cfRule type="duplicateValues" dxfId="89" priority="49"/>
  </conditionalFormatting>
  <conditionalFormatting sqref="A181:A182 A184:A204">
    <cfRule type="duplicateValues" dxfId="88" priority="47"/>
  </conditionalFormatting>
  <conditionalFormatting sqref="A183">
    <cfRule type="duplicateValues" dxfId="87" priority="46"/>
  </conditionalFormatting>
  <conditionalFormatting sqref="A205:A207">
    <cfRule type="duplicateValues" dxfId="86" priority="45"/>
  </conditionalFormatting>
  <conditionalFormatting sqref="A209">
    <cfRule type="duplicateValues" dxfId="85" priority="42"/>
  </conditionalFormatting>
  <conditionalFormatting sqref="A211">
    <cfRule type="duplicateValues" dxfId="84" priority="43"/>
  </conditionalFormatting>
  <conditionalFormatting sqref="A226:A228">
    <cfRule type="duplicateValues" dxfId="83" priority="44"/>
  </conditionalFormatting>
  <conditionalFormatting sqref="A240">
    <cfRule type="duplicateValues" dxfId="82" priority="40"/>
  </conditionalFormatting>
  <conditionalFormatting sqref="A255:A257">
    <cfRule type="duplicateValues" dxfId="81" priority="39"/>
  </conditionalFormatting>
  <conditionalFormatting sqref="A258:A263 A238:A239 A242 A244:A254">
    <cfRule type="duplicateValues" dxfId="80" priority="41"/>
  </conditionalFormatting>
  <conditionalFormatting sqref="A266">
    <cfRule type="duplicateValues" dxfId="79" priority="38"/>
  </conditionalFormatting>
  <conditionalFormatting sqref="A268">
    <cfRule type="duplicateValues" dxfId="78" priority="35"/>
  </conditionalFormatting>
  <conditionalFormatting sqref="A269">
    <cfRule type="duplicateValues" dxfId="77" priority="37"/>
  </conditionalFormatting>
  <conditionalFormatting sqref="A283">
    <cfRule type="duplicateValues" dxfId="76" priority="34"/>
  </conditionalFormatting>
  <conditionalFormatting sqref="A287">
    <cfRule type="duplicateValues" dxfId="75" priority="36"/>
  </conditionalFormatting>
  <conditionalFormatting sqref="A42">
    <cfRule type="duplicateValues" dxfId="65" priority="20"/>
  </conditionalFormatting>
  <conditionalFormatting sqref="AR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1">
    <cfRule type="duplicateValues" dxfId="8" priority="18"/>
  </conditionalFormatting>
  <conditionalFormatting sqref="AR7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">
    <cfRule type="duplicateValues" dxfId="7" priority="16"/>
  </conditionalFormatting>
  <conditionalFormatting sqref="AR10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7">
    <cfRule type="duplicateValues" dxfId="6" priority="14"/>
  </conditionalFormatting>
  <conditionalFormatting sqref="AR12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3">
    <cfRule type="duplicateValues" dxfId="5" priority="12"/>
  </conditionalFormatting>
  <conditionalFormatting sqref="AR15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0">
    <cfRule type="duplicateValues" dxfId="4" priority="10"/>
  </conditionalFormatting>
  <conditionalFormatting sqref="AR18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8">
    <cfRule type="duplicateValues" dxfId="3" priority="8"/>
  </conditionalFormatting>
  <conditionalFormatting sqref="AR20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7">
    <cfRule type="duplicateValues" dxfId="2" priority="6"/>
  </conditionalFormatting>
  <conditionalFormatting sqref="AR2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4">
    <cfRule type="duplicateValues" dxfId="1" priority="4"/>
  </conditionalFormatting>
  <conditionalFormatting sqref="AR2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8">
    <cfRule type="duplicateValues" dxfId="0" priority="2"/>
  </conditionalFormatting>
  <conditionalFormatting sqref="AR2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1AC7-C038-4D55-9E3B-3AC2E6237584}">
  <dimension ref="A1:C51"/>
  <sheetViews>
    <sheetView workbookViewId="0"/>
    <sheetView workbookViewId="1"/>
  </sheetViews>
  <sheetFormatPr baseColWidth="10" defaultRowHeight="15" x14ac:dyDescent="0.25"/>
  <cols>
    <col min="1" max="1" width="10.7109375" bestFit="1" customWidth="1"/>
    <col min="2" max="2" width="79.85546875" bestFit="1" customWidth="1"/>
    <col min="3" max="3" width="19.7109375" bestFit="1" customWidth="1"/>
  </cols>
  <sheetData>
    <row r="1" spans="1:3" ht="16.5" x14ac:dyDescent="0.3">
      <c r="A1" s="224" t="s">
        <v>341</v>
      </c>
      <c r="B1" s="225" t="s">
        <v>151</v>
      </c>
      <c r="C1" s="226" t="s">
        <v>152</v>
      </c>
    </row>
    <row r="2" spans="1:3" x14ac:dyDescent="0.25">
      <c r="A2" s="227">
        <v>890305</v>
      </c>
      <c r="B2" s="228" t="s">
        <v>123</v>
      </c>
      <c r="C2" s="229" t="s">
        <v>342</v>
      </c>
    </row>
    <row r="3" spans="1:3" x14ac:dyDescent="0.25">
      <c r="A3" s="227" t="s">
        <v>13</v>
      </c>
      <c r="B3" s="228" t="s">
        <v>14</v>
      </c>
      <c r="C3" s="230" t="s">
        <v>343</v>
      </c>
    </row>
    <row r="4" spans="1:3" x14ac:dyDescent="0.25">
      <c r="A4" s="227" t="s">
        <v>23</v>
      </c>
      <c r="B4" s="228" t="s">
        <v>24</v>
      </c>
      <c r="C4" s="231" t="s">
        <v>344</v>
      </c>
    </row>
    <row r="5" spans="1:3" x14ac:dyDescent="0.25">
      <c r="A5" s="227" t="s">
        <v>36</v>
      </c>
      <c r="B5" s="228" t="s">
        <v>136</v>
      </c>
      <c r="C5" s="231" t="s">
        <v>344</v>
      </c>
    </row>
    <row r="6" spans="1:3" x14ac:dyDescent="0.25">
      <c r="A6" s="227" t="s">
        <v>7</v>
      </c>
      <c r="B6" s="228" t="s">
        <v>8</v>
      </c>
      <c r="C6" s="229" t="s">
        <v>342</v>
      </c>
    </row>
    <row r="7" spans="1:3" x14ac:dyDescent="0.25">
      <c r="A7" s="227" t="s">
        <v>9</v>
      </c>
      <c r="B7" s="228" t="s">
        <v>220</v>
      </c>
      <c r="C7" s="229" t="s">
        <v>342</v>
      </c>
    </row>
    <row r="8" spans="1:3" x14ac:dyDescent="0.25">
      <c r="A8" s="227" t="s">
        <v>38</v>
      </c>
      <c r="B8" s="228" t="s">
        <v>137</v>
      </c>
      <c r="C8" s="229" t="s">
        <v>342</v>
      </c>
    </row>
    <row r="9" spans="1:3" x14ac:dyDescent="0.25">
      <c r="A9" s="227" t="s">
        <v>30</v>
      </c>
      <c r="B9" s="228" t="s">
        <v>31</v>
      </c>
      <c r="C9" s="230" t="s">
        <v>343</v>
      </c>
    </row>
    <row r="10" spans="1:3" x14ac:dyDescent="0.25">
      <c r="A10" s="227" t="s">
        <v>11</v>
      </c>
      <c r="B10" s="228" t="s">
        <v>12</v>
      </c>
      <c r="C10" s="232" t="s">
        <v>345</v>
      </c>
    </row>
    <row r="11" spans="1:3" x14ac:dyDescent="0.25">
      <c r="A11" s="227" t="s">
        <v>40</v>
      </c>
      <c r="B11" s="228" t="s">
        <v>41</v>
      </c>
      <c r="C11" s="230" t="s">
        <v>343</v>
      </c>
    </row>
    <row r="12" spans="1:3" x14ac:dyDescent="0.25">
      <c r="A12" s="227" t="s">
        <v>19</v>
      </c>
      <c r="B12" s="228" t="s">
        <v>20</v>
      </c>
      <c r="C12" s="229" t="s">
        <v>342</v>
      </c>
    </row>
    <row r="13" spans="1:3" x14ac:dyDescent="0.25">
      <c r="A13" s="227" t="s">
        <v>21</v>
      </c>
      <c r="B13" s="228" t="s">
        <v>221</v>
      </c>
      <c r="C13" s="229" t="s">
        <v>342</v>
      </c>
    </row>
    <row r="14" spans="1:3" x14ac:dyDescent="0.25">
      <c r="A14" s="227" t="s">
        <v>46</v>
      </c>
      <c r="B14" s="228" t="s">
        <v>47</v>
      </c>
      <c r="C14" s="229" t="s">
        <v>342</v>
      </c>
    </row>
    <row r="15" spans="1:3" x14ac:dyDescent="0.25">
      <c r="A15" s="227" t="s">
        <v>48</v>
      </c>
      <c r="B15" s="228" t="s">
        <v>222</v>
      </c>
      <c r="C15" s="229" t="s">
        <v>342</v>
      </c>
    </row>
    <row r="16" spans="1:3" x14ac:dyDescent="0.25">
      <c r="A16" s="227" t="s">
        <v>27</v>
      </c>
      <c r="B16" s="228" t="s">
        <v>28</v>
      </c>
      <c r="C16" s="233" t="s">
        <v>346</v>
      </c>
    </row>
    <row r="17" spans="1:3" x14ac:dyDescent="0.25">
      <c r="A17" s="227" t="s">
        <v>94</v>
      </c>
      <c r="B17" s="228" t="s">
        <v>95</v>
      </c>
      <c r="C17" s="229" t="s">
        <v>342</v>
      </c>
    </row>
    <row r="18" spans="1:3" x14ac:dyDescent="0.25">
      <c r="A18" s="227" t="s">
        <v>96</v>
      </c>
      <c r="B18" s="228" t="s">
        <v>224</v>
      </c>
      <c r="C18" s="229" t="s">
        <v>342</v>
      </c>
    </row>
    <row r="19" spans="1:3" x14ac:dyDescent="0.25">
      <c r="A19" s="227" t="s">
        <v>86</v>
      </c>
      <c r="B19" s="228" t="s">
        <v>225</v>
      </c>
      <c r="C19" s="229" t="s">
        <v>342</v>
      </c>
    </row>
    <row r="20" spans="1:3" x14ac:dyDescent="0.25">
      <c r="A20" s="227" t="s">
        <v>92</v>
      </c>
      <c r="B20" s="228" t="s">
        <v>93</v>
      </c>
      <c r="C20" s="229" t="s">
        <v>342</v>
      </c>
    </row>
    <row r="21" spans="1:3" x14ac:dyDescent="0.25">
      <c r="A21" s="227" t="s">
        <v>88</v>
      </c>
      <c r="B21" s="228" t="s">
        <v>89</v>
      </c>
      <c r="C21" s="233" t="s">
        <v>346</v>
      </c>
    </row>
    <row r="22" spans="1:3" x14ac:dyDescent="0.25">
      <c r="A22" s="227" t="s">
        <v>81</v>
      </c>
      <c r="B22" s="228" t="s">
        <v>279</v>
      </c>
      <c r="C22" s="233" t="s">
        <v>346</v>
      </c>
    </row>
    <row r="23" spans="1:3" x14ac:dyDescent="0.25">
      <c r="A23" s="227" t="s">
        <v>82</v>
      </c>
      <c r="B23" s="228" t="s">
        <v>83</v>
      </c>
      <c r="C23" s="233" t="s">
        <v>346</v>
      </c>
    </row>
    <row r="24" spans="1:3" x14ac:dyDescent="0.25">
      <c r="A24" s="234" t="s">
        <v>90</v>
      </c>
      <c r="B24" s="235" t="s">
        <v>280</v>
      </c>
      <c r="C24" s="233" t="s">
        <v>346</v>
      </c>
    </row>
    <row r="25" spans="1:3" x14ac:dyDescent="0.25">
      <c r="A25" s="227" t="s">
        <v>50</v>
      </c>
      <c r="B25" s="228" t="s">
        <v>142</v>
      </c>
      <c r="C25" s="233" t="s">
        <v>346</v>
      </c>
    </row>
    <row r="26" spans="1:3" x14ac:dyDescent="0.25">
      <c r="A26" s="227" t="s">
        <v>84</v>
      </c>
      <c r="B26" s="228" t="s">
        <v>85</v>
      </c>
      <c r="C26" s="233" t="s">
        <v>346</v>
      </c>
    </row>
    <row r="27" spans="1:3" x14ac:dyDescent="0.25">
      <c r="A27" s="227" t="s">
        <v>25</v>
      </c>
      <c r="B27" s="228" t="s">
        <v>26</v>
      </c>
      <c r="C27" s="233" t="s">
        <v>346</v>
      </c>
    </row>
    <row r="28" spans="1:3" x14ac:dyDescent="0.25">
      <c r="A28" s="227" t="s">
        <v>54</v>
      </c>
      <c r="B28" s="228" t="s">
        <v>227</v>
      </c>
      <c r="C28" s="230" t="s">
        <v>343</v>
      </c>
    </row>
    <row r="29" spans="1:3" x14ac:dyDescent="0.25">
      <c r="A29" s="227" t="s">
        <v>29</v>
      </c>
      <c r="B29" s="228" t="s">
        <v>196</v>
      </c>
      <c r="C29" s="231" t="s">
        <v>344</v>
      </c>
    </row>
    <row r="30" spans="1:3" x14ac:dyDescent="0.25">
      <c r="A30" s="227" t="s">
        <v>42</v>
      </c>
      <c r="B30" s="228" t="s">
        <v>228</v>
      </c>
      <c r="C30" s="231" t="s">
        <v>344</v>
      </c>
    </row>
    <row r="31" spans="1:3" x14ac:dyDescent="0.25">
      <c r="A31" s="227" t="s">
        <v>44</v>
      </c>
      <c r="B31" s="228" t="s">
        <v>229</v>
      </c>
      <c r="C31" s="231" t="s">
        <v>344</v>
      </c>
    </row>
    <row r="32" spans="1:3" x14ac:dyDescent="0.25">
      <c r="A32" s="227" t="s">
        <v>79</v>
      </c>
      <c r="B32" s="228" t="s">
        <v>197</v>
      </c>
      <c r="C32" s="231" t="s">
        <v>344</v>
      </c>
    </row>
    <row r="33" spans="1:3" x14ac:dyDescent="0.25">
      <c r="A33" s="227" t="s">
        <v>80</v>
      </c>
      <c r="B33" s="228" t="s">
        <v>193</v>
      </c>
      <c r="C33" s="230" t="s">
        <v>343</v>
      </c>
    </row>
    <row r="34" spans="1:3" x14ac:dyDescent="0.25">
      <c r="A34" s="227" t="s">
        <v>52</v>
      </c>
      <c r="B34" s="228" t="s">
        <v>191</v>
      </c>
      <c r="C34" s="229" t="s">
        <v>342</v>
      </c>
    </row>
    <row r="35" spans="1:3" x14ac:dyDescent="0.25">
      <c r="A35" s="227" t="s">
        <v>53</v>
      </c>
      <c r="B35" s="228" t="s">
        <v>230</v>
      </c>
      <c r="C35" s="229" t="s">
        <v>342</v>
      </c>
    </row>
    <row r="36" spans="1:3" x14ac:dyDescent="0.25">
      <c r="A36" s="227" t="s">
        <v>3</v>
      </c>
      <c r="B36" s="228" t="s">
        <v>4</v>
      </c>
      <c r="C36" s="229" t="s">
        <v>342</v>
      </c>
    </row>
    <row r="37" spans="1:3" x14ac:dyDescent="0.25">
      <c r="A37" s="227" t="s">
        <v>15</v>
      </c>
      <c r="B37" s="228" t="s">
        <v>16</v>
      </c>
      <c r="C37" s="229" t="s">
        <v>342</v>
      </c>
    </row>
    <row r="38" spans="1:3" x14ac:dyDescent="0.25">
      <c r="A38" s="227" t="s">
        <v>5</v>
      </c>
      <c r="B38" s="228" t="s">
        <v>6</v>
      </c>
      <c r="C38" s="229" t="s">
        <v>342</v>
      </c>
    </row>
    <row r="39" spans="1:3" x14ac:dyDescent="0.25">
      <c r="A39" s="227" t="s">
        <v>17</v>
      </c>
      <c r="B39" s="228" t="s">
        <v>18</v>
      </c>
      <c r="C39" s="229" t="s">
        <v>342</v>
      </c>
    </row>
    <row r="40" spans="1:3" x14ac:dyDescent="0.25">
      <c r="A40" s="227" t="s">
        <v>34</v>
      </c>
      <c r="B40" s="228" t="s">
        <v>35</v>
      </c>
      <c r="C40" s="229" t="s">
        <v>342</v>
      </c>
    </row>
    <row r="41" spans="1:3" x14ac:dyDescent="0.25">
      <c r="A41" s="227" t="s">
        <v>32</v>
      </c>
      <c r="B41" s="228" t="s">
        <v>143</v>
      </c>
      <c r="C41" s="229" t="s">
        <v>342</v>
      </c>
    </row>
    <row r="42" spans="1:3" x14ac:dyDescent="0.25">
      <c r="A42" s="227" t="s">
        <v>1</v>
      </c>
      <c r="B42" s="228" t="s">
        <v>2</v>
      </c>
      <c r="C42" s="229" t="s">
        <v>342</v>
      </c>
    </row>
    <row r="43" spans="1:3" x14ac:dyDescent="0.25">
      <c r="A43" s="227" t="s">
        <v>74</v>
      </c>
      <c r="B43" s="228" t="s">
        <v>75</v>
      </c>
      <c r="C43" s="229" t="s">
        <v>342</v>
      </c>
    </row>
    <row r="44" spans="1:3" x14ac:dyDescent="0.25">
      <c r="A44" s="227" t="s">
        <v>76</v>
      </c>
      <c r="B44" s="228" t="s">
        <v>77</v>
      </c>
      <c r="C44" s="229" t="s">
        <v>342</v>
      </c>
    </row>
    <row r="45" spans="1:3" x14ac:dyDescent="0.25">
      <c r="A45" s="227" t="s">
        <v>98</v>
      </c>
      <c r="B45" s="228" t="s">
        <v>99</v>
      </c>
      <c r="C45" s="229" t="s">
        <v>342</v>
      </c>
    </row>
    <row r="46" spans="1:3" x14ac:dyDescent="0.25">
      <c r="A46" s="227" t="s">
        <v>104</v>
      </c>
      <c r="B46" s="228" t="s">
        <v>105</v>
      </c>
      <c r="C46" s="229" t="s">
        <v>342</v>
      </c>
    </row>
    <row r="47" spans="1:3" x14ac:dyDescent="0.25">
      <c r="A47" s="227" t="s">
        <v>121</v>
      </c>
      <c r="B47" s="228" t="s">
        <v>232</v>
      </c>
      <c r="C47" s="230" t="s">
        <v>343</v>
      </c>
    </row>
    <row r="48" spans="1:3" x14ac:dyDescent="0.25">
      <c r="A48" s="227" t="s">
        <v>113</v>
      </c>
      <c r="B48" s="228" t="s">
        <v>139</v>
      </c>
      <c r="C48" s="229" t="s">
        <v>342</v>
      </c>
    </row>
    <row r="49" spans="1:3" x14ac:dyDescent="0.25">
      <c r="A49" s="227" t="s">
        <v>114</v>
      </c>
      <c r="B49" s="228" t="s">
        <v>140</v>
      </c>
      <c r="C49" s="229" t="s">
        <v>342</v>
      </c>
    </row>
    <row r="50" spans="1:3" x14ac:dyDescent="0.25">
      <c r="A50" s="227" t="s">
        <v>115</v>
      </c>
      <c r="B50" s="228" t="s">
        <v>141</v>
      </c>
      <c r="C50" s="229" t="s">
        <v>342</v>
      </c>
    </row>
    <row r="51" spans="1:3" x14ac:dyDescent="0.25">
      <c r="A51" s="227" t="s">
        <v>78</v>
      </c>
      <c r="B51" s="228" t="s">
        <v>194</v>
      </c>
      <c r="C51" s="230" t="s">
        <v>343</v>
      </c>
    </row>
  </sheetData>
  <conditionalFormatting sqref="A2:A41">
    <cfRule type="duplicateValues" dxfId="64" priority="2"/>
  </conditionalFormatting>
  <conditionalFormatting sqref="A42:A51">
    <cfRule type="duplicateValues" dxfId="6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1AF7-99CB-4BDC-A6C3-96BC9AC57D2A}">
  <sheetPr codeName="Hoja4">
    <tabColor theme="7" tint="0.39997558519241921"/>
  </sheetPr>
  <dimension ref="A1:AT129"/>
  <sheetViews>
    <sheetView zoomScale="40" zoomScaleNormal="40" workbookViewId="0">
      <selection activeCell="A3" sqref="A3:AH42"/>
    </sheetView>
    <sheetView zoomScale="55" zoomScaleNormal="55" workbookViewId="1">
      <selection activeCell="E32" sqref="E32"/>
    </sheetView>
  </sheetViews>
  <sheetFormatPr baseColWidth="10" defaultRowHeight="15" x14ac:dyDescent="0.25"/>
  <cols>
    <col min="1" max="1" width="10.42578125" style="5" customWidth="1"/>
    <col min="2" max="2" width="74.85546875" style="4" customWidth="1"/>
    <col min="3" max="3" width="24.42578125" style="5" customWidth="1"/>
    <col min="4" max="4" width="10.28515625" style="4" customWidth="1"/>
    <col min="5" max="5" width="16.7109375" style="5" customWidth="1"/>
    <col min="6" max="6" width="8" style="4" customWidth="1"/>
    <col min="7" max="7" width="13.42578125" style="5" bestFit="1" customWidth="1"/>
    <col min="8" max="8" width="8.42578125" style="4" customWidth="1"/>
    <col min="9" max="9" width="14.42578125" style="5" bestFit="1" customWidth="1"/>
    <col min="10" max="10" width="8.7109375" style="4" bestFit="1" customWidth="1"/>
    <col min="11" max="11" width="14.140625" style="5" bestFit="1" customWidth="1"/>
    <col min="12" max="12" width="8.7109375" style="4" bestFit="1" customWidth="1"/>
    <col min="13" max="13" width="14.140625" style="5" bestFit="1" customWidth="1"/>
    <col min="14" max="14" width="8.7109375" style="4" bestFit="1" customWidth="1"/>
    <col min="15" max="15" width="14.42578125" style="5" bestFit="1" customWidth="1"/>
    <col min="16" max="16" width="8.7109375" style="4" bestFit="1" customWidth="1"/>
    <col min="17" max="17" width="14.42578125" style="5" bestFit="1" customWidth="1"/>
    <col min="18" max="18" width="8.7109375" style="4" bestFit="1" customWidth="1"/>
    <col min="19" max="19" width="14.140625" style="5" bestFit="1" customWidth="1"/>
    <col min="20" max="20" width="8.7109375" style="4" bestFit="1" customWidth="1"/>
    <col min="21" max="21" width="14.42578125" style="5" bestFit="1" customWidth="1"/>
    <col min="22" max="22" width="9.7109375" style="4" bestFit="1" customWidth="1"/>
    <col min="23" max="23" width="14.140625" style="5" bestFit="1" customWidth="1"/>
    <col min="24" max="24" width="9.42578125" style="4" bestFit="1" customWidth="1"/>
    <col min="25" max="25" width="14.140625" style="5" bestFit="1" customWidth="1"/>
    <col min="26" max="26" width="14.7109375" style="4" bestFit="1" customWidth="1"/>
    <col min="27" max="27" width="14.42578125" style="4" bestFit="1" customWidth="1"/>
    <col min="28" max="28" width="15.85546875" style="4" customWidth="1"/>
    <col min="29" max="29" width="14.28515625" style="4" bestFit="1" customWidth="1"/>
    <col min="30" max="30" width="15" style="4" customWidth="1"/>
    <col min="31" max="31" width="14.85546875" style="4" customWidth="1"/>
    <col min="32" max="32" width="19.85546875" style="4" bestFit="1" customWidth="1"/>
    <col min="33" max="33" width="19.85546875" style="5" bestFit="1" customWidth="1"/>
    <col min="34" max="34" width="12.85546875" style="4" customWidth="1"/>
    <col min="35" max="35" width="14.140625" style="4" bestFit="1" customWidth="1"/>
    <col min="36" max="36" width="9.7109375" style="4" bestFit="1" customWidth="1"/>
    <col min="37" max="37" width="14.140625" style="4" bestFit="1" customWidth="1"/>
    <col min="38" max="38" width="9.7109375" style="4" bestFit="1" customWidth="1"/>
    <col min="39" max="39" width="14.140625" style="4" bestFit="1" customWidth="1"/>
    <col min="40" max="40" width="16.7109375" style="4" bestFit="1" customWidth="1"/>
    <col min="41" max="41" width="14.28515625" style="4" bestFit="1" customWidth="1"/>
    <col min="42" max="42" width="16.5703125" style="4" bestFit="1" customWidth="1"/>
    <col min="43" max="43" width="17.42578125" style="4" customWidth="1"/>
    <col min="44" max="44" width="16.5703125" style="4" bestFit="1" customWidth="1"/>
    <col min="45" max="16384" width="11.42578125" style="4"/>
  </cols>
  <sheetData>
    <row r="1" spans="1:35" ht="33.75" customHeight="1" x14ac:dyDescent="0.25">
      <c r="A1" s="43" t="s">
        <v>233</v>
      </c>
      <c r="B1" s="43"/>
      <c r="C1" s="70"/>
      <c r="D1" s="43"/>
      <c r="E1" s="70"/>
      <c r="F1" s="43"/>
      <c r="G1" s="70"/>
      <c r="H1" s="43"/>
      <c r="I1" s="70"/>
      <c r="J1" s="43"/>
      <c r="K1" s="70"/>
      <c r="L1" s="43"/>
      <c r="M1" s="70"/>
      <c r="N1" s="43"/>
    </row>
    <row r="2" spans="1:35" s="3" customFormat="1" ht="44.25" customHeight="1" x14ac:dyDescent="0.2">
      <c r="A2" s="20" t="s">
        <v>0</v>
      </c>
      <c r="B2" s="17" t="s">
        <v>234</v>
      </c>
      <c r="C2" s="17" t="s">
        <v>347</v>
      </c>
      <c r="D2" s="107" t="s">
        <v>56</v>
      </c>
      <c r="E2" s="107" t="s">
        <v>235</v>
      </c>
      <c r="F2" s="107" t="s">
        <v>57</v>
      </c>
      <c r="G2" s="107" t="s">
        <v>236</v>
      </c>
      <c r="H2" s="107" t="s">
        <v>58</v>
      </c>
      <c r="I2" s="107" t="s">
        <v>237</v>
      </c>
      <c r="J2" s="107" t="s">
        <v>59</v>
      </c>
      <c r="K2" s="107" t="s">
        <v>238</v>
      </c>
      <c r="L2" s="107" t="s">
        <v>60</v>
      </c>
      <c r="M2" s="107" t="s">
        <v>239</v>
      </c>
      <c r="N2" s="107" t="s">
        <v>61</v>
      </c>
      <c r="O2" s="107" t="s">
        <v>240</v>
      </c>
      <c r="P2" s="107" t="s">
        <v>62</v>
      </c>
      <c r="Q2" s="107" t="s">
        <v>241</v>
      </c>
      <c r="R2" s="107" t="s">
        <v>63</v>
      </c>
      <c r="S2" s="107" t="s">
        <v>242</v>
      </c>
      <c r="T2" s="107" t="s">
        <v>64</v>
      </c>
      <c r="U2" s="107" t="s">
        <v>243</v>
      </c>
      <c r="V2" s="107" t="s">
        <v>65</v>
      </c>
      <c r="W2" s="107" t="s">
        <v>244</v>
      </c>
      <c r="X2" s="107" t="s">
        <v>66</v>
      </c>
      <c r="Y2" s="107" t="s">
        <v>245</v>
      </c>
      <c r="Z2" s="107" t="s">
        <v>67</v>
      </c>
      <c r="AA2" s="107" t="s">
        <v>246</v>
      </c>
      <c r="AB2" s="107" t="s">
        <v>247</v>
      </c>
      <c r="AC2" s="105" t="s">
        <v>313</v>
      </c>
      <c r="AD2" s="103" t="s">
        <v>323</v>
      </c>
      <c r="AE2" s="182" t="s">
        <v>316</v>
      </c>
      <c r="AF2" s="247" t="s">
        <v>317</v>
      </c>
      <c r="AG2" s="239" t="s">
        <v>348</v>
      </c>
      <c r="AH2" s="239" t="s">
        <v>406</v>
      </c>
    </row>
    <row r="3" spans="1:35" ht="15.75" customHeight="1" x14ac:dyDescent="0.25">
      <c r="A3" s="7" t="s">
        <v>13</v>
      </c>
      <c r="B3" s="96" t="s">
        <v>14</v>
      </c>
      <c r="C3" s="96" t="str">
        <f>_xlfn.XLOOKUP(Tabla428[[#This Row],[Servicios del Programa:]],Tabla151[CODIGO],Tabla151[VALOR])</f>
        <v>Gestion y seguimiento</v>
      </c>
      <c r="D3" s="14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144"/>
      <c r="G3" s="56" cm="1">
        <f t="array" ref="G3">IF(F3="X",(_xlfn.XLOOKUP($B3,Tabla1[SERVICIO],Tabla1[VALOR])*1),IF(F3&gt;=1,_xlfn.XLOOKUP($B3,Tabla1[SERVICIO],Tabla1[VALOR]*F3),0))</f>
        <v>0</v>
      </c>
      <c r="H3" s="144"/>
      <c r="I3" s="56" cm="1">
        <f t="array" ref="I3">IF(H3="X",(_xlfn.XLOOKUP($B3,Tabla1[SERVICIO],Tabla1[VALOR])*1),IF(H3&gt;=1,_xlfn.XLOOKUP($B3,Tabla1[SERVICIO],Tabla1[VALOR]*H3),0))</f>
        <v>0</v>
      </c>
      <c r="J3" s="144"/>
      <c r="K3" s="56" cm="1">
        <f t="array" ref="K3">IF(J3="X",(_xlfn.XLOOKUP($B3,Tabla1[SERVICIO],Tabla1[VALOR])*1),IF(J3&gt;=1,_xlfn.XLOOKUP($B3,Tabla1[SERVICIO],Tabla1[VALOR]*J3),0))</f>
        <v>0</v>
      </c>
      <c r="L3" s="144"/>
      <c r="M3" s="56" cm="1">
        <f t="array" ref="M3">IF(L3="X",(_xlfn.XLOOKUP($B3,Tabla1[SERVICIO],Tabla1[VALOR])*1),IF(L3&gt;=1,_xlfn.XLOOKUP($B3,Tabla1[SERVICIO],Tabla1[VALOR]*L3),0))</f>
        <v>0</v>
      </c>
      <c r="N3" s="144"/>
      <c r="O3" s="56" cm="1">
        <f t="array" ref="O3">IF(N3="X",(_xlfn.XLOOKUP($B3,Tabla1[SERVICIO],Tabla1[VALOR])*1),IF(N3&gt;=1,_xlfn.XLOOKUP($B3,Tabla1[SERVICIO],Tabla1[VALOR]*N3),0))</f>
        <v>0</v>
      </c>
      <c r="P3" s="144"/>
      <c r="Q3" s="56" cm="1">
        <f t="array" ref="Q3">IF(P3="X",(_xlfn.XLOOKUP($B3,Tabla1[SERVICIO],Tabla1[VALOR])*1),IF(P3&gt;=1,_xlfn.XLOOKUP($B3,Tabla1[SERVICIO],Tabla1[VALOR]*P3),0))</f>
        <v>0</v>
      </c>
      <c r="R3" s="144"/>
      <c r="S3" s="56" cm="1">
        <f t="array" ref="S3">IF(R3="X",(_xlfn.XLOOKUP($B3,Tabla1[SERVICIO],Tabla1[VALOR])*1),IF(R3&gt;=1,_xlfn.XLOOKUP($B3,Tabla1[SERVICIO],Tabla1[VALOR]*R3),0))</f>
        <v>0</v>
      </c>
      <c r="T3" s="144"/>
      <c r="U3" s="56" cm="1">
        <f t="array" ref="U3">IF(T3="X",(_xlfn.XLOOKUP($B3,Tabla1[SERVICIO],Tabla1[VALOR])*1),IF(T3&gt;=1,_xlfn.XLOOKUP($B3,Tabla1[SERVICIO],Tabla1[VALOR]*T3),0))</f>
        <v>0</v>
      </c>
      <c r="V3" s="144"/>
      <c r="W3" s="56" cm="1">
        <f t="array" ref="W3">IF(V3="X",(_xlfn.XLOOKUP($B3,Tabla1[SERVICIO],Tabla1[VALOR])*1),IF(V3&gt;=1,_xlfn.XLOOKUP($B3,Tabla1[SERVICIO],Tabla1[VALOR]*V3),0))</f>
        <v>0</v>
      </c>
      <c r="X3" s="144"/>
      <c r="Y3" s="56" cm="1">
        <f t="array" ref="Y3">IF(X3="X",(_xlfn.XLOOKUP($B3,Tabla1[SERVICIO],Tabla1[VALOR])*1),IF(X3&gt;=1,_xlfn.XLOOKUP($B3,Tabla1[SERVICIO],Tabla1[VALOR]*X3),0))</f>
        <v>0</v>
      </c>
      <c r="Z3" s="144"/>
      <c r="AA3" s="56" cm="1">
        <f t="array" ref="AA3">IF(Z3="X",(_xlfn.XLOOKUP($B3,Tabla1[SERVICIO],Tabla1[VALOR])*1),IF(Z3&gt;=1,_xlfn.XLOOKUP($B3,Tabla1[SERVICIO],Tabla1[VALOR]*Z3),0))</f>
        <v>0</v>
      </c>
      <c r="AB3" s="81">
        <f>SUM(E3,G3,I3,K3+M3,O3,Q3,S3,U3,W3,Y3,AA3)</f>
        <v>20552.755657371155</v>
      </c>
      <c r="AC3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" s="104" t="s">
        <v>318</v>
      </c>
      <c r="AE3" s="119">
        <v>1</v>
      </c>
      <c r="AF3" s="47">
        <f>+Tabla428[[#This Row],[TOTAL]]*AE3</f>
        <v>20552.755657371155</v>
      </c>
      <c r="AG3" s="104" t="s">
        <v>349</v>
      </c>
      <c r="AH3" s="333">
        <v>12</v>
      </c>
    </row>
    <row r="4" spans="1:35" x14ac:dyDescent="0.25">
      <c r="A4" s="7" t="s">
        <v>98</v>
      </c>
      <c r="B4" s="96" t="s">
        <v>99</v>
      </c>
      <c r="C4" s="96" t="str">
        <f>_xlfn.XLOOKUP(Tabla428[[#This Row],[Servicios del Programa:]],Tabla151[CODIGO],Tabla151[VALOR])</f>
        <v>Consultas</v>
      </c>
      <c r="D4" s="14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144"/>
      <c r="G4" s="56" cm="1">
        <f t="array" ref="G4">IF(F4="X",(_xlfn.XLOOKUP($B4,Tabla1[SERVICIO],Tabla1[VALOR])*1),IF(F4&gt;=1,_xlfn.XLOOKUP($B4,Tabla1[SERVICIO],Tabla1[VALOR]*F4),0))</f>
        <v>0</v>
      </c>
      <c r="H4" s="144"/>
      <c r="I4" s="56" cm="1">
        <f t="array" ref="I4">IF(H4="X",(_xlfn.XLOOKUP($B4,Tabla1[SERVICIO],Tabla1[VALOR])*1),IF(H4&gt;=1,_xlfn.XLOOKUP($B4,Tabla1[SERVICIO],Tabla1[VALOR]*H4),0))</f>
        <v>0</v>
      </c>
      <c r="J4" s="144"/>
      <c r="K4" s="56" cm="1">
        <f t="array" ref="K4">IF(J4="X",(_xlfn.XLOOKUP($B4,Tabla1[SERVICIO],Tabla1[VALOR])*1),IF(J4&gt;=1,_xlfn.XLOOKUP($B4,Tabla1[SERVICIO],Tabla1[VALOR]*J4),0))</f>
        <v>0</v>
      </c>
      <c r="L4" s="144"/>
      <c r="M4" s="56" cm="1">
        <f t="array" ref="M4">IF(L4="X",(_xlfn.XLOOKUP($B4,Tabla1[SERVICIO],Tabla1[VALOR])*1),IF(L4&gt;=1,_xlfn.XLOOKUP($B4,Tabla1[SERVICIO],Tabla1[VALOR]*L4),0))</f>
        <v>0</v>
      </c>
      <c r="N4" s="144"/>
      <c r="O4" s="56" cm="1">
        <f t="array" ref="O4">IF(N4="X",(_xlfn.XLOOKUP($B4,Tabla1[SERVICIO],Tabla1[VALOR])*1),IF(N4&gt;=1,_xlfn.XLOOKUP($B4,Tabla1[SERVICIO],Tabla1[VALOR]*N4),0))</f>
        <v>0</v>
      </c>
      <c r="P4" s="144"/>
      <c r="Q4" s="56" cm="1">
        <f t="array" ref="Q4">IF(P4="X",(_xlfn.XLOOKUP($B4,Tabla1[SERVICIO],Tabla1[VALOR])*1),IF(P4&gt;=1,_xlfn.XLOOKUP($B4,Tabla1[SERVICIO],Tabla1[VALOR]*P4),0))</f>
        <v>0</v>
      </c>
      <c r="R4" s="144"/>
      <c r="S4" s="56" cm="1">
        <f t="array" ref="S4">IF(R4="X",(_xlfn.XLOOKUP($B4,Tabla1[SERVICIO],Tabla1[VALOR])*1),IF(R4&gt;=1,_xlfn.XLOOKUP($B4,Tabla1[SERVICIO],Tabla1[VALOR]*R4),0))</f>
        <v>0</v>
      </c>
      <c r="T4" s="144"/>
      <c r="U4" s="56" cm="1">
        <f t="array" ref="U4">IF(T4="X",(_xlfn.XLOOKUP($B4,Tabla1[SERVICIO],Tabla1[VALOR])*1),IF(T4&gt;=1,_xlfn.XLOOKUP($B4,Tabla1[SERVICIO],Tabla1[VALOR]*T4),0))</f>
        <v>0</v>
      </c>
      <c r="V4" s="144"/>
      <c r="W4" s="56" cm="1">
        <f t="array" ref="W4">IF(V4="X",(_xlfn.XLOOKUP($B4,Tabla1[SERVICIO],Tabla1[VALOR])*1),IF(V4&gt;=1,_xlfn.XLOOKUP($B4,Tabla1[SERVICIO],Tabla1[VALOR]*V4),0))</f>
        <v>0</v>
      </c>
      <c r="X4" s="144"/>
      <c r="Y4" s="56" cm="1">
        <f t="array" ref="Y4">IF(X4="X",(_xlfn.XLOOKUP($B4,Tabla1[SERVICIO],Tabla1[VALOR])*1),IF(X4&gt;=1,_xlfn.XLOOKUP($B4,Tabla1[SERVICIO],Tabla1[VALOR]*X4),0))</f>
        <v>0</v>
      </c>
      <c r="Z4" s="144"/>
      <c r="AA4" s="56" cm="1">
        <f t="array" ref="AA4">IF(Z4="X",(_xlfn.XLOOKUP($B4,Tabla1[SERVICIO],Tabla1[VALOR])*1),IF(Z4&gt;=1,_xlfn.XLOOKUP($B4,Tabla1[SERVICIO],Tabla1[VALOR]*Z4),0))</f>
        <v>0</v>
      </c>
      <c r="AB4" s="81">
        <f t="shared" ref="AB4:AB42" si="0">+E4+G4+I4+K4+M4+O4+Q4+S4+U4+W4+Y4+AA4</f>
        <v>17887.388810409495</v>
      </c>
      <c r="AC4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" s="104" t="s">
        <v>318</v>
      </c>
      <c r="AE4" s="119">
        <v>1</v>
      </c>
      <c r="AF4" s="47">
        <f>+Tabla428[[#This Row],[TOTAL]]*AE4</f>
        <v>17887.388810409495</v>
      </c>
      <c r="AG4" s="104" t="s">
        <v>349</v>
      </c>
      <c r="AH4" s="333">
        <v>12</v>
      </c>
    </row>
    <row r="5" spans="1:35" x14ac:dyDescent="0.25">
      <c r="A5" s="7" t="s">
        <v>104</v>
      </c>
      <c r="B5" s="96" t="s">
        <v>105</v>
      </c>
      <c r="C5" s="96" t="str">
        <f>_xlfn.XLOOKUP(Tabla428[[#This Row],[Servicios del Programa:]],Tabla151[CODIGO],Tabla151[VALOR])</f>
        <v>Consultas</v>
      </c>
      <c r="D5" s="144"/>
      <c r="E5" s="56" cm="1">
        <f t="array" ref="E5">IF(D5="X",(_xlfn.XLOOKUP($B5,Tabla1[SERVICIO],Tabla1[VALOR])*1),IF(D5&gt;=1,_xlfn.XLOOKUP($B5,Tabla1[SERVICIO],Tabla1[VALOR]*D5),0))</f>
        <v>0</v>
      </c>
      <c r="F5" s="144"/>
      <c r="G5" s="56" cm="1">
        <f t="array" ref="G5">IF(F5="X",(_xlfn.XLOOKUP($B5,Tabla1[SERVICIO],Tabla1[VALOR])*1),IF(F5&gt;=1,_xlfn.XLOOKUP($B5,Tabla1[SERVICIO],Tabla1[VALOR]*F5),0))</f>
        <v>0</v>
      </c>
      <c r="H5" s="144"/>
      <c r="I5" s="56" cm="1">
        <f t="array" ref="I5">IF(H5="X",(_xlfn.XLOOKUP($B5,Tabla1[SERVICIO],Tabla1[VALOR])*1),IF(H5&gt;=1,_xlfn.XLOOKUP($B5,Tabla1[SERVICIO],Tabla1[VALOR]*H5),0))</f>
        <v>0</v>
      </c>
      <c r="J5" s="144"/>
      <c r="K5" s="56" cm="1">
        <f t="array" ref="K5">IF(J5="X",(_xlfn.XLOOKUP($B5,Tabla1[SERVICIO],Tabla1[VALOR])*1),IF(J5&gt;=1,_xlfn.XLOOKUP($B5,Tabla1[SERVICIO],Tabla1[VALOR]*J5),0))</f>
        <v>0</v>
      </c>
      <c r="L5" s="144"/>
      <c r="M5" s="56" cm="1">
        <f t="array" ref="M5">IF(L5="X",(_xlfn.XLOOKUP($B5,Tabla1[SERVICIO],Tabla1[VALOR])*1),IF(L5&gt;=1,_xlfn.XLOOKUP($B5,Tabla1[SERVICIO],Tabla1[VALOR]*L5),0))</f>
        <v>0</v>
      </c>
      <c r="N5" s="144"/>
      <c r="O5" s="56" cm="1">
        <f t="array" ref="O5">IF(N5="X",(_xlfn.XLOOKUP($B5,Tabla1[SERVICIO],Tabla1[VALOR])*1),IF(N5&gt;=1,_xlfn.XLOOKUP($B5,Tabla1[SERVICIO],Tabla1[VALOR]*N5),0))</f>
        <v>0</v>
      </c>
      <c r="P5" s="144"/>
      <c r="Q5" s="56" cm="1">
        <f t="array" ref="Q5">IF(P5="X",(_xlfn.XLOOKUP($B5,Tabla1[SERVICIO],Tabla1[VALOR])*1),IF(P5&gt;=1,_xlfn.XLOOKUP($B5,Tabla1[SERVICIO],Tabla1[VALOR]*P5),0))</f>
        <v>0</v>
      </c>
      <c r="R5" s="144"/>
      <c r="S5" s="56" cm="1">
        <f t="array" ref="S5">IF(R5="X",(_xlfn.XLOOKUP($B5,Tabla1[SERVICIO],Tabla1[VALOR])*1),IF(R5&gt;=1,_xlfn.XLOOKUP($B5,Tabla1[SERVICIO],Tabla1[VALOR]*R5),0))</f>
        <v>0</v>
      </c>
      <c r="T5" s="144"/>
      <c r="U5" s="56" cm="1">
        <f t="array" ref="U5">IF(T5="X",(_xlfn.XLOOKUP($B5,Tabla1[SERVICIO],Tabla1[VALOR])*1),IF(T5&gt;=1,_xlfn.XLOOKUP($B5,Tabla1[SERVICIO],Tabla1[VALOR]*T5),0))</f>
        <v>0</v>
      </c>
      <c r="V5" s="144"/>
      <c r="W5" s="56" cm="1">
        <f t="array" ref="W5">IF(V5="X",(_xlfn.XLOOKUP($B5,Tabla1[SERVICIO],Tabla1[VALOR])*1),IF(V5&gt;=1,_xlfn.XLOOKUP($B5,Tabla1[SERVICIO],Tabla1[VALOR]*V5),0))</f>
        <v>0</v>
      </c>
      <c r="X5" s="144"/>
      <c r="Y5" s="56" cm="1">
        <f t="array" ref="Y5">IF(X5="X",(_xlfn.XLOOKUP($B5,Tabla1[SERVICIO],Tabla1[VALOR])*1),IF(X5&gt;=1,_xlfn.XLOOKUP($B5,Tabla1[SERVICIO],Tabla1[VALOR]*X5),0))</f>
        <v>0</v>
      </c>
      <c r="Z5" s="146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81">
        <f t="shared" si="0"/>
        <v>17887.388810409495</v>
      </c>
      <c r="AC5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5" s="104" t="s">
        <v>318</v>
      </c>
      <c r="AE5" s="119">
        <v>1</v>
      </c>
      <c r="AF5" s="47">
        <f>+Tabla428[[#This Row],[TOTAL]]*AE5</f>
        <v>17887.388810409495</v>
      </c>
      <c r="AG5" s="104" t="s">
        <v>349</v>
      </c>
      <c r="AH5" s="333">
        <v>12</v>
      </c>
    </row>
    <row r="6" spans="1:35" x14ac:dyDescent="0.25">
      <c r="A6" s="7" t="s">
        <v>121</v>
      </c>
      <c r="B6" s="96" t="s">
        <v>291</v>
      </c>
      <c r="C6" s="96" t="str">
        <f>_xlfn.XLOOKUP(Tabla428[[#This Row],[Servicios del Programa:]],Tabla151[CODIGO],Tabla151[VALOR])</f>
        <v>Gestion y seguimiento</v>
      </c>
      <c r="D6" s="144"/>
      <c r="E6" s="56" cm="1">
        <f t="array" ref="E6">IF(D6="X",(_xlfn.XLOOKUP($B6,Tabla1[SERVICIO],Tabla1[VALOR])*1),IF(D6&gt;=1,_xlfn.XLOOKUP($B6,Tabla1[SERVICIO],Tabla1[VALOR]*D6),0))</f>
        <v>0</v>
      </c>
      <c r="F6" s="144"/>
      <c r="G6" s="56" cm="1">
        <f t="array" ref="G6">IF(F6="X",(_xlfn.XLOOKUP($B6,Tabla1[SERVICIO],Tabla1[VALOR])*1),IF(F6&gt;=1,_xlfn.XLOOKUP($B6,Tabla1[SERVICIO],Tabla1[VALOR]*F6),0))</f>
        <v>0</v>
      </c>
      <c r="H6" s="144">
        <v>1</v>
      </c>
      <c r="I6" s="56" cm="1">
        <f t="array" ref="I6">IF(H6="X",(_xlfn.XLOOKUP($B6,Tabla1[SERVICIO],Tabla1[VALOR])*1),IF(H6&gt;=1,_xlfn.XLOOKUP($B6,Tabla1[SERVICIO],Tabla1[VALOR]*H6),0))</f>
        <v>17887.388810409495</v>
      </c>
      <c r="J6" s="144"/>
      <c r="K6" s="56" cm="1">
        <f t="array" ref="K6">IF(J6="X",(_xlfn.XLOOKUP($B6,Tabla1[SERVICIO],Tabla1[VALOR])*1),IF(J6&gt;=1,_xlfn.XLOOKUP($B6,Tabla1[SERVICIO],Tabla1[VALOR]*J6),0))</f>
        <v>0</v>
      </c>
      <c r="L6" s="144"/>
      <c r="M6" s="56" cm="1">
        <f t="array" ref="M6">IF(L6="X",(_xlfn.XLOOKUP($B6,Tabla1[SERVICIO],Tabla1[VALOR])*1),IF(L6&gt;=1,_xlfn.XLOOKUP($B6,Tabla1[SERVICIO],Tabla1[VALOR]*L6),0))</f>
        <v>0</v>
      </c>
      <c r="N6" s="144"/>
      <c r="O6" s="56" cm="1">
        <f t="array" ref="O6">IF(N6="X",(_xlfn.XLOOKUP($B6,Tabla1[SERVICIO],Tabla1[VALOR])*1),IF(N6&gt;=1,_xlfn.XLOOKUP($B6,Tabla1[SERVICIO],Tabla1[VALOR]*N6),0))</f>
        <v>0</v>
      </c>
      <c r="P6" s="144"/>
      <c r="Q6" s="56" cm="1">
        <f t="array" ref="Q6">IF(P6="X",(_xlfn.XLOOKUP($B6,Tabla1[SERVICIO],Tabla1[VALOR])*1),IF(P6&gt;=1,_xlfn.XLOOKUP($B6,Tabla1[SERVICIO],Tabla1[VALOR]*P6),0))</f>
        <v>0</v>
      </c>
      <c r="R6" s="144"/>
      <c r="S6" s="56" cm="1">
        <f t="array" ref="S6">IF(R6="X",(_xlfn.XLOOKUP($B6,Tabla1[SERVICIO],Tabla1[VALOR])*1),IF(R6&gt;=1,_xlfn.XLOOKUP($B6,Tabla1[SERVICIO],Tabla1[VALOR]*R6),0))</f>
        <v>0</v>
      </c>
      <c r="T6" s="144"/>
      <c r="U6" s="56" cm="1">
        <f t="array" ref="U6">IF(T6="X",(_xlfn.XLOOKUP($B6,Tabla1[SERVICIO],Tabla1[VALOR])*1),IF(T6&gt;=1,_xlfn.XLOOKUP($B6,Tabla1[SERVICIO],Tabla1[VALOR]*T6),0))</f>
        <v>0</v>
      </c>
      <c r="V6" s="144"/>
      <c r="W6" s="56" cm="1">
        <f t="array" ref="W6">IF(V6="X",(_xlfn.XLOOKUP($B6,Tabla1[SERVICIO],Tabla1[VALOR])*1),IF(V6&gt;=1,_xlfn.XLOOKUP($B6,Tabla1[SERVICIO],Tabla1[VALOR]*V6),0))</f>
        <v>0</v>
      </c>
      <c r="X6" s="144"/>
      <c r="Y6" s="56" cm="1">
        <f t="array" ref="Y6">IF(X6="X",(_xlfn.XLOOKUP($B6,Tabla1[SERVICIO],Tabla1[VALOR])*1),IF(X6&gt;=1,_xlfn.XLOOKUP($B6,Tabla1[SERVICIO],Tabla1[VALOR]*X6),0))</f>
        <v>0</v>
      </c>
      <c r="Z6" s="144"/>
      <c r="AA6" s="56" cm="1">
        <f t="array" ref="AA6">IF(Z6="X",(_xlfn.XLOOKUP($B6,Tabla1[SERVICIO],Tabla1[VALOR])*1),IF(Z6&gt;=1,_xlfn.XLOOKUP($B6,Tabla1[SERVICIO],Tabla1[VALOR]*Z6),0))</f>
        <v>0</v>
      </c>
      <c r="AB6" s="81">
        <f t="shared" si="0"/>
        <v>17887.388810409495</v>
      </c>
      <c r="AC6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6" s="104" t="s">
        <v>318</v>
      </c>
      <c r="AE6" s="119">
        <v>1</v>
      </c>
      <c r="AF6" s="47">
        <f>+Tabla428[[#This Row],[TOTAL]]*AE6</f>
        <v>17887.388810409495</v>
      </c>
      <c r="AG6" s="104" t="s">
        <v>349</v>
      </c>
      <c r="AH6" s="333">
        <v>12</v>
      </c>
    </row>
    <row r="7" spans="1:35" x14ac:dyDescent="0.25">
      <c r="A7" s="7" t="s">
        <v>40</v>
      </c>
      <c r="B7" s="96" t="s">
        <v>41</v>
      </c>
      <c r="C7" s="96" t="str">
        <f>_xlfn.XLOOKUP(Tabla428[[#This Row],[Servicios del Programa:]],Tabla151[CODIGO],Tabla151[VALOR])</f>
        <v>Gestion y seguimiento</v>
      </c>
      <c r="D7" s="144">
        <v>1</v>
      </c>
      <c r="E7" s="56" cm="1">
        <f t="array" ref="E7">IF(D7="X",(_xlfn.XLOOKUP($B7,Tabla1[SERVICIO],Tabla1[VALOR])*1),IF(D7&gt;=1,_xlfn.XLOOKUP($B7,Tabla1[SERVICIO],Tabla1[VALOR]*D7),0))</f>
        <v>15634.853025719462</v>
      </c>
      <c r="F7" s="144">
        <v>1</v>
      </c>
      <c r="G7" s="56" cm="1">
        <f t="array" ref="G7">IF(F7="X",(_xlfn.XLOOKUP($B7,Tabla1[SERVICIO],Tabla1[VALOR])*1),IF(F7&gt;=1,_xlfn.XLOOKUP($B7,Tabla1[SERVICIO],Tabla1[VALOR]*F7),0))</f>
        <v>15634.853025719462</v>
      </c>
      <c r="H7" s="144">
        <v>1</v>
      </c>
      <c r="I7" s="56" cm="1">
        <f t="array" ref="I7">IF(H7="X",(_xlfn.XLOOKUP($B7,Tabla1[SERVICIO],Tabla1[VALOR])*1),IF(H7&gt;=1,_xlfn.XLOOKUP($B7,Tabla1[SERVICIO],Tabla1[VALOR]*H7),0))</f>
        <v>15634.853025719462</v>
      </c>
      <c r="J7" s="144"/>
      <c r="K7" s="56" cm="1">
        <f t="array" ref="K7">IF(J7="X",(_xlfn.XLOOKUP($B7,Tabla1[SERVICIO],Tabla1[VALOR])*1),IF(J7&gt;=1,_xlfn.XLOOKUP($B7,Tabla1[SERVICIO],Tabla1[VALOR]*J7),0))</f>
        <v>0</v>
      </c>
      <c r="L7" s="144"/>
      <c r="M7" s="56" cm="1">
        <f t="array" ref="M7">IF(L7="X",(_xlfn.XLOOKUP($B7,Tabla1[SERVICIO],Tabla1[VALOR])*1),IF(L7&gt;=1,_xlfn.XLOOKUP($B7,Tabla1[SERVICIO],Tabla1[VALOR]*L7),0))</f>
        <v>0</v>
      </c>
      <c r="N7" s="144">
        <v>1</v>
      </c>
      <c r="O7" s="56" cm="1">
        <f t="array" ref="O7">IF(N7="X",(_xlfn.XLOOKUP($B7,Tabla1[SERVICIO],Tabla1[VALOR])*1),IF(N7&gt;=1,_xlfn.XLOOKUP($B7,Tabla1[SERVICIO],Tabla1[VALOR]*N7),0))</f>
        <v>15634.853025719462</v>
      </c>
      <c r="P7" s="144"/>
      <c r="Q7" s="56" cm="1">
        <f t="array" ref="Q7">IF(P7="X",(_xlfn.XLOOKUP($B7,Tabla1[SERVICIO],Tabla1[VALOR])*1),IF(P7&gt;=1,_xlfn.XLOOKUP($B7,Tabla1[SERVICIO],Tabla1[VALOR]*P7),0))</f>
        <v>0</v>
      </c>
      <c r="R7" s="144"/>
      <c r="S7" s="56" cm="1">
        <f t="array" ref="S7">IF(R7="X",(_xlfn.XLOOKUP($B7,Tabla1[SERVICIO],Tabla1[VALOR])*1),IF(R7&gt;=1,_xlfn.XLOOKUP($B7,Tabla1[SERVICIO],Tabla1[VALOR]*R7),0))</f>
        <v>0</v>
      </c>
      <c r="T7" s="144">
        <v>1</v>
      </c>
      <c r="U7" s="56" cm="1">
        <f t="array" ref="U7">IF(T7="X",(_xlfn.XLOOKUP($B7,Tabla1[SERVICIO],Tabla1[VALOR])*1),IF(T7&gt;=1,_xlfn.XLOOKUP($B7,Tabla1[SERVICIO],Tabla1[VALOR]*T7),0))</f>
        <v>15634.853025719462</v>
      </c>
      <c r="V7" s="144"/>
      <c r="W7" s="56" cm="1">
        <f t="array" ref="W7">IF(V7="X",(_xlfn.XLOOKUP($B7,Tabla1[SERVICIO],Tabla1[VALOR])*1),IF(V7&gt;=1,_xlfn.XLOOKUP($B7,Tabla1[SERVICIO],Tabla1[VALOR]*V7),0))</f>
        <v>0</v>
      </c>
      <c r="X7" s="144"/>
      <c r="Y7" s="56" cm="1">
        <f t="array" ref="Y7">IF(X7="X",(_xlfn.XLOOKUP($B7,Tabla1[SERVICIO],Tabla1[VALOR])*1),IF(X7&gt;=1,_xlfn.XLOOKUP($B7,Tabla1[SERVICIO],Tabla1[VALOR]*X7),0))</f>
        <v>0</v>
      </c>
      <c r="Z7" s="144">
        <v>1</v>
      </c>
      <c r="AA7" s="56" cm="1">
        <f t="array" ref="AA7">IF(Z7="X",(_xlfn.XLOOKUP($B7,Tabla1[SERVICIO],Tabla1[VALOR])*1),IF(Z7&gt;=1,_xlfn.XLOOKUP($B7,Tabla1[SERVICIO],Tabla1[VALOR]*Z7),0))</f>
        <v>15634.853025719462</v>
      </c>
      <c r="AB7" s="81">
        <f t="shared" si="0"/>
        <v>93809.118154316777</v>
      </c>
      <c r="AC7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6</v>
      </c>
      <c r="AD7" s="104" t="s">
        <v>318</v>
      </c>
      <c r="AE7" s="119">
        <v>1</v>
      </c>
      <c r="AF7" s="47">
        <f>+Tabla428[[#This Row],[TOTAL]]*AE7</f>
        <v>93809.118154316777</v>
      </c>
      <c r="AG7" s="104" t="s">
        <v>349</v>
      </c>
      <c r="AH7" s="333">
        <v>12</v>
      </c>
    </row>
    <row r="8" spans="1:35" x14ac:dyDescent="0.25">
      <c r="A8" s="7" t="s">
        <v>11</v>
      </c>
      <c r="B8" s="96" t="s">
        <v>12</v>
      </c>
      <c r="C8" s="96" t="str">
        <f>_xlfn.XLOOKUP(Tabla428[[#This Row],[Servicios del Programa:]],Tabla151[CODIGO],Tabla151[VALOR])</f>
        <v>Educacion</v>
      </c>
      <c r="D8" s="144">
        <v>1</v>
      </c>
      <c r="E8" s="56" cm="1">
        <f t="array" ref="E8">IF(D8="X",(_xlfn.XLOOKUP($B8,Tabla1[SERVICIO],Tabla1[VALOR])*1),IF(D8&gt;=1,_xlfn.XLOOKUP($B8,Tabla1[SERVICIO],Tabla1[VALOR]*D8),0))</f>
        <v>12743.421642219637</v>
      </c>
      <c r="F8" s="144">
        <v>1</v>
      </c>
      <c r="G8" s="56" cm="1">
        <f t="array" ref="G8">IF(F8="X",(_xlfn.XLOOKUP($B8,Tabla1[SERVICIO],Tabla1[VALOR])*1),IF(F8&gt;=1,_xlfn.XLOOKUP($B8,Tabla1[SERVICIO],Tabla1[VALOR]*F8),0))</f>
        <v>12743.421642219637</v>
      </c>
      <c r="H8" s="144">
        <v>1</v>
      </c>
      <c r="I8" s="56" cm="1">
        <f t="array" ref="I8">IF(H8="X",(_xlfn.XLOOKUP($B8,Tabla1[SERVICIO],Tabla1[VALOR])*1),IF(H8&gt;=1,_xlfn.XLOOKUP($B8,Tabla1[SERVICIO],Tabla1[VALOR]*H8),0))</f>
        <v>12743.421642219637</v>
      </c>
      <c r="J8" s="144">
        <v>1</v>
      </c>
      <c r="K8" s="56" cm="1">
        <f t="array" ref="K8">IF(J8="X",(_xlfn.XLOOKUP($B8,Tabla1[SERVICIO],Tabla1[VALOR])*1),IF(J8&gt;=1,_xlfn.XLOOKUP($B8,Tabla1[SERVICIO],Tabla1[VALOR]*J8),0))</f>
        <v>12743.421642219637</v>
      </c>
      <c r="L8" s="144">
        <v>1</v>
      </c>
      <c r="M8" s="56" cm="1">
        <f t="array" ref="M8">IF(L8="X",(_xlfn.XLOOKUP($B8,Tabla1[SERVICIO],Tabla1[VALOR])*1),IF(L8&gt;=1,_xlfn.XLOOKUP($B8,Tabla1[SERVICIO],Tabla1[VALOR]*L8),0))</f>
        <v>12743.421642219637</v>
      </c>
      <c r="N8" s="144">
        <v>1</v>
      </c>
      <c r="O8" s="56" cm="1">
        <f t="array" ref="O8">IF(N8="X",(_xlfn.XLOOKUP($B8,Tabla1[SERVICIO],Tabla1[VALOR])*1),IF(N8&gt;=1,_xlfn.XLOOKUP($B8,Tabla1[SERVICIO],Tabla1[VALOR]*N8),0))</f>
        <v>12743.421642219637</v>
      </c>
      <c r="P8" s="144">
        <v>1</v>
      </c>
      <c r="Q8" s="56" cm="1">
        <f t="array" ref="Q8">IF(P8="X",(_xlfn.XLOOKUP($B8,Tabla1[SERVICIO],Tabla1[VALOR])*1),IF(P8&gt;=1,_xlfn.XLOOKUP($B8,Tabla1[SERVICIO],Tabla1[VALOR]*P8),0))</f>
        <v>12743.421642219637</v>
      </c>
      <c r="R8" s="144">
        <v>1</v>
      </c>
      <c r="S8" s="56" cm="1">
        <f t="array" ref="S8">IF(R8="X",(_xlfn.XLOOKUP($B8,Tabla1[SERVICIO],Tabla1[VALOR])*1),IF(R8&gt;=1,_xlfn.XLOOKUP($B8,Tabla1[SERVICIO],Tabla1[VALOR]*R8),0))</f>
        <v>12743.421642219637</v>
      </c>
      <c r="T8" s="144">
        <v>1</v>
      </c>
      <c r="U8" s="56" cm="1">
        <f t="array" ref="U8">IF(T8="X",(_xlfn.XLOOKUP($B8,Tabla1[SERVICIO],Tabla1[VALOR])*1),IF(T8&gt;=1,_xlfn.XLOOKUP($B8,Tabla1[SERVICIO],Tabla1[VALOR]*T8),0))</f>
        <v>12743.421642219637</v>
      </c>
      <c r="V8" s="144">
        <v>1</v>
      </c>
      <c r="W8" s="56" cm="1">
        <f t="array" ref="W8">IF(V8="X",(_xlfn.XLOOKUP($B8,Tabla1[SERVICIO],Tabla1[VALOR])*1),IF(V8&gt;=1,_xlfn.XLOOKUP($B8,Tabla1[SERVICIO],Tabla1[VALOR]*V8),0))</f>
        <v>12743.421642219637</v>
      </c>
      <c r="X8" s="144">
        <v>1</v>
      </c>
      <c r="Y8" s="56" cm="1">
        <f t="array" ref="Y8">IF(X8="X",(_xlfn.XLOOKUP($B8,Tabla1[SERVICIO],Tabla1[VALOR])*1),IF(X8&gt;=1,_xlfn.XLOOKUP($B8,Tabla1[SERVICIO],Tabla1[VALOR]*X8),0))</f>
        <v>12743.421642219637</v>
      </c>
      <c r="Z8" s="144">
        <v>1</v>
      </c>
      <c r="AA8" s="56" cm="1">
        <f t="array" ref="AA8">IF(Z8="X",(_xlfn.XLOOKUP($B8,Tabla1[SERVICIO],Tabla1[VALOR])*1),IF(Z8&gt;=1,_xlfn.XLOOKUP($B8,Tabla1[SERVICIO],Tabla1[VALOR]*Z8),0))</f>
        <v>12743.421642219637</v>
      </c>
      <c r="AB8" s="81">
        <f t="shared" si="0"/>
        <v>152921.05970663563</v>
      </c>
      <c r="AC8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12</v>
      </c>
      <c r="AD8" s="104" t="s">
        <v>318</v>
      </c>
      <c r="AE8" s="119">
        <v>1</v>
      </c>
      <c r="AF8" s="47">
        <f>+Tabla428[[#This Row],[TOTAL]]*AE8</f>
        <v>152921.05970663563</v>
      </c>
      <c r="AG8" s="104" t="s">
        <v>349</v>
      </c>
      <c r="AH8" s="333">
        <v>12</v>
      </c>
    </row>
    <row r="9" spans="1:35" x14ac:dyDescent="0.25">
      <c r="A9" s="7" t="s">
        <v>3</v>
      </c>
      <c r="B9" s="96" t="s">
        <v>4</v>
      </c>
      <c r="C9" s="96" t="str">
        <f>_xlfn.XLOOKUP(Tabla428[[#This Row],[Servicios del Programa:]],Tabla151[CODIGO],Tabla151[VALOR])</f>
        <v>Consultas</v>
      </c>
      <c r="D9" s="144">
        <v>1</v>
      </c>
      <c r="E9" s="56" cm="1">
        <f t="array" ref="E9">IF(D9="X",(_xlfn.XLOOKUP($B9,Tabla1[SERVICIO],Tabla1[VALOR])*1),IF(D9&gt;=1,_xlfn.XLOOKUP($B9,Tabla1[SERVICIO],Tabla1[VALOR]*D9),0))</f>
        <v>20406.13276336317</v>
      </c>
      <c r="F9" s="144"/>
      <c r="G9" s="56" cm="1">
        <f t="array" ref="G9">IF(F9="X",(_xlfn.XLOOKUP($B9,Tabla1[SERVICIO],Tabla1[VALOR])*1),IF(F9&gt;=1,_xlfn.XLOOKUP($B9,Tabla1[SERVICIO],Tabla1[VALOR]*F9),0))</f>
        <v>0</v>
      </c>
      <c r="H9" s="144"/>
      <c r="I9" s="56" cm="1">
        <f t="array" ref="I9">IF(H9="X",(_xlfn.XLOOKUP($B9,Tabla1[SERVICIO],Tabla1[VALOR])*1),IF(H9&gt;=1,_xlfn.XLOOKUP($B9,Tabla1[SERVICIO],Tabla1[VALOR]*H9),0))</f>
        <v>0</v>
      </c>
      <c r="J9" s="144"/>
      <c r="K9" s="56" cm="1">
        <f t="array" ref="K9">IF(J9="X",(_xlfn.XLOOKUP($B9,Tabla1[SERVICIO],Tabla1[VALOR])*1),IF(J9&gt;=1,_xlfn.XLOOKUP($B9,Tabla1[SERVICIO],Tabla1[VALOR]*J9),0))</f>
        <v>0</v>
      </c>
      <c r="L9" s="144"/>
      <c r="M9" s="56" cm="1">
        <f t="array" ref="M9">IF(L9="X",(_xlfn.XLOOKUP($B9,Tabla1[SERVICIO],Tabla1[VALOR])*1),IF(L9&gt;=1,_xlfn.XLOOKUP($B9,Tabla1[SERVICIO],Tabla1[VALOR]*L9),0))</f>
        <v>0</v>
      </c>
      <c r="N9" s="144"/>
      <c r="O9" s="56" cm="1">
        <f t="array" ref="O9">IF(N9="X",(_xlfn.XLOOKUP($B9,Tabla1[SERVICIO],Tabla1[VALOR])*1),IF(N9&gt;=1,_xlfn.XLOOKUP($B9,Tabla1[SERVICIO],Tabla1[VALOR]*N9),0))</f>
        <v>0</v>
      </c>
      <c r="P9" s="144"/>
      <c r="Q9" s="56" cm="1">
        <f t="array" ref="Q9">IF(P9="X",(_xlfn.XLOOKUP($B9,Tabla1[SERVICIO],Tabla1[VALOR])*1),IF(P9&gt;=1,_xlfn.XLOOKUP($B9,Tabla1[SERVICIO],Tabla1[VALOR]*P9),0))</f>
        <v>0</v>
      </c>
      <c r="R9" s="144"/>
      <c r="S9" s="56" cm="1">
        <f t="array" ref="S9">IF(R9="X",(_xlfn.XLOOKUP($B9,Tabla1[SERVICIO],Tabla1[VALOR])*1),IF(R9&gt;=1,_xlfn.XLOOKUP($B9,Tabla1[SERVICIO],Tabla1[VALOR]*R9),0))</f>
        <v>0</v>
      </c>
      <c r="T9" s="144"/>
      <c r="U9" s="56" cm="1">
        <f t="array" ref="U9">IF(T9="X",(_xlfn.XLOOKUP($B9,Tabla1[SERVICIO],Tabla1[VALOR])*1),IF(T9&gt;=1,_xlfn.XLOOKUP($B9,Tabla1[SERVICIO],Tabla1[VALOR]*T9),0))</f>
        <v>0</v>
      </c>
      <c r="V9" s="144"/>
      <c r="W9" s="56" cm="1">
        <f t="array" ref="W9">IF(V9="X",(_xlfn.XLOOKUP($B9,Tabla1[SERVICIO],Tabla1[VALOR])*1),IF(V9&gt;=1,_xlfn.XLOOKUP($B9,Tabla1[SERVICIO],Tabla1[VALOR]*V9),0))</f>
        <v>0</v>
      </c>
      <c r="X9" s="144"/>
      <c r="Y9" s="56" cm="1">
        <f t="array" ref="Y9">IF(X9="X",(_xlfn.XLOOKUP($B9,Tabla1[SERVICIO],Tabla1[VALOR])*1),IF(X9&gt;=1,_xlfn.XLOOKUP($B9,Tabla1[SERVICIO],Tabla1[VALOR]*X9),0))</f>
        <v>0</v>
      </c>
      <c r="Z9" s="144"/>
      <c r="AA9" s="56" cm="1">
        <f t="array" ref="AA9">IF(Z9="X",(_xlfn.XLOOKUP($B9,Tabla1[SERVICIO],Tabla1[VALOR])*1),IF(Z9&gt;=1,_xlfn.XLOOKUP($B9,Tabla1[SERVICIO],Tabla1[VALOR]*Z9),0))</f>
        <v>0</v>
      </c>
      <c r="AB9" s="81">
        <f t="shared" si="0"/>
        <v>20406.13276336317</v>
      </c>
      <c r="AC9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9" s="104" t="s">
        <v>318</v>
      </c>
      <c r="AE9" s="119">
        <v>1</v>
      </c>
      <c r="AF9" s="47">
        <f>+Tabla428[[#This Row],[TOTAL]]*AE9</f>
        <v>20406.13276336317</v>
      </c>
      <c r="AG9" s="104" t="s">
        <v>349</v>
      </c>
      <c r="AH9" s="333">
        <v>12</v>
      </c>
    </row>
    <row r="10" spans="1:35" x14ac:dyDescent="0.25">
      <c r="A10" s="7" t="s">
        <v>5</v>
      </c>
      <c r="B10" s="96" t="s">
        <v>6</v>
      </c>
      <c r="C10" s="96" t="str">
        <f>_xlfn.XLOOKUP(Tabla428[[#This Row],[Servicios del Programa:]],Tabla151[CODIGO],Tabla151[VALOR])</f>
        <v>Consultas</v>
      </c>
      <c r="D10" s="144">
        <v>1</v>
      </c>
      <c r="E10" s="56" cm="1">
        <f t="array" ref="E10">IF(D10="X",(_xlfn.XLOOKUP($B10,Tabla1[SERVICIO],Tabla1[VALOR])*1),IF(D10&gt;=1,_xlfn.XLOOKUP($B10,Tabla1[SERVICIO],Tabla1[VALOR]*D10),0))</f>
        <v>18768.367820181349</v>
      </c>
      <c r="F10" s="144"/>
      <c r="G10" s="56" cm="1">
        <f t="array" ref="G10">IF(F10="X",(_xlfn.XLOOKUP($B10,Tabla1[SERVICIO],Tabla1[VALOR])*1),IF(F10&gt;=1,_xlfn.XLOOKUP($B10,Tabla1[SERVICIO],Tabla1[VALOR]*F10),0))</f>
        <v>0</v>
      </c>
      <c r="H10" s="144"/>
      <c r="I10" s="56" cm="1">
        <f t="array" ref="I10">IF(H10="X",(_xlfn.XLOOKUP($B10,Tabla1[SERVICIO],Tabla1[VALOR])*1),IF(H10&gt;=1,_xlfn.XLOOKUP($B10,Tabla1[SERVICIO],Tabla1[VALOR]*H10),0))</f>
        <v>0</v>
      </c>
      <c r="J10" s="144"/>
      <c r="K10" s="56" cm="1">
        <f t="array" ref="K10">IF(J10="X",(_xlfn.XLOOKUP($B10,Tabla1[SERVICIO],Tabla1[VALOR])*1),IF(J10&gt;=1,_xlfn.XLOOKUP($B10,Tabla1[SERVICIO],Tabla1[VALOR]*J10),0))</f>
        <v>0</v>
      </c>
      <c r="L10" s="144"/>
      <c r="M10" s="56" cm="1">
        <f t="array" ref="M10">IF(L10="X",(_xlfn.XLOOKUP($B10,Tabla1[SERVICIO],Tabla1[VALOR])*1),IF(L10&gt;=1,_xlfn.XLOOKUP($B10,Tabla1[SERVICIO],Tabla1[VALOR]*L10),0))</f>
        <v>0</v>
      </c>
      <c r="N10" s="144"/>
      <c r="O10" s="56" cm="1">
        <f t="array" ref="O10">IF(N10="X",(_xlfn.XLOOKUP($B10,Tabla1[SERVICIO],Tabla1[VALOR])*1),IF(N10&gt;=1,_xlfn.XLOOKUP($B10,Tabla1[SERVICIO],Tabla1[VALOR]*N10),0))</f>
        <v>0</v>
      </c>
      <c r="P10" s="144"/>
      <c r="Q10" s="56" cm="1">
        <f t="array" ref="Q10">IF(P10="X",(_xlfn.XLOOKUP($B10,Tabla1[SERVICIO],Tabla1[VALOR])*1),IF(P10&gt;=1,_xlfn.XLOOKUP($B10,Tabla1[SERVICIO],Tabla1[VALOR]*P10),0))</f>
        <v>0</v>
      </c>
      <c r="R10" s="144"/>
      <c r="S10" s="56" cm="1">
        <f t="array" ref="S10">IF(R10="X",(_xlfn.XLOOKUP($B10,Tabla1[SERVICIO],Tabla1[VALOR])*1),IF(R10&gt;=1,_xlfn.XLOOKUP($B10,Tabla1[SERVICIO],Tabla1[VALOR]*R10),0))</f>
        <v>0</v>
      </c>
      <c r="T10" s="144"/>
      <c r="U10" s="56" cm="1">
        <f t="array" ref="U10">IF(T10="X",(_xlfn.XLOOKUP($B10,Tabla1[SERVICIO],Tabla1[VALOR])*1),IF(T10&gt;=1,_xlfn.XLOOKUP($B10,Tabla1[SERVICIO],Tabla1[VALOR]*T10),0))</f>
        <v>0</v>
      </c>
      <c r="V10" s="144"/>
      <c r="W10" s="56" cm="1">
        <f t="array" ref="W10">IF(V10="X",(_xlfn.XLOOKUP($B10,Tabla1[SERVICIO],Tabla1[VALOR])*1),IF(V10&gt;=1,_xlfn.XLOOKUP($B10,Tabla1[SERVICIO],Tabla1[VALOR]*V10),0))</f>
        <v>0</v>
      </c>
      <c r="X10" s="144"/>
      <c r="Y10" s="56" cm="1">
        <f t="array" ref="Y10">IF(X10="X",(_xlfn.XLOOKUP($B10,Tabla1[SERVICIO],Tabla1[VALOR])*1),IF(X10&gt;=1,_xlfn.XLOOKUP($B10,Tabla1[SERVICIO],Tabla1[VALOR]*X10),0))</f>
        <v>0</v>
      </c>
      <c r="Z10" s="144"/>
      <c r="AA10" s="56" cm="1">
        <f t="array" ref="AA10">IF(Z10="X",(_xlfn.XLOOKUP($B10,Tabla1[SERVICIO],Tabla1[VALOR])*1),IF(Z10&gt;=1,_xlfn.XLOOKUP($B10,Tabla1[SERVICIO],Tabla1[VALOR]*Z10),0))</f>
        <v>0</v>
      </c>
      <c r="AB10" s="81">
        <f t="shared" si="0"/>
        <v>18768.367820181349</v>
      </c>
      <c r="AC10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0" s="104" t="s">
        <v>318</v>
      </c>
      <c r="AE10" s="119">
        <v>1</v>
      </c>
      <c r="AF10" s="47">
        <f>+Tabla428[[#This Row],[TOTAL]]*AE10</f>
        <v>18768.367820181349</v>
      </c>
      <c r="AG10" s="104" t="s">
        <v>349</v>
      </c>
      <c r="AH10" s="333">
        <v>12</v>
      </c>
    </row>
    <row r="11" spans="1:35" x14ac:dyDescent="0.25">
      <c r="A11" s="7" t="s">
        <v>74</v>
      </c>
      <c r="B11" s="96" t="s">
        <v>75</v>
      </c>
      <c r="C11" s="96" t="str">
        <f>_xlfn.XLOOKUP(Tabla428[[#This Row],[Servicios del Programa:]],Tabla151[CODIGO],Tabla151[VALOR])</f>
        <v>Consultas</v>
      </c>
      <c r="D11" s="144"/>
      <c r="E11" s="56" cm="1">
        <f t="array" ref="E11">IF(D11="X",(_xlfn.XLOOKUP($B11,Tabla1[SERVICIO],Tabla1[VALOR])*1),IF(D11&gt;=1,_xlfn.XLOOKUP($B11,Tabla1[SERVICIO],Tabla1[VALOR]*D11),0))</f>
        <v>0</v>
      </c>
      <c r="F11" s="144"/>
      <c r="G11" s="56" cm="1">
        <f t="array" ref="G11">IF(F11="X",(_xlfn.XLOOKUP($B11,Tabla1[SERVICIO],Tabla1[VALOR])*1),IF(F11&gt;=1,_xlfn.XLOOKUP($B11,Tabla1[SERVICIO],Tabla1[VALOR]*F11),0))</f>
        <v>0</v>
      </c>
      <c r="H11" s="144">
        <v>1</v>
      </c>
      <c r="I11" s="56" cm="1">
        <f t="array" ref="I11">IF(H11="X",(_xlfn.XLOOKUP($B11,Tabla1[SERVICIO],Tabla1[VALOR])*1),IF(H11&gt;=1,_xlfn.XLOOKUP($B11,Tabla1[SERVICIO],Tabla1[VALOR]*H11),0))</f>
        <v>19368.008636848015</v>
      </c>
      <c r="J11" s="144"/>
      <c r="K11" s="56" cm="1">
        <f t="array" ref="K11">IF(J11="X",(_xlfn.XLOOKUP($B11,Tabla1[SERVICIO],Tabla1[VALOR])*1),IF(J11&gt;=1,_xlfn.XLOOKUP($B11,Tabla1[SERVICIO],Tabla1[VALOR]*J11),0))</f>
        <v>0</v>
      </c>
      <c r="L11" s="144"/>
      <c r="M11" s="56" cm="1">
        <f t="array" ref="M11">IF(L11="X",(_xlfn.XLOOKUP($B11,Tabla1[SERVICIO],Tabla1[VALOR])*1),IF(L11&gt;=1,_xlfn.XLOOKUP($B11,Tabla1[SERVICIO],Tabla1[VALOR]*L11),0))</f>
        <v>0</v>
      </c>
      <c r="N11" s="144"/>
      <c r="O11" s="56" cm="1">
        <f t="array" ref="O11">IF(N11="X",(_xlfn.XLOOKUP($B11,Tabla1[SERVICIO],Tabla1[VALOR])*1),IF(N11&gt;=1,_xlfn.XLOOKUP($B11,Tabla1[SERVICIO],Tabla1[VALOR]*N11),0))</f>
        <v>0</v>
      </c>
      <c r="P11" s="144"/>
      <c r="Q11" s="56" cm="1">
        <f t="array" ref="Q11">IF(P11="X",(_xlfn.XLOOKUP($B11,Tabla1[SERVICIO],Tabla1[VALOR])*1),IF(P11&gt;=1,_xlfn.XLOOKUP($B11,Tabla1[SERVICIO],Tabla1[VALOR]*P11),0))</f>
        <v>0</v>
      </c>
      <c r="R11" s="144"/>
      <c r="S11" s="56" cm="1">
        <f t="array" ref="S11">IF(R11="X",(_xlfn.XLOOKUP($B11,Tabla1[SERVICIO],Tabla1[VALOR])*1),IF(R11&gt;=1,_xlfn.XLOOKUP($B11,Tabla1[SERVICIO],Tabla1[VALOR]*R11),0))</f>
        <v>0</v>
      </c>
      <c r="T11" s="144"/>
      <c r="U11" s="56" cm="1">
        <f t="array" ref="U11">IF(T11="X",(_xlfn.XLOOKUP($B11,Tabla1[SERVICIO],Tabla1[VALOR])*1),IF(T11&gt;=1,_xlfn.XLOOKUP($B11,Tabla1[SERVICIO],Tabla1[VALOR]*T11),0))</f>
        <v>0</v>
      </c>
      <c r="V11" s="144"/>
      <c r="W11" s="56" cm="1">
        <f t="array" ref="W11">IF(V11="X",(_xlfn.XLOOKUP($B11,Tabla1[SERVICIO],Tabla1[VALOR])*1),IF(V11&gt;=1,_xlfn.XLOOKUP($B11,Tabla1[SERVICIO],Tabla1[VALOR]*V11),0))</f>
        <v>0</v>
      </c>
      <c r="X11" s="144"/>
      <c r="Y11" s="56" cm="1">
        <f t="array" ref="Y11">IF(X11="X",(_xlfn.XLOOKUP($B11,Tabla1[SERVICIO],Tabla1[VALOR])*1),IF(X11&gt;=1,_xlfn.XLOOKUP($B11,Tabla1[SERVICIO],Tabla1[VALOR]*X11),0))</f>
        <v>0</v>
      </c>
      <c r="Z11" s="144"/>
      <c r="AA11" s="56" cm="1">
        <f t="array" ref="AA11">IF(Z11="X",(_xlfn.XLOOKUP($B11,Tabla1[SERVICIO],Tabla1[VALOR])*1),IF(Z11&gt;=1,_xlfn.XLOOKUP($B11,Tabla1[SERVICIO],Tabla1[VALOR]*Z11),0))</f>
        <v>0</v>
      </c>
      <c r="AB11" s="81">
        <f t="shared" si="0"/>
        <v>19368.008636848015</v>
      </c>
      <c r="AC11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1" s="104" t="s">
        <v>318</v>
      </c>
      <c r="AE11" s="119">
        <v>1</v>
      </c>
      <c r="AF11" s="47">
        <f>+Tabla428[[#This Row],[TOTAL]]*AE11</f>
        <v>19368.008636848015</v>
      </c>
      <c r="AG11" s="104" t="s">
        <v>349</v>
      </c>
      <c r="AH11" s="333">
        <v>12</v>
      </c>
    </row>
    <row r="12" spans="1:35" x14ac:dyDescent="0.25">
      <c r="A12" s="7" t="s">
        <v>36</v>
      </c>
      <c r="B12" s="96" t="s">
        <v>100</v>
      </c>
      <c r="C12" s="96" t="str">
        <f>_xlfn.XLOOKUP(Tabla428[[#This Row],[Servicios del Programa:]],Tabla151[CODIGO],Tabla151[VALOR])</f>
        <v>Terapias</v>
      </c>
      <c r="D12" s="144"/>
      <c r="E12" s="56" cm="1">
        <f t="array" ref="E12">IF(D12="X",(_xlfn.XLOOKUP($B12,Tabla1[SERVICIO],Tabla1[VALOR])*1),IF(D12&gt;=1,_xlfn.XLOOKUP($B12,Tabla1[SERVICIO],Tabla1[VALOR]*D12),0))</f>
        <v>0</v>
      </c>
      <c r="F12" s="144"/>
      <c r="G12" s="56" cm="1">
        <f t="array" ref="G12">IF(F12="X",(_xlfn.XLOOKUP($B12,Tabla1[SERVICIO],Tabla1[VALOR])*1),IF(F12&gt;=1,_xlfn.XLOOKUP($B12,Tabla1[SERVICIO],Tabla1[VALOR]*F12),0))</f>
        <v>0</v>
      </c>
      <c r="H12" s="144">
        <v>8</v>
      </c>
      <c r="I12" s="56" cm="1">
        <f t="array" ref="I12">IF(H12="X",(_xlfn.XLOOKUP($B12,Tabla1[SERVICIO],Tabla1[VALOR])*1),IF(H12&gt;=1,_xlfn.XLOOKUP($B12,Tabla1[SERVICIO],Tabla1[VALOR]*H12),0))</f>
        <v>70240.958933331596</v>
      </c>
      <c r="J12" s="144">
        <v>8</v>
      </c>
      <c r="K12" s="56" cm="1">
        <f t="array" ref="K12">IF(J12="X",(_xlfn.XLOOKUP($B12,Tabla1[SERVICIO],Tabla1[VALOR])*1),IF(J12&gt;=1,_xlfn.XLOOKUP($B12,Tabla1[SERVICIO],Tabla1[VALOR]*J12),0))</f>
        <v>70240.958933331596</v>
      </c>
      <c r="L12" s="144">
        <v>8</v>
      </c>
      <c r="M12" s="56" cm="1">
        <f t="array" ref="M12">IF(L12="X",(_xlfn.XLOOKUP($B12,Tabla1[SERVICIO],Tabla1[VALOR])*1),IF(L12&gt;=1,_xlfn.XLOOKUP($B12,Tabla1[SERVICIO],Tabla1[VALOR]*L12),0))</f>
        <v>70240.958933331596</v>
      </c>
      <c r="N12" s="144">
        <v>8</v>
      </c>
      <c r="O12" s="56" cm="1">
        <f t="array" ref="O12">IF(N12="X",(_xlfn.XLOOKUP($B12,Tabla1[SERVICIO],Tabla1[VALOR])*1),IF(N12&gt;=1,_xlfn.XLOOKUP($B12,Tabla1[SERVICIO],Tabla1[VALOR]*N12),0))</f>
        <v>70240.958933331596</v>
      </c>
      <c r="P12" s="144">
        <v>8</v>
      </c>
      <c r="Q12" s="56" cm="1">
        <f t="array" ref="Q12">IF(P12="X",(_xlfn.XLOOKUP($B12,Tabla1[SERVICIO],Tabla1[VALOR])*1),IF(P12&gt;=1,_xlfn.XLOOKUP($B12,Tabla1[SERVICIO],Tabla1[VALOR]*P12),0))</f>
        <v>70240.958933331596</v>
      </c>
      <c r="R12" s="144">
        <v>8</v>
      </c>
      <c r="S12" s="56" cm="1">
        <f t="array" ref="S12">IF(R12="X",(_xlfn.XLOOKUP($B12,Tabla1[SERVICIO],Tabla1[VALOR])*1),IF(R12&gt;=1,_xlfn.XLOOKUP($B12,Tabla1[SERVICIO],Tabla1[VALOR]*R12),0))</f>
        <v>70240.958933331596</v>
      </c>
      <c r="T12" s="144">
        <v>8</v>
      </c>
      <c r="U12" s="56" cm="1">
        <f t="array" ref="U12">IF(T12="X",(_xlfn.XLOOKUP($B12,Tabla1[SERVICIO],Tabla1[VALOR])*1),IF(T12&gt;=1,_xlfn.XLOOKUP($B12,Tabla1[SERVICIO],Tabla1[VALOR]*T12),0))</f>
        <v>70240.958933331596</v>
      </c>
      <c r="V12" s="144">
        <v>8</v>
      </c>
      <c r="W12" s="56" cm="1">
        <f t="array" ref="W12">IF(V12="X",(_xlfn.XLOOKUP($B12,Tabla1[SERVICIO],Tabla1[VALOR])*1),IF(V12&gt;=1,_xlfn.XLOOKUP($B12,Tabla1[SERVICIO],Tabla1[VALOR]*V12),0))</f>
        <v>70240.958933331596</v>
      </c>
      <c r="X12" s="144">
        <v>8</v>
      </c>
      <c r="Y12" s="56" cm="1">
        <f t="array" ref="Y12">IF(X12="X",(_xlfn.XLOOKUP($B12,Tabla1[SERVICIO],Tabla1[VALOR])*1),IF(X12&gt;=1,_xlfn.XLOOKUP($B12,Tabla1[SERVICIO],Tabla1[VALOR]*X12),0))</f>
        <v>70240.958933331596</v>
      </c>
      <c r="Z12" s="144">
        <v>8</v>
      </c>
      <c r="AA12" s="56" cm="1">
        <f t="array" ref="AA12">IF(Z12="X",(_xlfn.XLOOKUP($B12,Tabla1[SERVICIO],Tabla1[VALOR])*1),IF(Z12&gt;=1,_xlfn.XLOOKUP($B12,Tabla1[SERVICIO],Tabla1[VALOR]*Z12),0))</f>
        <v>70240.958933331596</v>
      </c>
      <c r="AB12" s="81">
        <f t="shared" si="0"/>
        <v>702409.58933331585</v>
      </c>
      <c r="AC12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80</v>
      </c>
      <c r="AD12" s="104" t="s">
        <v>318</v>
      </c>
      <c r="AE12" s="119">
        <v>1</v>
      </c>
      <c r="AF12" s="47">
        <f>+Tabla428[[#This Row],[TOTAL]]*AE12</f>
        <v>702409.58933331585</v>
      </c>
      <c r="AG12" s="104" t="s">
        <v>349</v>
      </c>
      <c r="AH12" s="333">
        <v>12</v>
      </c>
      <c r="AI12" s="4">
        <f>+AF12/80</f>
        <v>8780.1198666664477</v>
      </c>
    </row>
    <row r="13" spans="1:35" x14ac:dyDescent="0.25">
      <c r="A13" s="7" t="s">
        <v>15</v>
      </c>
      <c r="B13" s="96" t="s">
        <v>16</v>
      </c>
      <c r="C13" s="96" t="str">
        <f>_xlfn.XLOOKUP(Tabla428[[#This Row],[Servicios del Programa:]],Tabla151[CODIGO],Tabla151[VALOR])</f>
        <v>Consultas</v>
      </c>
      <c r="D13" s="144"/>
      <c r="E13" s="56" cm="1">
        <f t="array" ref="E13">IF(D13="X",(_xlfn.XLOOKUP($B13,Tabla1[SERVICIO],Tabla1[VALOR])*1),IF(D13&gt;=1,_xlfn.XLOOKUP($B13,Tabla1[SERVICIO],Tabla1[VALOR]*D13),0))</f>
        <v>0</v>
      </c>
      <c r="F13" s="144"/>
      <c r="G13" s="56" cm="1">
        <f t="array" ref="G13">IF(F13="X",(_xlfn.XLOOKUP($B13,Tabla1[SERVICIO],Tabla1[VALOR])*1),IF(F13&gt;=1,_xlfn.XLOOKUP($B13,Tabla1[SERVICIO],Tabla1[VALOR]*F13),0))</f>
        <v>0</v>
      </c>
      <c r="H13" s="144"/>
      <c r="I13" s="56" cm="1">
        <f t="array" ref="I13">IF(H13="X",(_xlfn.XLOOKUP($B13,Tabla1[SERVICIO],Tabla1[VALOR])*1),IF(H13&gt;=1,_xlfn.XLOOKUP($B13,Tabla1[SERVICIO],Tabla1[VALOR]*H13),0))</f>
        <v>0</v>
      </c>
      <c r="J13" s="144"/>
      <c r="K13" s="56" cm="1">
        <f t="array" ref="K13">IF(J13="X",(_xlfn.XLOOKUP($B13,Tabla1[SERVICIO],Tabla1[VALOR])*1),IF(J13&gt;=1,_xlfn.XLOOKUP($B13,Tabla1[SERVICIO],Tabla1[VALOR]*J13),0))</f>
        <v>0</v>
      </c>
      <c r="L13" s="144"/>
      <c r="M13" s="56" cm="1">
        <f t="array" ref="M13">IF(L13="X",(_xlfn.XLOOKUP($B13,Tabla1[SERVICIO],Tabla1[VALOR])*1),IF(L13&gt;=1,_xlfn.XLOOKUP($B13,Tabla1[SERVICIO],Tabla1[VALOR]*L13),0))</f>
        <v>0</v>
      </c>
      <c r="N13" s="144"/>
      <c r="O13" s="56" cm="1">
        <f t="array" ref="O13">IF(N13="X",(_xlfn.XLOOKUP($B13,Tabla1[SERVICIO],Tabla1[VALOR])*1),IF(N13&gt;=1,_xlfn.XLOOKUP($B13,Tabla1[SERVICIO],Tabla1[VALOR]*N13),0))</f>
        <v>0</v>
      </c>
      <c r="P13" s="144"/>
      <c r="Q13" s="56" cm="1">
        <f t="array" ref="Q13">IF(P13="X",(_xlfn.XLOOKUP($B13,Tabla1[SERVICIO],Tabla1[VALOR])*1),IF(P13&gt;=1,_xlfn.XLOOKUP($B13,Tabla1[SERVICIO],Tabla1[VALOR]*P13),0))</f>
        <v>0</v>
      </c>
      <c r="R13" s="144"/>
      <c r="S13" s="56" cm="1">
        <f t="array" ref="S13">IF(R13="X",(_xlfn.XLOOKUP($B13,Tabla1[SERVICIO],Tabla1[VALOR])*1),IF(R13&gt;=1,_xlfn.XLOOKUP($B13,Tabla1[SERVICIO],Tabla1[VALOR]*R13),0))</f>
        <v>0</v>
      </c>
      <c r="T13" s="144"/>
      <c r="U13" s="56" cm="1">
        <f t="array" ref="U13">IF(T13="X",(_xlfn.XLOOKUP($B13,Tabla1[SERVICIO],Tabla1[VALOR])*1),IF(T13&gt;=1,_xlfn.XLOOKUP($B13,Tabla1[SERVICIO],Tabla1[VALOR]*T13),0))</f>
        <v>0</v>
      </c>
      <c r="V13" s="144"/>
      <c r="W13" s="56" cm="1">
        <f t="array" ref="W13">IF(V13="X",(_xlfn.XLOOKUP($B13,Tabla1[SERVICIO],Tabla1[VALOR])*1),IF(V13&gt;=1,_xlfn.XLOOKUP($B13,Tabla1[SERVICIO],Tabla1[VALOR]*V13),0))</f>
        <v>0</v>
      </c>
      <c r="X13" s="144"/>
      <c r="Y13" s="56" cm="1">
        <f t="array" ref="Y13">IF(X13="X",(_xlfn.XLOOKUP($B13,Tabla1[SERVICIO],Tabla1[VALOR])*1),IF(X13&gt;=1,_xlfn.XLOOKUP($B13,Tabla1[SERVICIO],Tabla1[VALOR]*X13),0))</f>
        <v>0</v>
      </c>
      <c r="Z13" s="144">
        <v>1</v>
      </c>
      <c r="AA13" s="56" cm="1">
        <f t="array" ref="AA13">IF(Z13="X",(_xlfn.XLOOKUP($B13,Tabla1[SERVICIO],Tabla1[VALOR])*1),IF(Z13&gt;=1,_xlfn.XLOOKUP($B13,Tabla1[SERVICIO],Tabla1[VALOR]*Z13),0))</f>
        <v>22052.520800552971</v>
      </c>
      <c r="AB13" s="81">
        <f t="shared" si="0"/>
        <v>22052.520800552971</v>
      </c>
      <c r="AC13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3" s="104" t="s">
        <v>318</v>
      </c>
      <c r="AE13" s="119">
        <v>1</v>
      </c>
      <c r="AF13" s="47">
        <f>+Tabla428[[#This Row],[TOTAL]]*AE13</f>
        <v>22052.520800552971</v>
      </c>
      <c r="AG13" s="104" t="s">
        <v>349</v>
      </c>
      <c r="AH13" s="333">
        <v>12</v>
      </c>
    </row>
    <row r="14" spans="1:35" x14ac:dyDescent="0.25">
      <c r="A14" s="7" t="s">
        <v>17</v>
      </c>
      <c r="B14" s="96" t="s">
        <v>18</v>
      </c>
      <c r="C14" s="96" t="str">
        <f>_xlfn.XLOOKUP(Tabla428[[#This Row],[Servicios del Programa:]],Tabla151[CODIGO],Tabla151[VALOR])</f>
        <v>Consultas</v>
      </c>
      <c r="D14" s="144"/>
      <c r="E14" s="56" cm="1">
        <f t="array" ref="E14">IF(D14="X",(_xlfn.XLOOKUP($B14,Tabla1[SERVICIO],Tabla1[VALOR])*1),IF(D14&gt;=1,_xlfn.XLOOKUP($B14,Tabla1[SERVICIO],Tabla1[VALOR]*D14),0))</f>
        <v>0</v>
      </c>
      <c r="F14" s="144"/>
      <c r="G14" s="56" cm="1">
        <f t="array" ref="G14">IF(F14="X",(_xlfn.XLOOKUP($B14,Tabla1[SERVICIO],Tabla1[VALOR])*1),IF(F14&gt;=1,_xlfn.XLOOKUP($B14,Tabla1[SERVICIO],Tabla1[VALOR]*F14),0))</f>
        <v>0</v>
      </c>
      <c r="H14" s="144"/>
      <c r="I14" s="56" cm="1">
        <f t="array" ref="I14">IF(H14="X",(_xlfn.XLOOKUP($B14,Tabla1[SERVICIO],Tabla1[VALOR])*1),IF(H14&gt;=1,_xlfn.XLOOKUP($B14,Tabla1[SERVICIO],Tabla1[VALOR]*H14),0))</f>
        <v>0</v>
      </c>
      <c r="J14" s="144"/>
      <c r="K14" s="56" cm="1">
        <f t="array" ref="K14">IF(J14="X",(_xlfn.XLOOKUP($B14,Tabla1[SERVICIO],Tabla1[VALOR])*1),IF(J14&gt;=1,_xlfn.XLOOKUP($B14,Tabla1[SERVICIO],Tabla1[VALOR]*J14),0))</f>
        <v>0</v>
      </c>
      <c r="L14" s="144"/>
      <c r="M14" s="56" cm="1">
        <f t="array" ref="M14">IF(L14="X",(_xlfn.XLOOKUP($B14,Tabla1[SERVICIO],Tabla1[VALOR])*1),IF(L14&gt;=1,_xlfn.XLOOKUP($B14,Tabla1[SERVICIO],Tabla1[VALOR]*L14),0))</f>
        <v>0</v>
      </c>
      <c r="N14" s="144"/>
      <c r="O14" s="56" cm="1">
        <f t="array" ref="O14">IF(N14="X",(_xlfn.XLOOKUP($B14,Tabla1[SERVICIO],Tabla1[VALOR])*1),IF(N14&gt;=1,_xlfn.XLOOKUP($B14,Tabla1[SERVICIO],Tabla1[VALOR]*N14),0))</f>
        <v>0</v>
      </c>
      <c r="P14" s="144"/>
      <c r="Q14" s="56" cm="1">
        <f t="array" ref="Q14">IF(P14="X",(_xlfn.XLOOKUP($B14,Tabla1[SERVICIO],Tabla1[VALOR])*1),IF(P14&gt;=1,_xlfn.XLOOKUP($B14,Tabla1[SERVICIO],Tabla1[VALOR]*P14),0))</f>
        <v>0</v>
      </c>
      <c r="R14" s="144"/>
      <c r="S14" s="56" cm="1">
        <f t="array" ref="S14">IF(R14="X",(_xlfn.XLOOKUP($B14,Tabla1[SERVICIO],Tabla1[VALOR])*1),IF(R14&gt;=1,_xlfn.XLOOKUP($B14,Tabla1[SERVICIO],Tabla1[VALOR]*R14),0))</f>
        <v>0</v>
      </c>
      <c r="T14" s="144"/>
      <c r="U14" s="56" cm="1">
        <f t="array" ref="U14">IF(T14="X",(_xlfn.XLOOKUP($B14,Tabla1[SERVICIO],Tabla1[VALOR])*1),IF(T14&gt;=1,_xlfn.XLOOKUP($B14,Tabla1[SERVICIO],Tabla1[VALOR]*T14),0))</f>
        <v>0</v>
      </c>
      <c r="V14" s="144"/>
      <c r="W14" s="56" cm="1">
        <f t="array" ref="W14">IF(V14="X",(_xlfn.XLOOKUP($B14,Tabla1[SERVICIO],Tabla1[VALOR])*1),IF(V14&gt;=1,_xlfn.XLOOKUP($B14,Tabla1[SERVICIO],Tabla1[VALOR]*V14),0))</f>
        <v>0</v>
      </c>
      <c r="X14" s="144"/>
      <c r="Y14" s="56" cm="1">
        <f t="array" ref="Y14">IF(X14="X",(_xlfn.XLOOKUP($B14,Tabla1[SERVICIO],Tabla1[VALOR])*1),IF(X14&gt;=1,_xlfn.XLOOKUP($B14,Tabla1[SERVICIO],Tabla1[VALOR]*X14),0))</f>
        <v>0</v>
      </c>
      <c r="Z14" s="144">
        <v>1</v>
      </c>
      <c r="AA14" s="56" cm="1">
        <f t="array" ref="AA14">IF(Z14="X",(_xlfn.XLOOKUP($B14,Tabla1[SERVICIO],Tabla1[VALOR])*1),IF(Z14&gt;=1,_xlfn.XLOOKUP($B14,Tabla1[SERVICIO],Tabla1[VALOR]*Z14),0))</f>
        <v>20414.75585737115</v>
      </c>
      <c r="AB14" s="81">
        <f t="shared" si="0"/>
        <v>20414.75585737115</v>
      </c>
      <c r="AC14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4" s="104" t="s">
        <v>318</v>
      </c>
      <c r="AE14" s="119">
        <v>1</v>
      </c>
      <c r="AF14" s="47">
        <f>+Tabla428[[#This Row],[TOTAL]]*AE14</f>
        <v>20414.75585737115</v>
      </c>
      <c r="AG14" s="104" t="s">
        <v>349</v>
      </c>
      <c r="AH14" s="333">
        <v>12</v>
      </c>
    </row>
    <row r="15" spans="1:35" x14ac:dyDescent="0.25">
      <c r="A15" s="7" t="s">
        <v>27</v>
      </c>
      <c r="B15" s="55" t="s">
        <v>28</v>
      </c>
      <c r="C15" s="96" t="str">
        <f>_xlfn.XLOOKUP(Tabla428[[#This Row],[Servicios del Programa:]],Tabla151[CODIGO],Tabla151[VALOR])</f>
        <v>Diagnosticos</v>
      </c>
      <c r="D15" s="144">
        <v>1</v>
      </c>
      <c r="E15" s="56" cm="1">
        <f t="array" ref="E15">IF(D15="X",(_xlfn.XLOOKUP($B15,Tabla1[SERVICIO],Tabla1[VALOR])*1),IF(D15&gt;=1,_xlfn.XLOOKUP($B15,Tabla1[SERVICIO],Tabla1[VALOR]*D15),0))</f>
        <v>43480.816890660324</v>
      </c>
      <c r="F15" s="144"/>
      <c r="G15" s="56" cm="1">
        <f t="array" ref="G15">IF(F15="X",(_xlfn.XLOOKUP($B15,Tabla1[SERVICIO],Tabla1[VALOR])*1),IF(F15&gt;=1,_xlfn.XLOOKUP($B15,Tabla1[SERVICIO],Tabla1[VALOR]*F15),0))</f>
        <v>0</v>
      </c>
      <c r="H15" s="144"/>
      <c r="I15" s="56" cm="1">
        <f t="array" ref="I15">IF(H15="X",(_xlfn.XLOOKUP($B15,Tabla1[SERVICIO],Tabla1[VALOR])*1),IF(H15&gt;=1,_xlfn.XLOOKUP($B15,Tabla1[SERVICIO],Tabla1[VALOR]*H15),0))</f>
        <v>0</v>
      </c>
      <c r="J15" s="144"/>
      <c r="K15" s="56" cm="1">
        <f t="array" ref="K15">IF(J15="X",(_xlfn.XLOOKUP($B15,Tabla1[SERVICIO],Tabla1[VALOR])*1),IF(J15&gt;=1,_xlfn.XLOOKUP($B15,Tabla1[SERVICIO],Tabla1[VALOR]*J15),0))</f>
        <v>0</v>
      </c>
      <c r="L15" s="144"/>
      <c r="M15" s="56" cm="1">
        <f t="array" ref="M15">IF(L15="X",(_xlfn.XLOOKUP($B15,Tabla1[SERVICIO],Tabla1[VALOR])*1),IF(L15&gt;=1,_xlfn.XLOOKUP($B15,Tabla1[SERVICIO],Tabla1[VALOR]*L15),0))</f>
        <v>0</v>
      </c>
      <c r="N15" s="144"/>
      <c r="O15" s="56" cm="1">
        <f t="array" ref="O15">IF(N15="X",(_xlfn.XLOOKUP($B15,Tabla1[SERVICIO],Tabla1[VALOR])*1),IF(N15&gt;=1,_xlfn.XLOOKUP($B15,Tabla1[SERVICIO],Tabla1[VALOR]*N15),0))</f>
        <v>0</v>
      </c>
      <c r="P15" s="144"/>
      <c r="Q15" s="56" cm="1">
        <f t="array" ref="Q15">IF(P15="X",(_xlfn.XLOOKUP($B15,Tabla1[SERVICIO],Tabla1[VALOR])*1),IF(P15&gt;=1,_xlfn.XLOOKUP($B15,Tabla1[SERVICIO],Tabla1[VALOR]*P15),0))</f>
        <v>0</v>
      </c>
      <c r="R15" s="144"/>
      <c r="S15" s="56" cm="1">
        <f t="array" ref="S15">IF(R15="X",(_xlfn.XLOOKUP($B15,Tabla1[SERVICIO],Tabla1[VALOR])*1),IF(R15&gt;=1,_xlfn.XLOOKUP($B15,Tabla1[SERVICIO],Tabla1[VALOR]*R15),0))</f>
        <v>0</v>
      </c>
      <c r="T15" s="144"/>
      <c r="U15" s="56" cm="1">
        <f t="array" ref="U15">IF(T15="X",(_xlfn.XLOOKUP($B15,Tabla1[SERVICIO],Tabla1[VALOR])*1),IF(T15&gt;=1,_xlfn.XLOOKUP($B15,Tabla1[SERVICIO],Tabla1[VALOR]*T15),0))</f>
        <v>0</v>
      </c>
      <c r="V15" s="144"/>
      <c r="W15" s="56" cm="1">
        <f t="array" ref="W15">IF(V15="X",(_xlfn.XLOOKUP($B15,Tabla1[SERVICIO],Tabla1[VALOR])*1),IF(V15&gt;=1,_xlfn.XLOOKUP($B15,Tabla1[SERVICIO],Tabla1[VALOR]*V15),0))</f>
        <v>0</v>
      </c>
      <c r="X15" s="144"/>
      <c r="Y15" s="56" cm="1">
        <f t="array" ref="Y15">IF(X15="X",(_xlfn.XLOOKUP($B15,Tabla1[SERVICIO],Tabla1[VALOR])*1),IF(X15&gt;=1,_xlfn.XLOOKUP($B15,Tabla1[SERVICIO],Tabla1[VALOR]*X15),0))</f>
        <v>0</v>
      </c>
      <c r="Z15" s="144">
        <v>1</v>
      </c>
      <c r="AA15" s="56" cm="1">
        <f t="array" ref="AA15">IF(Z15="X",(_xlfn.XLOOKUP($B15,Tabla1[SERVICIO],Tabla1[VALOR])*1),IF(Z15&gt;=1,_xlfn.XLOOKUP($B15,Tabla1[SERVICIO],Tabla1[VALOR]*Z15),0))</f>
        <v>43480.816890660324</v>
      </c>
      <c r="AB15" s="81">
        <f t="shared" si="0"/>
        <v>86961.633781320648</v>
      </c>
      <c r="AC15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15" s="104" t="s">
        <v>318</v>
      </c>
      <c r="AE15" s="119">
        <v>1</v>
      </c>
      <c r="AF15" s="47">
        <f>+Tabla428[[#This Row],[TOTAL]]*AE15</f>
        <v>86961.633781320648</v>
      </c>
      <c r="AG15" s="104" t="s">
        <v>349</v>
      </c>
      <c r="AH15" s="333">
        <v>12</v>
      </c>
    </row>
    <row r="16" spans="1:35" x14ac:dyDescent="0.25">
      <c r="A16" s="7" t="s">
        <v>25</v>
      </c>
      <c r="B16" s="96" t="s">
        <v>26</v>
      </c>
      <c r="C16" s="96" t="str">
        <f>_xlfn.XLOOKUP(Tabla428[[#This Row],[Servicios del Programa:]],Tabla151[CODIGO],Tabla151[VALOR])</f>
        <v>Diagnosticos</v>
      </c>
      <c r="D16" s="144"/>
      <c r="E16" s="56" cm="1">
        <f t="array" ref="E16">IF(D16="X",(_xlfn.XLOOKUP($B16,Tabla1[SERVICIO],Tabla1[VALOR])*1),IF(D16&gt;=1,_xlfn.XLOOKUP($B16,Tabla1[SERVICIO],Tabla1[VALOR]*D16),0))</f>
        <v>0</v>
      </c>
      <c r="F16" s="144"/>
      <c r="G16" s="56" cm="1">
        <f t="array" ref="G16">IF(F16="X",(_xlfn.XLOOKUP($B16,Tabla1[SERVICIO],Tabla1[VALOR])*1),IF(F16&gt;=1,_xlfn.XLOOKUP($B16,Tabla1[SERVICIO],Tabla1[VALOR]*F16),0))</f>
        <v>0</v>
      </c>
      <c r="H16" s="144">
        <v>1</v>
      </c>
      <c r="I16" s="56" cm="1">
        <f t="array" ref="I16">IF(H16="X",(_xlfn.XLOOKUP($B16,Tabla1[SERVICIO],Tabla1[VALOR])*1),IF(H16&gt;=1,_xlfn.XLOOKUP($B16,Tabla1[SERVICIO],Tabla1[VALOR]*H16),0))</f>
        <v>19392.627189167735</v>
      </c>
      <c r="J16" s="144"/>
      <c r="K16" s="56" cm="1">
        <f t="array" ref="K16">IF(J16="X",(_xlfn.XLOOKUP($B16,Tabla1[SERVICIO],Tabla1[VALOR])*1),IF(J16&gt;=1,_xlfn.XLOOKUP($B16,Tabla1[SERVICIO],Tabla1[VALOR]*J16),0))</f>
        <v>0</v>
      </c>
      <c r="L16" s="144"/>
      <c r="M16" s="56" cm="1">
        <f t="array" ref="M16">IF(L16="X",(_xlfn.XLOOKUP($B16,Tabla1[SERVICIO],Tabla1[VALOR])*1),IF(L16&gt;=1,_xlfn.XLOOKUP($B16,Tabla1[SERVICIO],Tabla1[VALOR]*L16),0))</f>
        <v>0</v>
      </c>
      <c r="N16" s="144"/>
      <c r="O16" s="56" cm="1">
        <f t="array" ref="O16">IF(N16="X",(_xlfn.XLOOKUP($B16,Tabla1[SERVICIO],Tabla1[VALOR])*1),IF(N16&gt;=1,_xlfn.XLOOKUP($B16,Tabla1[SERVICIO],Tabla1[VALOR]*N16),0))</f>
        <v>0</v>
      </c>
      <c r="P16" s="144"/>
      <c r="Q16" s="56" cm="1">
        <f t="array" ref="Q16">IF(P16="X",(_xlfn.XLOOKUP($B16,Tabla1[SERVICIO],Tabla1[VALOR])*1),IF(P16&gt;=1,_xlfn.XLOOKUP($B16,Tabla1[SERVICIO],Tabla1[VALOR]*P16),0))</f>
        <v>0</v>
      </c>
      <c r="R16" s="144"/>
      <c r="S16" s="56" cm="1">
        <f t="array" ref="S16">IF(R16="X",(_xlfn.XLOOKUP($B16,Tabla1[SERVICIO],Tabla1[VALOR])*1),IF(R16&gt;=1,_xlfn.XLOOKUP($B16,Tabla1[SERVICIO],Tabla1[VALOR]*R16),0))</f>
        <v>0</v>
      </c>
      <c r="T16" s="144"/>
      <c r="U16" s="56" cm="1">
        <f t="array" ref="U16">IF(T16="X",(_xlfn.XLOOKUP($B16,Tabla1[SERVICIO],Tabla1[VALOR])*1),IF(T16&gt;=1,_xlfn.XLOOKUP($B16,Tabla1[SERVICIO],Tabla1[VALOR]*T16),0))</f>
        <v>0</v>
      </c>
      <c r="V16" s="144"/>
      <c r="W16" s="56" cm="1">
        <f t="array" ref="W16">IF(V16="X",(_xlfn.XLOOKUP($B16,Tabla1[SERVICIO],Tabla1[VALOR])*1),IF(V16&gt;=1,_xlfn.XLOOKUP($B16,Tabla1[SERVICIO],Tabla1[VALOR]*V16),0))</f>
        <v>0</v>
      </c>
      <c r="X16" s="144"/>
      <c r="Y16" s="56" cm="1">
        <f t="array" ref="Y16">IF(X16="X",(_xlfn.XLOOKUP($B16,Tabla1[SERVICIO],Tabla1[VALOR])*1),IF(X16&gt;=1,_xlfn.XLOOKUP($B16,Tabla1[SERVICIO],Tabla1[VALOR]*X16),0))</f>
        <v>0</v>
      </c>
      <c r="Z16" s="144">
        <v>1</v>
      </c>
      <c r="AA16" s="56" cm="1">
        <f t="array" ref="AA16">IF(Z16="X",(_xlfn.XLOOKUP($B16,Tabla1[SERVICIO],Tabla1[VALOR])*1),IF(Z16&gt;=1,_xlfn.XLOOKUP($B16,Tabla1[SERVICIO],Tabla1[VALOR]*Z16),0))</f>
        <v>19392.627189167735</v>
      </c>
      <c r="AB16" s="81">
        <f t="shared" si="0"/>
        <v>38785.25437833547</v>
      </c>
      <c r="AC16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16" s="104" t="s">
        <v>318</v>
      </c>
      <c r="AE16" s="119">
        <v>1</v>
      </c>
      <c r="AF16" s="47">
        <f>+Tabla428[[#This Row],[TOTAL]]*AE16</f>
        <v>38785.25437833547</v>
      </c>
      <c r="AG16" s="104" t="s">
        <v>349</v>
      </c>
      <c r="AH16" s="333">
        <v>12</v>
      </c>
    </row>
    <row r="17" spans="1:34" x14ac:dyDescent="0.25">
      <c r="A17" s="7" t="s">
        <v>81</v>
      </c>
      <c r="B17" s="55" t="s">
        <v>279</v>
      </c>
      <c r="C17" s="96" t="str">
        <f>_xlfn.XLOOKUP(Tabla428[[#This Row],[Servicios del Programa:]],Tabla151[CODIGO],Tabla151[VALOR])</f>
        <v>Diagnosticos</v>
      </c>
      <c r="D17" s="144">
        <v>1</v>
      </c>
      <c r="E17" s="56" cm="1">
        <f t="array" ref="E17">IF(D17="X",(_xlfn.XLOOKUP($B17,Tabla1[SERVICIO],Tabla1[VALOR])*1),IF(D17&gt;=1,_xlfn.XLOOKUP($B17,Tabla1[SERVICIO],Tabla1[VALOR]*D17),0))</f>
        <v>37683.908143651206</v>
      </c>
      <c r="F17" s="144"/>
      <c r="G17" s="56" cm="1">
        <f t="array" ref="G17">IF(F17="X",(_xlfn.XLOOKUP($B17,Tabla1[SERVICIO],Tabla1[VALOR])*1),IF(F17&gt;=1,_xlfn.XLOOKUP($B17,Tabla1[SERVICIO],Tabla1[VALOR]*F17),0))</f>
        <v>0</v>
      </c>
      <c r="H17" s="144"/>
      <c r="I17" s="56" cm="1">
        <f t="array" ref="I17">IF(H17="X",(_xlfn.XLOOKUP($B17,Tabla1[SERVICIO],Tabla1[VALOR])*1),IF(H17&gt;=1,_xlfn.XLOOKUP($B17,Tabla1[SERVICIO],Tabla1[VALOR]*H17),0))</f>
        <v>0</v>
      </c>
      <c r="J17" s="144"/>
      <c r="K17" s="56" cm="1">
        <f t="array" ref="K17">IF(J17="X",(_xlfn.XLOOKUP($B17,Tabla1[SERVICIO],Tabla1[VALOR])*1),IF(J17&gt;=1,_xlfn.XLOOKUP($B17,Tabla1[SERVICIO],Tabla1[VALOR]*J17),0))</f>
        <v>0</v>
      </c>
      <c r="L17" s="144"/>
      <c r="M17" s="56" cm="1">
        <f t="array" ref="M17">IF(L17="X",(_xlfn.XLOOKUP($B17,Tabla1[SERVICIO],Tabla1[VALOR])*1),IF(L17&gt;=1,_xlfn.XLOOKUP($B17,Tabla1[SERVICIO],Tabla1[VALOR]*L17),0))</f>
        <v>0</v>
      </c>
      <c r="N17" s="144"/>
      <c r="O17" s="56" cm="1">
        <f t="array" ref="O17">IF(N17="X",(_xlfn.XLOOKUP($B17,Tabla1[SERVICIO],Tabla1[VALOR])*1),IF(N17&gt;=1,_xlfn.XLOOKUP($B17,Tabla1[SERVICIO],Tabla1[VALOR]*N17),0))</f>
        <v>0</v>
      </c>
      <c r="P17" s="144"/>
      <c r="Q17" s="56" cm="1">
        <f t="array" ref="Q17">IF(P17="X",(_xlfn.XLOOKUP($B17,Tabla1[SERVICIO],Tabla1[VALOR])*1),IF(P17&gt;=1,_xlfn.XLOOKUP($B17,Tabla1[SERVICIO],Tabla1[VALOR]*P17),0))</f>
        <v>0</v>
      </c>
      <c r="R17" s="144"/>
      <c r="S17" s="56" cm="1">
        <f t="array" ref="S17">IF(R17="X",(_xlfn.XLOOKUP($B17,Tabla1[SERVICIO],Tabla1[VALOR])*1),IF(R17&gt;=1,_xlfn.XLOOKUP($B17,Tabla1[SERVICIO],Tabla1[VALOR]*R17),0))</f>
        <v>0</v>
      </c>
      <c r="T17" s="144"/>
      <c r="U17" s="56" cm="1">
        <f t="array" ref="U17">IF(T17="X",(_xlfn.XLOOKUP($B17,Tabla1[SERVICIO],Tabla1[VALOR])*1),IF(T17&gt;=1,_xlfn.XLOOKUP($B17,Tabla1[SERVICIO],Tabla1[VALOR]*T17),0))</f>
        <v>0</v>
      </c>
      <c r="V17" s="144"/>
      <c r="W17" s="56" cm="1">
        <f t="array" ref="W17">IF(V17="X",(_xlfn.XLOOKUP($B17,Tabla1[SERVICIO],Tabla1[VALOR])*1),IF(V17&gt;=1,_xlfn.XLOOKUP($B17,Tabla1[SERVICIO],Tabla1[VALOR]*V17),0))</f>
        <v>0</v>
      </c>
      <c r="X17" s="144"/>
      <c r="Y17" s="56" cm="1">
        <f t="array" ref="Y17">IF(X17="X",(_xlfn.XLOOKUP($B17,Tabla1[SERVICIO],Tabla1[VALOR])*1),IF(X17&gt;=1,_xlfn.XLOOKUP($B17,Tabla1[SERVICIO],Tabla1[VALOR]*X17),0))</f>
        <v>0</v>
      </c>
      <c r="Z17" s="144"/>
      <c r="AA17" s="56" cm="1">
        <f t="array" ref="AA17">IF(Z17="X",(_xlfn.XLOOKUP($B17,Tabla1[SERVICIO],Tabla1[VALOR])*1),IF(Z17&gt;=1,_xlfn.XLOOKUP($B17,Tabla1[SERVICIO],Tabla1[VALOR]*Z17),0))</f>
        <v>0</v>
      </c>
      <c r="AB17" s="81">
        <f t="shared" si="0"/>
        <v>37683.908143651206</v>
      </c>
      <c r="AC17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7" s="104" t="s">
        <v>319</v>
      </c>
      <c r="AE17" s="119">
        <v>0.13116123642439431</v>
      </c>
      <c r="AF17" s="47">
        <f>+Tabla428[[#This Row],[TOTAL]]*AE17</f>
        <v>4942.667985424594</v>
      </c>
      <c r="AG17" s="104" t="s">
        <v>349</v>
      </c>
      <c r="AH17" s="333">
        <v>12</v>
      </c>
    </row>
    <row r="18" spans="1:34" x14ac:dyDescent="0.25">
      <c r="A18" s="7" t="s">
        <v>82</v>
      </c>
      <c r="B18" s="55" t="s">
        <v>83</v>
      </c>
      <c r="C18" s="96" t="str">
        <f>_xlfn.XLOOKUP(Tabla428[[#This Row],[Servicios del Programa:]],Tabla151[CODIGO],Tabla151[VALOR])</f>
        <v>Diagnosticos</v>
      </c>
      <c r="D18" s="144">
        <v>1</v>
      </c>
      <c r="E18" s="56" cm="1">
        <f t="array" ref="E18">IF(D18="X",(_xlfn.XLOOKUP($B18,Tabla1[SERVICIO],Tabla1[VALOR])*1),IF(D18&gt;=1,_xlfn.XLOOKUP($B18,Tabla1[SERVICIO],Tabla1[VALOR]*D18),0))</f>
        <v>65169.207262455195</v>
      </c>
      <c r="F18" s="144"/>
      <c r="G18" s="56" cm="1">
        <f t="array" ref="G18">IF(F18="X",(_xlfn.XLOOKUP($B18,Tabla1[SERVICIO],Tabla1[VALOR])*1),IF(F18&gt;=1,_xlfn.XLOOKUP($B18,Tabla1[SERVICIO],Tabla1[VALOR]*F18),0))</f>
        <v>0</v>
      </c>
      <c r="H18" s="144"/>
      <c r="I18" s="56" cm="1">
        <f t="array" ref="I18">IF(H18="X",(_xlfn.XLOOKUP($B18,Tabla1[SERVICIO],Tabla1[VALOR])*1),IF(H18&gt;=1,_xlfn.XLOOKUP($B18,Tabla1[SERVICIO],Tabla1[VALOR]*H18),0))</f>
        <v>0</v>
      </c>
      <c r="J18" s="144"/>
      <c r="K18" s="56" cm="1">
        <f t="array" ref="K18">IF(J18="X",(_xlfn.XLOOKUP($B18,Tabla1[SERVICIO],Tabla1[VALOR])*1),IF(J18&gt;=1,_xlfn.XLOOKUP($B18,Tabla1[SERVICIO],Tabla1[VALOR]*J18),0))</f>
        <v>0</v>
      </c>
      <c r="L18" s="144"/>
      <c r="M18" s="56" cm="1">
        <f t="array" ref="M18">IF(L18="X",(_xlfn.XLOOKUP($B18,Tabla1[SERVICIO],Tabla1[VALOR])*1),IF(L18&gt;=1,_xlfn.XLOOKUP($B18,Tabla1[SERVICIO],Tabla1[VALOR]*L18),0))</f>
        <v>0</v>
      </c>
      <c r="N18" s="144"/>
      <c r="O18" s="56" cm="1">
        <f t="array" ref="O18">IF(N18="X",(_xlfn.XLOOKUP($B18,Tabla1[SERVICIO],Tabla1[VALOR])*1),IF(N18&gt;=1,_xlfn.XLOOKUP($B18,Tabla1[SERVICIO],Tabla1[VALOR]*N18),0))</f>
        <v>0</v>
      </c>
      <c r="P18" s="144"/>
      <c r="Q18" s="56" cm="1">
        <f t="array" ref="Q18">IF(P18="X",(_xlfn.XLOOKUP($B18,Tabla1[SERVICIO],Tabla1[VALOR])*1),IF(P18&gt;=1,_xlfn.XLOOKUP($B18,Tabla1[SERVICIO],Tabla1[VALOR]*P18),0))</f>
        <v>0</v>
      </c>
      <c r="R18" s="144"/>
      <c r="S18" s="56" cm="1">
        <f t="array" ref="S18">IF(R18="X",(_xlfn.XLOOKUP($B18,Tabla1[SERVICIO],Tabla1[VALOR])*1),IF(R18&gt;=1,_xlfn.XLOOKUP($B18,Tabla1[SERVICIO],Tabla1[VALOR]*R18),0))</f>
        <v>0</v>
      </c>
      <c r="T18" s="144"/>
      <c r="U18" s="56" cm="1">
        <f t="array" ref="U18">IF(T18="X",(_xlfn.XLOOKUP($B18,Tabla1[SERVICIO],Tabla1[VALOR])*1),IF(T18&gt;=1,_xlfn.XLOOKUP($B18,Tabla1[SERVICIO],Tabla1[VALOR]*T18),0))</f>
        <v>0</v>
      </c>
      <c r="V18" s="144"/>
      <c r="W18" s="56" cm="1">
        <f t="array" ref="W18">IF(V18="X",(_xlfn.XLOOKUP($B18,Tabla1[SERVICIO],Tabla1[VALOR])*1),IF(V18&gt;=1,_xlfn.XLOOKUP($B18,Tabla1[SERVICIO],Tabla1[VALOR]*V18),0))</f>
        <v>0</v>
      </c>
      <c r="X18" s="144"/>
      <c r="Y18" s="56" cm="1">
        <f t="array" ref="Y18">IF(X18="X",(_xlfn.XLOOKUP($B18,Tabla1[SERVICIO],Tabla1[VALOR])*1),IF(X18&gt;=1,_xlfn.XLOOKUP($B18,Tabla1[SERVICIO],Tabla1[VALOR]*X18),0))</f>
        <v>0</v>
      </c>
      <c r="Z18" s="144"/>
      <c r="AA18" s="56" cm="1">
        <f t="array" ref="AA18">IF(Z18="X",(_xlfn.XLOOKUP($B18,Tabla1[SERVICIO],Tabla1[VALOR])*1),IF(Z18&gt;=1,_xlfn.XLOOKUP($B18,Tabla1[SERVICIO],Tabla1[VALOR]*Z18),0))</f>
        <v>0</v>
      </c>
      <c r="AB18" s="81">
        <f t="shared" si="0"/>
        <v>65169.207262455195</v>
      </c>
      <c r="AC18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8" s="104" t="s">
        <v>319</v>
      </c>
      <c r="AE18" s="119">
        <v>2.0885547201336674E-2</v>
      </c>
      <c r="AF18" s="47">
        <f>+Tabla428[[#This Row],[TOTAL]]*AE18</f>
        <v>1361.0945543537007</v>
      </c>
      <c r="AG18" s="104" t="s">
        <v>349</v>
      </c>
      <c r="AH18" s="333">
        <v>12</v>
      </c>
    </row>
    <row r="19" spans="1:34" x14ac:dyDescent="0.25">
      <c r="A19" s="7" t="s">
        <v>84</v>
      </c>
      <c r="B19" s="55" t="s">
        <v>85</v>
      </c>
      <c r="C19" s="96" t="str">
        <f>_xlfn.XLOOKUP(Tabla428[[#This Row],[Servicios del Programa:]],Tabla151[CODIGO],Tabla151[VALOR])</f>
        <v>Diagnosticos</v>
      </c>
      <c r="D19" s="144">
        <v>1</v>
      </c>
      <c r="E19" s="56" cm="1">
        <f t="array" ref="E19">IF(D19="X",(_xlfn.XLOOKUP($B19,Tabla1[SERVICIO],Tabla1[VALOR])*1),IF(D19&gt;=1,_xlfn.XLOOKUP($B19,Tabla1[SERVICIO],Tabla1[VALOR]*D19),0))</f>
        <v>68748.387080831264</v>
      </c>
      <c r="F19" s="144"/>
      <c r="G19" s="56" cm="1">
        <f t="array" ref="G19">IF(F19="X",(_xlfn.XLOOKUP($B19,Tabla1[SERVICIO],Tabla1[VALOR])*1),IF(F19&gt;=1,_xlfn.XLOOKUP($B19,Tabla1[SERVICIO],Tabla1[VALOR]*F19),0))</f>
        <v>0</v>
      </c>
      <c r="H19" s="144"/>
      <c r="I19" s="56" cm="1">
        <f t="array" ref="I19">IF(H19="X",(_xlfn.XLOOKUP($B19,Tabla1[SERVICIO],Tabla1[VALOR])*1),IF(H19&gt;=1,_xlfn.XLOOKUP($B19,Tabla1[SERVICIO],Tabla1[VALOR]*H19),0))</f>
        <v>0</v>
      </c>
      <c r="J19" s="144"/>
      <c r="K19" s="56" cm="1">
        <f t="array" ref="K19">IF(J19="X",(_xlfn.XLOOKUP($B19,Tabla1[SERVICIO],Tabla1[VALOR])*1),IF(J19&gt;=1,_xlfn.XLOOKUP($B19,Tabla1[SERVICIO],Tabla1[VALOR]*J19),0))</f>
        <v>0</v>
      </c>
      <c r="L19" s="144"/>
      <c r="M19" s="56" cm="1">
        <f t="array" ref="M19">IF(L19="X",(_xlfn.XLOOKUP($B19,Tabla1[SERVICIO],Tabla1[VALOR])*1),IF(L19&gt;=1,_xlfn.XLOOKUP($B19,Tabla1[SERVICIO],Tabla1[VALOR]*L19),0))</f>
        <v>0</v>
      </c>
      <c r="N19" s="144"/>
      <c r="O19" s="56" cm="1">
        <f t="array" ref="O19">IF(N19="X",(_xlfn.XLOOKUP($B19,Tabla1[SERVICIO],Tabla1[VALOR])*1),IF(N19&gt;=1,_xlfn.XLOOKUP($B19,Tabla1[SERVICIO],Tabla1[VALOR]*N19),0))</f>
        <v>0</v>
      </c>
      <c r="P19" s="144"/>
      <c r="Q19" s="56" cm="1">
        <f t="array" ref="Q19">IF(P19="X",(_xlfn.XLOOKUP($B19,Tabla1[SERVICIO],Tabla1[VALOR])*1),IF(P19&gt;=1,_xlfn.XLOOKUP($B19,Tabla1[SERVICIO],Tabla1[VALOR]*P19),0))</f>
        <v>0</v>
      </c>
      <c r="R19" s="144"/>
      <c r="S19" s="56" cm="1">
        <f t="array" ref="S19">IF(R19="X",(_xlfn.XLOOKUP($B19,Tabla1[SERVICIO],Tabla1[VALOR])*1),IF(R19&gt;=1,_xlfn.XLOOKUP($B19,Tabla1[SERVICIO],Tabla1[VALOR]*R19),0))</f>
        <v>0</v>
      </c>
      <c r="T19" s="144"/>
      <c r="U19" s="56" cm="1">
        <f t="array" ref="U19">IF(T19="X",(_xlfn.XLOOKUP($B19,Tabla1[SERVICIO],Tabla1[VALOR])*1),IF(T19&gt;=1,_xlfn.XLOOKUP($B19,Tabla1[SERVICIO],Tabla1[VALOR]*T19),0))</f>
        <v>0</v>
      </c>
      <c r="V19" s="144"/>
      <c r="W19" s="56" cm="1">
        <f t="array" ref="W19">IF(V19="X",(_xlfn.XLOOKUP($B19,Tabla1[SERVICIO],Tabla1[VALOR])*1),IF(V19&gt;=1,_xlfn.XLOOKUP($B19,Tabla1[SERVICIO],Tabla1[VALOR]*V19),0))</f>
        <v>0</v>
      </c>
      <c r="X19" s="144"/>
      <c r="Y19" s="56" cm="1">
        <f t="array" ref="Y19">IF(X19="X",(_xlfn.XLOOKUP($B19,Tabla1[SERVICIO],Tabla1[VALOR])*1),IF(X19&gt;=1,_xlfn.XLOOKUP($B19,Tabla1[SERVICIO],Tabla1[VALOR]*X19),0))</f>
        <v>0</v>
      </c>
      <c r="Z19" s="144"/>
      <c r="AA19" s="56" cm="1">
        <f t="array" ref="AA19">IF(Z19="X",(_xlfn.XLOOKUP($B19,Tabla1[SERVICIO],Tabla1[VALOR])*1),IF(Z19&gt;=1,_xlfn.XLOOKUP($B19,Tabla1[SERVICIO],Tabla1[VALOR]*Z19),0))</f>
        <v>0</v>
      </c>
      <c r="AB19" s="81">
        <f t="shared" si="0"/>
        <v>68748.387080831264</v>
      </c>
      <c r="AC19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9" s="104" t="s">
        <v>319</v>
      </c>
      <c r="AE19" s="119">
        <v>1.5037593984962405E-2</v>
      </c>
      <c r="AF19" s="47">
        <f>+Tabla428[[#This Row],[TOTAL]]*AE19</f>
        <v>1033.8103320425753</v>
      </c>
      <c r="AG19" s="104" t="s">
        <v>349</v>
      </c>
      <c r="AH19" s="333">
        <v>12</v>
      </c>
    </row>
    <row r="20" spans="1:34" x14ac:dyDescent="0.25">
      <c r="A20" s="7" t="s">
        <v>86</v>
      </c>
      <c r="B20" s="96" t="s">
        <v>320</v>
      </c>
      <c r="C20" s="96" t="str">
        <f>_xlfn.XLOOKUP(Tabla428[[#This Row],[Servicios del Programa:]],Tabla151[CODIGO],Tabla151[VALOR])</f>
        <v>Consultas</v>
      </c>
      <c r="D20" s="144">
        <v>1</v>
      </c>
      <c r="E20" s="56" cm="1">
        <f t="array" ref="E20">IF(D20="X",(_xlfn.XLOOKUP($B20,Tabla1[SERVICIO],Tabla1[VALOR])*1),IF(D20&gt;=1,_xlfn.XLOOKUP($B20,Tabla1[SERVICIO],Tabla1[VALOR]*D20),0))</f>
        <v>85060.59895480916</v>
      </c>
      <c r="F20" s="144"/>
      <c r="G20" s="56" cm="1">
        <f t="array" ref="G20">IF(F20="X",(_xlfn.XLOOKUP($B20,Tabla1[SERVICIO],Tabla1[VALOR])*1),IF(F20&gt;=1,_xlfn.XLOOKUP($B20,Tabla1[SERVICIO],Tabla1[VALOR]*F20),0))</f>
        <v>0</v>
      </c>
      <c r="H20" s="144"/>
      <c r="I20" s="56" cm="1">
        <f t="array" ref="I20">IF(H20="X",(_xlfn.XLOOKUP($B20,Tabla1[SERVICIO],Tabla1[VALOR])*1),IF(H20&gt;=1,_xlfn.XLOOKUP($B20,Tabla1[SERVICIO],Tabla1[VALOR]*H20),0))</f>
        <v>0</v>
      </c>
      <c r="J20" s="144"/>
      <c r="K20" s="56" cm="1">
        <f t="array" ref="K20">IF(J20="X",(_xlfn.XLOOKUP($B20,Tabla1[SERVICIO],Tabla1[VALOR])*1),IF(J20&gt;=1,_xlfn.XLOOKUP($B20,Tabla1[SERVICIO],Tabla1[VALOR]*J20),0))</f>
        <v>0</v>
      </c>
      <c r="L20" s="144"/>
      <c r="M20" s="56" cm="1">
        <f t="array" ref="M20">IF(L20="X",(_xlfn.XLOOKUP($B20,Tabla1[SERVICIO],Tabla1[VALOR])*1),IF(L20&gt;=1,_xlfn.XLOOKUP($B20,Tabla1[SERVICIO],Tabla1[VALOR]*L20),0))</f>
        <v>0</v>
      </c>
      <c r="N20" s="144"/>
      <c r="O20" s="56" cm="1">
        <f t="array" ref="O20">IF(N20="X",(_xlfn.XLOOKUP($B20,Tabla1[SERVICIO],Tabla1[VALOR])*1),IF(N20&gt;=1,_xlfn.XLOOKUP($B20,Tabla1[SERVICIO],Tabla1[VALOR]*N20),0))</f>
        <v>0</v>
      </c>
      <c r="P20" s="144"/>
      <c r="Q20" s="56" cm="1">
        <f t="array" ref="Q20">IF(P20="X",(_xlfn.XLOOKUP($B20,Tabla1[SERVICIO],Tabla1[VALOR])*1),IF(P20&gt;=1,_xlfn.XLOOKUP($B20,Tabla1[SERVICIO],Tabla1[VALOR]*P20),0))</f>
        <v>0</v>
      </c>
      <c r="R20" s="144"/>
      <c r="S20" s="56" cm="1">
        <f t="array" ref="S20">IF(R20="X",(_xlfn.XLOOKUP($B20,Tabla1[SERVICIO],Tabla1[VALOR])*1),IF(R20&gt;=1,_xlfn.XLOOKUP($B20,Tabla1[SERVICIO],Tabla1[VALOR]*R20),0))</f>
        <v>0</v>
      </c>
      <c r="T20" s="144"/>
      <c r="U20" s="56" cm="1">
        <f t="array" ref="U20">IF(T20="X",(_xlfn.XLOOKUP($B20,Tabla1[SERVICIO],Tabla1[VALOR])*1),IF(T20&gt;=1,_xlfn.XLOOKUP($B20,Tabla1[SERVICIO],Tabla1[VALOR]*T20),0))</f>
        <v>0</v>
      </c>
      <c r="V20" s="144"/>
      <c r="W20" s="56" cm="1">
        <f t="array" ref="W20">IF(V20="X",(_xlfn.XLOOKUP($B20,Tabla1[SERVICIO],Tabla1[VALOR])*1),IF(V20&gt;=1,_xlfn.XLOOKUP($B20,Tabla1[SERVICIO],Tabla1[VALOR]*V20),0))</f>
        <v>0</v>
      </c>
      <c r="X20" s="144"/>
      <c r="Y20" s="56" cm="1">
        <f t="array" ref="Y20">IF(X20="X",(_xlfn.XLOOKUP($B20,Tabla1[SERVICIO],Tabla1[VALOR])*1),IF(X20&gt;=1,_xlfn.XLOOKUP($B20,Tabla1[SERVICIO],Tabla1[VALOR]*X20),0))</f>
        <v>0</v>
      </c>
      <c r="Z20" s="144"/>
      <c r="AA20" s="56" cm="1">
        <f t="array" ref="AA20">IF(Z20="X",(_xlfn.XLOOKUP($B20,Tabla1[SERVICIO],Tabla1[VALOR])*1),IF(Z20&gt;=1,_xlfn.XLOOKUP($B20,Tabla1[SERVICIO],Tabla1[VALOR]*Z20),0))</f>
        <v>0</v>
      </c>
      <c r="AB20" s="81">
        <f t="shared" si="0"/>
        <v>85060.59895480916</v>
      </c>
      <c r="AC20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0" s="104" t="s">
        <v>319</v>
      </c>
      <c r="AE20" s="119">
        <v>0.29741019214703424</v>
      </c>
      <c r="AF20" s="47">
        <f>+Tabla428[[#This Row],[TOTAL]]*AE20</f>
        <v>25297.889079291614</v>
      </c>
      <c r="AG20" s="104" t="s">
        <v>349</v>
      </c>
      <c r="AH20" s="333">
        <v>12</v>
      </c>
    </row>
    <row r="21" spans="1:34" x14ac:dyDescent="0.25">
      <c r="A21" s="7" t="s">
        <v>88</v>
      </c>
      <c r="B21" s="222" t="s">
        <v>89</v>
      </c>
      <c r="C21" s="96" t="str">
        <f>_xlfn.XLOOKUP(Tabla428[[#This Row],[Servicios del Programa:]],Tabla151[CODIGO],Tabla151[VALOR])</f>
        <v>Diagnosticos</v>
      </c>
      <c r="D21" s="144">
        <v>1</v>
      </c>
      <c r="E21" s="56" cm="1">
        <f t="array" ref="E21">IF(D21="X",(_xlfn.XLOOKUP($B21,Tabla1[SERVICIO],Tabla1[VALOR])*1),IF(D21&gt;=1,_xlfn.XLOOKUP($B21,Tabla1[SERVICIO],Tabla1[VALOR]*D21),0))</f>
        <v>76461.626557187497</v>
      </c>
      <c r="F21" s="144"/>
      <c r="G21" s="56" cm="1">
        <f t="array" ref="G21">IF(F21="X",(_xlfn.XLOOKUP($B21,Tabla1[SERVICIO],Tabla1[VALOR])*1),IF(F21&gt;=1,_xlfn.XLOOKUP($B21,Tabla1[SERVICIO],Tabla1[VALOR]*F21),0))</f>
        <v>0</v>
      </c>
      <c r="H21" s="144"/>
      <c r="I21" s="56" cm="1">
        <f t="array" ref="I21">IF(H21="X",(_xlfn.XLOOKUP($B21,Tabla1[SERVICIO],Tabla1[VALOR])*1),IF(H21&gt;=1,_xlfn.XLOOKUP($B21,Tabla1[SERVICIO],Tabla1[VALOR]*H21),0))</f>
        <v>0</v>
      </c>
      <c r="J21" s="144"/>
      <c r="K21" s="56" cm="1">
        <f t="array" ref="K21">IF(J21="X",(_xlfn.XLOOKUP($B21,Tabla1[SERVICIO],Tabla1[VALOR])*1),IF(J21&gt;=1,_xlfn.XLOOKUP($B21,Tabla1[SERVICIO],Tabla1[VALOR]*J21),0))</f>
        <v>0</v>
      </c>
      <c r="L21" s="144"/>
      <c r="M21" s="56" cm="1">
        <f t="array" ref="M21">IF(L21="X",(_xlfn.XLOOKUP($B21,Tabla1[SERVICIO],Tabla1[VALOR])*1),IF(L21&gt;=1,_xlfn.XLOOKUP($B21,Tabla1[SERVICIO],Tabla1[VALOR]*L21),0))</f>
        <v>0</v>
      </c>
      <c r="N21" s="144"/>
      <c r="O21" s="56" cm="1">
        <f t="array" ref="O21">IF(N21="X",(_xlfn.XLOOKUP($B21,Tabla1[SERVICIO],Tabla1[VALOR])*1),IF(N21&gt;=1,_xlfn.XLOOKUP($B21,Tabla1[SERVICIO],Tabla1[VALOR]*N21),0))</f>
        <v>0</v>
      </c>
      <c r="P21" s="144"/>
      <c r="Q21" s="56" cm="1">
        <f t="array" ref="Q21">IF(P21="X",(_xlfn.XLOOKUP($B21,Tabla1[SERVICIO],Tabla1[VALOR])*1),IF(P21&gt;=1,_xlfn.XLOOKUP($B21,Tabla1[SERVICIO],Tabla1[VALOR]*P21),0))</f>
        <v>0</v>
      </c>
      <c r="R21" s="144"/>
      <c r="S21" s="56" cm="1">
        <f t="array" ref="S21">IF(R21="X",(_xlfn.XLOOKUP($B21,Tabla1[SERVICIO],Tabla1[VALOR])*1),IF(R21&gt;=1,_xlfn.XLOOKUP($B21,Tabla1[SERVICIO],Tabla1[VALOR]*R21),0))</f>
        <v>0</v>
      </c>
      <c r="T21" s="144"/>
      <c r="U21" s="56" cm="1">
        <f t="array" ref="U21">IF(T21="X",(_xlfn.XLOOKUP($B21,Tabla1[SERVICIO],Tabla1[VALOR])*1),IF(T21&gt;=1,_xlfn.XLOOKUP($B21,Tabla1[SERVICIO],Tabla1[VALOR]*T21),0))</f>
        <v>0</v>
      </c>
      <c r="V21" s="144"/>
      <c r="W21" s="56" cm="1">
        <f t="array" ref="W21">IF(V21="X",(_xlfn.XLOOKUP($B21,Tabla1[SERVICIO],Tabla1[VALOR])*1),IF(V21&gt;=1,_xlfn.XLOOKUP($B21,Tabla1[SERVICIO],Tabla1[VALOR]*V21),0))</f>
        <v>0</v>
      </c>
      <c r="X21" s="144"/>
      <c r="Y21" s="56" cm="1">
        <f t="array" ref="Y21">IF(X21="X",(_xlfn.XLOOKUP($B21,Tabla1[SERVICIO],Tabla1[VALOR])*1),IF(X21&gt;=1,_xlfn.XLOOKUP($B21,Tabla1[SERVICIO],Tabla1[VALOR]*X21),0))</f>
        <v>0</v>
      </c>
      <c r="Z21" s="144"/>
      <c r="AA21" s="56" cm="1">
        <f t="array" ref="AA21">IF(Z21="X",(_xlfn.XLOOKUP($B21,Tabla1[SERVICIO],Tabla1[VALOR])*1),IF(Z21&gt;=1,_xlfn.XLOOKUP($B21,Tabla1[SERVICIO],Tabla1[VALOR]*Z21),0))</f>
        <v>0</v>
      </c>
      <c r="AB21" s="81">
        <f t="shared" si="0"/>
        <v>76461.626557187497</v>
      </c>
      <c r="AC21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1" s="104" t="s">
        <v>318</v>
      </c>
      <c r="AE21" s="119">
        <v>1</v>
      </c>
      <c r="AF21" s="47">
        <f>+Tabla428[[#This Row],[TOTAL]]*AE21</f>
        <v>76461.626557187497</v>
      </c>
      <c r="AG21" s="104" t="s">
        <v>349</v>
      </c>
      <c r="AH21" s="333">
        <v>12</v>
      </c>
    </row>
    <row r="22" spans="1:34" x14ac:dyDescent="0.25">
      <c r="A22" s="7" t="s">
        <v>46</v>
      </c>
      <c r="B22" s="96" t="s">
        <v>47</v>
      </c>
      <c r="C22" s="96" t="str">
        <f>_xlfn.XLOOKUP(Tabla428[[#This Row],[Servicios del Programa:]],Tabla151[CODIGO],Tabla151[VALOR])</f>
        <v>Consultas</v>
      </c>
      <c r="D22" s="144">
        <v>1</v>
      </c>
      <c r="E22" s="56" cm="1">
        <f t="array" ref="E22">IF(D22="X",(_xlfn.XLOOKUP($B22,Tabla1[SERVICIO],Tabla1[VALOR])*1),IF(D22&gt;=1,_xlfn.XLOOKUP($B22,Tabla1[SERVICIO],Tabla1[VALOR]*D22),0))</f>
        <v>83398.098568534639</v>
      </c>
      <c r="F22" s="144"/>
      <c r="G22" s="56" cm="1">
        <f t="array" ref="G22">IF(F22="X",(_xlfn.XLOOKUP($B22,Tabla1[SERVICIO],Tabla1[VALOR])*1),IF(F22&gt;=1,_xlfn.XLOOKUP($B22,Tabla1[SERVICIO],Tabla1[VALOR]*F22),0))</f>
        <v>0</v>
      </c>
      <c r="H22" s="144"/>
      <c r="I22" s="56" cm="1">
        <f t="array" ref="I22">IF(H22="X",(_xlfn.XLOOKUP($B22,Tabla1[SERVICIO],Tabla1[VALOR])*1),IF(H22&gt;=1,_xlfn.XLOOKUP($B22,Tabla1[SERVICIO],Tabla1[VALOR]*H22),0))</f>
        <v>0</v>
      </c>
      <c r="J22" s="144"/>
      <c r="K22" s="56" cm="1">
        <f t="array" ref="K22">IF(J22="X",(_xlfn.XLOOKUP($B22,Tabla1[SERVICIO],Tabla1[VALOR])*1),IF(J22&gt;=1,_xlfn.XLOOKUP($B22,Tabla1[SERVICIO],Tabla1[VALOR]*J22),0))</f>
        <v>0</v>
      </c>
      <c r="L22" s="144"/>
      <c r="M22" s="56" cm="1">
        <f t="array" ref="M22">IF(L22="X",(_xlfn.XLOOKUP($B22,Tabla1[SERVICIO],Tabla1[VALOR])*1),IF(L22&gt;=1,_xlfn.XLOOKUP($B22,Tabla1[SERVICIO],Tabla1[VALOR]*L22),0))</f>
        <v>0</v>
      </c>
      <c r="N22" s="144"/>
      <c r="O22" s="56" cm="1">
        <f t="array" ref="O22">IF(N22="X",(_xlfn.XLOOKUP($B22,Tabla1[SERVICIO],Tabla1[VALOR])*1),IF(N22&gt;=1,_xlfn.XLOOKUP($B22,Tabla1[SERVICIO],Tabla1[VALOR]*N22),0))</f>
        <v>0</v>
      </c>
      <c r="P22" s="144"/>
      <c r="Q22" s="56" cm="1">
        <f t="array" ref="Q22">IF(P22="X",(_xlfn.XLOOKUP($B22,Tabla1[SERVICIO],Tabla1[VALOR])*1),IF(P22&gt;=1,_xlfn.XLOOKUP($B22,Tabla1[SERVICIO],Tabla1[VALOR]*P22),0))</f>
        <v>0</v>
      </c>
      <c r="R22" s="144"/>
      <c r="S22" s="56" cm="1">
        <f t="array" ref="S22">IF(R22="X",(_xlfn.XLOOKUP($B22,Tabla1[SERVICIO],Tabla1[VALOR])*1),IF(R22&gt;=1,_xlfn.XLOOKUP($B22,Tabla1[SERVICIO],Tabla1[VALOR]*R22),0))</f>
        <v>0</v>
      </c>
      <c r="T22" s="144"/>
      <c r="U22" s="56" cm="1">
        <f t="array" ref="U22">IF(T22="X",(_xlfn.XLOOKUP($B22,Tabla1[SERVICIO],Tabla1[VALOR])*1),IF(T22&gt;=1,_xlfn.XLOOKUP($B22,Tabla1[SERVICIO],Tabla1[VALOR]*T22),0))</f>
        <v>0</v>
      </c>
      <c r="V22" s="144"/>
      <c r="W22" s="56" cm="1">
        <f t="array" ref="W22">IF(V22="X",(_xlfn.XLOOKUP($B22,Tabla1[SERVICIO],Tabla1[VALOR])*1),IF(V22&gt;=1,_xlfn.XLOOKUP($B22,Tabla1[SERVICIO],Tabla1[VALOR]*V22),0))</f>
        <v>0</v>
      </c>
      <c r="X22" s="144"/>
      <c r="Y22" s="56" cm="1">
        <f t="array" ref="Y22">IF(X22="X",(_xlfn.XLOOKUP($B22,Tabla1[SERVICIO],Tabla1[VALOR])*1),IF(X22&gt;=1,_xlfn.XLOOKUP($B22,Tabla1[SERVICIO],Tabla1[VALOR]*X22),0))</f>
        <v>0</v>
      </c>
      <c r="Z22" s="144"/>
      <c r="AA22" s="56" cm="1">
        <f t="array" ref="AA22">IF(Z22="X",(_xlfn.XLOOKUP($B22,Tabla1[SERVICIO],Tabla1[VALOR])*1),IF(Z22&gt;=1,_xlfn.XLOOKUP($B22,Tabla1[SERVICIO],Tabla1[VALOR]*Z22),0))</f>
        <v>0</v>
      </c>
      <c r="AB22" s="81">
        <f t="shared" si="0"/>
        <v>83398.098568534639</v>
      </c>
      <c r="AC22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2" s="104" t="s">
        <v>319</v>
      </c>
      <c r="AE22" s="119">
        <v>2.1720969089390141E-2</v>
      </c>
      <c r="AF22" s="47">
        <f>+Tabla428[[#This Row],[TOTAL]]*AE22</f>
        <v>1811.4875211210531</v>
      </c>
      <c r="AG22" s="104" t="s">
        <v>349</v>
      </c>
      <c r="AH22" s="333">
        <v>12</v>
      </c>
    </row>
    <row r="23" spans="1:34" x14ac:dyDescent="0.25">
      <c r="A23" s="7" t="s">
        <v>48</v>
      </c>
      <c r="B23" s="96" t="s">
        <v>321</v>
      </c>
      <c r="C23" s="96" t="str">
        <f>_xlfn.XLOOKUP(Tabla428[[#This Row],[Servicios del Programa:]],Tabla151[CODIGO],Tabla151[VALOR])</f>
        <v>Consultas</v>
      </c>
      <c r="D23" s="144"/>
      <c r="E23" s="56" cm="1">
        <f t="array" ref="E23">IF(D23="X",(_xlfn.XLOOKUP($B23,Tabla1[SERVICIO],Tabla1[VALOR])*1),IF(D23&gt;=1,_xlfn.XLOOKUP($B23,Tabla1[SERVICIO],Tabla1[VALOR]*D23),0))</f>
        <v>0</v>
      </c>
      <c r="F23" s="144"/>
      <c r="G23" s="56" cm="1">
        <f t="array" ref="G23">IF(F23="X",(_xlfn.XLOOKUP($B23,Tabla1[SERVICIO],Tabla1[VALOR])*1),IF(F23&gt;=1,_xlfn.XLOOKUP($B23,Tabla1[SERVICIO],Tabla1[VALOR]*F23),0))</f>
        <v>0</v>
      </c>
      <c r="H23" s="144"/>
      <c r="I23" s="56" cm="1">
        <f t="array" ref="I23">IF(H23="X",(_xlfn.XLOOKUP($B23,Tabla1[SERVICIO],Tabla1[VALOR])*1),IF(H23&gt;=1,_xlfn.XLOOKUP($B23,Tabla1[SERVICIO],Tabla1[VALOR]*H23),0))</f>
        <v>0</v>
      </c>
      <c r="J23" s="144"/>
      <c r="K23" s="56" cm="1">
        <f t="array" ref="K23">IF(J23="X",(_xlfn.XLOOKUP($B23,Tabla1[SERVICIO],Tabla1[VALOR])*1),IF(J23&gt;=1,_xlfn.XLOOKUP($B23,Tabla1[SERVICIO],Tabla1[VALOR]*J23),0))</f>
        <v>0</v>
      </c>
      <c r="L23" s="144"/>
      <c r="M23" s="56" cm="1">
        <f t="array" ref="M23">IF(L23="X",(_xlfn.XLOOKUP($B23,Tabla1[SERVICIO],Tabla1[VALOR])*1),IF(L23&gt;=1,_xlfn.XLOOKUP($B23,Tabla1[SERVICIO],Tabla1[VALOR]*L23),0))</f>
        <v>0</v>
      </c>
      <c r="N23" s="144"/>
      <c r="O23" s="56" cm="1">
        <f t="array" ref="O23">IF(N23="X",(_xlfn.XLOOKUP($B23,Tabla1[SERVICIO],Tabla1[VALOR])*1),IF(N23&gt;=1,_xlfn.XLOOKUP($B23,Tabla1[SERVICIO],Tabla1[VALOR]*N23),0))</f>
        <v>0</v>
      </c>
      <c r="P23" s="144"/>
      <c r="Q23" s="56" cm="1">
        <f t="array" ref="Q23">IF(P23="X",(_xlfn.XLOOKUP($B23,Tabla1[SERVICIO],Tabla1[VALOR])*1),IF(P23&gt;=1,_xlfn.XLOOKUP($B23,Tabla1[SERVICIO],Tabla1[VALOR]*P23),0))</f>
        <v>0</v>
      </c>
      <c r="R23" s="144"/>
      <c r="S23" s="56" cm="1">
        <f t="array" ref="S23">IF(R23="X",(_xlfn.XLOOKUP($B23,Tabla1[SERVICIO],Tabla1[VALOR])*1),IF(R23&gt;=1,_xlfn.XLOOKUP($B23,Tabla1[SERVICIO],Tabla1[VALOR]*R23),0))</f>
        <v>0</v>
      </c>
      <c r="T23" s="144"/>
      <c r="U23" s="56" cm="1">
        <f t="array" ref="U23">IF(T23="X",(_xlfn.XLOOKUP($B23,Tabla1[SERVICIO],Tabla1[VALOR])*1),IF(T23&gt;=1,_xlfn.XLOOKUP($B23,Tabla1[SERVICIO],Tabla1[VALOR]*T23),0))</f>
        <v>0</v>
      </c>
      <c r="V23" s="144"/>
      <c r="W23" s="56" cm="1">
        <f t="array" ref="W23">IF(V23="X",(_xlfn.XLOOKUP($B23,Tabla1[SERVICIO],Tabla1[VALOR])*1),IF(V23&gt;=1,_xlfn.XLOOKUP($B23,Tabla1[SERVICIO],Tabla1[VALOR]*V23),0))</f>
        <v>0</v>
      </c>
      <c r="X23" s="144"/>
      <c r="Y23" s="56" cm="1">
        <f t="array" ref="Y23">IF(X23="X",(_xlfn.XLOOKUP($B23,Tabla1[SERVICIO],Tabla1[VALOR])*1),IF(X23&gt;=1,_xlfn.XLOOKUP($B23,Tabla1[SERVICIO],Tabla1[VALOR]*X23),0))</f>
        <v>0</v>
      </c>
      <c r="Z23" s="144">
        <v>1</v>
      </c>
      <c r="AA23" s="56" cm="1">
        <f t="array" ref="AA23">IF(Z23="X",(_xlfn.XLOOKUP($B23,Tabla1[SERVICIO],Tabla1[VALOR])*1),IF(Z23&gt;=1,_xlfn.XLOOKUP($B23,Tabla1[SERVICIO],Tabla1[VALOR]*Z23),0))</f>
        <v>77398.098568534639</v>
      </c>
      <c r="AB23" s="81">
        <f t="shared" si="0"/>
        <v>77398.098568534639</v>
      </c>
      <c r="AC23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3" s="104" t="s">
        <v>319</v>
      </c>
      <c r="AE23" s="119">
        <v>0.71345029239766078</v>
      </c>
      <c r="AF23" s="47">
        <f>+Tabla428[[#This Row],[TOTAL]]*AE23</f>
        <v>55219.69605474401</v>
      </c>
      <c r="AG23" s="104" t="s">
        <v>349</v>
      </c>
      <c r="AH23" s="333">
        <v>12</v>
      </c>
    </row>
    <row r="24" spans="1:34" x14ac:dyDescent="0.25">
      <c r="A24" s="7" t="s">
        <v>21</v>
      </c>
      <c r="B24" s="96" t="s">
        <v>290</v>
      </c>
      <c r="C24" s="96" t="str">
        <f>_xlfn.XLOOKUP(Tabla428[[#This Row],[Servicios del Programa:]],Tabla151[CODIGO],Tabla151[VALOR])</f>
        <v>Consultas</v>
      </c>
      <c r="D24" s="144"/>
      <c r="E24" s="56" cm="1">
        <f t="array" ref="E24">IF(D24="X",(_xlfn.XLOOKUP($B24,Tabla1[SERVICIO],Tabla1[VALOR])*1),IF(D24&gt;=1,_xlfn.XLOOKUP($B24,Tabla1[SERVICIO],Tabla1[VALOR]*D24),0))</f>
        <v>0</v>
      </c>
      <c r="F24" s="144"/>
      <c r="G24" s="56" cm="1">
        <f t="array" ref="G24">IF(F24="X",(_xlfn.XLOOKUP($B24,Tabla1[SERVICIO],Tabla1[VALOR])*1),IF(F24&gt;=1,_xlfn.XLOOKUP($B24,Tabla1[SERVICIO],Tabla1[VALOR]*F24),0))</f>
        <v>0</v>
      </c>
      <c r="H24" s="144"/>
      <c r="I24" s="56" cm="1">
        <f t="array" ref="I24">IF(H24="X",(_xlfn.XLOOKUP($B24,Tabla1[SERVICIO],Tabla1[VALOR])*1),IF(H24&gt;=1,_xlfn.XLOOKUP($B24,Tabla1[SERVICIO],Tabla1[VALOR]*H24),0))</f>
        <v>0</v>
      </c>
      <c r="J24" s="144"/>
      <c r="K24" s="56" cm="1">
        <f t="array" ref="K24">IF(J24="X",(_xlfn.XLOOKUP($B24,Tabla1[SERVICIO],Tabla1[VALOR])*1),IF(J24&gt;=1,_xlfn.XLOOKUP($B24,Tabla1[SERVICIO],Tabla1[VALOR]*J24),0))</f>
        <v>0</v>
      </c>
      <c r="L24" s="144"/>
      <c r="M24" s="56" cm="1">
        <f t="array" ref="M24">IF(L24="X",(_xlfn.XLOOKUP($B24,Tabla1[SERVICIO],Tabla1[VALOR])*1),IF(L24&gt;=1,_xlfn.XLOOKUP($B24,Tabla1[SERVICIO],Tabla1[VALOR]*L24),0))</f>
        <v>0</v>
      </c>
      <c r="N24" s="144">
        <v>1</v>
      </c>
      <c r="O24" s="56" cm="1">
        <f t="array" ref="O24">IF(N24="X",(_xlfn.XLOOKUP($B24,Tabla1[SERVICIO],Tabla1[VALOR])*1),IF(N24&gt;=1,_xlfn.XLOOKUP($B24,Tabla1[SERVICIO],Tabla1[VALOR]*N24),0))</f>
        <v>67398.098568534639</v>
      </c>
      <c r="P24" s="144"/>
      <c r="Q24" s="56" cm="1">
        <f t="array" ref="Q24">IF(P24="X",(_xlfn.XLOOKUP($B24,Tabla1[SERVICIO],Tabla1[VALOR])*1),IF(P24&gt;=1,_xlfn.XLOOKUP($B24,Tabla1[SERVICIO],Tabla1[VALOR]*P24),0))</f>
        <v>0</v>
      </c>
      <c r="R24" s="144"/>
      <c r="S24" s="56" cm="1">
        <f t="array" ref="S24">IF(R24="X",(_xlfn.XLOOKUP($B24,Tabla1[SERVICIO],Tabla1[VALOR])*1),IF(R24&gt;=1,_xlfn.XLOOKUP($B24,Tabla1[SERVICIO],Tabla1[VALOR]*R24),0))</f>
        <v>0</v>
      </c>
      <c r="T24" s="144"/>
      <c r="U24" s="56" cm="1">
        <f t="array" ref="U24">IF(T24="X",(_xlfn.XLOOKUP($B24,Tabla1[SERVICIO],Tabla1[VALOR])*1),IF(T24&gt;=1,_xlfn.XLOOKUP($B24,Tabla1[SERVICIO],Tabla1[VALOR]*T24),0))</f>
        <v>0</v>
      </c>
      <c r="V24" s="144"/>
      <c r="W24" s="56" cm="1">
        <f t="array" ref="W24">IF(V24="X",(_xlfn.XLOOKUP($B24,Tabla1[SERVICIO],Tabla1[VALOR])*1),IF(V24&gt;=1,_xlfn.XLOOKUP($B24,Tabla1[SERVICIO],Tabla1[VALOR]*V24),0))</f>
        <v>0</v>
      </c>
      <c r="X24" s="144"/>
      <c r="Y24" s="56" cm="1">
        <f t="array" ref="Y24">IF(X24="X",(_xlfn.XLOOKUP($B24,Tabla1[SERVICIO],Tabla1[VALOR])*1),IF(X24&gt;=1,_xlfn.XLOOKUP($B24,Tabla1[SERVICIO],Tabla1[VALOR]*X24),0))</f>
        <v>0</v>
      </c>
      <c r="Z24" s="144">
        <v>1</v>
      </c>
      <c r="AA24" s="56" cm="1">
        <f t="array" ref="AA24">IF(Z24="X",(_xlfn.XLOOKUP($B24,Tabla1[SERVICIO],Tabla1[VALOR])*1),IF(Z24&gt;=1,_xlfn.XLOOKUP($B24,Tabla1[SERVICIO],Tabla1[VALOR]*Z24),0))</f>
        <v>67398.098568534639</v>
      </c>
      <c r="AB24" s="81">
        <f t="shared" si="0"/>
        <v>134796.19713706928</v>
      </c>
      <c r="AC24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24" s="104" t="s">
        <v>318</v>
      </c>
      <c r="AE24" s="119">
        <v>1</v>
      </c>
      <c r="AF24" s="47">
        <f>+Tabla428[[#This Row],[TOTAL]]*AE24</f>
        <v>134796.19713706928</v>
      </c>
      <c r="AG24" s="104" t="s">
        <v>349</v>
      </c>
      <c r="AH24" s="333">
        <v>12</v>
      </c>
    </row>
    <row r="25" spans="1:34" x14ac:dyDescent="0.25">
      <c r="A25" s="7" t="s">
        <v>19</v>
      </c>
      <c r="B25" s="96" t="s">
        <v>20</v>
      </c>
      <c r="C25" s="96" t="str">
        <f>_xlfn.XLOOKUP(Tabla428[[#This Row],[Servicios del Programa:]],Tabla151[CODIGO],Tabla151[VALOR])</f>
        <v>Consultas</v>
      </c>
      <c r="D25" s="144">
        <v>1</v>
      </c>
      <c r="E25" s="56" cm="1">
        <f t="array" ref="E25">IF(D25="X",(_xlfn.XLOOKUP($B25,Tabla1[SERVICIO],Tabla1[VALOR])*1),IF(D25&gt;=1,_xlfn.XLOOKUP($B25,Tabla1[SERVICIO],Tabla1[VALOR]*D25),0))</f>
        <v>67398.098568534639</v>
      </c>
      <c r="F25" s="144"/>
      <c r="G25" s="56" cm="1">
        <f t="array" ref="G25">IF(F25="X",(_xlfn.XLOOKUP($B25,Tabla1[SERVICIO],Tabla1[VALOR])*1),IF(F25&gt;=1,_xlfn.XLOOKUP($B25,Tabla1[SERVICIO],Tabla1[VALOR]*F25),0))</f>
        <v>0</v>
      </c>
      <c r="H25" s="144"/>
      <c r="I25" s="56" cm="1">
        <f t="array" ref="I25">IF(H25="X",(_xlfn.XLOOKUP($B25,Tabla1[SERVICIO],Tabla1[VALOR])*1),IF(H25&gt;=1,_xlfn.XLOOKUP($B25,Tabla1[SERVICIO],Tabla1[VALOR]*H25),0))</f>
        <v>0</v>
      </c>
      <c r="J25" s="144"/>
      <c r="K25" s="56" cm="1">
        <f t="array" ref="K25">IF(J25="X",(_xlfn.XLOOKUP($B25,Tabla1[SERVICIO],Tabla1[VALOR])*1),IF(J25&gt;=1,_xlfn.XLOOKUP($B25,Tabla1[SERVICIO],Tabla1[VALOR]*J25),0))</f>
        <v>0</v>
      </c>
      <c r="L25" s="144"/>
      <c r="M25" s="56" cm="1">
        <f t="array" ref="M25">IF(L25="X",(_xlfn.XLOOKUP($B25,Tabla1[SERVICIO],Tabla1[VALOR])*1),IF(L25&gt;=1,_xlfn.XLOOKUP($B25,Tabla1[SERVICIO],Tabla1[VALOR]*L25),0))</f>
        <v>0</v>
      </c>
      <c r="N25" s="144"/>
      <c r="O25" s="56" cm="1">
        <f t="array" ref="O25">IF(N25="X",(_xlfn.XLOOKUP($B25,Tabla1[SERVICIO],Tabla1[VALOR])*1),IF(N25&gt;=1,_xlfn.XLOOKUP($B25,Tabla1[SERVICIO],Tabla1[VALOR]*N25),0))</f>
        <v>0</v>
      </c>
      <c r="P25" s="144"/>
      <c r="Q25" s="56" cm="1">
        <f t="array" ref="Q25">IF(P25="X",(_xlfn.XLOOKUP($B25,Tabla1[SERVICIO],Tabla1[VALOR])*1),IF(P25&gt;=1,_xlfn.XLOOKUP($B25,Tabla1[SERVICIO],Tabla1[VALOR]*P25),0))</f>
        <v>0</v>
      </c>
      <c r="R25" s="144"/>
      <c r="S25" s="56" cm="1">
        <f t="array" ref="S25">IF(R25="X",(_xlfn.XLOOKUP($B25,Tabla1[SERVICIO],Tabla1[VALOR])*1),IF(R25&gt;=1,_xlfn.XLOOKUP($B25,Tabla1[SERVICIO],Tabla1[VALOR]*R25),0))</f>
        <v>0</v>
      </c>
      <c r="T25" s="144"/>
      <c r="U25" s="56" cm="1">
        <f t="array" ref="U25">IF(T25="X",(_xlfn.XLOOKUP($B25,Tabla1[SERVICIO],Tabla1[VALOR])*1),IF(T25&gt;=1,_xlfn.XLOOKUP($B25,Tabla1[SERVICIO],Tabla1[VALOR]*T25),0))</f>
        <v>0</v>
      </c>
      <c r="V25" s="144"/>
      <c r="W25" s="56" cm="1">
        <f t="array" ref="W25">IF(V25="X",(_xlfn.XLOOKUP($B25,Tabla1[SERVICIO],Tabla1[VALOR])*1),IF(V25&gt;=1,_xlfn.XLOOKUP($B25,Tabla1[SERVICIO],Tabla1[VALOR]*V25),0))</f>
        <v>0</v>
      </c>
      <c r="X25" s="144"/>
      <c r="Y25" s="56" cm="1">
        <f t="array" ref="Y25">IF(X25="X",(_xlfn.XLOOKUP($B25,Tabla1[SERVICIO],Tabla1[VALOR])*1),IF(X25&gt;=1,_xlfn.XLOOKUP($B25,Tabla1[SERVICIO],Tabla1[VALOR]*X25),0))</f>
        <v>0</v>
      </c>
      <c r="Z25" s="144"/>
      <c r="AA25" s="56" cm="1">
        <f t="array" ref="AA25">IF(Z25="X",(_xlfn.XLOOKUP($B25,Tabla1[SERVICIO],Tabla1[VALOR])*1),IF(Z25&gt;=1,_xlfn.XLOOKUP($B25,Tabla1[SERVICIO],Tabla1[VALOR]*Z25),0))</f>
        <v>0</v>
      </c>
      <c r="AB25" s="81">
        <f t="shared" si="0"/>
        <v>67398.098568534639</v>
      </c>
      <c r="AC25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5" s="104" t="s">
        <v>318</v>
      </c>
      <c r="AE25" s="119">
        <v>1</v>
      </c>
      <c r="AF25" s="47">
        <f>+Tabla428[[#This Row],[TOTAL]]*AE25</f>
        <v>67398.098568534639</v>
      </c>
      <c r="AG25" s="104" t="s">
        <v>349</v>
      </c>
      <c r="AH25" s="333">
        <v>12</v>
      </c>
    </row>
    <row r="26" spans="1:34" x14ac:dyDescent="0.25">
      <c r="A26" s="7" t="s">
        <v>1</v>
      </c>
      <c r="B26" s="96" t="s">
        <v>2</v>
      </c>
      <c r="C26" s="96" t="str">
        <f>_xlfn.XLOOKUP(Tabla428[[#This Row],[Servicios del Programa:]],Tabla151[CODIGO],Tabla151[VALOR])</f>
        <v>Consultas</v>
      </c>
      <c r="D26" s="144"/>
      <c r="E26" s="56" cm="1">
        <f t="array" ref="E26">IF(D26="X",(_xlfn.XLOOKUP($B26,Tabla1[SERVICIO],Tabla1[VALOR])*1),IF(D26&gt;=1,_xlfn.XLOOKUP($B26,Tabla1[SERVICIO],Tabla1[VALOR]*D26),0))</f>
        <v>0</v>
      </c>
      <c r="F26" s="144"/>
      <c r="G26" s="56" cm="1">
        <f t="array" ref="G26">IF(F26="X",(_xlfn.XLOOKUP($B26,Tabla1[SERVICIO],Tabla1[VALOR])*1),IF(F26&gt;=1,_xlfn.XLOOKUP($B26,Tabla1[SERVICIO],Tabla1[VALOR]*F26),0))</f>
        <v>0</v>
      </c>
      <c r="H26" s="144"/>
      <c r="I26" s="56" cm="1">
        <f t="array" ref="I26">IF(H26="X",(_xlfn.XLOOKUP($B26,Tabla1[SERVICIO],Tabla1[VALOR])*1),IF(H26&gt;=1,_xlfn.XLOOKUP($B26,Tabla1[SERVICIO],Tabla1[VALOR]*H26),0))</f>
        <v>0</v>
      </c>
      <c r="J26" s="144"/>
      <c r="K26" s="56" cm="1">
        <f t="array" ref="K26">IF(J26="X",(_xlfn.XLOOKUP($B26,Tabla1[SERVICIO],Tabla1[VALOR])*1),IF(J26&gt;=1,_xlfn.XLOOKUP($B26,Tabla1[SERVICIO],Tabla1[VALOR]*J26),0))</f>
        <v>0</v>
      </c>
      <c r="L26" s="144"/>
      <c r="M26" s="56" cm="1">
        <f t="array" ref="M26">IF(L26="X",(_xlfn.XLOOKUP($B26,Tabla1[SERVICIO],Tabla1[VALOR])*1),IF(L26&gt;=1,_xlfn.XLOOKUP($B26,Tabla1[SERVICIO],Tabla1[VALOR]*L26),0))</f>
        <v>0</v>
      </c>
      <c r="N26" s="144"/>
      <c r="O26" s="56" cm="1">
        <f t="array" ref="O26">IF(N26="X",(_xlfn.XLOOKUP($B26,Tabla1[SERVICIO],Tabla1[VALOR])*1),IF(N26&gt;=1,_xlfn.XLOOKUP($B26,Tabla1[SERVICIO],Tabla1[VALOR]*N26),0))</f>
        <v>0</v>
      </c>
      <c r="P26" s="144"/>
      <c r="Q26" s="56" cm="1">
        <f t="array" ref="Q26">IF(P26="X",(_xlfn.XLOOKUP($B26,Tabla1[SERVICIO],Tabla1[VALOR])*1),IF(P26&gt;=1,_xlfn.XLOOKUP($B26,Tabla1[SERVICIO],Tabla1[VALOR]*P26),0))</f>
        <v>0</v>
      </c>
      <c r="R26" s="144"/>
      <c r="S26" s="56" cm="1">
        <f t="array" ref="S26">IF(R26="X",(_xlfn.XLOOKUP($B26,Tabla1[SERVICIO],Tabla1[VALOR])*1),IF(R26&gt;=1,_xlfn.XLOOKUP($B26,Tabla1[SERVICIO],Tabla1[VALOR]*R26),0))</f>
        <v>0</v>
      </c>
      <c r="T26" s="144"/>
      <c r="U26" s="56" cm="1">
        <f t="array" ref="U26">IF(T26="X",(_xlfn.XLOOKUP($B26,Tabla1[SERVICIO],Tabla1[VALOR])*1),IF(T26&gt;=1,_xlfn.XLOOKUP($B26,Tabla1[SERVICIO],Tabla1[VALOR]*T26),0))</f>
        <v>0</v>
      </c>
      <c r="V26" s="144"/>
      <c r="W26" s="56" cm="1">
        <f t="array" ref="W26">IF(V26="X",(_xlfn.XLOOKUP($B26,Tabla1[SERVICIO],Tabla1[VALOR])*1),IF(V26&gt;=1,_xlfn.XLOOKUP($B26,Tabla1[SERVICIO],Tabla1[VALOR]*V26),0))</f>
        <v>0</v>
      </c>
      <c r="X26" s="144"/>
      <c r="Y26" s="56" cm="1">
        <f t="array" ref="Y26">IF(X26="X",(_xlfn.XLOOKUP($B26,Tabla1[SERVICIO],Tabla1[VALOR])*1),IF(X26&gt;=1,_xlfn.XLOOKUP($B26,Tabla1[SERVICIO],Tabla1[VALOR]*X26),0))</f>
        <v>0</v>
      </c>
      <c r="Z26" s="144">
        <v>1</v>
      </c>
      <c r="AA26" s="56" cm="1">
        <f t="array" ref="AA26">IF(Z26="X",(_xlfn.XLOOKUP($B26,Tabla1[SERVICIO],Tabla1[VALOR])*1),IF(Z26&gt;=1,_xlfn.XLOOKUP($B26,Tabla1[SERVICIO],Tabla1[VALOR]*Z26),0))</f>
        <v>21014.39667403782</v>
      </c>
      <c r="AB26" s="81">
        <f t="shared" si="0"/>
        <v>21014.39667403782</v>
      </c>
      <c r="AC26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6" s="104" t="s">
        <v>318</v>
      </c>
      <c r="AE26" s="119">
        <v>0.72598162071846284</v>
      </c>
      <c r="AF26" s="47">
        <f>+Tabla428[[#This Row],[TOTAL]]*AE26</f>
        <v>15256.065755838652</v>
      </c>
      <c r="AG26" s="104" t="s">
        <v>349</v>
      </c>
      <c r="AH26" s="333">
        <v>12</v>
      </c>
    </row>
    <row r="27" spans="1:34" x14ac:dyDescent="0.25">
      <c r="A27" s="7" t="s">
        <v>44</v>
      </c>
      <c r="B27" s="96" t="s">
        <v>289</v>
      </c>
      <c r="C27" s="96" t="str">
        <f>_xlfn.XLOOKUP(Tabla428[[#This Row],[Servicios del Programa:]],Tabla151[CODIGO],Tabla151[VALOR])</f>
        <v>Terapias</v>
      </c>
      <c r="D27" s="144">
        <v>1</v>
      </c>
      <c r="E27" s="56" cm="1">
        <f t="array" ref="E27">IF(D27="X",(_xlfn.XLOOKUP($B27,Tabla1[SERVICIO],Tabla1[VALOR])*1),IF(D27&gt;=1,_xlfn.XLOOKUP($B27,Tabla1[SERVICIO],Tabla1[VALOR]*D27),0))</f>
        <v>31714.220952863223</v>
      </c>
      <c r="F27" s="144"/>
      <c r="G27" s="56" cm="1">
        <f t="array" ref="G27">IF(F27="X",(_xlfn.XLOOKUP($B27,Tabla1[SERVICIO],Tabla1[VALOR])*1),IF(F27&gt;=1,_xlfn.XLOOKUP($B27,Tabla1[SERVICIO],Tabla1[VALOR]*F27),0))</f>
        <v>0</v>
      </c>
      <c r="H27" s="144"/>
      <c r="I27" s="56" cm="1">
        <f t="array" ref="I27">IF(H27="X",(_xlfn.XLOOKUP($B27,Tabla1[SERVICIO],Tabla1[VALOR])*1),IF(H27&gt;=1,_xlfn.XLOOKUP($B27,Tabla1[SERVICIO],Tabla1[VALOR]*H27),0))</f>
        <v>0</v>
      </c>
      <c r="J27" s="144"/>
      <c r="K27" s="56" cm="1">
        <f t="array" ref="K27">IF(J27="X",(_xlfn.XLOOKUP($B27,Tabla1[SERVICIO],Tabla1[VALOR])*1),IF(J27&gt;=1,_xlfn.XLOOKUP($B27,Tabla1[SERVICIO],Tabla1[VALOR]*J27),0))</f>
        <v>0</v>
      </c>
      <c r="L27" s="144"/>
      <c r="M27" s="56" cm="1">
        <f t="array" ref="M27">IF(L27="X",(_xlfn.XLOOKUP($B27,Tabla1[SERVICIO],Tabla1[VALOR])*1),IF(L27&gt;=1,_xlfn.XLOOKUP($B27,Tabla1[SERVICIO],Tabla1[VALOR]*L27),0))</f>
        <v>0</v>
      </c>
      <c r="N27" s="144"/>
      <c r="O27" s="56" cm="1">
        <f t="array" ref="O27">IF(N27="X",(_xlfn.XLOOKUP($B27,Tabla1[SERVICIO],Tabla1[VALOR])*1),IF(N27&gt;=1,_xlfn.XLOOKUP($B27,Tabla1[SERVICIO],Tabla1[VALOR]*N27),0))</f>
        <v>0</v>
      </c>
      <c r="P27" s="144"/>
      <c r="Q27" s="56" cm="1">
        <f t="array" ref="Q27">IF(P27="X",(_xlfn.XLOOKUP($B27,Tabla1[SERVICIO],Tabla1[VALOR])*1),IF(P27&gt;=1,_xlfn.XLOOKUP($B27,Tabla1[SERVICIO],Tabla1[VALOR]*P27),0))</f>
        <v>0</v>
      </c>
      <c r="R27" s="144"/>
      <c r="S27" s="56" cm="1">
        <f t="array" ref="S27">IF(R27="X",(_xlfn.XLOOKUP($B27,Tabla1[SERVICIO],Tabla1[VALOR])*1),IF(R27&gt;=1,_xlfn.XLOOKUP($B27,Tabla1[SERVICIO],Tabla1[VALOR]*R27),0))</f>
        <v>0</v>
      </c>
      <c r="T27" s="144"/>
      <c r="U27" s="56" cm="1">
        <f t="array" ref="U27">IF(T27="X",(_xlfn.XLOOKUP($B27,Tabla1[SERVICIO],Tabla1[VALOR])*1),IF(T27&gt;=1,_xlfn.XLOOKUP($B27,Tabla1[SERVICIO],Tabla1[VALOR]*T27),0))</f>
        <v>0</v>
      </c>
      <c r="V27" s="144"/>
      <c r="W27" s="56" cm="1">
        <f t="array" ref="W27">IF(V27="X",(_xlfn.XLOOKUP($B27,Tabla1[SERVICIO],Tabla1[VALOR])*1),IF(V27&gt;=1,_xlfn.XLOOKUP($B27,Tabla1[SERVICIO],Tabla1[VALOR]*V27),0))</f>
        <v>0</v>
      </c>
      <c r="X27" s="144"/>
      <c r="Y27" s="56" cm="1">
        <f t="array" ref="Y27">IF(X27="X",(_xlfn.XLOOKUP($B27,Tabla1[SERVICIO],Tabla1[VALOR])*1),IF(X27&gt;=1,_xlfn.XLOOKUP($B27,Tabla1[SERVICIO],Tabla1[VALOR]*X27),0))</f>
        <v>0</v>
      </c>
      <c r="Z27" s="144"/>
      <c r="AA27" s="56" cm="1">
        <f t="array" ref="AA27">IF(Z27="X",(_xlfn.XLOOKUP($B27,Tabla1[SERVICIO],Tabla1[VALOR])*1),IF(Z27&gt;=1,_xlfn.XLOOKUP($B27,Tabla1[SERVICIO],Tabla1[VALOR]*Z27),0))</f>
        <v>0</v>
      </c>
      <c r="AB27" s="81">
        <f t="shared" si="0"/>
        <v>31714.220952863223</v>
      </c>
      <c r="AC27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7" s="104" t="s">
        <v>319</v>
      </c>
      <c r="AE27" s="119">
        <v>0.11445279866332497</v>
      </c>
      <c r="AF27" s="47">
        <f>+Tabla428[[#This Row],[TOTAL]]*AE27</f>
        <v>3629.7813454822567</v>
      </c>
      <c r="AG27" s="104" t="s">
        <v>349</v>
      </c>
      <c r="AH27" s="333">
        <v>12</v>
      </c>
    </row>
    <row r="28" spans="1:34" x14ac:dyDescent="0.25">
      <c r="A28" s="7" t="s">
        <v>42</v>
      </c>
      <c r="B28" s="96" t="s">
        <v>288</v>
      </c>
      <c r="C28" s="96" t="str">
        <f>_xlfn.XLOOKUP(Tabla428[[#This Row],[Servicios del Programa:]],Tabla151[CODIGO],Tabla151[VALOR])</f>
        <v>Terapias</v>
      </c>
      <c r="D28" s="144">
        <v>1</v>
      </c>
      <c r="E28" s="56" cm="1">
        <f t="array" ref="E28">IF(D28="X",(_xlfn.XLOOKUP($B28,Tabla1[SERVICIO],Tabla1[VALOR])*1),IF(D28&gt;=1,_xlfn.XLOOKUP($B28,Tabla1[SERVICIO],Tabla1[VALOR]*D28),0))</f>
        <v>31714.220952863223</v>
      </c>
      <c r="F28" s="144"/>
      <c r="G28" s="56" cm="1">
        <f t="array" ref="G28">IF(F28="X",(_xlfn.XLOOKUP($B28,Tabla1[SERVICIO],Tabla1[VALOR])*1),IF(F28&gt;=1,_xlfn.XLOOKUP($B28,Tabla1[SERVICIO],Tabla1[VALOR]*F28),0))</f>
        <v>0</v>
      </c>
      <c r="H28" s="144"/>
      <c r="I28" s="56" cm="1">
        <f t="array" ref="I28">IF(H28="X",(_xlfn.XLOOKUP($B28,Tabla1[SERVICIO],Tabla1[VALOR])*1),IF(H28&gt;=1,_xlfn.XLOOKUP($B28,Tabla1[SERVICIO],Tabla1[VALOR]*H28),0))</f>
        <v>0</v>
      </c>
      <c r="J28" s="144"/>
      <c r="K28" s="56" cm="1">
        <f t="array" ref="K28">IF(J28="X",(_xlfn.XLOOKUP($B28,Tabla1[SERVICIO],Tabla1[VALOR])*1),IF(J28&gt;=1,_xlfn.XLOOKUP($B28,Tabla1[SERVICIO],Tabla1[VALOR]*J28),0))</f>
        <v>0</v>
      </c>
      <c r="L28" s="144"/>
      <c r="M28" s="56" cm="1">
        <f t="array" ref="M28">IF(L28="X",(_xlfn.XLOOKUP($B28,Tabla1[SERVICIO],Tabla1[VALOR])*1),IF(L28&gt;=1,_xlfn.XLOOKUP($B28,Tabla1[SERVICIO],Tabla1[VALOR]*L28),0))</f>
        <v>0</v>
      </c>
      <c r="N28" s="144"/>
      <c r="O28" s="56" cm="1">
        <f t="array" ref="O28">IF(N28="X",(_xlfn.XLOOKUP($B28,Tabla1[SERVICIO],Tabla1[VALOR])*1),IF(N28&gt;=1,_xlfn.XLOOKUP($B28,Tabla1[SERVICIO],Tabla1[VALOR]*N28),0))</f>
        <v>0</v>
      </c>
      <c r="P28" s="144"/>
      <c r="Q28" s="56" cm="1">
        <f t="array" ref="Q28">IF(P28="X",(_xlfn.XLOOKUP($B28,Tabla1[SERVICIO],Tabla1[VALOR])*1),IF(P28&gt;=1,_xlfn.XLOOKUP($B28,Tabla1[SERVICIO],Tabla1[VALOR]*P28),0))</f>
        <v>0</v>
      </c>
      <c r="R28" s="144"/>
      <c r="S28" s="56" cm="1">
        <f t="array" ref="S28">IF(R28="X",(_xlfn.XLOOKUP($B28,Tabla1[SERVICIO],Tabla1[VALOR])*1),IF(R28&gt;=1,_xlfn.XLOOKUP($B28,Tabla1[SERVICIO],Tabla1[VALOR]*R28),0))</f>
        <v>0</v>
      </c>
      <c r="T28" s="144"/>
      <c r="U28" s="56" cm="1">
        <f t="array" ref="U28">IF(T28="X",(_xlfn.XLOOKUP($B28,Tabla1[SERVICIO],Tabla1[VALOR])*1),IF(T28&gt;=1,_xlfn.XLOOKUP($B28,Tabla1[SERVICIO],Tabla1[VALOR]*T28),0))</f>
        <v>0</v>
      </c>
      <c r="V28" s="144"/>
      <c r="W28" s="56" cm="1">
        <f t="array" ref="W28">IF(V28="X",(_xlfn.XLOOKUP($B28,Tabla1[SERVICIO],Tabla1[VALOR])*1),IF(V28&gt;=1,_xlfn.XLOOKUP($B28,Tabla1[SERVICIO],Tabla1[VALOR]*V28),0))</f>
        <v>0</v>
      </c>
      <c r="X28" s="144"/>
      <c r="Y28" s="56" cm="1">
        <f t="array" ref="Y28">IF(X28="X",(_xlfn.XLOOKUP($B28,Tabla1[SERVICIO],Tabla1[VALOR])*1),IF(X28&gt;=1,_xlfn.XLOOKUP($B28,Tabla1[SERVICIO],Tabla1[VALOR]*X28),0))</f>
        <v>0</v>
      </c>
      <c r="Z28" s="144"/>
      <c r="AA28" s="56" cm="1">
        <f t="array" ref="AA28">IF(Z28="X",(_xlfn.XLOOKUP($B28,Tabla1[SERVICIO],Tabla1[VALOR])*1),IF(Z28&gt;=1,_xlfn.XLOOKUP($B28,Tabla1[SERVICIO],Tabla1[VALOR]*Z28),0))</f>
        <v>0</v>
      </c>
      <c r="AB28" s="81">
        <f t="shared" si="0"/>
        <v>31714.220952863223</v>
      </c>
      <c r="AC28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8" s="104" t="s">
        <v>319</v>
      </c>
      <c r="AE28" s="119">
        <v>5.5973266499582286E-2</v>
      </c>
      <c r="AF28" s="47">
        <f>+Tabla428[[#This Row],[TOTAL]]*AE28</f>
        <v>1775.1485412212496</v>
      </c>
      <c r="AG28" s="104" t="s">
        <v>349</v>
      </c>
      <c r="AH28" s="333">
        <v>12</v>
      </c>
    </row>
    <row r="29" spans="1:34" x14ac:dyDescent="0.25">
      <c r="A29" s="7" t="s">
        <v>50</v>
      </c>
      <c r="B29" s="55" t="s">
        <v>101</v>
      </c>
      <c r="C29" s="96" t="str">
        <f>_xlfn.XLOOKUP(Tabla428[[#This Row],[Servicios del Programa:]],Tabla151[CODIGO],Tabla151[VALOR])</f>
        <v>Diagnosticos</v>
      </c>
      <c r="D29" s="144">
        <v>1</v>
      </c>
      <c r="E29" s="56" cm="1">
        <f t="array" ref="E29">IF(D29="X",(_xlfn.XLOOKUP($B29,Tabla1[SERVICIO],Tabla1[VALOR])*1),IF(D29&gt;=1,_xlfn.XLOOKUP($B29,Tabla1[SERVICIO],Tabla1[VALOR]*D29),0))</f>
        <v>67391.281653480837</v>
      </c>
      <c r="F29" s="144"/>
      <c r="G29" s="56" cm="1">
        <f t="array" ref="G29">IF(F29="X",(_xlfn.XLOOKUP($B29,Tabla1[SERVICIO],Tabla1[VALOR])*1),IF(F29&gt;=1,_xlfn.XLOOKUP($B29,Tabla1[SERVICIO],Tabla1[VALOR]*F29),0))</f>
        <v>0</v>
      </c>
      <c r="H29" s="144"/>
      <c r="I29" s="56" cm="1">
        <f t="array" ref="I29">IF(H29="X",(_xlfn.XLOOKUP($B29,Tabla1[SERVICIO],Tabla1[VALOR])*1),IF(H29&gt;=1,_xlfn.XLOOKUP($B29,Tabla1[SERVICIO],Tabla1[VALOR]*H29),0))</f>
        <v>0</v>
      </c>
      <c r="J29" s="144"/>
      <c r="K29" s="56" cm="1">
        <f t="array" ref="K29">IF(J29="X",(_xlfn.XLOOKUP($B29,Tabla1[SERVICIO],Tabla1[VALOR])*1),IF(J29&gt;=1,_xlfn.XLOOKUP($B29,Tabla1[SERVICIO],Tabla1[VALOR]*J29),0))</f>
        <v>0</v>
      </c>
      <c r="L29" s="144"/>
      <c r="M29" s="56" cm="1">
        <f t="array" ref="M29">IF(L29="X",(_xlfn.XLOOKUP($B29,Tabla1[SERVICIO],Tabla1[VALOR])*1),IF(L29&gt;=1,_xlfn.XLOOKUP($B29,Tabla1[SERVICIO],Tabla1[VALOR]*L29),0))</f>
        <v>0</v>
      </c>
      <c r="N29" s="144"/>
      <c r="O29" s="56" cm="1">
        <f t="array" ref="O29">IF(N29="X",(_xlfn.XLOOKUP($B29,Tabla1[SERVICIO],Tabla1[VALOR])*1),IF(N29&gt;=1,_xlfn.XLOOKUP($B29,Tabla1[SERVICIO],Tabla1[VALOR]*N29),0))</f>
        <v>0</v>
      </c>
      <c r="P29" s="144"/>
      <c r="Q29" s="56" cm="1">
        <f t="array" ref="Q29">IF(P29="X",(_xlfn.XLOOKUP($B29,Tabla1[SERVICIO],Tabla1[VALOR])*1),IF(P29&gt;=1,_xlfn.XLOOKUP($B29,Tabla1[SERVICIO],Tabla1[VALOR]*P29),0))</f>
        <v>0</v>
      </c>
      <c r="R29" s="144"/>
      <c r="S29" s="56" cm="1">
        <f t="array" ref="S29">IF(R29="X",(_xlfn.XLOOKUP($B29,Tabla1[SERVICIO],Tabla1[VALOR])*1),IF(R29&gt;=1,_xlfn.XLOOKUP($B29,Tabla1[SERVICIO],Tabla1[VALOR]*R29),0))</f>
        <v>0</v>
      </c>
      <c r="T29" s="144"/>
      <c r="U29" s="56" cm="1">
        <f t="array" ref="U29">IF(T29="X",(_xlfn.XLOOKUP($B29,Tabla1[SERVICIO],Tabla1[VALOR])*1),IF(T29&gt;=1,_xlfn.XLOOKUP($B29,Tabla1[SERVICIO],Tabla1[VALOR]*T29),0))</f>
        <v>0</v>
      </c>
      <c r="V29" s="144"/>
      <c r="W29" s="56" cm="1">
        <f t="array" ref="W29">IF(V29="X",(_xlfn.XLOOKUP($B29,Tabla1[SERVICIO],Tabla1[VALOR])*1),IF(V29&gt;=1,_xlfn.XLOOKUP($B29,Tabla1[SERVICIO],Tabla1[VALOR]*V29),0))</f>
        <v>0</v>
      </c>
      <c r="X29" s="144"/>
      <c r="Y29" s="56" cm="1">
        <f t="array" ref="Y29">IF(X29="X",(_xlfn.XLOOKUP($B29,Tabla1[SERVICIO],Tabla1[VALOR])*1),IF(X29&gt;=1,_xlfn.XLOOKUP($B29,Tabla1[SERVICIO],Tabla1[VALOR]*X29),0))</f>
        <v>0</v>
      </c>
      <c r="Z29" s="144"/>
      <c r="AA29" s="56" cm="1">
        <f t="array" ref="AA29">IF(Z29="X",(_xlfn.XLOOKUP($B29,Tabla1[SERVICIO],Tabla1[VALOR])*1),IF(Z29&gt;=1,_xlfn.XLOOKUP($B29,Tabla1[SERVICIO],Tabla1[VALOR]*Z29),0))</f>
        <v>0</v>
      </c>
      <c r="AB29" s="81">
        <f t="shared" si="0"/>
        <v>67391.281653480837</v>
      </c>
      <c r="AC29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9" s="104" t="s">
        <v>319</v>
      </c>
      <c r="AE29" s="119">
        <v>5.5973266499582286E-2</v>
      </c>
      <c r="AF29" s="47">
        <f>+Tabla428[[#This Row],[TOTAL]]*AE29</f>
        <v>3772.1101677386932</v>
      </c>
      <c r="AG29" s="104" t="s">
        <v>349</v>
      </c>
      <c r="AH29" s="333">
        <v>12</v>
      </c>
    </row>
    <row r="30" spans="1:34" x14ac:dyDescent="0.25">
      <c r="A30" s="7" t="s">
        <v>54</v>
      </c>
      <c r="B30" s="96" t="s">
        <v>322</v>
      </c>
      <c r="C30" s="96" t="str">
        <f>_xlfn.XLOOKUP(Tabla428[[#This Row],[Servicios del Programa:]],Tabla151[CODIGO],Tabla151[VALOR])</f>
        <v>Gestion y seguimiento</v>
      </c>
      <c r="D30" s="144"/>
      <c r="E30" s="56" cm="1">
        <f t="array" ref="E30">IF(D30="X",(_xlfn.XLOOKUP($B30,Tabla1[SERVICIO],Tabla1[VALOR])*1),IF(D30&gt;=1,_xlfn.XLOOKUP($B30,Tabla1[SERVICIO],Tabla1[VALOR]*D30),0))</f>
        <v>0</v>
      </c>
      <c r="F30" s="144"/>
      <c r="G30" s="56" cm="1">
        <f t="array" ref="G30">IF(F30="X",(_xlfn.XLOOKUP($B30,Tabla1[SERVICIO],Tabla1[VALOR])*1),IF(F30&gt;=1,_xlfn.XLOOKUP($B30,Tabla1[SERVICIO],Tabla1[VALOR]*F30),0))</f>
        <v>0</v>
      </c>
      <c r="H30" s="144"/>
      <c r="I30" s="56" cm="1">
        <f t="array" ref="I30">IF(H30="X",(_xlfn.XLOOKUP($B30,Tabla1[SERVICIO],Tabla1[VALOR])*1),IF(H30&gt;=1,_xlfn.XLOOKUP($B30,Tabla1[SERVICIO],Tabla1[VALOR]*H30),0))</f>
        <v>0</v>
      </c>
      <c r="J30" s="144"/>
      <c r="K30" s="56" cm="1">
        <f t="array" ref="K30">IF(J30="X",(_xlfn.XLOOKUP($B30,Tabla1[SERVICIO],Tabla1[VALOR])*1),IF(J30&gt;=1,_xlfn.XLOOKUP($B30,Tabla1[SERVICIO],Tabla1[VALOR]*J30),0))</f>
        <v>0</v>
      </c>
      <c r="L30" s="144"/>
      <c r="M30" s="56" cm="1">
        <f t="array" ref="M30">IF(L30="X",(_xlfn.XLOOKUP($B30,Tabla1[SERVICIO],Tabla1[VALOR])*1),IF(L30&gt;=1,_xlfn.XLOOKUP($B30,Tabla1[SERVICIO],Tabla1[VALOR]*L30),0))</f>
        <v>0</v>
      </c>
      <c r="N30" s="144">
        <v>1</v>
      </c>
      <c r="O30" s="56" cm="1">
        <f t="array" ref="O30">IF(N30="X",(_xlfn.XLOOKUP($B30,Tabla1[SERVICIO],Tabla1[VALOR])*1),IF(N30&gt;=1,_xlfn.XLOOKUP($B30,Tabla1[SERVICIO],Tabla1[VALOR]*N30),0))</f>
        <v>145259.19237771924</v>
      </c>
      <c r="P30" s="144"/>
      <c r="Q30" s="56" cm="1">
        <f t="array" ref="Q30">IF(P30="X",(_xlfn.XLOOKUP($B30,Tabla1[SERVICIO],Tabla1[VALOR])*1),IF(P30&gt;=1,_xlfn.XLOOKUP($B30,Tabla1[SERVICIO],Tabla1[VALOR]*P30),0))</f>
        <v>0</v>
      </c>
      <c r="R30" s="144"/>
      <c r="S30" s="56" cm="1">
        <f t="array" ref="S30">IF(R30="X",(_xlfn.XLOOKUP($B30,Tabla1[SERVICIO],Tabla1[VALOR])*1),IF(R30&gt;=1,_xlfn.XLOOKUP($B30,Tabla1[SERVICIO],Tabla1[VALOR]*R30),0))</f>
        <v>0</v>
      </c>
      <c r="T30" s="144"/>
      <c r="U30" s="56" cm="1">
        <f t="array" ref="U30">IF(T30="X",(_xlfn.XLOOKUP($B30,Tabla1[SERVICIO],Tabla1[VALOR])*1),IF(T30&gt;=1,_xlfn.XLOOKUP($B30,Tabla1[SERVICIO],Tabla1[VALOR]*T30),0))</f>
        <v>0</v>
      </c>
      <c r="V30" s="144"/>
      <c r="W30" s="56" cm="1">
        <f t="array" ref="W30">IF(V30="X",(_xlfn.XLOOKUP($B30,Tabla1[SERVICIO],Tabla1[VALOR])*1),IF(V30&gt;=1,_xlfn.XLOOKUP($B30,Tabla1[SERVICIO],Tabla1[VALOR]*V30),0))</f>
        <v>0</v>
      </c>
      <c r="X30" s="144"/>
      <c r="Y30" s="56" cm="1">
        <f t="array" ref="Y30">IF(X30="X",(_xlfn.XLOOKUP($B30,Tabla1[SERVICIO],Tabla1[VALOR])*1),IF(X30&gt;=1,_xlfn.XLOOKUP($B30,Tabla1[SERVICIO],Tabla1[VALOR]*X30),0))</f>
        <v>0</v>
      </c>
      <c r="Z30" s="144"/>
      <c r="AA30" s="56" cm="1">
        <f t="array" ref="AA30">IF(Z30="X",(_xlfn.XLOOKUP($B30,Tabla1[SERVICIO],Tabla1[VALOR])*1),IF(Z30&gt;=1,_xlfn.XLOOKUP($B30,Tabla1[SERVICIO],Tabla1[VALOR]*Z30),0))</f>
        <v>0</v>
      </c>
      <c r="AB30" s="81">
        <f t="shared" si="0"/>
        <v>145259.19237771924</v>
      </c>
      <c r="AC30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0" s="104" t="s">
        <v>319</v>
      </c>
      <c r="AE30" s="119">
        <v>3.5087719298245612E-2</v>
      </c>
      <c r="AF30" s="47">
        <f>+Tabla428[[#This Row],[TOTAL]]*AE30</f>
        <v>5096.8137676392716</v>
      </c>
      <c r="AG30" s="104" t="s">
        <v>349</v>
      </c>
      <c r="AH30" s="333">
        <v>12</v>
      </c>
    </row>
    <row r="31" spans="1:34" x14ac:dyDescent="0.25">
      <c r="A31" s="7" t="s">
        <v>38</v>
      </c>
      <c r="B31" s="96" t="s">
        <v>102</v>
      </c>
      <c r="C31" s="96" t="str">
        <f>_xlfn.XLOOKUP(Tabla428[[#This Row],[Servicios del Programa:]],Tabla151[CODIGO],Tabla151[VALOR])</f>
        <v>Consultas</v>
      </c>
      <c r="D31" s="144"/>
      <c r="E31" s="56" cm="1">
        <f t="array" ref="E31">IF(D31="X",(_xlfn.XLOOKUP($B31,Tabla1[SERVICIO],Tabla1[VALOR])*1),IF(D31&gt;=1,_xlfn.XLOOKUP($B31,Tabla1[SERVICIO],Tabla1[VALOR]*D31),0))</f>
        <v>0</v>
      </c>
      <c r="F31" s="144"/>
      <c r="G31" s="56" cm="1">
        <f t="array" ref="G31">IF(F31="X",(_xlfn.XLOOKUP($B31,Tabla1[SERVICIO],Tabla1[VALOR])*1),IF(F31&gt;=1,_xlfn.XLOOKUP($B31,Tabla1[SERVICIO],Tabla1[VALOR]*F31),0))</f>
        <v>0</v>
      </c>
      <c r="H31" s="144"/>
      <c r="I31" s="56" cm="1">
        <f t="array" ref="I31">IF(H31="X",(_xlfn.XLOOKUP($B31,Tabla1[SERVICIO],Tabla1[VALOR])*1),IF(H31&gt;=1,_xlfn.XLOOKUP($B31,Tabla1[SERVICIO],Tabla1[VALOR]*H31),0))</f>
        <v>0</v>
      </c>
      <c r="J31" s="144"/>
      <c r="K31" s="56" cm="1">
        <f t="array" ref="K31">IF(J31="X",(_xlfn.XLOOKUP($B31,Tabla1[SERVICIO],Tabla1[VALOR])*1),IF(J31&gt;=1,_xlfn.XLOOKUP($B31,Tabla1[SERVICIO],Tabla1[VALOR]*J31),0))</f>
        <v>0</v>
      </c>
      <c r="L31" s="144"/>
      <c r="M31" s="56" cm="1">
        <f t="array" ref="M31">IF(L31="X",(_xlfn.XLOOKUP($B31,Tabla1[SERVICIO],Tabla1[VALOR])*1),IF(L31&gt;=1,_xlfn.XLOOKUP($B31,Tabla1[SERVICIO],Tabla1[VALOR]*L31),0))</f>
        <v>0</v>
      </c>
      <c r="N31" s="144"/>
      <c r="O31" s="56" cm="1">
        <f t="array" ref="O31">IF(N31="X",(_xlfn.XLOOKUP($B31,Tabla1[SERVICIO],Tabla1[VALOR])*1),IF(N31&gt;=1,_xlfn.XLOOKUP($B31,Tabla1[SERVICIO],Tabla1[VALOR]*N31),0))</f>
        <v>0</v>
      </c>
      <c r="P31" s="144">
        <v>1</v>
      </c>
      <c r="Q31" s="56" cm="1">
        <f t="array" ref="Q31">IF(P31="X",(_xlfn.XLOOKUP($B31,Tabla1[SERVICIO],Tabla1[VALOR])*1),IF(P31&gt;=1,_xlfn.XLOOKUP($B31,Tabla1[SERVICIO],Tabla1[VALOR]*P31),0))</f>
        <v>56420.692787682223</v>
      </c>
      <c r="R31" s="144"/>
      <c r="S31" s="56" cm="1">
        <f t="array" ref="S31">IF(R31="X",(_xlfn.XLOOKUP($B31,Tabla1[SERVICIO],Tabla1[VALOR])*1),IF(R31&gt;=1,_xlfn.XLOOKUP($B31,Tabla1[SERVICIO],Tabla1[VALOR]*R31),0))</f>
        <v>0</v>
      </c>
      <c r="T31" s="144"/>
      <c r="U31" s="56" cm="1">
        <f t="array" ref="U31">IF(T31="X",(_xlfn.XLOOKUP($B31,Tabla1[SERVICIO],Tabla1[VALOR])*1),IF(T31&gt;=1,_xlfn.XLOOKUP($B31,Tabla1[SERVICIO],Tabla1[VALOR]*T31),0))</f>
        <v>0</v>
      </c>
      <c r="V31" s="144"/>
      <c r="W31" s="56" cm="1">
        <f t="array" ref="W31">IF(V31="X",(_xlfn.XLOOKUP($B31,Tabla1[SERVICIO],Tabla1[VALOR])*1),IF(V31&gt;=1,_xlfn.XLOOKUP($B31,Tabla1[SERVICIO],Tabla1[VALOR]*V31),0))</f>
        <v>0</v>
      </c>
      <c r="X31" s="144"/>
      <c r="Y31" s="56" cm="1">
        <f t="array" ref="Y31">IF(X31="X",(_xlfn.XLOOKUP($B31,Tabla1[SERVICIO],Tabla1[VALOR])*1),IF(X31&gt;=1,_xlfn.XLOOKUP($B31,Tabla1[SERVICIO],Tabla1[VALOR]*X31),0))</f>
        <v>0</v>
      </c>
      <c r="Z31" s="144"/>
      <c r="AA31" s="56" cm="1">
        <f t="array" ref="AA31">IF(Z31="X",(_xlfn.XLOOKUP($B31,Tabla1[SERVICIO],Tabla1[VALOR])*1),IF(Z31&gt;=1,_xlfn.XLOOKUP($B31,Tabla1[SERVICIO],Tabla1[VALOR]*Z31),0))</f>
        <v>0</v>
      </c>
      <c r="AB31" s="81">
        <f t="shared" si="0"/>
        <v>56420.692787682223</v>
      </c>
      <c r="AC31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1" s="104" t="s">
        <v>319</v>
      </c>
      <c r="AE31" s="119">
        <v>0.46031746031746029</v>
      </c>
      <c r="AF31" s="47">
        <f>+Tabla428[[#This Row],[TOTAL]]*AE31</f>
        <v>25971.430013377529</v>
      </c>
      <c r="AG31" s="104" t="s">
        <v>349</v>
      </c>
      <c r="AH31" s="333">
        <v>12</v>
      </c>
    </row>
    <row r="32" spans="1:34" x14ac:dyDescent="0.25">
      <c r="A32" s="7" t="s">
        <v>34</v>
      </c>
      <c r="B32" s="96" t="s">
        <v>35</v>
      </c>
      <c r="C32" s="96" t="str">
        <f>_xlfn.XLOOKUP(Tabla428[[#This Row],[Servicios del Programa:]],Tabla151[CODIGO],Tabla151[VALOR])</f>
        <v>Consultas</v>
      </c>
      <c r="D32" s="144">
        <v>1</v>
      </c>
      <c r="E32" s="56" cm="1">
        <f t="array" ref="E32">IF(D32="X",(_xlfn.XLOOKUP($B32,Tabla1[SERVICIO],Tabla1[VALOR])*1),IF(D32&gt;=1,_xlfn.XLOOKUP($B32,Tabla1[SERVICIO],Tabla1[VALOR]*D32),0))</f>
        <v>24009.730401318589</v>
      </c>
      <c r="F32" s="144"/>
      <c r="G32" s="56" cm="1">
        <f t="array" ref="G32">IF(F32="X",(_xlfn.XLOOKUP($B32,Tabla1[SERVICIO],Tabla1[VALOR])*1),IF(F32&gt;=1,_xlfn.XLOOKUP($B32,Tabla1[SERVICIO],Tabla1[VALOR]*F32),0))</f>
        <v>0</v>
      </c>
      <c r="H32" s="144"/>
      <c r="I32" s="56" cm="1">
        <f t="array" ref="I32">IF(H32="X",(_xlfn.XLOOKUP($B32,Tabla1[SERVICIO],Tabla1[VALOR])*1),IF(H32&gt;=1,_xlfn.XLOOKUP($B32,Tabla1[SERVICIO],Tabla1[VALOR]*H32),0))</f>
        <v>0</v>
      </c>
      <c r="J32" s="144"/>
      <c r="K32" s="56" cm="1">
        <f t="array" ref="K32">IF(J32="X",(_xlfn.XLOOKUP($B32,Tabla1[SERVICIO],Tabla1[VALOR])*1),IF(J32&gt;=1,_xlfn.XLOOKUP($B32,Tabla1[SERVICIO],Tabla1[VALOR]*J32),0))</f>
        <v>0</v>
      </c>
      <c r="L32" s="144"/>
      <c r="M32" s="56" cm="1">
        <f t="array" ref="M32">IF(L32="X",(_xlfn.XLOOKUP($B32,Tabla1[SERVICIO],Tabla1[VALOR])*1),IF(L32&gt;=1,_xlfn.XLOOKUP($B32,Tabla1[SERVICIO],Tabla1[VALOR]*L32),0))</f>
        <v>0</v>
      </c>
      <c r="N32" s="144"/>
      <c r="O32" s="56" cm="1">
        <f t="array" ref="O32">IF(N32="X",(_xlfn.XLOOKUP($B32,Tabla1[SERVICIO],Tabla1[VALOR])*1),IF(N32&gt;=1,_xlfn.XLOOKUP($B32,Tabla1[SERVICIO],Tabla1[VALOR]*N32),0))</f>
        <v>0</v>
      </c>
      <c r="P32" s="144"/>
      <c r="Q32" s="56" cm="1">
        <f t="array" ref="Q32">IF(P32="X",(_xlfn.XLOOKUP($B32,Tabla1[SERVICIO],Tabla1[VALOR])*1),IF(P32&gt;=1,_xlfn.XLOOKUP($B32,Tabla1[SERVICIO],Tabla1[VALOR]*P32),0))</f>
        <v>0</v>
      </c>
      <c r="R32" s="144"/>
      <c r="S32" s="56" cm="1">
        <f t="array" ref="S32">IF(R32="X",(_xlfn.XLOOKUP($B32,Tabla1[SERVICIO],Tabla1[VALOR])*1),IF(R32&gt;=1,_xlfn.XLOOKUP($B32,Tabla1[SERVICIO],Tabla1[VALOR]*R32),0))</f>
        <v>0</v>
      </c>
      <c r="T32" s="144"/>
      <c r="U32" s="56" cm="1">
        <f t="array" ref="U32">IF(T32="X",(_xlfn.XLOOKUP($B32,Tabla1[SERVICIO],Tabla1[VALOR])*1),IF(T32&gt;=1,_xlfn.XLOOKUP($B32,Tabla1[SERVICIO],Tabla1[VALOR]*T32),0))</f>
        <v>0</v>
      </c>
      <c r="V32" s="144"/>
      <c r="W32" s="56" cm="1">
        <f t="array" ref="W32">IF(V32="X",(_xlfn.XLOOKUP($B32,Tabla1[SERVICIO],Tabla1[VALOR])*1),IF(V32&gt;=1,_xlfn.XLOOKUP($B32,Tabla1[SERVICIO],Tabla1[VALOR]*V32),0))</f>
        <v>0</v>
      </c>
      <c r="X32" s="144"/>
      <c r="Y32" s="56" cm="1">
        <f t="array" ref="Y32">IF(X32="X",(_xlfn.XLOOKUP($B32,Tabla1[SERVICIO],Tabla1[VALOR])*1),IF(X32&gt;=1,_xlfn.XLOOKUP($B32,Tabla1[SERVICIO],Tabla1[VALOR]*X32),0))</f>
        <v>0</v>
      </c>
      <c r="Z32" s="144"/>
      <c r="AA32" s="56" cm="1">
        <f t="array" ref="AA32">IF(Z32="X",(_xlfn.XLOOKUP($B32,Tabla1[SERVICIO],Tabla1[VALOR])*1),IF(Z32&gt;=1,_xlfn.XLOOKUP($B32,Tabla1[SERVICIO],Tabla1[VALOR]*Z32),0))</f>
        <v>0</v>
      </c>
      <c r="AB32" s="81">
        <f t="shared" si="0"/>
        <v>24009.730401318589</v>
      </c>
      <c r="AC32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2" s="104" t="s">
        <v>319</v>
      </c>
      <c r="AE32" s="119">
        <v>2.5062656641604009E-3</v>
      </c>
      <c r="AF32" s="47">
        <f>+Tabla428[[#This Row],[TOTAL]]*AE32</f>
        <v>60.174762910572902</v>
      </c>
      <c r="AG32" s="104" t="s">
        <v>349</v>
      </c>
      <c r="AH32" s="333">
        <v>12</v>
      </c>
    </row>
    <row r="33" spans="1:46" x14ac:dyDescent="0.25">
      <c r="A33" s="7" t="s">
        <v>113</v>
      </c>
      <c r="B33" s="96" t="s">
        <v>116</v>
      </c>
      <c r="C33" s="96" t="str">
        <f>_xlfn.XLOOKUP(Tabla428[[#This Row],[Servicios del Programa:]],Tabla151[CODIGO],Tabla151[VALOR])</f>
        <v>Consultas</v>
      </c>
      <c r="D33" s="144">
        <v>1</v>
      </c>
      <c r="E33" s="56" cm="1">
        <f t="array" ref="E33">IF(D33="X",(_xlfn.XLOOKUP($B33,Tabla1[SERVICIO],Tabla1[VALOR])*1),IF(D33&gt;=1,_xlfn.XLOOKUP($B33,Tabla1[SERVICIO],Tabla1[VALOR]*D33),0))</f>
        <v>60236.092716419647</v>
      </c>
      <c r="F33" s="144"/>
      <c r="G33" s="56" cm="1">
        <f t="array" ref="G33">IF(F33="X",(_xlfn.XLOOKUP($B33,Tabla1[SERVICIO],Tabla1[VALOR])*1),IF(F33&gt;=1,_xlfn.XLOOKUP($B33,Tabla1[SERVICIO],Tabla1[VALOR]*F33),0))</f>
        <v>0</v>
      </c>
      <c r="H33" s="144"/>
      <c r="I33" s="56" cm="1">
        <f t="array" ref="I33">IF(H33="X",(_xlfn.XLOOKUP($B33,Tabla1[SERVICIO],Tabla1[VALOR])*1),IF(H33&gt;=1,_xlfn.XLOOKUP($B33,Tabla1[SERVICIO],Tabla1[VALOR]*H33),0))</f>
        <v>0</v>
      </c>
      <c r="J33" s="144"/>
      <c r="K33" s="56" cm="1">
        <f t="array" ref="K33">IF(J33="X",(_xlfn.XLOOKUP($B33,Tabla1[SERVICIO],Tabla1[VALOR])*1),IF(J33&gt;=1,_xlfn.XLOOKUP($B33,Tabla1[SERVICIO],Tabla1[VALOR]*J33),0))</f>
        <v>0</v>
      </c>
      <c r="L33" s="144"/>
      <c r="M33" s="56" cm="1">
        <f t="array" ref="M33">IF(L33="X",(_xlfn.XLOOKUP($B33,Tabla1[SERVICIO],Tabla1[VALOR])*1),IF(L33&gt;=1,_xlfn.XLOOKUP($B33,Tabla1[SERVICIO],Tabla1[VALOR]*L33),0))</f>
        <v>0</v>
      </c>
      <c r="N33" s="144"/>
      <c r="O33" s="56" cm="1">
        <f t="array" ref="O33">IF(N33="X",(_xlfn.XLOOKUP($B33,Tabla1[SERVICIO],Tabla1[VALOR])*1),IF(N33&gt;=1,_xlfn.XLOOKUP($B33,Tabla1[SERVICIO],Tabla1[VALOR]*N33),0))</f>
        <v>0</v>
      </c>
      <c r="P33" s="144"/>
      <c r="Q33" s="56" cm="1">
        <f t="array" ref="Q33">IF(P33="X",(_xlfn.XLOOKUP($B33,Tabla1[SERVICIO],Tabla1[VALOR])*1),IF(P33&gt;=1,_xlfn.XLOOKUP($B33,Tabla1[SERVICIO],Tabla1[VALOR]*P33),0))</f>
        <v>0</v>
      </c>
      <c r="R33" s="144"/>
      <c r="S33" s="56" cm="1">
        <f t="array" ref="S33">IF(R33="X",(_xlfn.XLOOKUP($B33,Tabla1[SERVICIO],Tabla1[VALOR])*1),IF(R33&gt;=1,_xlfn.XLOOKUP($B33,Tabla1[SERVICIO],Tabla1[VALOR]*R33),0))</f>
        <v>0</v>
      </c>
      <c r="T33" s="144"/>
      <c r="U33" s="56" cm="1">
        <f t="array" ref="U33">IF(T33="X",(_xlfn.XLOOKUP($B33,Tabla1[SERVICIO],Tabla1[VALOR])*1),IF(T33&gt;=1,_xlfn.XLOOKUP($B33,Tabla1[SERVICIO],Tabla1[VALOR]*T33),0))</f>
        <v>0</v>
      </c>
      <c r="V33" s="144"/>
      <c r="W33" s="56" cm="1">
        <f t="array" ref="W33">IF(V33="X",(_xlfn.XLOOKUP($B33,Tabla1[SERVICIO],Tabla1[VALOR])*1),IF(V33&gt;=1,_xlfn.XLOOKUP($B33,Tabla1[SERVICIO],Tabla1[VALOR]*V33),0))</f>
        <v>0</v>
      </c>
      <c r="X33" s="144"/>
      <c r="Y33" s="56" cm="1">
        <f t="array" ref="Y33">IF(X33="X",(_xlfn.XLOOKUP($B33,Tabla1[SERVICIO],Tabla1[VALOR])*1),IF(X33&gt;=1,_xlfn.XLOOKUP($B33,Tabla1[SERVICIO],Tabla1[VALOR]*X33),0))</f>
        <v>0</v>
      </c>
      <c r="Z33" s="144"/>
      <c r="AA33" s="56" cm="1">
        <f t="array" ref="AA33">IF(Z33="X",(_xlfn.XLOOKUP($B33,Tabla1[SERVICIO],Tabla1[VALOR])*1),IF(Z33&gt;=1,_xlfn.XLOOKUP($B33,Tabla1[SERVICIO],Tabla1[VALOR]*Z33),0))</f>
        <v>0</v>
      </c>
      <c r="AB33" s="81">
        <f t="shared" si="0"/>
        <v>60236.092716419647</v>
      </c>
      <c r="AC33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3" s="104" t="s">
        <v>319</v>
      </c>
      <c r="AE33" s="119">
        <v>2.5062656641604009E-2</v>
      </c>
      <c r="AF33" s="47">
        <f>+Tabla428[[#This Row],[TOTAL]]*AE33</f>
        <v>1509.6765091834498</v>
      </c>
      <c r="AG33" s="104" t="s">
        <v>349</v>
      </c>
      <c r="AH33" s="333">
        <v>12</v>
      </c>
    </row>
    <row r="34" spans="1:46" x14ac:dyDescent="0.25">
      <c r="A34" s="7" t="s">
        <v>114</v>
      </c>
      <c r="B34" s="96" t="s">
        <v>117</v>
      </c>
      <c r="C34" s="96" t="str">
        <f>_xlfn.XLOOKUP(Tabla428[[#This Row],[Servicios del Programa:]],Tabla151[CODIGO],Tabla151[VALOR])</f>
        <v>Consultas</v>
      </c>
      <c r="D34" s="144"/>
      <c r="E34" s="56" cm="1">
        <f t="array" ref="E34">IF(D34="X",(_xlfn.XLOOKUP($B34,Tabla1[SERVICIO],Tabla1[VALOR])*1),IF(D34&gt;=1,_xlfn.XLOOKUP($B34,Tabla1[SERVICIO],Tabla1[VALOR]*D34),0))</f>
        <v>0</v>
      </c>
      <c r="F34" s="144"/>
      <c r="G34" s="56" cm="1">
        <f t="array" ref="G34">IF(F34="X",(_xlfn.XLOOKUP($B34,Tabla1[SERVICIO],Tabla1[VALOR])*1),IF(F34&gt;=1,_xlfn.XLOOKUP($B34,Tabla1[SERVICIO],Tabla1[VALOR]*F34),0))</f>
        <v>0</v>
      </c>
      <c r="H34" s="144"/>
      <c r="I34" s="56" cm="1">
        <f t="array" ref="I34">IF(H34="X",(_xlfn.XLOOKUP($B34,Tabla1[SERVICIO],Tabla1[VALOR])*1),IF(H34&gt;=1,_xlfn.XLOOKUP($B34,Tabla1[SERVICIO],Tabla1[VALOR]*H34),0))</f>
        <v>0</v>
      </c>
      <c r="J34" s="144"/>
      <c r="K34" s="56" cm="1">
        <f t="array" ref="K34">IF(J34="X",(_xlfn.XLOOKUP($B34,Tabla1[SERVICIO],Tabla1[VALOR])*1),IF(J34&gt;=1,_xlfn.XLOOKUP($B34,Tabla1[SERVICIO],Tabla1[VALOR]*J34),0))</f>
        <v>0</v>
      </c>
      <c r="L34" s="144"/>
      <c r="M34" s="56" cm="1">
        <f t="array" ref="M34">IF(L34="X",(_xlfn.XLOOKUP($B34,Tabla1[SERVICIO],Tabla1[VALOR])*1),IF(L34&gt;=1,_xlfn.XLOOKUP($B34,Tabla1[SERVICIO],Tabla1[VALOR]*L34),0))</f>
        <v>0</v>
      </c>
      <c r="N34" s="144"/>
      <c r="O34" s="56" cm="1">
        <f t="array" ref="O34">IF(N34="X",(_xlfn.XLOOKUP($B34,Tabla1[SERVICIO],Tabla1[VALOR])*1),IF(N34&gt;=1,_xlfn.XLOOKUP($B34,Tabla1[SERVICIO],Tabla1[VALOR]*N34),0))</f>
        <v>0</v>
      </c>
      <c r="P34" s="144">
        <v>1</v>
      </c>
      <c r="Q34" s="56" cm="1">
        <f t="array" ref="Q34">IF(P34="X",(_xlfn.XLOOKUP($B34,Tabla1[SERVICIO],Tabla1[VALOR])*1),IF(P34&gt;=1,_xlfn.XLOOKUP($B34,Tabla1[SERVICIO],Tabla1[VALOR]*P34),0))</f>
        <v>62748.232282880919</v>
      </c>
      <c r="R34" s="144"/>
      <c r="S34" s="56" cm="1">
        <f t="array" ref="S34">IF(R34="X",(_xlfn.XLOOKUP($B34,Tabla1[SERVICIO],Tabla1[VALOR])*1),IF(R34&gt;=1,_xlfn.XLOOKUP($B34,Tabla1[SERVICIO],Tabla1[VALOR]*R34),0))</f>
        <v>0</v>
      </c>
      <c r="T34" s="144"/>
      <c r="U34" s="56" cm="1">
        <f t="array" ref="U34">IF(T34="X",(_xlfn.XLOOKUP($B34,Tabla1[SERVICIO],Tabla1[VALOR])*1),IF(T34&gt;=1,_xlfn.XLOOKUP($B34,Tabla1[SERVICIO],Tabla1[VALOR]*T34),0))</f>
        <v>0</v>
      </c>
      <c r="V34" s="144"/>
      <c r="W34" s="56" cm="1">
        <f t="array" ref="W34">IF(V34="X",(_xlfn.XLOOKUP($B34,Tabla1[SERVICIO],Tabla1[VALOR])*1),IF(V34&gt;=1,_xlfn.XLOOKUP($B34,Tabla1[SERVICIO],Tabla1[VALOR]*V34),0))</f>
        <v>0</v>
      </c>
      <c r="X34" s="144"/>
      <c r="Y34" s="56" cm="1">
        <f t="array" ref="Y34">IF(X34="X",(_xlfn.XLOOKUP($B34,Tabla1[SERVICIO],Tabla1[VALOR])*1),IF(X34&gt;=1,_xlfn.XLOOKUP($B34,Tabla1[SERVICIO],Tabla1[VALOR]*X34),0))</f>
        <v>0</v>
      </c>
      <c r="Z34" s="144"/>
      <c r="AA34" s="56" cm="1">
        <f t="array" ref="AA34">IF(Z34="X",(_xlfn.XLOOKUP($B34,Tabla1[SERVICIO],Tabla1[VALOR])*1),IF(Z34&gt;=1,_xlfn.XLOOKUP($B34,Tabla1[SERVICIO],Tabla1[VALOR]*Z34),0))</f>
        <v>0</v>
      </c>
      <c r="AB34" s="81">
        <f t="shared" si="0"/>
        <v>62748.232282880919</v>
      </c>
      <c r="AC34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4" s="104" t="s">
        <v>319</v>
      </c>
      <c r="AE34" s="119">
        <v>8.3542188805346695E-3</v>
      </c>
      <c r="AF34" s="47">
        <f>+Tabla428[[#This Row],[TOTAL]]*AE34</f>
        <v>524.21246685781887</v>
      </c>
      <c r="AG34" s="104" t="s">
        <v>349</v>
      </c>
      <c r="AH34" s="333">
        <v>12</v>
      </c>
    </row>
    <row r="35" spans="1:46" x14ac:dyDescent="0.25">
      <c r="A35" s="7" t="s">
        <v>115</v>
      </c>
      <c r="B35" s="96" t="s">
        <v>118</v>
      </c>
      <c r="C35" s="96" t="str">
        <f>_xlfn.XLOOKUP(Tabla428[[#This Row],[Servicios del Programa:]],Tabla151[CODIGO],Tabla151[VALOR])</f>
        <v>Consultas</v>
      </c>
      <c r="D35" s="144"/>
      <c r="E35" s="56" cm="1">
        <f t="array" ref="E35">IF(D35="X",(_xlfn.XLOOKUP($B35,Tabla1[SERVICIO],Tabla1[VALOR])*1),IF(D35&gt;=1,_xlfn.XLOOKUP($B35,Tabla1[SERVICIO],Tabla1[VALOR]*D35),0))</f>
        <v>0</v>
      </c>
      <c r="F35" s="144"/>
      <c r="G35" s="56" cm="1">
        <f t="array" ref="G35">IF(F35="X",(_xlfn.XLOOKUP($B35,Tabla1[SERVICIO],Tabla1[VALOR])*1),IF(F35&gt;=1,_xlfn.XLOOKUP($B35,Tabla1[SERVICIO],Tabla1[VALOR]*F35),0))</f>
        <v>0</v>
      </c>
      <c r="H35" s="144"/>
      <c r="I35" s="56" cm="1">
        <f t="array" ref="I35">IF(H35="X",(_xlfn.XLOOKUP($B35,Tabla1[SERVICIO],Tabla1[VALOR])*1),IF(H35&gt;=1,_xlfn.XLOOKUP($B35,Tabla1[SERVICIO],Tabla1[VALOR]*H35),0))</f>
        <v>0</v>
      </c>
      <c r="J35" s="144"/>
      <c r="K35" s="56" cm="1">
        <f t="array" ref="K35">IF(J35="X",(_xlfn.XLOOKUP($B35,Tabla1[SERVICIO],Tabla1[VALOR])*1),IF(J35&gt;=1,_xlfn.XLOOKUP($B35,Tabla1[SERVICIO],Tabla1[VALOR]*J35),0))</f>
        <v>0</v>
      </c>
      <c r="L35" s="144"/>
      <c r="M35" s="56" cm="1">
        <f t="array" ref="M35">IF(L35="X",(_xlfn.XLOOKUP($B35,Tabla1[SERVICIO],Tabla1[VALOR])*1),IF(L35&gt;=1,_xlfn.XLOOKUP($B35,Tabla1[SERVICIO],Tabla1[VALOR]*L35),0))</f>
        <v>0</v>
      </c>
      <c r="N35" s="144"/>
      <c r="O35" s="56" cm="1">
        <f t="array" ref="O35">IF(N35="X",(_xlfn.XLOOKUP($B35,Tabla1[SERVICIO],Tabla1[VALOR])*1),IF(N35&gt;=1,_xlfn.XLOOKUP($B35,Tabla1[SERVICIO],Tabla1[VALOR]*N35),0))</f>
        <v>0</v>
      </c>
      <c r="P35" s="144"/>
      <c r="Q35" s="56" cm="1">
        <f t="array" ref="Q35">IF(P35="X",(_xlfn.XLOOKUP($B35,Tabla1[SERVICIO],Tabla1[VALOR])*1),IF(P35&gt;=1,_xlfn.XLOOKUP($B35,Tabla1[SERVICIO],Tabla1[VALOR]*P35),0))</f>
        <v>0</v>
      </c>
      <c r="R35" s="144"/>
      <c r="S35" s="56" cm="1">
        <f t="array" ref="S35">IF(R35="X",(_xlfn.XLOOKUP($B35,Tabla1[SERVICIO],Tabla1[VALOR])*1),IF(R35&gt;=1,_xlfn.XLOOKUP($B35,Tabla1[SERVICIO],Tabla1[VALOR]*R35),0))</f>
        <v>0</v>
      </c>
      <c r="T35" s="144"/>
      <c r="U35" s="56" cm="1">
        <f t="array" ref="U35">IF(T35="X",(_xlfn.XLOOKUP($B35,Tabla1[SERVICIO],Tabla1[VALOR])*1),IF(T35&gt;=1,_xlfn.XLOOKUP($B35,Tabla1[SERVICIO],Tabla1[VALOR]*T35),0))</f>
        <v>0</v>
      </c>
      <c r="V35" s="144"/>
      <c r="W35" s="56" cm="1">
        <f t="array" ref="W35">IF(V35="X",(_xlfn.XLOOKUP($B35,Tabla1[SERVICIO],Tabla1[VALOR])*1),IF(V35&gt;=1,_xlfn.XLOOKUP($B35,Tabla1[SERVICIO],Tabla1[VALOR]*V35),0))</f>
        <v>0</v>
      </c>
      <c r="X35" s="144"/>
      <c r="Y35" s="56" cm="1">
        <f t="array" ref="Y35">IF(X35="X",(_xlfn.XLOOKUP($B35,Tabla1[SERVICIO],Tabla1[VALOR])*1),IF(X35&gt;=1,_xlfn.XLOOKUP($B35,Tabla1[SERVICIO],Tabla1[VALOR]*X35),0))</f>
        <v>0</v>
      </c>
      <c r="Z35" s="144">
        <v>1</v>
      </c>
      <c r="AA35" s="56" cm="1">
        <f t="array" ref="AA35">IF(Z35="X",(_xlfn.XLOOKUP($B35,Tabla1[SERVICIO],Tabla1[VALOR])*1),IF(Z35&gt;=1,_xlfn.XLOOKUP($B35,Tabla1[SERVICIO],Tabla1[VALOR]*Z35),0))</f>
        <v>62748.232282880919</v>
      </c>
      <c r="AB35" s="81">
        <f t="shared" si="0"/>
        <v>62748.232282880919</v>
      </c>
      <c r="AC35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5" s="104" t="s">
        <v>319</v>
      </c>
      <c r="AE35" s="119">
        <v>0</v>
      </c>
      <c r="AF35" s="47">
        <f>+Tabla428[[#This Row],[TOTAL]]*AE35</f>
        <v>0</v>
      </c>
      <c r="AG35" s="104" t="s">
        <v>349</v>
      </c>
      <c r="AH35" s="333">
        <v>12</v>
      </c>
    </row>
    <row r="36" spans="1:46" x14ac:dyDescent="0.25">
      <c r="A36" s="7" t="s">
        <v>29</v>
      </c>
      <c r="B36" s="96" t="s">
        <v>196</v>
      </c>
      <c r="C36" s="96" t="str">
        <f>_xlfn.XLOOKUP(Tabla428[[#This Row],[Servicios del Programa:]],Tabla151[CODIGO],Tabla151[VALOR])</f>
        <v>Terapias</v>
      </c>
      <c r="D36" s="144"/>
      <c r="E36" s="56" cm="1">
        <f t="array" ref="E36">IF(D36="X",(_xlfn.XLOOKUP($B36,Tabla1[SERVICIO],Tabla1[VALOR])*1),IF(D36&gt;=1,_xlfn.XLOOKUP($B36,Tabla1[SERVICIO],Tabla1[VALOR]*D36),0))</f>
        <v>0</v>
      </c>
      <c r="F36" s="144"/>
      <c r="G36" s="56" cm="1">
        <f t="array" ref="G36">IF(F36="X",(_xlfn.XLOOKUP($B36,Tabla1[SERVICIO],Tabla1[VALOR])*1),IF(F36&gt;=1,_xlfn.XLOOKUP($B36,Tabla1[SERVICIO],Tabla1[VALOR]*F36),0))</f>
        <v>0</v>
      </c>
      <c r="H36" s="144"/>
      <c r="I36" s="56" cm="1">
        <f t="array" ref="I36">IF(H36="X",(_xlfn.XLOOKUP($B36,Tabla1[SERVICIO],Tabla1[VALOR])*1),IF(H36&gt;=1,_xlfn.XLOOKUP($B36,Tabla1[SERVICIO],Tabla1[VALOR]*H36),0))</f>
        <v>0</v>
      </c>
      <c r="J36" s="144"/>
      <c r="K36" s="56" cm="1">
        <f t="array" ref="K36">IF(J36="X",(_xlfn.XLOOKUP($B36,Tabla1[SERVICIO],Tabla1[VALOR])*1),IF(J36&gt;=1,_xlfn.XLOOKUP($B36,Tabla1[SERVICIO],Tabla1[VALOR]*J36),0))</f>
        <v>0</v>
      </c>
      <c r="L36" s="144"/>
      <c r="M36" s="56" cm="1">
        <f t="array" ref="M36">IF(L36="X",(_xlfn.XLOOKUP($B36,Tabla1[SERVICIO],Tabla1[VALOR])*1),IF(L36&gt;=1,_xlfn.XLOOKUP($B36,Tabla1[SERVICIO],Tabla1[VALOR]*L36),0))</f>
        <v>0</v>
      </c>
      <c r="N36" s="144"/>
      <c r="O36" s="56" cm="1">
        <f t="array" ref="O36">IF(N36="X",(_xlfn.XLOOKUP($B36,Tabla1[SERVICIO],Tabla1[VALOR])*1),IF(N36&gt;=1,_xlfn.XLOOKUP($B36,Tabla1[SERVICIO],Tabla1[VALOR]*N36),0))</f>
        <v>0</v>
      </c>
      <c r="P36" s="144"/>
      <c r="Q36" s="56" cm="1">
        <f t="array" ref="Q36">IF(P36="X",(_xlfn.XLOOKUP($B36,Tabla1[SERVICIO],Tabla1[VALOR])*1),IF(P36&gt;=1,_xlfn.XLOOKUP($B36,Tabla1[SERVICIO],Tabla1[VALOR]*P36),0))</f>
        <v>0</v>
      </c>
      <c r="R36" s="144"/>
      <c r="S36" s="56" cm="1">
        <f t="array" ref="S36">IF(R36="X",(_xlfn.XLOOKUP($B36,Tabla1[SERVICIO],Tabla1[VALOR])*1),IF(R36&gt;=1,_xlfn.XLOOKUP($B36,Tabla1[SERVICIO],Tabla1[VALOR]*R36),0))</f>
        <v>0</v>
      </c>
      <c r="T36" s="144"/>
      <c r="U36" s="56" cm="1">
        <f t="array" ref="U36">IF(T36="X",(_xlfn.XLOOKUP($B36,Tabla1[SERVICIO],Tabla1[VALOR])*1),IF(T36&gt;=1,_xlfn.XLOOKUP($B36,Tabla1[SERVICIO],Tabla1[VALOR]*T36),0))</f>
        <v>0</v>
      </c>
      <c r="V36" s="144"/>
      <c r="W36" s="56" cm="1">
        <f t="array" ref="W36">IF(V36="X",(_xlfn.XLOOKUP($B36,Tabla1[SERVICIO],Tabla1[VALOR])*1),IF(V36&gt;=1,_xlfn.XLOOKUP($B36,Tabla1[SERVICIO],Tabla1[VALOR]*V36),0))</f>
        <v>0</v>
      </c>
      <c r="X36" s="144"/>
      <c r="Y36" s="56" cm="1">
        <f t="array" ref="Y36">IF(X36="X",(_xlfn.XLOOKUP($B36,Tabla1[SERVICIO],Tabla1[VALOR])*1),IF(X36&gt;=1,_xlfn.XLOOKUP($B36,Tabla1[SERVICIO],Tabla1[VALOR]*X36),0))</f>
        <v>0</v>
      </c>
      <c r="Z36" s="144">
        <v>1</v>
      </c>
      <c r="AA36" s="56" cm="1">
        <f t="array" ref="AA36">IF(Z36="X",(_xlfn.XLOOKUP($B36,Tabla1[SERVICIO],Tabla1[VALOR])*1),IF(Z36&gt;=1,_xlfn.XLOOKUP($B36,Tabla1[SERVICIO],Tabla1[VALOR]*Z36),0))</f>
        <v>31881.451880098426</v>
      </c>
      <c r="AB36" s="81">
        <f t="shared" si="0"/>
        <v>31881.451880098426</v>
      </c>
      <c r="AC36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6" s="104" t="s">
        <v>318</v>
      </c>
      <c r="AE36" s="119">
        <v>1</v>
      </c>
      <c r="AF36" s="47">
        <f>+Tabla428[[#This Row],[TOTAL]]*AE36</f>
        <v>31881.451880098426</v>
      </c>
      <c r="AG36" s="104" t="s">
        <v>349</v>
      </c>
      <c r="AH36" s="333">
        <v>12</v>
      </c>
    </row>
    <row r="37" spans="1:46" x14ac:dyDescent="0.25">
      <c r="A37" s="7" t="s">
        <v>23</v>
      </c>
      <c r="B37" s="96" t="s">
        <v>24</v>
      </c>
      <c r="C37" s="96" t="str">
        <f>_xlfn.XLOOKUP(Tabla428[[#This Row],[Servicios del Programa:]],Tabla151[CODIGO],Tabla151[VALOR])</f>
        <v>Terapias</v>
      </c>
      <c r="D37" s="144"/>
      <c r="E37" s="56" cm="1">
        <f t="array" ref="E37">IF(D37="X",(_xlfn.XLOOKUP($B37,Tabla1[SERVICIO],Tabla1[VALOR])*1),IF(D37&gt;=1,_xlfn.XLOOKUP($B37,Tabla1[SERVICIO],Tabla1[VALOR]*D37),0))</f>
        <v>0</v>
      </c>
      <c r="F37" s="144"/>
      <c r="G37" s="56" cm="1">
        <f t="array" ref="G37">IF(F37="X",(_xlfn.XLOOKUP($B37,Tabla1[SERVICIO],Tabla1[VALOR])*1),IF(F37&gt;=1,_xlfn.XLOOKUP($B37,Tabla1[SERVICIO],Tabla1[VALOR]*F37),0))</f>
        <v>0</v>
      </c>
      <c r="H37" s="144">
        <v>1</v>
      </c>
      <c r="I37" s="56" cm="1">
        <f t="array" ref="I37">IF(H37="X",(_xlfn.XLOOKUP($B37,Tabla1[SERVICIO],Tabla1[VALOR])*1),IF(H37&gt;=1,_xlfn.XLOOKUP($B37,Tabla1[SERVICIO],Tabla1[VALOR]*H37),0))</f>
        <v>31881.451880098426</v>
      </c>
      <c r="J37" s="144"/>
      <c r="K37" s="56" cm="1">
        <f t="array" ref="K37">IF(J37="X",(_xlfn.XLOOKUP($B37,Tabla1[SERVICIO],Tabla1[VALOR])*1),IF(J37&gt;=1,_xlfn.XLOOKUP($B37,Tabla1[SERVICIO],Tabla1[VALOR]*J37),0))</f>
        <v>0</v>
      </c>
      <c r="L37" s="144"/>
      <c r="M37" s="56" cm="1">
        <f t="array" ref="M37">IF(L37="X",(_xlfn.XLOOKUP($B37,Tabla1[SERVICIO],Tabla1[VALOR])*1),IF(L37&gt;=1,_xlfn.XLOOKUP($B37,Tabla1[SERVICIO],Tabla1[VALOR]*L37),0))</f>
        <v>0</v>
      </c>
      <c r="N37" s="144"/>
      <c r="O37" s="56" cm="1">
        <f t="array" ref="O37">IF(N37="X",(_xlfn.XLOOKUP($B37,Tabla1[SERVICIO],Tabla1[VALOR])*1),IF(N37&gt;=1,_xlfn.XLOOKUP($B37,Tabla1[SERVICIO],Tabla1[VALOR]*N37),0))</f>
        <v>0</v>
      </c>
      <c r="P37" s="144"/>
      <c r="Q37" s="56" cm="1">
        <f t="array" ref="Q37">IF(P37="X",(_xlfn.XLOOKUP($B37,Tabla1[SERVICIO],Tabla1[VALOR])*1),IF(P37&gt;=1,_xlfn.XLOOKUP($B37,Tabla1[SERVICIO],Tabla1[VALOR]*P37),0))</f>
        <v>0</v>
      </c>
      <c r="R37" s="144"/>
      <c r="S37" s="56" cm="1">
        <f t="array" ref="S37">IF(R37="X",(_xlfn.XLOOKUP($B37,Tabla1[SERVICIO],Tabla1[VALOR])*1),IF(R37&gt;=1,_xlfn.XLOOKUP($B37,Tabla1[SERVICIO],Tabla1[VALOR]*R37),0))</f>
        <v>0</v>
      </c>
      <c r="T37" s="144"/>
      <c r="U37" s="56" cm="1">
        <f t="array" ref="U37">IF(T37="X",(_xlfn.XLOOKUP($B37,Tabla1[SERVICIO],Tabla1[VALOR])*1),IF(T37&gt;=1,_xlfn.XLOOKUP($B37,Tabla1[SERVICIO],Tabla1[VALOR]*T37),0))</f>
        <v>0</v>
      </c>
      <c r="V37" s="144"/>
      <c r="W37" s="56" cm="1">
        <f t="array" ref="W37">IF(V37="X",(_xlfn.XLOOKUP($B37,Tabla1[SERVICIO],Tabla1[VALOR])*1),IF(V37&gt;=1,_xlfn.XLOOKUP($B37,Tabla1[SERVICIO],Tabla1[VALOR]*V37),0))</f>
        <v>0</v>
      </c>
      <c r="X37" s="144"/>
      <c r="Y37" s="56" cm="1">
        <f t="array" ref="Y37">IF(X37="X",(_xlfn.XLOOKUP($B37,Tabla1[SERVICIO],Tabla1[VALOR])*1),IF(X37&gt;=1,_xlfn.XLOOKUP($B37,Tabla1[SERVICIO],Tabla1[VALOR]*X37),0))</f>
        <v>0</v>
      </c>
      <c r="Z37" s="144"/>
      <c r="AA37" s="56" cm="1">
        <f t="array" ref="AA37">IF(Z37="X",(_xlfn.XLOOKUP($B37,Tabla1[SERVICIO],Tabla1[VALOR])*1),IF(Z37&gt;=1,_xlfn.XLOOKUP($B37,Tabla1[SERVICIO],Tabla1[VALOR]*Z37),0))</f>
        <v>0</v>
      </c>
      <c r="AB37" s="81">
        <f t="shared" si="0"/>
        <v>31881.451880098426</v>
      </c>
      <c r="AC37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7" s="104" t="s">
        <v>318</v>
      </c>
      <c r="AE37" s="119">
        <v>1</v>
      </c>
      <c r="AF37" s="47">
        <f>+Tabla428[[#This Row],[TOTAL]]*AE37</f>
        <v>31881.451880098426</v>
      </c>
      <c r="AG37" s="104" t="s">
        <v>349</v>
      </c>
      <c r="AH37" s="333">
        <v>12</v>
      </c>
    </row>
    <row r="38" spans="1:46" x14ac:dyDescent="0.25">
      <c r="A38" s="7" t="s">
        <v>32</v>
      </c>
      <c r="B38" s="96" t="s">
        <v>103</v>
      </c>
      <c r="C38" s="96" t="str">
        <f>_xlfn.XLOOKUP(Tabla428[[#This Row],[Servicios del Programa:]],Tabla151[CODIGO],Tabla151[VALOR])</f>
        <v>Consultas</v>
      </c>
      <c r="D38" s="144"/>
      <c r="E38" s="56" cm="1">
        <f t="array" ref="E38">IF(D38="X",(_xlfn.XLOOKUP($B38,Tabla1[SERVICIO],Tabla1[VALOR])*1),IF(D38&gt;=1,_xlfn.XLOOKUP($B38,Tabla1[SERVICIO],Tabla1[VALOR]*D38),0))</f>
        <v>0</v>
      </c>
      <c r="F38" s="144"/>
      <c r="G38" s="56" cm="1">
        <f t="array" ref="G38">IF(F38="X",(_xlfn.XLOOKUP($B38,Tabla1[SERVICIO],Tabla1[VALOR])*1),IF(F38&gt;=1,_xlfn.XLOOKUP($B38,Tabla1[SERVICIO],Tabla1[VALOR]*F38),0))</f>
        <v>0</v>
      </c>
      <c r="H38" s="144"/>
      <c r="I38" s="56" cm="1">
        <f t="array" ref="I38">IF(H38="X",(_xlfn.XLOOKUP($B38,Tabla1[SERVICIO],Tabla1[VALOR])*1),IF(H38&gt;=1,_xlfn.XLOOKUP($B38,Tabla1[SERVICIO],Tabla1[VALOR]*H38),0))</f>
        <v>0</v>
      </c>
      <c r="J38" s="144"/>
      <c r="K38" s="56" cm="1">
        <f t="array" ref="K38">IF(J38="X",(_xlfn.XLOOKUP($B38,Tabla1[SERVICIO],Tabla1[VALOR])*1),IF(J38&gt;=1,_xlfn.XLOOKUP($B38,Tabla1[SERVICIO],Tabla1[VALOR]*J38),0))</f>
        <v>0</v>
      </c>
      <c r="L38" s="144"/>
      <c r="M38" s="56" cm="1">
        <f t="array" ref="M38">IF(L38="X",(_xlfn.XLOOKUP($B38,Tabla1[SERVICIO],Tabla1[VALOR])*1),IF(L38&gt;=1,_xlfn.XLOOKUP($B38,Tabla1[SERVICIO],Tabla1[VALOR]*L38),0))</f>
        <v>0</v>
      </c>
      <c r="N38" s="144"/>
      <c r="O38" s="56" cm="1">
        <f t="array" ref="O38">IF(N38="X",(_xlfn.XLOOKUP($B38,Tabla1[SERVICIO],Tabla1[VALOR])*1),IF(N38&gt;=1,_xlfn.XLOOKUP($B38,Tabla1[SERVICIO],Tabla1[VALOR]*N38),0))</f>
        <v>0</v>
      </c>
      <c r="P38" s="144"/>
      <c r="Q38" s="56" cm="1">
        <f t="array" ref="Q38">IF(P38="X",(_xlfn.XLOOKUP($B38,Tabla1[SERVICIO],Tabla1[VALOR])*1),IF(P38&gt;=1,_xlfn.XLOOKUP($B38,Tabla1[SERVICIO],Tabla1[VALOR]*P38),0))</f>
        <v>0</v>
      </c>
      <c r="R38" s="144"/>
      <c r="S38" s="56" cm="1">
        <f t="array" ref="S38">IF(R38="X",(_xlfn.XLOOKUP($B38,Tabla1[SERVICIO],Tabla1[VALOR])*1),IF(R38&gt;=1,_xlfn.XLOOKUP($B38,Tabla1[SERVICIO],Tabla1[VALOR]*R38),0))</f>
        <v>0</v>
      </c>
      <c r="T38" s="144"/>
      <c r="U38" s="56" cm="1">
        <f t="array" ref="U38">IF(T38="X",(_xlfn.XLOOKUP($B38,Tabla1[SERVICIO],Tabla1[VALOR])*1),IF(T38&gt;=1,_xlfn.XLOOKUP($B38,Tabla1[SERVICIO],Tabla1[VALOR]*T38),0))</f>
        <v>0</v>
      </c>
      <c r="V38" s="144"/>
      <c r="W38" s="56" cm="1">
        <f t="array" ref="W38">IF(V38="X",(_xlfn.XLOOKUP($B38,Tabla1[SERVICIO],Tabla1[VALOR])*1),IF(V38&gt;=1,_xlfn.XLOOKUP($B38,Tabla1[SERVICIO],Tabla1[VALOR]*V38),0))</f>
        <v>0</v>
      </c>
      <c r="X38" s="144"/>
      <c r="Y38" s="56" cm="1">
        <f t="array" ref="Y38">IF(X38="X",(_xlfn.XLOOKUP($B38,Tabla1[SERVICIO],Tabla1[VALOR])*1),IF(X38&gt;=1,_xlfn.XLOOKUP($B38,Tabla1[SERVICIO],Tabla1[VALOR]*X38),0))</f>
        <v>0</v>
      </c>
      <c r="Z38" s="144"/>
      <c r="AA38" s="56" cm="1">
        <f t="array" ref="AA38">IF(Z38="X",(_xlfn.XLOOKUP($B38,Tabla1[SERVICIO],Tabla1[VALOR])*1),IF(Z38&gt;=1,_xlfn.XLOOKUP($B38,Tabla1[SERVICIO],Tabla1[VALOR]*Z38),0))</f>
        <v>0</v>
      </c>
      <c r="AB38" s="81">
        <f t="shared" si="0"/>
        <v>0</v>
      </c>
      <c r="AC38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0</v>
      </c>
      <c r="AD38" s="104" t="s">
        <v>319</v>
      </c>
      <c r="AE38" s="119">
        <v>0</v>
      </c>
      <c r="AF38" s="47">
        <f>+Tabla428[[#This Row],[TOTAL]]*AE38</f>
        <v>0</v>
      </c>
      <c r="AG38" s="104" t="s">
        <v>349</v>
      </c>
      <c r="AH38" s="333">
        <v>12</v>
      </c>
    </row>
    <row r="39" spans="1:46" s="117" customFormat="1" x14ac:dyDescent="0.25">
      <c r="A39" s="111" t="s">
        <v>90</v>
      </c>
      <c r="B39" s="223" t="s">
        <v>280</v>
      </c>
      <c r="C39" s="96" t="str">
        <f>_xlfn.XLOOKUP(Tabla428[[#This Row],[Servicios del Programa:]],Tabla151[CODIGO],Tabla151[VALOR])</f>
        <v>Diagnosticos</v>
      </c>
      <c r="D39" s="180">
        <v>1</v>
      </c>
      <c r="E39" s="113" cm="1">
        <f t="array" ref="E39">IF(D39="X",(_xlfn.XLOOKUP($B39,Tabla1[SERVICIO],Tabla1[VALOR])*1),IF(D39&gt;=1,_xlfn.XLOOKUP($B39,Tabla1[SERVICIO],Tabla1[VALOR]*D39),0))</f>
        <v>232601.87077978876</v>
      </c>
      <c r="F39" s="180"/>
      <c r="G39" s="113" cm="1">
        <f t="array" ref="G39">IF(F39="X",(_xlfn.XLOOKUP($B39,Tabla1[SERVICIO],Tabla1[VALOR])*1),IF(F39&gt;=1,_xlfn.XLOOKUP($B39,Tabla1[SERVICIO],Tabla1[VALOR]*F39),0))</f>
        <v>0</v>
      </c>
      <c r="H39" s="180"/>
      <c r="I39" s="113" cm="1">
        <f t="array" ref="I39">IF(H39="X",(_xlfn.XLOOKUP($B39,Tabla1[SERVICIO],Tabla1[VALOR])*1),IF(H39&gt;=1,_xlfn.XLOOKUP($B39,Tabla1[SERVICIO],Tabla1[VALOR]*H39),0))</f>
        <v>0</v>
      </c>
      <c r="J39" s="180"/>
      <c r="K39" s="113" cm="1">
        <f t="array" ref="K39">IF(J39="X",(_xlfn.XLOOKUP($B39,Tabla1[SERVICIO],Tabla1[VALOR])*1),IF(J39&gt;=1,_xlfn.XLOOKUP($B39,Tabla1[SERVICIO],Tabla1[VALOR]*J39),0))</f>
        <v>0</v>
      </c>
      <c r="L39" s="180"/>
      <c r="M39" s="113" cm="1">
        <f t="array" ref="M39">IF(L39="X",(_xlfn.XLOOKUP($B39,Tabla1[SERVICIO],Tabla1[VALOR])*1),IF(L39&gt;=1,_xlfn.XLOOKUP($B39,Tabla1[SERVICIO],Tabla1[VALOR]*L39),0))</f>
        <v>0</v>
      </c>
      <c r="N39" s="180"/>
      <c r="O39" s="113" cm="1">
        <f t="array" ref="O39">IF(N39="X",(_xlfn.XLOOKUP($B39,Tabla1[SERVICIO],Tabla1[VALOR])*1),IF(N39&gt;=1,_xlfn.XLOOKUP($B39,Tabla1[SERVICIO],Tabla1[VALOR]*N39),0))</f>
        <v>0</v>
      </c>
      <c r="P39" s="180"/>
      <c r="Q39" s="113" cm="1">
        <f t="array" ref="Q39">IF(P39="X",(_xlfn.XLOOKUP($B39,Tabla1[SERVICIO],Tabla1[VALOR])*1),IF(P39&gt;=1,_xlfn.XLOOKUP($B39,Tabla1[SERVICIO],Tabla1[VALOR]*P39),0))</f>
        <v>0</v>
      </c>
      <c r="R39" s="180"/>
      <c r="S39" s="113" cm="1">
        <f t="array" ref="S39">IF(R39="X",(_xlfn.XLOOKUP($B39,Tabla1[SERVICIO],Tabla1[VALOR])*1),IF(R39&gt;=1,_xlfn.XLOOKUP($B39,Tabla1[SERVICIO],Tabla1[VALOR]*R39),0))</f>
        <v>0</v>
      </c>
      <c r="T39" s="180"/>
      <c r="U39" s="113" cm="1">
        <f t="array" ref="U39">IF(T39="X",(_xlfn.XLOOKUP($B39,Tabla1[SERVICIO],Tabla1[VALOR])*1),IF(T39&gt;=1,_xlfn.XLOOKUP($B39,Tabla1[SERVICIO],Tabla1[VALOR]*T39),0))</f>
        <v>0</v>
      </c>
      <c r="V39" s="180"/>
      <c r="W39" s="113" cm="1">
        <f t="array" ref="W39">IF(V39="X",(_xlfn.XLOOKUP($B39,Tabla1[SERVICIO],Tabla1[VALOR])*1),IF(V39&gt;=1,_xlfn.XLOOKUP($B39,Tabla1[SERVICIO],Tabla1[VALOR]*V39),0))</f>
        <v>0</v>
      </c>
      <c r="X39" s="180"/>
      <c r="Y39" s="113" cm="1">
        <f t="array" ref="Y39">IF(X39="X",(_xlfn.XLOOKUP($B39,Tabla1[SERVICIO],Tabla1[VALOR])*1),IF(X39&gt;=1,_xlfn.XLOOKUP($B39,Tabla1[SERVICIO],Tabla1[VALOR]*X39),0))</f>
        <v>0</v>
      </c>
      <c r="Z39" s="180"/>
      <c r="AA39" s="113" cm="1">
        <f t="array" ref="AA39">IF(Z39="X",(_xlfn.XLOOKUP($B39,Tabla1[SERVICIO],Tabla1[VALOR])*1),IF(Z39&gt;=1,_xlfn.XLOOKUP($B39,Tabla1[SERVICIO],Tabla1[VALOR]*Z39),0))</f>
        <v>0</v>
      </c>
      <c r="AB39" s="114">
        <f t="shared" si="0"/>
        <v>232601.87077978876</v>
      </c>
      <c r="AC39" s="115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9" s="116" t="s">
        <v>319</v>
      </c>
      <c r="AE39" s="118">
        <v>1.5037593984962405E-2</v>
      </c>
      <c r="AF39" s="47">
        <f>+Tabla428[[#This Row],[TOTAL]]*AE39</f>
        <v>3497.7724929291539</v>
      </c>
      <c r="AG39" s="104" t="s">
        <v>349</v>
      </c>
      <c r="AH39" s="333">
        <v>12</v>
      </c>
    </row>
    <row r="40" spans="1:46" x14ac:dyDescent="0.25">
      <c r="A40" s="7" t="s">
        <v>92</v>
      </c>
      <c r="B40" s="96" t="s">
        <v>93</v>
      </c>
      <c r="C40" s="96" t="str">
        <f>_xlfn.XLOOKUP(Tabla428[[#This Row],[Servicios del Programa:]],Tabla151[CODIGO],Tabla151[VALOR])</f>
        <v>Consultas</v>
      </c>
      <c r="D40" s="144">
        <v>1</v>
      </c>
      <c r="E40" s="56" cm="1">
        <f t="array" ref="E40">IF(D40="X",(_xlfn.XLOOKUP($B40,Tabla1[SERVICIO],Tabla1[VALOR])*1),IF(D40&gt;=1,_xlfn.XLOOKUP($B40,Tabla1[SERVICIO],Tabla1[VALOR]*D40),0))</f>
        <v>85060.59895480916</v>
      </c>
      <c r="F40" s="144"/>
      <c r="G40" s="56" cm="1">
        <f t="array" ref="G40">IF(F40="X",(_xlfn.XLOOKUP($B40,Tabla1[SERVICIO],Tabla1[VALOR])*1),IF(F40&gt;=1,_xlfn.XLOOKUP($B40,Tabla1[SERVICIO],Tabla1[VALOR]*F40),0))</f>
        <v>0</v>
      </c>
      <c r="H40" s="144"/>
      <c r="I40" s="56" cm="1">
        <f t="array" ref="I40">IF(H40="X",(_xlfn.XLOOKUP($B40,Tabla1[SERVICIO],Tabla1[VALOR])*1),IF(H40&gt;=1,_xlfn.XLOOKUP($B40,Tabla1[SERVICIO],Tabla1[VALOR]*H40),0))</f>
        <v>0</v>
      </c>
      <c r="J40" s="144"/>
      <c r="K40" s="56" cm="1">
        <f t="array" ref="K40">IF(J40="X",(_xlfn.XLOOKUP($B40,Tabla1[SERVICIO],Tabla1[VALOR])*1),IF(J40&gt;=1,_xlfn.XLOOKUP($B40,Tabla1[SERVICIO],Tabla1[VALOR]*J40),0))</f>
        <v>0</v>
      </c>
      <c r="L40" s="144"/>
      <c r="M40" s="56" cm="1">
        <f t="array" ref="M40">IF(L40="X",(_xlfn.XLOOKUP($B40,Tabla1[SERVICIO],Tabla1[VALOR])*1),IF(L40&gt;=1,_xlfn.XLOOKUP($B40,Tabla1[SERVICIO],Tabla1[VALOR]*L40),0))</f>
        <v>0</v>
      </c>
      <c r="N40" s="144"/>
      <c r="O40" s="56" cm="1">
        <f t="array" ref="O40">IF(N40="X",(_xlfn.XLOOKUP($B40,Tabla1[SERVICIO],Tabla1[VALOR])*1),IF(N40&gt;=1,_xlfn.XLOOKUP($B40,Tabla1[SERVICIO],Tabla1[VALOR]*N40),0))</f>
        <v>0</v>
      </c>
      <c r="P40" s="144"/>
      <c r="Q40" s="56" cm="1">
        <f t="array" ref="Q40">IF(P40="X",(_xlfn.XLOOKUP($B40,Tabla1[SERVICIO],Tabla1[VALOR])*1),IF(P40&gt;=1,_xlfn.XLOOKUP($B40,Tabla1[SERVICIO],Tabla1[VALOR]*P40),0))</f>
        <v>0</v>
      </c>
      <c r="R40" s="144"/>
      <c r="S40" s="56" cm="1">
        <f t="array" ref="S40">IF(R40="X",(_xlfn.XLOOKUP($B40,Tabla1[SERVICIO],Tabla1[VALOR])*1),IF(R40&gt;=1,_xlfn.XLOOKUP($B40,Tabla1[SERVICIO],Tabla1[VALOR]*R40),0))</f>
        <v>0</v>
      </c>
      <c r="T40" s="144"/>
      <c r="U40" s="56" cm="1">
        <f t="array" ref="U40">IF(T40="X",(_xlfn.XLOOKUP($B40,Tabla1[SERVICIO],Tabla1[VALOR])*1),IF(T40&gt;=1,_xlfn.XLOOKUP($B40,Tabla1[SERVICIO],Tabla1[VALOR]*T40),0))</f>
        <v>0</v>
      </c>
      <c r="V40" s="144"/>
      <c r="W40" s="56" cm="1">
        <f t="array" ref="W40">IF(V40="X",(_xlfn.XLOOKUP($B40,Tabla1[SERVICIO],Tabla1[VALOR])*1),IF(V40&gt;=1,_xlfn.XLOOKUP($B40,Tabla1[SERVICIO],Tabla1[VALOR]*V40),0))</f>
        <v>0</v>
      </c>
      <c r="X40" s="144"/>
      <c r="Y40" s="56" cm="1">
        <f t="array" ref="Y40">IF(X40="X",(_xlfn.XLOOKUP($B40,Tabla1[SERVICIO],Tabla1[VALOR])*1),IF(X40&gt;=1,_xlfn.XLOOKUP($B40,Tabla1[SERVICIO],Tabla1[VALOR]*X40),0))</f>
        <v>0</v>
      </c>
      <c r="Z40" s="144"/>
      <c r="AA40" s="56" cm="1">
        <f t="array" ref="AA40">IF(Z40="X",(_xlfn.XLOOKUP($B40,Tabla1[SERVICIO],Tabla1[VALOR])*1),IF(Z40&gt;=1,_xlfn.XLOOKUP($B40,Tabla1[SERVICIO],Tabla1[VALOR]*Z40),0))</f>
        <v>0</v>
      </c>
      <c r="AB40" s="81">
        <f t="shared" si="0"/>
        <v>85060.59895480916</v>
      </c>
      <c r="AC40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0" s="104" t="s">
        <v>318</v>
      </c>
      <c r="AE40" s="119">
        <v>1</v>
      </c>
      <c r="AF40" s="47">
        <f>+Tabla428[[#This Row],[TOTAL]]*AE40</f>
        <v>85060.59895480916</v>
      </c>
      <c r="AG40" s="104" t="s">
        <v>349</v>
      </c>
      <c r="AH40" s="333">
        <v>12</v>
      </c>
    </row>
    <row r="41" spans="1:46" x14ac:dyDescent="0.25">
      <c r="A41" s="7" t="s">
        <v>52</v>
      </c>
      <c r="B41" s="96" t="s">
        <v>191</v>
      </c>
      <c r="C41" s="96" t="str">
        <f>_xlfn.XLOOKUP(Tabla428[[#This Row],[Servicios del Programa:]],Tabla151[CODIGO],Tabla151[VALOR])</f>
        <v>Consultas</v>
      </c>
      <c r="D41" s="144">
        <v>1</v>
      </c>
      <c r="E41" s="56" cm="1">
        <f t="array" ref="E41">IF(D41="X",(_xlfn.XLOOKUP($B41,Tabla1[SERVICIO],Tabla1[VALOR])*1),IF(D41&gt;=1,_xlfn.XLOOKUP($B41,Tabla1[SERVICIO],Tabla1[VALOR]*D41),0))</f>
        <v>26897.079640267821</v>
      </c>
      <c r="F41" s="144"/>
      <c r="G41" s="56" cm="1">
        <f t="array" ref="G41">IF(F41="X",(_xlfn.XLOOKUP($B41,Tabla1[SERVICIO],Tabla1[VALOR])*1),IF(F41&gt;=1,_xlfn.XLOOKUP($B41,Tabla1[SERVICIO],Tabla1[VALOR]*F41),0))</f>
        <v>0</v>
      </c>
      <c r="H41" s="144"/>
      <c r="I41" s="56" cm="1">
        <f t="array" ref="I41">IF(H41="X",(_xlfn.XLOOKUP($B41,Tabla1[SERVICIO],Tabla1[VALOR])*1),IF(H41&gt;=1,_xlfn.XLOOKUP($B41,Tabla1[SERVICIO],Tabla1[VALOR]*H41),0))</f>
        <v>0</v>
      </c>
      <c r="J41" s="144"/>
      <c r="K41" s="56" cm="1">
        <f t="array" ref="K41">IF(J41="X",(_xlfn.XLOOKUP($B41,Tabla1[SERVICIO],Tabla1[VALOR])*1),IF(J41&gt;=1,_xlfn.XLOOKUP($B41,Tabla1[SERVICIO],Tabla1[VALOR]*J41),0))</f>
        <v>0</v>
      </c>
      <c r="L41" s="144"/>
      <c r="M41" s="56" cm="1">
        <f t="array" ref="M41">IF(L41="X",(_xlfn.XLOOKUP($B41,Tabla1[SERVICIO],Tabla1[VALOR])*1),IF(L41&gt;=1,_xlfn.XLOOKUP($B41,Tabla1[SERVICIO],Tabla1[VALOR]*L41),0))</f>
        <v>0</v>
      </c>
      <c r="N41" s="144"/>
      <c r="O41" s="56" cm="1">
        <f t="array" ref="O41">IF(N41="X",(_xlfn.XLOOKUP($B41,Tabla1[SERVICIO],Tabla1[VALOR])*1),IF(N41&gt;=1,_xlfn.XLOOKUP($B41,Tabla1[SERVICIO],Tabla1[VALOR]*N41),0))</f>
        <v>0</v>
      </c>
      <c r="P41" s="144"/>
      <c r="Q41" s="56" cm="1">
        <f t="array" ref="Q41">IF(P41="X",(_xlfn.XLOOKUP($B41,Tabla1[SERVICIO],Tabla1[VALOR])*1),IF(P41&gt;=1,_xlfn.XLOOKUP($B41,Tabla1[SERVICIO],Tabla1[VALOR]*P41),0))</f>
        <v>0</v>
      </c>
      <c r="R41" s="144"/>
      <c r="S41" s="56" cm="1">
        <f t="array" ref="S41">IF(R41="X",(_xlfn.XLOOKUP($B41,Tabla1[SERVICIO],Tabla1[VALOR])*1),IF(R41&gt;=1,_xlfn.XLOOKUP($B41,Tabla1[SERVICIO],Tabla1[VALOR]*R41),0))</f>
        <v>0</v>
      </c>
      <c r="T41" s="144"/>
      <c r="U41" s="56" cm="1">
        <f t="array" ref="U41">IF(T41="X",(_xlfn.XLOOKUP($B41,Tabla1[SERVICIO],Tabla1[VALOR])*1),IF(T41&gt;=1,_xlfn.XLOOKUP($B41,Tabla1[SERVICIO],Tabla1[VALOR]*T41),0))</f>
        <v>0</v>
      </c>
      <c r="V41" s="144"/>
      <c r="W41" s="56" cm="1">
        <f t="array" ref="W41">IF(V41="X",(_xlfn.XLOOKUP($B41,Tabla1[SERVICIO],Tabla1[VALOR])*1),IF(V41&gt;=1,_xlfn.XLOOKUP($B41,Tabla1[SERVICIO],Tabla1[VALOR]*V41),0))</f>
        <v>0</v>
      </c>
      <c r="X41" s="144"/>
      <c r="Y41" s="56" cm="1">
        <f t="array" ref="Y41">IF(X41="X",(_xlfn.XLOOKUP($B41,Tabla1[SERVICIO],Tabla1[VALOR])*1),IF(X41&gt;=1,_xlfn.XLOOKUP($B41,Tabla1[SERVICIO],Tabla1[VALOR]*X41),0))</f>
        <v>0</v>
      </c>
      <c r="Z41" s="144"/>
      <c r="AA41" s="56" cm="1">
        <f t="array" ref="AA41">IF(Z41="X",(_xlfn.XLOOKUP($B41,Tabla1[SERVICIO],Tabla1[VALOR])*1),IF(Z41&gt;=1,_xlfn.XLOOKUP($B41,Tabla1[SERVICIO],Tabla1[VALOR]*Z41),0))</f>
        <v>0</v>
      </c>
      <c r="AB41" s="81">
        <f t="shared" si="0"/>
        <v>26897.079640267821</v>
      </c>
      <c r="AC41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1" s="104" t="s">
        <v>319</v>
      </c>
      <c r="AE41" s="119">
        <v>0</v>
      </c>
      <c r="AF41" s="47">
        <f>+Tabla428[[#This Row],[TOTAL]]*AE41</f>
        <v>0</v>
      </c>
      <c r="AG41" s="104" t="s">
        <v>349</v>
      </c>
      <c r="AH41" s="333">
        <v>12</v>
      </c>
    </row>
    <row r="42" spans="1:46" ht="15.75" thickBot="1" x14ac:dyDescent="0.3">
      <c r="A42" s="9" t="s">
        <v>53</v>
      </c>
      <c r="B42" s="96" t="s">
        <v>292</v>
      </c>
      <c r="C42" s="96" t="str">
        <f>_xlfn.XLOOKUP(Tabla428[[#This Row],[Servicios del Programa:]],Tabla151[CODIGO],Tabla151[VALOR])</f>
        <v>Consultas</v>
      </c>
      <c r="D42" s="181">
        <v>1</v>
      </c>
      <c r="E42" s="56" cm="1">
        <f t="array" ref="E42">IF(D42="X",(_xlfn.XLOOKUP($B42,Tabla1[SERVICIO],Tabla1[VALOR])*1),IF(D42&gt;=1,_xlfn.XLOOKUP($B42,Tabla1[SERVICIO],Tabla1[VALOR]*D42),0))</f>
        <v>26897.079640267817</v>
      </c>
      <c r="F42" s="181"/>
      <c r="G42" s="56" cm="1">
        <f t="array" ref="G42">IF(F42="X",(_xlfn.XLOOKUP($B42,Tabla1[SERVICIO],Tabla1[VALOR])*1),IF(F42&gt;=1,_xlfn.XLOOKUP($B42,Tabla1[SERVICIO],Tabla1[VALOR]*F42),0))</f>
        <v>0</v>
      </c>
      <c r="H42" s="181"/>
      <c r="I42" s="56" cm="1">
        <f t="array" ref="I42">IF(H42="X",(_xlfn.XLOOKUP($B42,Tabla1[SERVICIO],Tabla1[VALOR])*1),IF(H42&gt;=1,_xlfn.XLOOKUP($B42,Tabla1[SERVICIO],Tabla1[VALOR]*H42),0))</f>
        <v>0</v>
      </c>
      <c r="J42" s="181"/>
      <c r="K42" s="56" cm="1">
        <f t="array" ref="K42">IF(J42="X",(_xlfn.XLOOKUP($B42,Tabla1[SERVICIO],Tabla1[VALOR])*1),IF(J42&gt;=1,_xlfn.XLOOKUP($B42,Tabla1[SERVICIO],Tabla1[VALOR]*J42),0))</f>
        <v>0</v>
      </c>
      <c r="L42" s="181"/>
      <c r="M42" s="56" cm="1">
        <f t="array" ref="M42">IF(L42="X",(_xlfn.XLOOKUP($B42,Tabla1[SERVICIO],Tabla1[VALOR])*1),IF(L42&gt;=1,_xlfn.XLOOKUP($B42,Tabla1[SERVICIO],Tabla1[VALOR]*L42),0))</f>
        <v>0</v>
      </c>
      <c r="N42" s="181"/>
      <c r="O42" s="56" cm="1">
        <f t="array" ref="O42">IF(N42="X",(_xlfn.XLOOKUP($B42,Tabla1[SERVICIO],Tabla1[VALOR])*1),IF(N42&gt;=1,_xlfn.XLOOKUP($B42,Tabla1[SERVICIO],Tabla1[VALOR]*N42),0))</f>
        <v>0</v>
      </c>
      <c r="P42" s="181"/>
      <c r="Q42" s="56" cm="1">
        <f t="array" ref="Q42">IF(P42="X",(_xlfn.XLOOKUP($B42,Tabla1[SERVICIO],Tabla1[VALOR])*1),IF(P42&gt;=1,_xlfn.XLOOKUP($B42,Tabla1[SERVICIO],Tabla1[VALOR]*P42),0))</f>
        <v>0</v>
      </c>
      <c r="R42" s="181"/>
      <c r="S42" s="56" cm="1">
        <f t="array" ref="S42">IF(R42="X",(_xlfn.XLOOKUP($B42,Tabla1[SERVICIO],Tabla1[VALOR])*1),IF(R42&gt;=1,_xlfn.XLOOKUP($B42,Tabla1[SERVICIO],Tabla1[VALOR]*R42),0))</f>
        <v>0</v>
      </c>
      <c r="T42" s="181"/>
      <c r="U42" s="56" cm="1">
        <f t="array" ref="U42">IF(T42="X",(_xlfn.XLOOKUP($B42,Tabla1[SERVICIO],Tabla1[VALOR])*1),IF(T42&gt;=1,_xlfn.XLOOKUP($B42,Tabla1[SERVICIO],Tabla1[VALOR]*T42),0))</f>
        <v>0</v>
      </c>
      <c r="V42" s="181"/>
      <c r="W42" s="56" cm="1">
        <f t="array" ref="W42">IF(V42="X",(_xlfn.XLOOKUP($B42,Tabla1[SERVICIO],Tabla1[VALOR])*1),IF(V42&gt;=1,_xlfn.XLOOKUP($B42,Tabla1[SERVICIO],Tabla1[VALOR]*V42),0))</f>
        <v>0</v>
      </c>
      <c r="X42" s="181"/>
      <c r="Y42" s="56" cm="1">
        <f t="array" ref="Y42">IF(X42="X",(_xlfn.XLOOKUP($B42,Tabla1[SERVICIO],Tabla1[VALOR])*1),IF(X42&gt;=1,_xlfn.XLOOKUP($B42,Tabla1[SERVICIO],Tabla1[VALOR]*X42),0))</f>
        <v>0</v>
      </c>
      <c r="Z42" s="181"/>
      <c r="AA42" s="56" cm="1">
        <f t="array" ref="AA42">IF(Z42="X",(_xlfn.XLOOKUP($B42,Tabla1[SERVICIO],Tabla1[VALOR])*1),IF(Z42&gt;=1,_xlfn.XLOOKUP($B42,Tabla1[SERVICIO],Tabla1[VALOR]*Z42),0))</f>
        <v>0</v>
      </c>
      <c r="AB42" s="81">
        <f t="shared" si="0"/>
        <v>26897.079640267817</v>
      </c>
      <c r="AC42" s="106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2" s="104" t="s">
        <v>319</v>
      </c>
      <c r="AE42" s="119">
        <v>1.6708437761069339E-3</v>
      </c>
      <c r="AF42" s="47">
        <f>+Tabla428[[#This Row],[TOTAL]]*AE42</f>
        <v>44.940818112394012</v>
      </c>
      <c r="AG42" s="104" t="s">
        <v>349</v>
      </c>
      <c r="AH42" s="333">
        <v>12</v>
      </c>
    </row>
    <row r="43" spans="1:46" s="62" customFormat="1" ht="15.75" thickBot="1" x14ac:dyDescent="0.3">
      <c r="A43" s="58"/>
      <c r="B43" s="59" t="s">
        <v>247</v>
      </c>
      <c r="C43" s="59"/>
      <c r="D43" s="73">
        <f>SUBTOTAL(109,D3:D42)</f>
        <v>23</v>
      </c>
      <c r="E43" s="60">
        <f>SUBTOTAL(109,E3:E42)</f>
        <v>1219915.8374380074</v>
      </c>
      <c r="F43" s="262">
        <f>SUM(F3:F42)</f>
        <v>2</v>
      </c>
      <c r="G43" s="60">
        <f>SUBTOTAL(109,G3:G42)</f>
        <v>28378.274667939098</v>
      </c>
      <c r="H43" s="262">
        <f>SUM(H3:H42)</f>
        <v>14</v>
      </c>
      <c r="I43" s="60">
        <f>SUBTOTAL(109,I3:I42)</f>
        <v>187148.71011779437</v>
      </c>
      <c r="J43" s="262">
        <f>SUM(J3:J42)</f>
        <v>9</v>
      </c>
      <c r="K43" s="60">
        <f>SUBTOTAL(109,K3:K42)</f>
        <v>82984.380575551229</v>
      </c>
      <c r="L43" s="262">
        <f>SUM(L3:L42)</f>
        <v>9</v>
      </c>
      <c r="M43" s="60">
        <f>SUBTOTAL(109,M3:M42)</f>
        <v>82984.380575551229</v>
      </c>
      <c r="N43" s="262">
        <f>SUM(N3:N42)</f>
        <v>12</v>
      </c>
      <c r="O43" s="60">
        <f>SUBTOTAL(109,O3:O42)</f>
        <v>311276.52454752458</v>
      </c>
      <c r="P43" s="262">
        <f>SUM(P3:P42)</f>
        <v>11</v>
      </c>
      <c r="Q43" s="60">
        <f>SUBTOTAL(109,Q3:Q42)</f>
        <v>202153.30564611437</v>
      </c>
      <c r="R43" s="262">
        <f>SUM(R3:R42)</f>
        <v>9</v>
      </c>
      <c r="S43" s="60">
        <f>SUBTOTAL(109,S3:S42)</f>
        <v>82984.380575551229</v>
      </c>
      <c r="T43" s="262">
        <f>SUM(T3:T42)</f>
        <v>10</v>
      </c>
      <c r="U43" s="60">
        <f>SUBTOTAL(109,U3:U42)</f>
        <v>98619.233601270695</v>
      </c>
      <c r="V43" s="262">
        <f>SUM(V3:V42)</f>
        <v>9</v>
      </c>
      <c r="W43" s="60">
        <f>SUBTOTAL(109,W3:W42)</f>
        <v>82984.380575551229</v>
      </c>
      <c r="X43" s="262">
        <f>SUM(X3:X42)</f>
        <v>9</v>
      </c>
      <c r="Y43" s="60">
        <f>SUBTOTAL(109,Y3:Y42)</f>
        <v>82984.380575551229</v>
      </c>
      <c r="Z43" s="263">
        <f>SUM(Z3:Z42)</f>
        <v>20</v>
      </c>
      <c r="AA43" s="60">
        <f>SUBTOTAL(109,AA3:AA42)</f>
        <v>482287.62112351879</v>
      </c>
      <c r="AB43" s="61">
        <f>SUM(Tabla428[[#This Row],[COSTO]:[COSTO12]])</f>
        <v>2944815.4100199253</v>
      </c>
      <c r="AC43" s="261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137</v>
      </c>
      <c r="AD43" s="60">
        <f>+Tabla428[[#This Row],[TOTAL]]/12</f>
        <v>245401.28416832711</v>
      </c>
      <c r="AE43" s="61"/>
      <c r="AF43" s="248">
        <f>SUM(AF3:AF42)</f>
        <v>1828395.5604669065</v>
      </c>
      <c r="AG43" s="249">
        <f>+AF43/12</f>
        <v>152366.29670557554</v>
      </c>
      <c r="AH43" s="5"/>
    </row>
    <row r="44" spans="1:46" x14ac:dyDescent="0.25">
      <c r="D44" s="83"/>
    </row>
    <row r="45" spans="1:46" ht="33" customHeight="1" x14ac:dyDescent="0.25">
      <c r="A45" s="44" t="s">
        <v>248</v>
      </c>
      <c r="B45" s="45"/>
      <c r="C45" s="71"/>
      <c r="D45" s="45"/>
      <c r="E45" s="71"/>
      <c r="F45" s="45"/>
      <c r="G45" s="71"/>
      <c r="H45" s="45"/>
      <c r="I45" s="71"/>
      <c r="J45" s="45"/>
      <c r="K45" s="71"/>
      <c r="L45" s="45"/>
      <c r="M45" s="71"/>
      <c r="N45" s="45"/>
      <c r="O45" s="71"/>
      <c r="P45" s="45"/>
      <c r="Q45" s="71"/>
      <c r="R45" s="45"/>
      <c r="S45" s="71"/>
      <c r="T45" s="46"/>
    </row>
    <row r="46" spans="1:46" ht="39" x14ac:dyDescent="0.25">
      <c r="A46" s="20" t="s">
        <v>0</v>
      </c>
      <c r="B46" s="147" t="s">
        <v>234</v>
      </c>
      <c r="C46" s="17" t="s">
        <v>347</v>
      </c>
      <c r="D46" s="94" t="s">
        <v>56</v>
      </c>
      <c r="E46" s="94" t="s">
        <v>249</v>
      </c>
      <c r="F46" s="94" t="s">
        <v>57</v>
      </c>
      <c r="G46" s="94" t="s">
        <v>250</v>
      </c>
      <c r="H46" s="94" t="s">
        <v>58</v>
      </c>
      <c r="I46" s="94" t="s">
        <v>251</v>
      </c>
      <c r="J46" s="94" t="s">
        <v>59</v>
      </c>
      <c r="K46" s="94" t="s">
        <v>252</v>
      </c>
      <c r="L46" s="94" t="s">
        <v>60</v>
      </c>
      <c r="M46" s="94" t="s">
        <v>253</v>
      </c>
      <c r="N46" s="94" t="s">
        <v>61</v>
      </c>
      <c r="O46" s="94" t="s">
        <v>254</v>
      </c>
      <c r="P46" s="94" t="s">
        <v>62</v>
      </c>
      <c r="Q46" s="94" t="s">
        <v>255</v>
      </c>
      <c r="R46" s="94" t="s">
        <v>63</v>
      </c>
      <c r="S46" s="94" t="s">
        <v>256</v>
      </c>
      <c r="T46" s="94" t="s">
        <v>64</v>
      </c>
      <c r="U46" s="94" t="s">
        <v>257</v>
      </c>
      <c r="V46" s="94" t="s">
        <v>65</v>
      </c>
      <c r="W46" s="94" t="s">
        <v>258</v>
      </c>
      <c r="X46" s="94" t="s">
        <v>66</v>
      </c>
      <c r="Y46" s="94" t="s">
        <v>259</v>
      </c>
      <c r="Z46" s="94" t="s">
        <v>67</v>
      </c>
      <c r="AA46" s="94" t="s">
        <v>260</v>
      </c>
      <c r="AB46" s="94" t="s">
        <v>68</v>
      </c>
      <c r="AC46" s="94" t="s">
        <v>261</v>
      </c>
      <c r="AD46" s="94" t="s">
        <v>69</v>
      </c>
      <c r="AE46" s="94" t="s">
        <v>262</v>
      </c>
      <c r="AF46" s="94" t="s">
        <v>70</v>
      </c>
      <c r="AG46" s="94" t="s">
        <v>263</v>
      </c>
      <c r="AH46" s="94" t="s">
        <v>71</v>
      </c>
      <c r="AI46" s="94" t="s">
        <v>264</v>
      </c>
      <c r="AJ46" s="94" t="s">
        <v>72</v>
      </c>
      <c r="AK46" s="94" t="s">
        <v>265</v>
      </c>
      <c r="AL46" s="178" t="s">
        <v>73</v>
      </c>
      <c r="AM46" s="94" t="s">
        <v>266</v>
      </c>
      <c r="AN46" s="94" t="s">
        <v>247</v>
      </c>
      <c r="AO46" s="105" t="s">
        <v>313</v>
      </c>
      <c r="AP46" s="105" t="s">
        <v>323</v>
      </c>
      <c r="AQ46" s="105" t="s">
        <v>316</v>
      </c>
      <c r="AR46" s="105" t="s">
        <v>317</v>
      </c>
      <c r="AS46" s="239" t="s">
        <v>348</v>
      </c>
      <c r="AT46" s="105" t="s">
        <v>406</v>
      </c>
    </row>
    <row r="47" spans="1:46" x14ac:dyDescent="0.25">
      <c r="A47" s="7" t="s">
        <v>13</v>
      </c>
      <c r="B47" s="8" t="s">
        <v>14</v>
      </c>
      <c r="C47" s="96" t="str">
        <f>_xlfn.XLOOKUP(Tabla41429[[#This Row],[Servicios del Programa:]],Tabla151[CODIGO],Tabla151[VALOR])</f>
        <v>Gestion y seguimiento</v>
      </c>
      <c r="D47" s="144">
        <v>1</v>
      </c>
      <c r="E47" s="56" cm="1">
        <f t="array" ref="E47">IF(D47="X",(_xlfn.XLOOKUP($B47,Tabla1[SERVICIO],Tabla1[VALOR])*1),IF(D47&gt;=1,_xlfn.XLOOKUP($B47,Tabla1[SERVICIO],Tabla1[VALOR]*D47),0))</f>
        <v>20552.755657371155</v>
      </c>
      <c r="F47" s="144"/>
      <c r="G47" s="56" cm="1">
        <f t="array" ref="G47">IF(F47="X",(_xlfn.XLOOKUP($B47,Tabla1[SERVICIO],Tabla1[VALOR])*1),IF(F47&gt;=1,_xlfn.XLOOKUP($B47,Tabla1[SERVICIO],Tabla1[VALOR]*F47),0))</f>
        <v>0</v>
      </c>
      <c r="H47" s="144"/>
      <c r="I47" s="56" cm="1">
        <f t="array" ref="I47">IF(H47="X",(_xlfn.XLOOKUP($B47,Tabla1[SERVICIO],Tabla1[VALOR])*1),IF(H47&gt;=1,_xlfn.XLOOKUP($B47,Tabla1[SERVICIO],Tabla1[VALOR]*H47),0))</f>
        <v>0</v>
      </c>
      <c r="J47" s="144"/>
      <c r="K47" s="56" cm="1">
        <f t="array" ref="K47">IF(J47="X",(_xlfn.XLOOKUP($B47,Tabla1[SERVICIO],Tabla1[VALOR])*1),IF(J47&gt;=1,_xlfn.XLOOKUP($B47,Tabla1[SERVICIO],Tabla1[VALOR]*J47),0))</f>
        <v>0</v>
      </c>
      <c r="L47" s="144"/>
      <c r="M47" s="56" cm="1">
        <f t="array" ref="M47">IF(L47="X",(_xlfn.XLOOKUP($B47,Tabla1[SERVICIO],Tabla1[VALOR])*1),IF(L47&gt;=1,_xlfn.XLOOKUP($B47,Tabla1[SERVICIO],Tabla1[VALOR]*L47),0))</f>
        <v>0</v>
      </c>
      <c r="N47" s="144"/>
      <c r="O47" s="56" cm="1">
        <f t="array" ref="O47">IF(N47="X",(_xlfn.XLOOKUP($B47,Tabla1[SERVICIO],Tabla1[VALOR])*1),IF(N47&gt;=1,_xlfn.XLOOKUP($B47,Tabla1[SERVICIO],Tabla1[VALOR]*N47),0))</f>
        <v>0</v>
      </c>
      <c r="P47" s="144"/>
      <c r="Q47" s="56" cm="1">
        <f t="array" ref="Q47">IF(P47="X",(_xlfn.XLOOKUP($B47,Tabla1[SERVICIO],Tabla1[VALOR])*1),IF(P47&gt;=1,_xlfn.XLOOKUP($B47,Tabla1[SERVICIO],Tabla1[VALOR]*P47),0))</f>
        <v>0</v>
      </c>
      <c r="R47" s="144"/>
      <c r="S47" s="56" cm="1">
        <f t="array" ref="S47">IF(R47="X",(_xlfn.XLOOKUP($B47,Tabla1[SERVICIO],Tabla1[VALOR])*1),IF(R47&gt;=1,_xlfn.XLOOKUP($B47,Tabla1[SERVICIO],Tabla1[VALOR]*R47),0))</f>
        <v>0</v>
      </c>
      <c r="T47" s="144"/>
      <c r="U47" s="56" cm="1">
        <f t="array" ref="U47">IF(T47="X",(_xlfn.XLOOKUP($B47,Tabla1[SERVICIO],Tabla1[VALOR])*1),IF(T47&gt;=1,_xlfn.XLOOKUP($B47,Tabla1[SERVICIO],Tabla1[VALOR]*T47),0))</f>
        <v>0</v>
      </c>
      <c r="V47" s="144"/>
      <c r="W47" s="56" cm="1">
        <f t="array" ref="W47">IF(V47="X",(_xlfn.XLOOKUP($B47,Tabla1[SERVICIO],Tabla1[VALOR])*1),IF(V47&gt;=1,_xlfn.XLOOKUP($B47,Tabla1[SERVICIO],Tabla1[VALOR]*V47),0))</f>
        <v>0</v>
      </c>
      <c r="X47" s="144"/>
      <c r="Y47" s="56" cm="1">
        <f t="array" ref="Y47">IF(X47="X",(_xlfn.XLOOKUP($B47,Tabla1[SERVICIO],Tabla1[VALOR])*1),IF(X47&gt;=1,_xlfn.XLOOKUP($B47,Tabla1[SERVICIO],Tabla1[VALOR]*X47),0))</f>
        <v>0</v>
      </c>
      <c r="Z47" s="144"/>
      <c r="AA47" s="56">
        <v>0</v>
      </c>
      <c r="AB47" s="145"/>
      <c r="AC47" s="56">
        <v>0</v>
      </c>
      <c r="AD47" s="145"/>
      <c r="AE47" s="56">
        <v>0</v>
      </c>
      <c r="AF47" s="145"/>
      <c r="AG47" s="56">
        <v>0</v>
      </c>
      <c r="AH47" s="144"/>
      <c r="AI47" s="56">
        <v>0</v>
      </c>
      <c r="AJ47" s="144"/>
      <c r="AK47" s="56">
        <v>0</v>
      </c>
      <c r="AL47" s="144"/>
      <c r="AM47" s="56" cm="1">
        <f t="array" ref="AM47">IF(AL47="X",(_xlfn.XLOOKUP($B47,Tabla1[SERVICIO],Tabla1[VALOR])*1),IF(AL47&gt;=1,_xlfn.XLOOKUP($B47,Tabla1[SERVICIO],Tabla1[VALOR]*AL47),0))</f>
        <v>0</v>
      </c>
      <c r="AN47" s="81">
        <f>SUM(E47,G47,I47,K47,M47,O47,Q47,S47,U47,W47+Y47,AA47,AC47,AE47,AG47,AI47,AK47,AM47)</f>
        <v>20552.755657371155</v>
      </c>
      <c r="AO47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7" s="104" t="s">
        <v>318</v>
      </c>
      <c r="AQ47" s="119">
        <v>1</v>
      </c>
      <c r="AR47" s="121">
        <f>+Tabla41429[[#This Row],[TOTAL]]*Tabla41429[[#This Row],[% de las personas que lo usaron]]</f>
        <v>20552.755657371155</v>
      </c>
      <c r="AS47" s="104" t="s">
        <v>349</v>
      </c>
      <c r="AT47" s="335">
        <v>18</v>
      </c>
    </row>
    <row r="48" spans="1:46" x14ac:dyDescent="0.25">
      <c r="A48" s="7" t="s">
        <v>98</v>
      </c>
      <c r="B48" s="8" t="s">
        <v>99</v>
      </c>
      <c r="C48" s="96" t="str">
        <f>_xlfn.XLOOKUP(Tabla41429[[#This Row],[Servicios del Programa:]],Tabla151[CODIGO],Tabla151[VALOR])</f>
        <v>Consultas</v>
      </c>
      <c r="D48" s="144">
        <v>1</v>
      </c>
      <c r="E48" s="56" cm="1">
        <f t="array" ref="E48">IF(D48="X",(_xlfn.XLOOKUP($B48,Tabla1[SERVICIO],Tabla1[VALOR])*1),IF(D48&gt;=1,_xlfn.XLOOKUP($B48,Tabla1[SERVICIO],Tabla1[VALOR]*D48),0))</f>
        <v>17887.388810409495</v>
      </c>
      <c r="F48" s="144"/>
      <c r="G48" s="56" cm="1">
        <f t="array" ref="G48">IF(F48="X",(_xlfn.XLOOKUP($B48,Tabla1[SERVICIO],Tabla1[VALOR])*1),IF(F48&gt;=1,_xlfn.XLOOKUP($B48,Tabla1[SERVICIO],Tabla1[VALOR]*F48),0))</f>
        <v>0</v>
      </c>
      <c r="H48" s="144"/>
      <c r="I48" s="56" cm="1">
        <f t="array" ref="I48">IF(H48="X",(_xlfn.XLOOKUP($B48,Tabla1[SERVICIO],Tabla1[VALOR])*1),IF(H48&gt;=1,_xlfn.XLOOKUP($B48,Tabla1[SERVICIO],Tabla1[VALOR]*H48),0))</f>
        <v>0</v>
      </c>
      <c r="J48" s="144"/>
      <c r="K48" s="56" cm="1">
        <f t="array" ref="K48">IF(J48="X",(_xlfn.XLOOKUP($B48,Tabla1[SERVICIO],Tabla1[VALOR])*1),IF(J48&gt;=1,_xlfn.XLOOKUP($B48,Tabla1[SERVICIO],Tabla1[VALOR]*J48),0))</f>
        <v>0</v>
      </c>
      <c r="L48" s="144"/>
      <c r="M48" s="56" cm="1">
        <f t="array" ref="M48">IF(L48="X",(_xlfn.XLOOKUP($B48,Tabla1[SERVICIO],Tabla1[VALOR])*1),IF(L48&gt;=1,_xlfn.XLOOKUP($B48,Tabla1[SERVICIO],Tabla1[VALOR]*L48),0))</f>
        <v>0</v>
      </c>
      <c r="N48" s="144"/>
      <c r="O48" s="56" cm="1">
        <f t="array" ref="O48">IF(N48="X",(_xlfn.XLOOKUP($B48,Tabla1[SERVICIO],Tabla1[VALOR])*1),IF(N48&gt;=1,_xlfn.XLOOKUP($B48,Tabla1[SERVICIO],Tabla1[VALOR]*N48),0))</f>
        <v>0</v>
      </c>
      <c r="P48" s="144"/>
      <c r="Q48" s="56" cm="1">
        <f t="array" ref="Q48">IF(P48="X",(_xlfn.XLOOKUP($B48,Tabla1[SERVICIO],Tabla1[VALOR])*1),IF(P48&gt;=1,_xlfn.XLOOKUP($B48,Tabla1[SERVICIO],Tabla1[VALOR]*P48),0))</f>
        <v>0</v>
      </c>
      <c r="R48" s="144"/>
      <c r="S48" s="56" cm="1">
        <f t="array" ref="S48">IF(R48="X",(_xlfn.XLOOKUP($B48,Tabla1[SERVICIO],Tabla1[VALOR])*1),IF(R48&gt;=1,_xlfn.XLOOKUP($B48,Tabla1[SERVICIO],Tabla1[VALOR]*R48),0))</f>
        <v>0</v>
      </c>
      <c r="T48" s="144"/>
      <c r="U48" s="56" cm="1">
        <f t="array" ref="U48">IF(T48="X",(_xlfn.XLOOKUP($B48,Tabla1[SERVICIO],Tabla1[VALOR])*1),IF(T48&gt;=1,_xlfn.XLOOKUP($B48,Tabla1[SERVICIO],Tabla1[VALOR]*T48),0))</f>
        <v>0</v>
      </c>
      <c r="V48" s="144"/>
      <c r="W48" s="56" cm="1">
        <f t="array" ref="W48">IF(V48="X",(_xlfn.XLOOKUP($B48,Tabla1[SERVICIO],Tabla1[VALOR])*1),IF(V48&gt;=1,_xlfn.XLOOKUP($B48,Tabla1[SERVICIO],Tabla1[VALOR]*V48),0))</f>
        <v>0</v>
      </c>
      <c r="X48" s="144"/>
      <c r="Y48" s="56" cm="1">
        <f t="array" ref="Y48">IF(X48="X",(_xlfn.XLOOKUP($B48,Tabla1[SERVICIO],Tabla1[VALOR])*1),IF(X48&gt;=1,_xlfn.XLOOKUP($B48,Tabla1[SERVICIO],Tabla1[VALOR]*X48),0))</f>
        <v>0</v>
      </c>
      <c r="Z48" s="144"/>
      <c r="AA48" s="56">
        <v>0</v>
      </c>
      <c r="AB48" s="145"/>
      <c r="AC48" s="56">
        <v>0</v>
      </c>
      <c r="AD48" s="145"/>
      <c r="AE48" s="56">
        <v>0</v>
      </c>
      <c r="AF48" s="145"/>
      <c r="AG48" s="56">
        <v>0</v>
      </c>
      <c r="AH48" s="144"/>
      <c r="AI48" s="56">
        <v>0</v>
      </c>
      <c r="AJ48" s="144"/>
      <c r="AK48" s="56">
        <v>0</v>
      </c>
      <c r="AL48" s="144"/>
      <c r="AM48" s="56" cm="1">
        <f t="array" ref="AM48">IF(AL48="X",(_xlfn.XLOOKUP($B48,Tabla1[SERVICIO],Tabla1[VALOR])*1),IF(AL48&gt;=1,_xlfn.XLOOKUP($B48,Tabla1[SERVICIO],Tabla1[VALOR]*AL48),0))</f>
        <v>0</v>
      </c>
      <c r="AN48" s="81">
        <f t="shared" ref="AN48:AN86" si="1">SUM(E48,G48,I48,K48,M48,O48,Q48,S48,U48,W48+Y48,AA48,AC48,AE48,AG48,AI48,AK48,AM48)</f>
        <v>17887.388810409495</v>
      </c>
      <c r="AO48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8" s="104" t="s">
        <v>318</v>
      </c>
      <c r="AQ48" s="119">
        <v>1</v>
      </c>
      <c r="AR48" s="121">
        <f>+Tabla41429[[#This Row],[TOTAL]]*Tabla41429[[#This Row],[% de las personas que lo usaron]]</f>
        <v>17887.388810409495</v>
      </c>
      <c r="AS48" s="104" t="s">
        <v>349</v>
      </c>
      <c r="AT48" s="335">
        <v>18</v>
      </c>
    </row>
    <row r="49" spans="1:46" x14ac:dyDescent="0.25">
      <c r="A49" s="7" t="s">
        <v>104</v>
      </c>
      <c r="B49" s="8" t="s">
        <v>105</v>
      </c>
      <c r="C49" s="96" t="str">
        <f>_xlfn.XLOOKUP(Tabla41429[[#This Row],[Servicios del Programa:]],Tabla151[CODIGO],Tabla151[VALOR])</f>
        <v>Consultas</v>
      </c>
      <c r="D49" s="144"/>
      <c r="E49" s="56" cm="1">
        <f t="array" ref="E49">IF(D49="X",(_xlfn.XLOOKUP($B49,Tabla1[SERVICIO],Tabla1[VALOR])*1),IF(D49&gt;=1,_xlfn.XLOOKUP($B49,Tabla1[SERVICIO],Tabla1[VALOR]*D49),0))</f>
        <v>0</v>
      </c>
      <c r="F49" s="144"/>
      <c r="G49" s="56" cm="1">
        <f t="array" ref="G49">IF(F49="X",(_xlfn.XLOOKUP($B49,Tabla1[SERVICIO],Tabla1[VALOR])*1),IF(F49&gt;=1,_xlfn.XLOOKUP($B49,Tabla1[SERVICIO],Tabla1[VALOR]*F49),0))</f>
        <v>0</v>
      </c>
      <c r="H49" s="144"/>
      <c r="I49" s="56" cm="1">
        <f t="array" ref="I49">IF(H49="X",(_xlfn.XLOOKUP($B49,Tabla1[SERVICIO],Tabla1[VALOR])*1),IF(H49&gt;=1,_xlfn.XLOOKUP($B49,Tabla1[SERVICIO],Tabla1[VALOR]*H49),0))</f>
        <v>0</v>
      </c>
      <c r="J49" s="144"/>
      <c r="K49" s="56" cm="1">
        <f t="array" ref="K49">IF(J49="X",(_xlfn.XLOOKUP($B49,Tabla1[SERVICIO],Tabla1[VALOR])*1),IF(J49&gt;=1,_xlfn.XLOOKUP($B49,Tabla1[SERVICIO],Tabla1[VALOR]*J49),0))</f>
        <v>0</v>
      </c>
      <c r="L49" s="144"/>
      <c r="M49" s="56" cm="1">
        <f t="array" ref="M49">IF(L49="X",(_xlfn.XLOOKUP($B49,Tabla1[SERVICIO],Tabla1[VALOR])*1),IF(L49&gt;=1,_xlfn.XLOOKUP($B49,Tabla1[SERVICIO],Tabla1[VALOR]*L49),0))</f>
        <v>0</v>
      </c>
      <c r="N49" s="144"/>
      <c r="O49" s="56" cm="1">
        <f t="array" ref="O49">IF(N49="X",(_xlfn.XLOOKUP($B49,Tabla1[SERVICIO],Tabla1[VALOR])*1),IF(N49&gt;=1,_xlfn.XLOOKUP($B49,Tabla1[SERVICIO],Tabla1[VALOR]*N49),0))</f>
        <v>0</v>
      </c>
      <c r="P49" s="144"/>
      <c r="Q49" s="56" cm="1">
        <f t="array" ref="Q49">IF(P49="X",(_xlfn.XLOOKUP($B49,Tabla1[SERVICIO],Tabla1[VALOR])*1),IF(P49&gt;=1,_xlfn.XLOOKUP($B49,Tabla1[SERVICIO],Tabla1[VALOR]*P49),0))</f>
        <v>0</v>
      </c>
      <c r="R49" s="144"/>
      <c r="S49" s="56" cm="1">
        <f t="array" ref="S49">IF(R49="X",(_xlfn.XLOOKUP($B49,Tabla1[SERVICIO],Tabla1[VALOR])*1),IF(R49&gt;=1,_xlfn.XLOOKUP($B49,Tabla1[SERVICIO],Tabla1[VALOR]*R49),0))</f>
        <v>0</v>
      </c>
      <c r="T49" s="144"/>
      <c r="U49" s="56" cm="1">
        <f t="array" ref="U49">IF(T49="X",(_xlfn.XLOOKUP($B49,Tabla1[SERVICIO],Tabla1[VALOR])*1),IF(T49&gt;=1,_xlfn.XLOOKUP($B49,Tabla1[SERVICIO],Tabla1[VALOR]*T49),0))</f>
        <v>0</v>
      </c>
      <c r="V49" s="144"/>
      <c r="W49" s="56" cm="1">
        <f t="array" ref="W49">IF(V49="X",(_xlfn.XLOOKUP($B49,Tabla1[SERVICIO],Tabla1[VALOR])*1),IF(V49&gt;=1,_xlfn.XLOOKUP($B49,Tabla1[SERVICIO],Tabla1[VALOR]*V49),0))</f>
        <v>0</v>
      </c>
      <c r="X49" s="144"/>
      <c r="Y49" s="56" cm="1">
        <f t="array" ref="Y49">IF(X49="X",(_xlfn.XLOOKUP($B49,Tabla1[SERVICIO],Tabla1[VALOR])*1),IF(X49&gt;=1,_xlfn.XLOOKUP($B49,Tabla1[SERVICIO],Tabla1[VALOR]*X49),0))</f>
        <v>0</v>
      </c>
      <c r="Z49" s="146"/>
      <c r="AA49" s="56">
        <v>0</v>
      </c>
      <c r="AB49" s="145"/>
      <c r="AC49" s="56">
        <v>0</v>
      </c>
      <c r="AD49" s="145"/>
      <c r="AE49" s="56">
        <v>0</v>
      </c>
      <c r="AF49" s="145"/>
      <c r="AG49" s="56">
        <v>0</v>
      </c>
      <c r="AH49" s="146"/>
      <c r="AI49" s="56">
        <v>0</v>
      </c>
      <c r="AJ49" s="146"/>
      <c r="AK49" s="56">
        <v>0</v>
      </c>
      <c r="AL49" s="146">
        <v>1</v>
      </c>
      <c r="AM49" s="56" cm="1">
        <f t="array" ref="AM49">IF(AL49="X",(_xlfn.XLOOKUP($B49,Tabla1[SERVICIO],Tabla1[VALOR])*1),IF(AL49&gt;=1,_xlfn.XLOOKUP($B49,Tabla1[SERVICIO],Tabla1[VALOR]*AL49),0))</f>
        <v>17887.388810409495</v>
      </c>
      <c r="AN49" s="81">
        <f t="shared" si="1"/>
        <v>17887.388810409495</v>
      </c>
      <c r="AO49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9" s="104" t="s">
        <v>318</v>
      </c>
      <c r="AQ49" s="119">
        <v>1</v>
      </c>
      <c r="AR49" s="121">
        <f>+Tabla41429[[#This Row],[TOTAL]]*Tabla41429[[#This Row],[% de las personas que lo usaron]]</f>
        <v>17887.388810409495</v>
      </c>
      <c r="AS49" s="104" t="s">
        <v>349</v>
      </c>
      <c r="AT49" s="335">
        <v>18</v>
      </c>
    </row>
    <row r="50" spans="1:46" x14ac:dyDescent="0.25">
      <c r="A50" s="7" t="s">
        <v>121</v>
      </c>
      <c r="B50" s="8" t="s">
        <v>232</v>
      </c>
      <c r="C50" s="96" t="str">
        <f>_xlfn.XLOOKUP(Tabla41429[[#This Row],[Servicios del Programa:]],Tabla151[CODIGO],Tabla151[VALOR])</f>
        <v>Gestion y seguimiento</v>
      </c>
      <c r="D50" s="144"/>
      <c r="E50" s="56" cm="1">
        <f t="array" ref="E50">IF(D50="X",(_xlfn.XLOOKUP($B50,Tabla1[SERVICIO],Tabla1[VALOR])*1),IF(D50&gt;=1,_xlfn.XLOOKUP($B50,Tabla1[SERVICIO],Tabla1[VALOR]*D50),0))</f>
        <v>0</v>
      </c>
      <c r="F50" s="144"/>
      <c r="G50" s="56" cm="1">
        <f t="array" ref="G50">IF(F50="X",(_xlfn.XLOOKUP($B50,Tabla1[SERVICIO],Tabla1[VALOR])*1),IF(F50&gt;=1,_xlfn.XLOOKUP($B50,Tabla1[SERVICIO],Tabla1[VALOR]*F50),0))</f>
        <v>0</v>
      </c>
      <c r="H50" s="144">
        <v>1</v>
      </c>
      <c r="I50" s="56" cm="1">
        <f t="array" ref="I50">IF(H50="X",(_xlfn.XLOOKUP($B50,Tabla1[SERVICIO],Tabla1[VALOR])*1),IF(H50&gt;=1,_xlfn.XLOOKUP($B50,Tabla1[SERVICIO],Tabla1[VALOR]*H50),0))</f>
        <v>17887.388810409495</v>
      </c>
      <c r="J50" s="144"/>
      <c r="K50" s="56" cm="1">
        <f t="array" ref="K50">IF(J50="X",(_xlfn.XLOOKUP($B50,Tabla1[SERVICIO],Tabla1[VALOR])*1),IF(J50&gt;=1,_xlfn.XLOOKUP($B50,Tabla1[SERVICIO],Tabla1[VALOR]*J50),0))</f>
        <v>0</v>
      </c>
      <c r="L50" s="144"/>
      <c r="M50" s="56" cm="1">
        <f t="array" ref="M50">IF(L50="X",(_xlfn.XLOOKUP($B50,Tabla1[SERVICIO],Tabla1[VALOR])*1),IF(L50&gt;=1,_xlfn.XLOOKUP($B50,Tabla1[SERVICIO],Tabla1[VALOR]*L50),0))</f>
        <v>0</v>
      </c>
      <c r="N50" s="144"/>
      <c r="O50" s="56" cm="1">
        <f t="array" ref="O50">IF(N50="X",(_xlfn.XLOOKUP($B50,Tabla1[SERVICIO],Tabla1[VALOR])*1),IF(N50&gt;=1,_xlfn.XLOOKUP($B50,Tabla1[SERVICIO],Tabla1[VALOR]*N50),0))</f>
        <v>0</v>
      </c>
      <c r="P50" s="144"/>
      <c r="Q50" s="56" cm="1">
        <f t="array" ref="Q50">IF(P50="X",(_xlfn.XLOOKUP($B50,Tabla1[SERVICIO],Tabla1[VALOR])*1),IF(P50&gt;=1,_xlfn.XLOOKUP($B50,Tabla1[SERVICIO],Tabla1[VALOR]*P50),0))</f>
        <v>0</v>
      </c>
      <c r="R50" s="144"/>
      <c r="S50" s="56" cm="1">
        <f t="array" ref="S50">IF(R50="X",(_xlfn.XLOOKUP($B50,Tabla1[SERVICIO],Tabla1[VALOR])*1),IF(R50&gt;=1,_xlfn.XLOOKUP($B50,Tabla1[SERVICIO],Tabla1[VALOR]*R50),0))</f>
        <v>0</v>
      </c>
      <c r="T50" s="144"/>
      <c r="U50" s="56" cm="1">
        <f t="array" ref="U50">IF(T50="X",(_xlfn.XLOOKUP($B50,Tabla1[SERVICIO],Tabla1[VALOR])*1),IF(T50&gt;=1,_xlfn.XLOOKUP($B50,Tabla1[SERVICIO],Tabla1[VALOR]*T50),0))</f>
        <v>0</v>
      </c>
      <c r="V50" s="144"/>
      <c r="W50" s="56" cm="1">
        <f t="array" ref="W50">IF(V50="X",(_xlfn.XLOOKUP($B50,Tabla1[SERVICIO],Tabla1[VALOR])*1),IF(V50&gt;=1,_xlfn.XLOOKUP($B50,Tabla1[SERVICIO],Tabla1[VALOR]*V50),0))</f>
        <v>0</v>
      </c>
      <c r="X50" s="144"/>
      <c r="Y50" s="56" cm="1">
        <f t="array" ref="Y50">IF(X50="X",(_xlfn.XLOOKUP($B50,Tabla1[SERVICIO],Tabla1[VALOR])*1),IF(X50&gt;=1,_xlfn.XLOOKUP($B50,Tabla1[SERVICIO],Tabla1[VALOR]*X50),0))</f>
        <v>0</v>
      </c>
      <c r="Z50" s="144"/>
      <c r="AA50" s="56">
        <v>0</v>
      </c>
      <c r="AB50" s="145"/>
      <c r="AC50" s="56">
        <v>0</v>
      </c>
      <c r="AD50" s="145"/>
      <c r="AE50" s="56">
        <v>0</v>
      </c>
      <c r="AF50" s="145"/>
      <c r="AG50" s="56">
        <v>0</v>
      </c>
      <c r="AH50" s="144"/>
      <c r="AI50" s="56">
        <v>0</v>
      </c>
      <c r="AJ50" s="144"/>
      <c r="AK50" s="56">
        <v>0</v>
      </c>
      <c r="AL50" s="144"/>
      <c r="AM50" s="56" cm="1">
        <f t="array" ref="AM50">IF(AL50="X",(_xlfn.XLOOKUP($B50,Tabla1[SERVICIO],Tabla1[VALOR])*1),IF(AL50&gt;=1,_xlfn.XLOOKUP($B50,Tabla1[SERVICIO],Tabla1[VALOR]*AL50),0))</f>
        <v>0</v>
      </c>
      <c r="AN50" s="81">
        <f t="shared" si="1"/>
        <v>17887.388810409495</v>
      </c>
      <c r="AO50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0" s="104" t="s">
        <v>318</v>
      </c>
      <c r="AQ50" s="119">
        <v>1</v>
      </c>
      <c r="AR50" s="121">
        <f>+Tabla41429[[#This Row],[TOTAL]]*Tabla41429[[#This Row],[% de las personas que lo usaron]]</f>
        <v>17887.388810409495</v>
      </c>
      <c r="AS50" s="104" t="s">
        <v>349</v>
      </c>
      <c r="AT50" s="335">
        <v>18</v>
      </c>
    </row>
    <row r="51" spans="1:46" x14ac:dyDescent="0.25">
      <c r="A51" s="7" t="s">
        <v>40</v>
      </c>
      <c r="B51" s="8" t="s">
        <v>41</v>
      </c>
      <c r="C51" s="96" t="str">
        <f>_xlfn.XLOOKUP(Tabla41429[[#This Row],[Servicios del Programa:]],Tabla151[CODIGO],Tabla151[VALOR])</f>
        <v>Gestion y seguimiento</v>
      </c>
      <c r="D51" s="144">
        <v>1</v>
      </c>
      <c r="E51" s="56" cm="1">
        <f t="array" ref="E51">IF(D51="X",(_xlfn.XLOOKUP($B51,Tabla1[SERVICIO],Tabla1[VALOR])*1),IF(D51&gt;=1,_xlfn.XLOOKUP($B51,Tabla1[SERVICIO],Tabla1[VALOR]*D51),0))</f>
        <v>15634.853025719462</v>
      </c>
      <c r="F51" s="144">
        <v>1</v>
      </c>
      <c r="G51" s="56" cm="1">
        <f t="array" ref="G51">IF(F51="X",(_xlfn.XLOOKUP($B51,Tabla1[SERVICIO],Tabla1[VALOR])*1),IF(F51&gt;=1,_xlfn.XLOOKUP($B51,Tabla1[SERVICIO],Tabla1[VALOR]*F51),0))</f>
        <v>15634.853025719462</v>
      </c>
      <c r="H51" s="144">
        <v>1</v>
      </c>
      <c r="I51" s="56" cm="1">
        <f t="array" ref="I51">IF(H51="X",(_xlfn.XLOOKUP($B51,Tabla1[SERVICIO],Tabla1[VALOR])*1),IF(H51&gt;=1,_xlfn.XLOOKUP($B51,Tabla1[SERVICIO],Tabla1[VALOR]*H51),0))</f>
        <v>15634.853025719462</v>
      </c>
      <c r="J51" s="144"/>
      <c r="K51" s="56" cm="1">
        <f t="array" ref="K51">IF(J51="X",(_xlfn.XLOOKUP($B51,Tabla1[SERVICIO],Tabla1[VALOR])*1),IF(J51&gt;=1,_xlfn.XLOOKUP($B51,Tabla1[SERVICIO],Tabla1[VALOR]*J51),0))</f>
        <v>0</v>
      </c>
      <c r="L51" s="144"/>
      <c r="M51" s="56" cm="1">
        <f t="array" ref="M51">IF(L51="X",(_xlfn.XLOOKUP($B51,Tabla1[SERVICIO],Tabla1[VALOR])*1),IF(L51&gt;=1,_xlfn.XLOOKUP($B51,Tabla1[SERVICIO],Tabla1[VALOR]*L51),0))</f>
        <v>0</v>
      </c>
      <c r="N51" s="144">
        <v>1</v>
      </c>
      <c r="O51" s="56" cm="1">
        <f t="array" ref="O51">IF(N51="X",(_xlfn.XLOOKUP($B51,Tabla1[SERVICIO],Tabla1[VALOR])*1),IF(N51&gt;=1,_xlfn.XLOOKUP($B51,Tabla1[SERVICIO],Tabla1[VALOR]*N51),0))</f>
        <v>15634.853025719462</v>
      </c>
      <c r="P51" s="144"/>
      <c r="Q51" s="56" cm="1">
        <f t="array" ref="Q51">IF(P51="X",(_xlfn.XLOOKUP($B51,Tabla1[SERVICIO],Tabla1[VALOR])*1),IF(P51&gt;=1,_xlfn.XLOOKUP($B51,Tabla1[SERVICIO],Tabla1[VALOR]*P51),0))</f>
        <v>0</v>
      </c>
      <c r="R51" s="144"/>
      <c r="S51" s="56" cm="1">
        <f t="array" ref="S51">IF(R51="X",(_xlfn.XLOOKUP($B51,Tabla1[SERVICIO],Tabla1[VALOR])*1),IF(R51&gt;=1,_xlfn.XLOOKUP($B51,Tabla1[SERVICIO],Tabla1[VALOR]*R51),0))</f>
        <v>0</v>
      </c>
      <c r="T51" s="144">
        <v>1</v>
      </c>
      <c r="U51" s="56" cm="1">
        <f t="array" ref="U51">IF(T51="X",(_xlfn.XLOOKUP($B51,Tabla1[SERVICIO],Tabla1[VALOR])*1),IF(T51&gt;=1,_xlfn.XLOOKUP($B51,Tabla1[SERVICIO],Tabla1[VALOR]*T51),0))</f>
        <v>15634.853025719462</v>
      </c>
      <c r="V51" s="144"/>
      <c r="W51" s="56" cm="1">
        <f t="array" ref="W51">IF(V51="X",(_xlfn.XLOOKUP($B51,Tabla1[SERVICIO],Tabla1[VALOR])*1),IF(V51&gt;=1,_xlfn.XLOOKUP($B51,Tabla1[SERVICIO],Tabla1[VALOR]*V51),0))</f>
        <v>0</v>
      </c>
      <c r="X51" s="144"/>
      <c r="Y51" s="56" cm="1">
        <f t="array" ref="Y51">IF(X51="X",(_xlfn.XLOOKUP($B51,Tabla1[SERVICIO],Tabla1[VALOR])*1),IF(X51&gt;=1,_xlfn.XLOOKUP($B51,Tabla1[SERVICIO],Tabla1[VALOR]*X51),0))</f>
        <v>0</v>
      </c>
      <c r="Z51" s="144">
        <v>1</v>
      </c>
      <c r="AA51" s="56" cm="1">
        <f t="array" ref="AA51">IF(Z51="X",(_xlfn.XLOOKUP($B51,Tabla1[SERVICIO],Tabla1[VALOR])*1),IF(Z51&gt;=1,_xlfn.XLOOKUP($B51,Tabla1[SERVICIO],Tabla1[VALOR]*Z51),0))</f>
        <v>15634.853025719462</v>
      </c>
      <c r="AB51" s="145"/>
      <c r="AC51" s="56">
        <v>0</v>
      </c>
      <c r="AD51" s="145"/>
      <c r="AE51" s="56">
        <v>0</v>
      </c>
      <c r="AF51" s="144"/>
      <c r="AG51" s="56">
        <v>0</v>
      </c>
      <c r="AH51" s="144"/>
      <c r="AI51" s="56">
        <v>0</v>
      </c>
      <c r="AJ51" s="144"/>
      <c r="AK51" s="56">
        <v>0</v>
      </c>
      <c r="AL51" s="144">
        <v>1</v>
      </c>
      <c r="AM51" s="56" cm="1">
        <f t="array" ref="AM51">IF(AL51="X",(_xlfn.XLOOKUP($B51,Tabla1[SERVICIO],Tabla1[VALOR])*1),IF(AL51&gt;=1,_xlfn.XLOOKUP($B51,Tabla1[SERVICIO],Tabla1[VALOR]*AL51),0))</f>
        <v>15634.853025719462</v>
      </c>
      <c r="AN51" s="81">
        <f t="shared" si="1"/>
        <v>109443.97118003624</v>
      </c>
      <c r="AO51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7</v>
      </c>
      <c r="AP51" s="104" t="s">
        <v>318</v>
      </c>
      <c r="AQ51" s="119">
        <v>1</v>
      </c>
      <c r="AR51" s="121">
        <f>+Tabla41429[[#This Row],[TOTAL]]*Tabla41429[[#This Row],[% de las personas que lo usaron]]</f>
        <v>109443.97118003624</v>
      </c>
      <c r="AS51" s="104" t="s">
        <v>349</v>
      </c>
      <c r="AT51" s="335">
        <v>18</v>
      </c>
    </row>
    <row r="52" spans="1:46" x14ac:dyDescent="0.25">
      <c r="A52" s="7" t="s">
        <v>11</v>
      </c>
      <c r="B52" s="8" t="s">
        <v>12</v>
      </c>
      <c r="C52" s="96" t="str">
        <f>_xlfn.XLOOKUP(Tabla41429[[#This Row],[Servicios del Programa:]],Tabla151[CODIGO],Tabla151[VALOR])</f>
        <v>Educacion</v>
      </c>
      <c r="D52" s="144">
        <v>1</v>
      </c>
      <c r="E52" s="56" cm="1">
        <f t="array" ref="E52">IF(D52="X",(_xlfn.XLOOKUP($B52,Tabla1[SERVICIO],Tabla1[VALOR])*1),IF(D52&gt;=1,_xlfn.XLOOKUP($B52,Tabla1[SERVICIO],Tabla1[VALOR]*D52),0))</f>
        <v>12743.421642219637</v>
      </c>
      <c r="F52" s="144">
        <v>1</v>
      </c>
      <c r="G52" s="56" cm="1">
        <f t="array" ref="G52">IF(F52="X",(_xlfn.XLOOKUP($B52,Tabla1[SERVICIO],Tabla1[VALOR])*1),IF(F52&gt;=1,_xlfn.XLOOKUP($B52,Tabla1[SERVICIO],Tabla1[VALOR]*F52),0))</f>
        <v>12743.421642219637</v>
      </c>
      <c r="H52" s="144">
        <v>1</v>
      </c>
      <c r="I52" s="56" cm="1">
        <f t="array" ref="I52">IF(H52="X",(_xlfn.XLOOKUP($B52,Tabla1[SERVICIO],Tabla1[VALOR])*1),IF(H52&gt;=1,_xlfn.XLOOKUP($B52,Tabla1[SERVICIO],Tabla1[VALOR]*H52),0))</f>
        <v>12743.421642219637</v>
      </c>
      <c r="J52" s="144">
        <v>1</v>
      </c>
      <c r="K52" s="56" cm="1">
        <f t="array" ref="K52">IF(J52="X",(_xlfn.XLOOKUP($B52,Tabla1[SERVICIO],Tabla1[VALOR])*1),IF(J52&gt;=1,_xlfn.XLOOKUP($B52,Tabla1[SERVICIO],Tabla1[VALOR]*J52),0))</f>
        <v>12743.421642219637</v>
      </c>
      <c r="L52" s="144">
        <v>1</v>
      </c>
      <c r="M52" s="56" cm="1">
        <f t="array" ref="M52">IF(L52="X",(_xlfn.XLOOKUP($B52,Tabla1[SERVICIO],Tabla1[VALOR])*1),IF(L52&gt;=1,_xlfn.XLOOKUP($B52,Tabla1[SERVICIO],Tabla1[VALOR]*L52),0))</f>
        <v>12743.421642219637</v>
      </c>
      <c r="N52" s="144">
        <v>1</v>
      </c>
      <c r="O52" s="56" cm="1">
        <f t="array" ref="O52">IF(N52="X",(_xlfn.XLOOKUP($B52,Tabla1[SERVICIO],Tabla1[VALOR])*1),IF(N52&gt;=1,_xlfn.XLOOKUP($B52,Tabla1[SERVICIO],Tabla1[VALOR]*N52),0))</f>
        <v>12743.421642219637</v>
      </c>
      <c r="P52" s="144">
        <v>1</v>
      </c>
      <c r="Q52" s="56" cm="1">
        <f t="array" ref="Q52">IF(P52="X",(_xlfn.XLOOKUP($B52,Tabla1[SERVICIO],Tabla1[VALOR])*1),IF(P52&gt;=1,_xlfn.XLOOKUP($B52,Tabla1[SERVICIO],Tabla1[VALOR]*P52),0))</f>
        <v>12743.421642219637</v>
      </c>
      <c r="R52" s="144">
        <v>1</v>
      </c>
      <c r="S52" s="56" cm="1">
        <f t="array" ref="S52">IF(R52="X",(_xlfn.XLOOKUP($B52,Tabla1[SERVICIO],Tabla1[VALOR])*1),IF(R52&gt;=1,_xlfn.XLOOKUP($B52,Tabla1[SERVICIO],Tabla1[VALOR]*R52),0))</f>
        <v>12743.421642219637</v>
      </c>
      <c r="T52" s="144">
        <v>1</v>
      </c>
      <c r="U52" s="56" cm="1">
        <f t="array" ref="U52">IF(T52="X",(_xlfn.XLOOKUP($B52,Tabla1[SERVICIO],Tabla1[VALOR])*1),IF(T52&gt;=1,_xlfn.XLOOKUP($B52,Tabla1[SERVICIO],Tabla1[VALOR]*T52),0))</f>
        <v>12743.421642219637</v>
      </c>
      <c r="V52" s="144">
        <v>1</v>
      </c>
      <c r="W52" s="56" cm="1">
        <f t="array" ref="W52">IF(V52="X",(_xlfn.XLOOKUP($B52,Tabla1[SERVICIO],Tabla1[VALOR])*1),IF(V52&gt;=1,_xlfn.XLOOKUP($B52,Tabla1[SERVICIO],Tabla1[VALOR]*V52),0))</f>
        <v>12743.421642219637</v>
      </c>
      <c r="X52" s="144">
        <v>1</v>
      </c>
      <c r="Y52" s="56" cm="1">
        <f t="array" ref="Y52">IF(X52="X",(_xlfn.XLOOKUP($B52,Tabla1[SERVICIO],Tabla1[VALOR])*1),IF(X52&gt;=1,_xlfn.XLOOKUP($B52,Tabla1[SERVICIO],Tabla1[VALOR]*X52),0))</f>
        <v>12743.421642219637</v>
      </c>
      <c r="Z52" s="144">
        <v>1</v>
      </c>
      <c r="AA52" s="56" cm="1">
        <f t="array" ref="AA52">IF(Z52="X",(_xlfn.XLOOKUP($B52,Tabla1[SERVICIO],Tabla1[VALOR])*1),IF(Z52&gt;=1,_xlfn.XLOOKUP($B52,Tabla1[SERVICIO],Tabla1[VALOR]*Z52),0))</f>
        <v>12743.421642219637</v>
      </c>
      <c r="AB52" s="144">
        <v>1</v>
      </c>
      <c r="AC52" s="56" cm="1">
        <f t="array" ref="AC52">IF(AB52="X",(_xlfn.XLOOKUP($B52,Tabla1[SERVICIO],Tabla1[VALOR])*1),IF(AB52&gt;=1,_xlfn.XLOOKUP($B52,Tabla1[SERVICIO],Tabla1[VALOR]*AB52),0))</f>
        <v>12743.421642219637</v>
      </c>
      <c r="AD52" s="144">
        <v>1</v>
      </c>
      <c r="AE52" s="56" cm="1">
        <f t="array" ref="AE52">IF(AD52="X",(_xlfn.XLOOKUP($B52,Tabla1[SERVICIO],Tabla1[VALOR])*1),IF(AD52&gt;=1,_xlfn.XLOOKUP($B52,Tabla1[SERVICIO],Tabla1[VALOR]*AD52),0))</f>
        <v>12743.421642219637</v>
      </c>
      <c r="AF52" s="144">
        <v>1</v>
      </c>
      <c r="AG52" s="56" cm="1">
        <f t="array" ref="AG52">IF(AF52="X",(_xlfn.XLOOKUP($B52,Tabla1[SERVICIO],Tabla1[VALOR])*1),IF(AF52&gt;=1,_xlfn.XLOOKUP($B52,Tabla1[SERVICIO],Tabla1[VALOR]*AF52),0))</f>
        <v>12743.421642219637</v>
      </c>
      <c r="AH52" s="144">
        <v>1</v>
      </c>
      <c r="AI52" s="56" cm="1">
        <f t="array" ref="AI52">IF(AH52="X",(_xlfn.XLOOKUP($B52,Tabla1[SERVICIO],Tabla1[VALOR])*1),IF(AH52&gt;=1,_xlfn.XLOOKUP($B52,Tabla1[SERVICIO],Tabla1[VALOR]*AH52),0))</f>
        <v>12743.421642219637</v>
      </c>
      <c r="AJ52" s="144">
        <v>1</v>
      </c>
      <c r="AK52" s="56" cm="1">
        <f t="array" ref="AK52">IF(AJ52="X",(_xlfn.XLOOKUP($B52,Tabla1[SERVICIO],Tabla1[VALOR])*1),IF(AJ52&gt;=1,_xlfn.XLOOKUP($B52,Tabla1[SERVICIO],Tabla1[VALOR]*AJ52),0))</f>
        <v>12743.421642219637</v>
      </c>
      <c r="AL52" s="144">
        <v>1</v>
      </c>
      <c r="AM52" s="56" cm="1">
        <f t="array" ref="AM52">IF(AL52="X",(_xlfn.XLOOKUP($B52,Tabla1[SERVICIO],Tabla1[VALOR])*1),IF(AL52&gt;=1,_xlfn.XLOOKUP($B52,Tabla1[SERVICIO],Tabla1[VALOR]*AL52),0))</f>
        <v>12743.421642219637</v>
      </c>
      <c r="AN52" s="81">
        <f>SUM(E52,G52,I52,K52,M52,O52,Q52,S52,U52,W52+Y52,AA52,AC52,AE52,AG52,AI52,AK52,AM52)</f>
        <v>229381.58955995351</v>
      </c>
      <c r="AO52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18</v>
      </c>
      <c r="AP52" s="104" t="s">
        <v>318</v>
      </c>
      <c r="AQ52" s="119">
        <v>1</v>
      </c>
      <c r="AR52" s="121">
        <f>+Tabla41429[[#This Row],[TOTAL]]*Tabla41429[[#This Row],[% de las personas que lo usaron]]</f>
        <v>229381.58955995351</v>
      </c>
      <c r="AS52" s="104" t="s">
        <v>349</v>
      </c>
      <c r="AT52" s="335">
        <v>18</v>
      </c>
    </row>
    <row r="53" spans="1:46" x14ac:dyDescent="0.25">
      <c r="A53" s="7" t="s">
        <v>3</v>
      </c>
      <c r="B53" s="8" t="s">
        <v>4</v>
      </c>
      <c r="C53" s="96" t="str">
        <f>_xlfn.XLOOKUP(Tabla41429[[#This Row],[Servicios del Programa:]],Tabla151[CODIGO],Tabla151[VALOR])</f>
        <v>Consultas</v>
      </c>
      <c r="D53" s="144">
        <v>1</v>
      </c>
      <c r="E53" s="56" cm="1">
        <f t="array" ref="E53">IF(D53="X",(_xlfn.XLOOKUP($B53,Tabla1[SERVICIO],Tabla1[VALOR])*1),IF(D53&gt;=1,_xlfn.XLOOKUP($B53,Tabla1[SERVICIO],Tabla1[VALOR]*D53),0))</f>
        <v>20406.13276336317</v>
      </c>
      <c r="F53" s="144"/>
      <c r="G53" s="56" cm="1">
        <f t="array" ref="G53">IF(F53="X",(_xlfn.XLOOKUP($B53,Tabla1[SERVICIO],Tabla1[VALOR])*1),IF(F53&gt;=1,_xlfn.XLOOKUP($B53,Tabla1[SERVICIO],Tabla1[VALOR]*F53),0))</f>
        <v>0</v>
      </c>
      <c r="H53" s="144"/>
      <c r="I53" s="56" cm="1">
        <f t="array" ref="I53">IF(H53="X",(_xlfn.XLOOKUP($B53,Tabla1[SERVICIO],Tabla1[VALOR])*1),IF(H53&gt;=1,_xlfn.XLOOKUP($B53,Tabla1[SERVICIO],Tabla1[VALOR]*H53),0))</f>
        <v>0</v>
      </c>
      <c r="J53" s="144"/>
      <c r="K53" s="56" cm="1">
        <f t="array" ref="K53">IF(J53="X",(_xlfn.XLOOKUP($B53,Tabla1[SERVICIO],Tabla1[VALOR])*1),IF(J53&gt;=1,_xlfn.XLOOKUP($B53,Tabla1[SERVICIO],Tabla1[VALOR]*J53),0))</f>
        <v>0</v>
      </c>
      <c r="L53" s="144"/>
      <c r="M53" s="56" cm="1">
        <f t="array" ref="M53">IF(L53="X",(_xlfn.XLOOKUP($B53,Tabla1[SERVICIO],Tabla1[VALOR])*1),IF(L53&gt;=1,_xlfn.XLOOKUP($B53,Tabla1[SERVICIO],Tabla1[VALOR]*L53),0))</f>
        <v>0</v>
      </c>
      <c r="N53" s="144"/>
      <c r="O53" s="56" cm="1">
        <f t="array" ref="O53">IF(N53="X",(_xlfn.XLOOKUP($B53,Tabla1[SERVICIO],Tabla1[VALOR])*1),IF(N53&gt;=1,_xlfn.XLOOKUP($B53,Tabla1[SERVICIO],Tabla1[VALOR]*N53),0))</f>
        <v>0</v>
      </c>
      <c r="P53" s="144"/>
      <c r="Q53" s="56" cm="1">
        <f t="array" ref="Q53">IF(P53="X",(_xlfn.XLOOKUP($B53,Tabla1[SERVICIO],Tabla1[VALOR])*1),IF(P53&gt;=1,_xlfn.XLOOKUP($B53,Tabla1[SERVICIO],Tabla1[VALOR]*P53),0))</f>
        <v>0</v>
      </c>
      <c r="R53" s="144"/>
      <c r="S53" s="56" cm="1">
        <f t="array" ref="S53">IF(R53="X",(_xlfn.XLOOKUP($B53,Tabla1[SERVICIO],Tabla1[VALOR])*1),IF(R53&gt;=1,_xlfn.XLOOKUP($B53,Tabla1[SERVICIO],Tabla1[VALOR]*R53),0))</f>
        <v>0</v>
      </c>
      <c r="T53" s="144"/>
      <c r="U53" s="56" cm="1">
        <f t="array" ref="U53">IF(T53="X",(_xlfn.XLOOKUP($B53,Tabla1[SERVICIO],Tabla1[VALOR])*1),IF(T53&gt;=1,_xlfn.XLOOKUP($B53,Tabla1[SERVICIO],Tabla1[VALOR]*T53),0))</f>
        <v>0</v>
      </c>
      <c r="V53" s="144"/>
      <c r="W53" s="56" cm="1">
        <f t="array" ref="W53">IF(V53="X",(_xlfn.XLOOKUP($B53,Tabla1[SERVICIO],Tabla1[VALOR])*1),IF(V53&gt;=1,_xlfn.XLOOKUP($B53,Tabla1[SERVICIO],Tabla1[VALOR]*V53),0))</f>
        <v>0</v>
      </c>
      <c r="X53" s="144"/>
      <c r="Y53" s="56" cm="1">
        <f t="array" ref="Y53">IF(X53="X",(_xlfn.XLOOKUP($B53,Tabla1[SERVICIO],Tabla1[VALOR])*1),IF(X53&gt;=1,_xlfn.XLOOKUP($B53,Tabla1[SERVICIO],Tabla1[VALOR]*X53),0))</f>
        <v>0</v>
      </c>
      <c r="Z53" s="144"/>
      <c r="AA53" s="56">
        <v>0</v>
      </c>
      <c r="AB53" s="145"/>
      <c r="AC53" s="56">
        <v>0</v>
      </c>
      <c r="AD53" s="145"/>
      <c r="AE53" s="56">
        <v>0</v>
      </c>
      <c r="AF53" s="145"/>
      <c r="AG53" s="56">
        <v>0</v>
      </c>
      <c r="AH53" s="144"/>
      <c r="AI53" s="56">
        <v>0</v>
      </c>
      <c r="AJ53" s="144"/>
      <c r="AK53" s="56">
        <v>0</v>
      </c>
      <c r="AL53" s="144"/>
      <c r="AM53" s="56" cm="1">
        <f t="array" ref="AM53">IF(AL53="X",(_xlfn.XLOOKUP($B53,Tabla1[SERVICIO],Tabla1[VALOR])*1),IF(AL53&gt;=1,_xlfn.XLOOKUP($B53,Tabla1[SERVICIO],Tabla1[VALOR]*AL53),0))</f>
        <v>0</v>
      </c>
      <c r="AN53" s="81">
        <f t="shared" si="1"/>
        <v>20406.13276336317</v>
      </c>
      <c r="AO53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3" s="104" t="s">
        <v>318</v>
      </c>
      <c r="AQ53" s="119">
        <v>1</v>
      </c>
      <c r="AR53" s="121">
        <f>+Tabla41429[[#This Row],[TOTAL]]*Tabla41429[[#This Row],[% de las personas que lo usaron]]</f>
        <v>20406.13276336317</v>
      </c>
      <c r="AS53" s="104" t="s">
        <v>349</v>
      </c>
      <c r="AT53" s="335">
        <v>18</v>
      </c>
    </row>
    <row r="54" spans="1:46" x14ac:dyDescent="0.25">
      <c r="A54" s="7" t="s">
        <v>5</v>
      </c>
      <c r="B54" s="8" t="s">
        <v>6</v>
      </c>
      <c r="C54" s="96" t="str">
        <f>_xlfn.XLOOKUP(Tabla41429[[#This Row],[Servicios del Programa:]],Tabla151[CODIGO],Tabla151[VALOR])</f>
        <v>Consultas</v>
      </c>
      <c r="D54" s="144">
        <v>1</v>
      </c>
      <c r="E54" s="56" cm="1">
        <f t="array" ref="E54">IF(D54="X",(_xlfn.XLOOKUP($B54,Tabla1[SERVICIO],Tabla1[VALOR])*1),IF(D54&gt;=1,_xlfn.XLOOKUP($B54,Tabla1[SERVICIO],Tabla1[VALOR]*D54),0))</f>
        <v>18768.367820181349</v>
      </c>
      <c r="F54" s="144"/>
      <c r="G54" s="56" cm="1">
        <f t="array" ref="G54">IF(F54="X",(_xlfn.XLOOKUP($B54,Tabla1[SERVICIO],Tabla1[VALOR])*1),IF(F54&gt;=1,_xlfn.XLOOKUP($B54,Tabla1[SERVICIO],Tabla1[VALOR]*F54),0))</f>
        <v>0</v>
      </c>
      <c r="H54" s="144"/>
      <c r="I54" s="56" cm="1">
        <f t="array" ref="I54">IF(H54="X",(_xlfn.XLOOKUP($B54,Tabla1[SERVICIO],Tabla1[VALOR])*1),IF(H54&gt;=1,_xlfn.XLOOKUP($B54,Tabla1[SERVICIO],Tabla1[VALOR]*H54),0))</f>
        <v>0</v>
      </c>
      <c r="J54" s="144"/>
      <c r="K54" s="56" cm="1">
        <f t="array" ref="K54">IF(J54="X",(_xlfn.XLOOKUP($B54,Tabla1[SERVICIO],Tabla1[VALOR])*1),IF(J54&gt;=1,_xlfn.XLOOKUP($B54,Tabla1[SERVICIO],Tabla1[VALOR]*J54),0))</f>
        <v>0</v>
      </c>
      <c r="L54" s="144"/>
      <c r="M54" s="56" cm="1">
        <f t="array" ref="M54">IF(L54="X",(_xlfn.XLOOKUP($B54,Tabla1[SERVICIO],Tabla1[VALOR])*1),IF(L54&gt;=1,_xlfn.XLOOKUP($B54,Tabla1[SERVICIO],Tabla1[VALOR]*L54),0))</f>
        <v>0</v>
      </c>
      <c r="N54" s="144"/>
      <c r="O54" s="56" cm="1">
        <f t="array" ref="O54">IF(N54="X",(_xlfn.XLOOKUP($B54,Tabla1[SERVICIO],Tabla1[VALOR])*1),IF(N54&gt;=1,_xlfn.XLOOKUP($B54,Tabla1[SERVICIO],Tabla1[VALOR]*N54),0))</f>
        <v>0</v>
      </c>
      <c r="P54" s="144"/>
      <c r="Q54" s="56" cm="1">
        <f t="array" ref="Q54">IF(P54="X",(_xlfn.XLOOKUP($B54,Tabla1[SERVICIO],Tabla1[VALOR])*1),IF(P54&gt;=1,_xlfn.XLOOKUP($B54,Tabla1[SERVICIO],Tabla1[VALOR]*P54),0))</f>
        <v>0</v>
      </c>
      <c r="R54" s="144"/>
      <c r="S54" s="56" cm="1">
        <f t="array" ref="S54">IF(R54="X",(_xlfn.XLOOKUP($B54,Tabla1[SERVICIO],Tabla1[VALOR])*1),IF(R54&gt;=1,_xlfn.XLOOKUP($B54,Tabla1[SERVICIO],Tabla1[VALOR]*R54),0))</f>
        <v>0</v>
      </c>
      <c r="T54" s="144"/>
      <c r="U54" s="56" cm="1">
        <f t="array" ref="U54">IF(T54="X",(_xlfn.XLOOKUP($B54,Tabla1[SERVICIO],Tabla1[VALOR])*1),IF(T54&gt;=1,_xlfn.XLOOKUP($B54,Tabla1[SERVICIO],Tabla1[VALOR]*T54),0))</f>
        <v>0</v>
      </c>
      <c r="V54" s="144"/>
      <c r="W54" s="56" cm="1">
        <f t="array" ref="W54">IF(V54="X",(_xlfn.XLOOKUP($B54,Tabla1[SERVICIO],Tabla1[VALOR])*1),IF(V54&gt;=1,_xlfn.XLOOKUP($B54,Tabla1[SERVICIO],Tabla1[VALOR]*V54),0))</f>
        <v>0</v>
      </c>
      <c r="X54" s="144"/>
      <c r="Y54" s="56" cm="1">
        <f t="array" ref="Y54">IF(X54="X",(_xlfn.XLOOKUP($B54,Tabla1[SERVICIO],Tabla1[VALOR])*1),IF(X54&gt;=1,_xlfn.XLOOKUP($B54,Tabla1[SERVICIO],Tabla1[VALOR]*X54),0))</f>
        <v>0</v>
      </c>
      <c r="Z54" s="144"/>
      <c r="AA54" s="56">
        <v>0</v>
      </c>
      <c r="AB54" s="145"/>
      <c r="AC54" s="56">
        <v>0</v>
      </c>
      <c r="AD54" s="145"/>
      <c r="AE54" s="56">
        <v>0</v>
      </c>
      <c r="AF54" s="145"/>
      <c r="AG54" s="56">
        <v>0</v>
      </c>
      <c r="AH54" s="144"/>
      <c r="AI54" s="56">
        <v>0</v>
      </c>
      <c r="AJ54" s="144"/>
      <c r="AK54" s="56">
        <v>0</v>
      </c>
      <c r="AL54" s="144"/>
      <c r="AM54" s="56" cm="1">
        <f t="array" ref="AM54">IF(AL54="X",(_xlfn.XLOOKUP($B54,Tabla1[SERVICIO],Tabla1[VALOR])*1),IF(AL54&gt;=1,_xlfn.XLOOKUP($B54,Tabla1[SERVICIO],Tabla1[VALOR]*AL54),0))</f>
        <v>0</v>
      </c>
      <c r="AN54" s="81">
        <f t="shared" si="1"/>
        <v>18768.367820181349</v>
      </c>
      <c r="AO54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4" s="104" t="s">
        <v>318</v>
      </c>
      <c r="AQ54" s="119">
        <v>1</v>
      </c>
      <c r="AR54" s="121">
        <f>+Tabla41429[[#This Row],[TOTAL]]*Tabla41429[[#This Row],[% de las personas que lo usaron]]</f>
        <v>18768.367820181349</v>
      </c>
      <c r="AS54" s="104" t="s">
        <v>349</v>
      </c>
      <c r="AT54" s="335">
        <v>18</v>
      </c>
    </row>
    <row r="55" spans="1:46" x14ac:dyDescent="0.25">
      <c r="A55" s="7" t="s">
        <v>74</v>
      </c>
      <c r="B55" s="8" t="s">
        <v>75</v>
      </c>
      <c r="C55" s="96" t="str">
        <f>_xlfn.XLOOKUP(Tabla41429[[#This Row],[Servicios del Programa:]],Tabla151[CODIGO],Tabla151[VALOR])</f>
        <v>Consultas</v>
      </c>
      <c r="D55" s="144"/>
      <c r="E55" s="56" cm="1">
        <f t="array" ref="E55">IF(D55="X",(_xlfn.XLOOKUP($B55,Tabla1[SERVICIO],Tabla1[VALOR])*1),IF(D55&gt;=1,_xlfn.XLOOKUP($B55,Tabla1[SERVICIO],Tabla1[VALOR]*D55),0))</f>
        <v>0</v>
      </c>
      <c r="F55" s="144"/>
      <c r="G55" s="56" cm="1">
        <f t="array" ref="G55">IF(F55="X",(_xlfn.XLOOKUP($B55,Tabla1[SERVICIO],Tabla1[VALOR])*1),IF(F55&gt;=1,_xlfn.XLOOKUP($B55,Tabla1[SERVICIO],Tabla1[VALOR]*F55),0))</f>
        <v>0</v>
      </c>
      <c r="H55" s="144">
        <v>1</v>
      </c>
      <c r="I55" s="56" cm="1">
        <f t="array" ref="I55">IF(H55="X",(_xlfn.XLOOKUP($B55,Tabla1[SERVICIO],Tabla1[VALOR])*1),IF(H55&gt;=1,_xlfn.XLOOKUP($B55,Tabla1[SERVICIO],Tabla1[VALOR]*H55),0))</f>
        <v>19368.008636848015</v>
      </c>
      <c r="J55" s="144"/>
      <c r="K55" s="56" cm="1">
        <f t="array" ref="K55">IF(J55="X",(_xlfn.XLOOKUP($B55,Tabla1[SERVICIO],Tabla1[VALOR])*1),IF(J55&gt;=1,_xlfn.XLOOKUP($B55,Tabla1[SERVICIO],Tabla1[VALOR]*J55),0))</f>
        <v>0</v>
      </c>
      <c r="L55" s="144"/>
      <c r="M55" s="56" cm="1">
        <f t="array" ref="M55">IF(L55="X",(_xlfn.XLOOKUP($B55,Tabla1[SERVICIO],Tabla1[VALOR])*1),IF(L55&gt;=1,_xlfn.XLOOKUP($B55,Tabla1[SERVICIO],Tabla1[VALOR]*L55),0))</f>
        <v>0</v>
      </c>
      <c r="N55" s="144"/>
      <c r="O55" s="56" cm="1">
        <f t="array" ref="O55">IF(N55="X",(_xlfn.XLOOKUP($B55,Tabla1[SERVICIO],Tabla1[VALOR])*1),IF(N55&gt;=1,_xlfn.XLOOKUP($B55,Tabla1[SERVICIO],Tabla1[VALOR]*N55),0))</f>
        <v>0</v>
      </c>
      <c r="P55" s="144"/>
      <c r="Q55" s="56" cm="1">
        <f t="array" ref="Q55">IF(P55="X",(_xlfn.XLOOKUP($B55,Tabla1[SERVICIO],Tabla1[VALOR])*1),IF(P55&gt;=1,_xlfn.XLOOKUP($B55,Tabla1[SERVICIO],Tabla1[VALOR]*P55),0))</f>
        <v>0</v>
      </c>
      <c r="R55" s="144"/>
      <c r="S55" s="56" cm="1">
        <f t="array" ref="S55">IF(R55="X",(_xlfn.XLOOKUP($B55,Tabla1[SERVICIO],Tabla1[VALOR])*1),IF(R55&gt;=1,_xlfn.XLOOKUP($B55,Tabla1[SERVICIO],Tabla1[VALOR]*R55),0))</f>
        <v>0</v>
      </c>
      <c r="T55" s="144"/>
      <c r="U55" s="56" cm="1">
        <f t="array" ref="U55">IF(T55="X",(_xlfn.XLOOKUP($B55,Tabla1[SERVICIO],Tabla1[VALOR])*1),IF(T55&gt;=1,_xlfn.XLOOKUP($B55,Tabla1[SERVICIO],Tabla1[VALOR]*T55),0))</f>
        <v>0</v>
      </c>
      <c r="V55" s="144"/>
      <c r="W55" s="56" cm="1">
        <f t="array" ref="W55">IF(V55="X",(_xlfn.XLOOKUP($B55,Tabla1[SERVICIO],Tabla1[VALOR])*1),IF(V55&gt;=1,_xlfn.XLOOKUP($B55,Tabla1[SERVICIO],Tabla1[VALOR]*V55),0))</f>
        <v>0</v>
      </c>
      <c r="X55" s="144"/>
      <c r="Y55" s="56" cm="1">
        <f t="array" ref="Y55">IF(X55="X",(_xlfn.XLOOKUP($B55,Tabla1[SERVICIO],Tabla1[VALOR])*1),IF(X55&gt;=1,_xlfn.XLOOKUP($B55,Tabla1[SERVICIO],Tabla1[VALOR]*X55),0))</f>
        <v>0</v>
      </c>
      <c r="Z55" s="144"/>
      <c r="AA55" s="56">
        <v>0</v>
      </c>
      <c r="AB55" s="145"/>
      <c r="AC55" s="56">
        <v>0</v>
      </c>
      <c r="AD55" s="145"/>
      <c r="AE55" s="56">
        <v>0</v>
      </c>
      <c r="AF55" s="145"/>
      <c r="AG55" s="56">
        <v>0</v>
      </c>
      <c r="AH55" s="144"/>
      <c r="AI55" s="56">
        <v>0</v>
      </c>
      <c r="AJ55" s="144"/>
      <c r="AK55" s="56">
        <v>0</v>
      </c>
      <c r="AL55" s="144"/>
      <c r="AM55" s="56" cm="1">
        <f t="array" ref="AM55">IF(AL55="X",(_xlfn.XLOOKUP($B55,Tabla1[SERVICIO],Tabla1[VALOR])*1),IF(AL55&gt;=1,_xlfn.XLOOKUP($B55,Tabla1[SERVICIO],Tabla1[VALOR]*AL55),0))</f>
        <v>0</v>
      </c>
      <c r="AN55" s="81">
        <f t="shared" si="1"/>
        <v>19368.008636848015</v>
      </c>
      <c r="AO55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5" s="104" t="s">
        <v>318</v>
      </c>
      <c r="AQ55" s="119">
        <v>1</v>
      </c>
      <c r="AR55" s="121">
        <f>+Tabla41429[[#This Row],[TOTAL]]*Tabla41429[[#This Row],[% de las personas que lo usaron]]</f>
        <v>19368.008636848015</v>
      </c>
      <c r="AS55" s="104" t="s">
        <v>349</v>
      </c>
      <c r="AT55" s="335">
        <v>18</v>
      </c>
    </row>
    <row r="56" spans="1:46" x14ac:dyDescent="0.25">
      <c r="A56" s="7" t="s">
        <v>36</v>
      </c>
      <c r="B56" s="8" t="s">
        <v>100</v>
      </c>
      <c r="C56" s="96" t="str">
        <f>_xlfn.XLOOKUP(Tabla41429[[#This Row],[Servicios del Programa:]],Tabla151[CODIGO],Tabla151[VALOR])</f>
        <v>Terapias</v>
      </c>
      <c r="D56" s="144"/>
      <c r="E56" s="56" cm="1">
        <f t="array" ref="E56">IF(D56="X",(_xlfn.XLOOKUP($B56,Tabla1[SERVICIO],Tabla1[VALOR])*1),IF(D56&gt;=1,_xlfn.XLOOKUP($B56,Tabla1[SERVICIO],Tabla1[VALOR]*D56),0))</f>
        <v>0</v>
      </c>
      <c r="F56" s="144"/>
      <c r="G56" s="56" cm="1">
        <f t="array" ref="G56">IF(F56="X",(_xlfn.XLOOKUP($B56,Tabla1[SERVICIO],Tabla1[VALOR])*1),IF(F56&gt;=1,_xlfn.XLOOKUP($B56,Tabla1[SERVICIO],Tabla1[VALOR]*F56),0))</f>
        <v>0</v>
      </c>
      <c r="H56" s="144">
        <v>8</v>
      </c>
      <c r="I56" s="56" cm="1">
        <f t="array" ref="I56">IF(H56="X",(_xlfn.XLOOKUP($B56,Tabla1[SERVICIO],Tabla1[VALOR])*1),IF(H56&gt;=1,_xlfn.XLOOKUP($B56,Tabla1[SERVICIO],Tabla1[VALOR]*H56),0))</f>
        <v>70240.958933331596</v>
      </c>
      <c r="J56" s="144">
        <v>8</v>
      </c>
      <c r="K56" s="56" cm="1">
        <f t="array" ref="K56">IF(J56="X",(_xlfn.XLOOKUP($B56,Tabla1[SERVICIO],Tabla1[VALOR])*1),IF(J56&gt;=1,_xlfn.XLOOKUP($B56,Tabla1[SERVICIO],Tabla1[VALOR]*J56),0))</f>
        <v>70240.958933331596</v>
      </c>
      <c r="L56" s="144">
        <v>8</v>
      </c>
      <c r="M56" s="56" cm="1">
        <f t="array" ref="M56">IF(L56="X",(_xlfn.XLOOKUP($B56,Tabla1[SERVICIO],Tabla1[VALOR])*1),IF(L56&gt;=1,_xlfn.XLOOKUP($B56,Tabla1[SERVICIO],Tabla1[VALOR]*L56),0))</f>
        <v>70240.958933331596</v>
      </c>
      <c r="N56" s="144">
        <v>8</v>
      </c>
      <c r="O56" s="56" cm="1">
        <f t="array" ref="O56">IF(N56="X",(_xlfn.XLOOKUP($B56,Tabla1[SERVICIO],Tabla1[VALOR])*1),IF(N56&gt;=1,_xlfn.XLOOKUP($B56,Tabla1[SERVICIO],Tabla1[VALOR]*N56),0))</f>
        <v>70240.958933331596</v>
      </c>
      <c r="P56" s="144">
        <v>8</v>
      </c>
      <c r="Q56" s="56" cm="1">
        <f t="array" ref="Q56">IF(P56="X",(_xlfn.XLOOKUP($B56,Tabla1[SERVICIO],Tabla1[VALOR])*1),IF(P56&gt;=1,_xlfn.XLOOKUP($B56,Tabla1[SERVICIO],Tabla1[VALOR]*P56),0))</f>
        <v>70240.958933331596</v>
      </c>
      <c r="R56" s="144">
        <v>8</v>
      </c>
      <c r="S56" s="56" cm="1">
        <f t="array" ref="S56">IF(R56="X",(_xlfn.XLOOKUP($B56,Tabla1[SERVICIO],Tabla1[VALOR])*1),IF(R56&gt;=1,_xlfn.XLOOKUP($B56,Tabla1[SERVICIO],Tabla1[VALOR]*R56),0))</f>
        <v>70240.958933331596</v>
      </c>
      <c r="T56" s="144">
        <v>8</v>
      </c>
      <c r="U56" s="56" cm="1">
        <f t="array" ref="U56">IF(T56="X",(_xlfn.XLOOKUP($B56,Tabla1[SERVICIO],Tabla1[VALOR])*1),IF(T56&gt;=1,_xlfn.XLOOKUP($B56,Tabla1[SERVICIO],Tabla1[VALOR]*T56),0))</f>
        <v>70240.958933331596</v>
      </c>
      <c r="V56" s="144">
        <v>8</v>
      </c>
      <c r="W56" s="56" cm="1">
        <f t="array" ref="W56">IF(V56="X",(_xlfn.XLOOKUP($B56,Tabla1[SERVICIO],Tabla1[VALOR])*1),IF(V56&gt;=1,_xlfn.XLOOKUP($B56,Tabla1[SERVICIO],Tabla1[VALOR]*V56),0))</f>
        <v>70240.958933331596</v>
      </c>
      <c r="X56" s="144">
        <v>8</v>
      </c>
      <c r="Y56" s="56" cm="1">
        <f t="array" ref="Y56">IF(X56="X",(_xlfn.XLOOKUP($B56,Tabla1[SERVICIO],Tabla1[VALOR])*1),IF(X56&gt;=1,_xlfn.XLOOKUP($B56,Tabla1[SERVICIO],Tabla1[VALOR]*X56),0))</f>
        <v>70240.958933331596</v>
      </c>
      <c r="Z56" s="144">
        <v>8</v>
      </c>
      <c r="AA56" s="56" cm="1">
        <f t="array" ref="AA56">IF(Z56="X",(_xlfn.XLOOKUP($B56,Tabla1[SERVICIO],Tabla1[VALOR])*1),IF(Z56&gt;=1,_xlfn.XLOOKUP($B56,Tabla1[SERVICIO],Tabla1[VALOR]*Z56),0))</f>
        <v>70240.958933331596</v>
      </c>
      <c r="AB56" s="144">
        <v>8</v>
      </c>
      <c r="AC56" s="56" cm="1">
        <f t="array" ref="AC56">IF(AB56="X",(_xlfn.XLOOKUP($B56,Tabla1[SERVICIO],Tabla1[VALOR])*1),IF(AB56&gt;=1,_xlfn.XLOOKUP($B56,Tabla1[SERVICIO],Tabla1[VALOR]*AB56),0))</f>
        <v>70240.958933331596</v>
      </c>
      <c r="AD56" s="144">
        <v>8</v>
      </c>
      <c r="AE56" s="56" cm="1">
        <f t="array" ref="AE56">IF(AD56="X",(_xlfn.XLOOKUP($B56,Tabla1[SERVICIO],Tabla1[VALOR])*1),IF(AD56&gt;=1,_xlfn.XLOOKUP($B56,Tabla1[SERVICIO],Tabla1[VALOR]*AD56),0))</f>
        <v>70240.958933331596</v>
      </c>
      <c r="AF56" s="144">
        <v>8</v>
      </c>
      <c r="AG56" s="56" cm="1">
        <f t="array" ref="AG56">IF(AF56="X",(_xlfn.XLOOKUP($B56,Tabla1[SERVICIO],Tabla1[VALOR])*1),IF(AF56&gt;=1,_xlfn.XLOOKUP($B56,Tabla1[SERVICIO],Tabla1[VALOR]*AF56),0))</f>
        <v>70240.958933331596</v>
      </c>
      <c r="AH56" s="144">
        <v>8</v>
      </c>
      <c r="AI56" s="56" cm="1">
        <f t="array" ref="AI56">IF(AH56="X",(_xlfn.XLOOKUP($B56,Tabla1[SERVICIO],Tabla1[VALOR])*1),IF(AH56&gt;=1,_xlfn.XLOOKUP($B56,Tabla1[SERVICIO],Tabla1[VALOR]*AH56),0))</f>
        <v>70240.958933331596</v>
      </c>
      <c r="AJ56" s="144">
        <v>8</v>
      </c>
      <c r="AK56" s="56" cm="1">
        <f t="array" ref="AK56">IF(AJ56="X",(_xlfn.XLOOKUP($B56,Tabla1[SERVICIO],Tabla1[VALOR])*1),IF(AJ56&gt;=1,_xlfn.XLOOKUP($B56,Tabla1[SERVICIO],Tabla1[VALOR]*AJ56),0))</f>
        <v>70240.958933331596</v>
      </c>
      <c r="AL56" s="144">
        <v>8</v>
      </c>
      <c r="AM56" s="56" cm="1">
        <f t="array" ref="AM56">IF(AL56="X",(_xlfn.XLOOKUP($B56,Tabla1[SERVICIO],Tabla1[VALOR])*1),IF(AL56&gt;=1,_xlfn.XLOOKUP($B56,Tabla1[SERVICIO],Tabla1[VALOR]*AL56),0))</f>
        <v>70240.958933331596</v>
      </c>
      <c r="AN56" s="81">
        <f>SUM(E56,G56,I56,K56,M56,O56,Q56,S56,U56,W56+Y56,AA56,AC56,AE56,AG56,AI56,AK56,AM56)</f>
        <v>1123855.3429333051</v>
      </c>
      <c r="AO56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128</v>
      </c>
      <c r="AP56" s="104" t="s">
        <v>318</v>
      </c>
      <c r="AQ56" s="119">
        <v>1</v>
      </c>
      <c r="AR56" s="121">
        <f>+Tabla41429[[#This Row],[TOTAL]]*Tabla41429[[#This Row],[% de las personas que lo usaron]]</f>
        <v>1123855.3429333051</v>
      </c>
      <c r="AS56" s="104" t="s">
        <v>349</v>
      </c>
      <c r="AT56" s="335">
        <v>18</v>
      </c>
    </row>
    <row r="57" spans="1:46" x14ac:dyDescent="0.25">
      <c r="A57" s="7" t="s">
        <v>15</v>
      </c>
      <c r="B57" s="8" t="s">
        <v>16</v>
      </c>
      <c r="C57" s="96" t="str">
        <f>_xlfn.XLOOKUP(Tabla41429[[#This Row],[Servicios del Programa:]],Tabla151[CODIGO],Tabla151[VALOR])</f>
        <v>Consultas</v>
      </c>
      <c r="D57" s="144"/>
      <c r="E57" s="56" cm="1">
        <f t="array" ref="E57">IF(D57="X",(_xlfn.XLOOKUP($B57,Tabla1[SERVICIO],Tabla1[VALOR])*1),IF(D57&gt;=1,_xlfn.XLOOKUP($B57,Tabla1[SERVICIO],Tabla1[VALOR]*D57),0))</f>
        <v>0</v>
      </c>
      <c r="F57" s="144"/>
      <c r="G57" s="56" cm="1">
        <f t="array" ref="G57">IF(F57="X",(_xlfn.XLOOKUP($B57,Tabla1[SERVICIO],Tabla1[VALOR])*1),IF(F57&gt;=1,_xlfn.XLOOKUP($B57,Tabla1[SERVICIO],Tabla1[VALOR]*F57),0))</f>
        <v>0</v>
      </c>
      <c r="H57" s="144"/>
      <c r="I57" s="56" cm="1">
        <f t="array" ref="I57">IF(H57="X",(_xlfn.XLOOKUP($B57,Tabla1[SERVICIO],Tabla1[VALOR])*1),IF(H57&gt;=1,_xlfn.XLOOKUP($B57,Tabla1[SERVICIO],Tabla1[VALOR]*H57),0))</f>
        <v>0</v>
      </c>
      <c r="J57" s="144"/>
      <c r="K57" s="56" cm="1">
        <f t="array" ref="K57">IF(J57="X",(_xlfn.XLOOKUP($B57,Tabla1[SERVICIO],Tabla1[VALOR])*1),IF(J57&gt;=1,_xlfn.XLOOKUP($B57,Tabla1[SERVICIO],Tabla1[VALOR]*J57),0))</f>
        <v>0</v>
      </c>
      <c r="L57" s="144"/>
      <c r="M57" s="56" cm="1">
        <f t="array" ref="M57">IF(L57="X",(_xlfn.XLOOKUP($B57,Tabla1[SERVICIO],Tabla1[VALOR])*1),IF(L57&gt;=1,_xlfn.XLOOKUP($B57,Tabla1[SERVICIO],Tabla1[VALOR]*L57),0))</f>
        <v>0</v>
      </c>
      <c r="N57" s="144"/>
      <c r="O57" s="56" cm="1">
        <f t="array" ref="O57">IF(N57="X",(_xlfn.XLOOKUP($B57,Tabla1[SERVICIO],Tabla1[VALOR])*1),IF(N57&gt;=1,_xlfn.XLOOKUP($B57,Tabla1[SERVICIO],Tabla1[VALOR]*N57),0))</f>
        <v>0</v>
      </c>
      <c r="P57" s="144"/>
      <c r="Q57" s="56" cm="1">
        <f t="array" ref="Q57">IF(P57="X",(_xlfn.XLOOKUP($B57,Tabla1[SERVICIO],Tabla1[VALOR])*1),IF(P57&gt;=1,_xlfn.XLOOKUP($B57,Tabla1[SERVICIO],Tabla1[VALOR]*P57),0))</f>
        <v>0</v>
      </c>
      <c r="R57" s="144"/>
      <c r="S57" s="56" cm="1">
        <f t="array" ref="S57">IF(R57="X",(_xlfn.XLOOKUP($B57,Tabla1[SERVICIO],Tabla1[VALOR])*1),IF(R57&gt;=1,_xlfn.XLOOKUP($B57,Tabla1[SERVICIO],Tabla1[VALOR]*R57),0))</f>
        <v>0</v>
      </c>
      <c r="T57" s="144"/>
      <c r="U57" s="56" cm="1">
        <f t="array" ref="U57">IF(T57="X",(_xlfn.XLOOKUP($B57,Tabla1[SERVICIO],Tabla1[VALOR])*1),IF(T57&gt;=1,_xlfn.XLOOKUP($B57,Tabla1[SERVICIO],Tabla1[VALOR]*T57),0))</f>
        <v>0</v>
      </c>
      <c r="V57" s="144"/>
      <c r="W57" s="56" cm="1">
        <f t="array" ref="W57">IF(V57="X",(_xlfn.XLOOKUP($B57,Tabla1[SERVICIO],Tabla1[VALOR])*1),IF(V57&gt;=1,_xlfn.XLOOKUP($B57,Tabla1[SERVICIO],Tabla1[VALOR]*V57),0))</f>
        <v>0</v>
      </c>
      <c r="X57" s="144"/>
      <c r="Y57" s="56" cm="1">
        <f t="array" ref="Y57">IF(X57="X",(_xlfn.XLOOKUP($B57,Tabla1[SERVICIO],Tabla1[VALOR])*1),IF(X57&gt;=1,_xlfn.XLOOKUP($B57,Tabla1[SERVICIO],Tabla1[VALOR]*X57),0))</f>
        <v>0</v>
      </c>
      <c r="Z57" s="144"/>
      <c r="AA57" s="56">
        <v>0</v>
      </c>
      <c r="AB57" s="145"/>
      <c r="AC57" s="56">
        <v>0</v>
      </c>
      <c r="AD57" s="145"/>
      <c r="AE57" s="56">
        <v>0</v>
      </c>
      <c r="AF57" s="145"/>
      <c r="AG57" s="56">
        <v>0</v>
      </c>
      <c r="AH57" s="144"/>
      <c r="AI57" s="56">
        <v>0</v>
      </c>
      <c r="AJ57" s="144"/>
      <c r="AK57" s="56">
        <v>0</v>
      </c>
      <c r="AL57" s="144">
        <v>1</v>
      </c>
      <c r="AM57" s="56" cm="1">
        <f t="array" ref="AM57">IF(AL57="X",(_xlfn.XLOOKUP($B57,Tabla1[SERVICIO],Tabla1[VALOR])*1),IF(AL57&gt;=1,_xlfn.XLOOKUP($B57,Tabla1[SERVICIO],Tabla1[VALOR]*AL57),0))</f>
        <v>22052.520800552971</v>
      </c>
      <c r="AN57" s="81">
        <f t="shared" si="1"/>
        <v>22052.520800552971</v>
      </c>
      <c r="AO57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7" s="104" t="s">
        <v>318</v>
      </c>
      <c r="AQ57" s="119">
        <v>1</v>
      </c>
      <c r="AR57" s="121">
        <f>+Tabla41429[[#This Row],[TOTAL]]*Tabla41429[[#This Row],[% de las personas que lo usaron]]</f>
        <v>22052.520800552971</v>
      </c>
      <c r="AS57" s="104" t="s">
        <v>349</v>
      </c>
      <c r="AT57" s="335">
        <v>18</v>
      </c>
    </row>
    <row r="58" spans="1:46" x14ac:dyDescent="0.25">
      <c r="A58" s="7" t="s">
        <v>17</v>
      </c>
      <c r="B58" s="8" t="s">
        <v>18</v>
      </c>
      <c r="C58" s="96" t="str">
        <f>_xlfn.XLOOKUP(Tabla41429[[#This Row],[Servicios del Programa:]],Tabla151[CODIGO],Tabla151[VALOR])</f>
        <v>Consultas</v>
      </c>
      <c r="D58" s="144"/>
      <c r="E58" s="56" cm="1">
        <f t="array" ref="E58">IF(D58="X",(_xlfn.XLOOKUP($B58,Tabla1[SERVICIO],Tabla1[VALOR])*1),IF(D58&gt;=1,_xlfn.XLOOKUP($B58,Tabla1[SERVICIO],Tabla1[VALOR]*D58),0))</f>
        <v>0</v>
      </c>
      <c r="F58" s="144"/>
      <c r="G58" s="56" cm="1">
        <f t="array" ref="G58">IF(F58="X",(_xlfn.XLOOKUP($B58,Tabla1[SERVICIO],Tabla1[VALOR])*1),IF(F58&gt;=1,_xlfn.XLOOKUP($B58,Tabla1[SERVICIO],Tabla1[VALOR]*F58),0))</f>
        <v>0</v>
      </c>
      <c r="H58" s="144"/>
      <c r="I58" s="56" cm="1">
        <f t="array" ref="I58">IF(H58="X",(_xlfn.XLOOKUP($B58,Tabla1[SERVICIO],Tabla1[VALOR])*1),IF(H58&gt;=1,_xlfn.XLOOKUP($B58,Tabla1[SERVICIO],Tabla1[VALOR]*H58),0))</f>
        <v>0</v>
      </c>
      <c r="J58" s="144"/>
      <c r="K58" s="56" cm="1">
        <f t="array" ref="K58">IF(J58="X",(_xlfn.XLOOKUP($B58,Tabla1[SERVICIO],Tabla1[VALOR])*1),IF(J58&gt;=1,_xlfn.XLOOKUP($B58,Tabla1[SERVICIO],Tabla1[VALOR]*J58),0))</f>
        <v>0</v>
      </c>
      <c r="L58" s="144"/>
      <c r="M58" s="56" cm="1">
        <f t="array" ref="M58">IF(L58="X",(_xlfn.XLOOKUP($B58,Tabla1[SERVICIO],Tabla1[VALOR])*1),IF(L58&gt;=1,_xlfn.XLOOKUP($B58,Tabla1[SERVICIO],Tabla1[VALOR]*L58),0))</f>
        <v>0</v>
      </c>
      <c r="N58" s="144"/>
      <c r="O58" s="56" cm="1">
        <f t="array" ref="O58">IF(N58="X",(_xlfn.XLOOKUP($B58,Tabla1[SERVICIO],Tabla1[VALOR])*1),IF(N58&gt;=1,_xlfn.XLOOKUP($B58,Tabla1[SERVICIO],Tabla1[VALOR]*N58),0))</f>
        <v>0</v>
      </c>
      <c r="P58" s="144"/>
      <c r="Q58" s="56" cm="1">
        <f t="array" ref="Q58">IF(P58="X",(_xlfn.XLOOKUP($B58,Tabla1[SERVICIO],Tabla1[VALOR])*1),IF(P58&gt;=1,_xlfn.XLOOKUP($B58,Tabla1[SERVICIO],Tabla1[VALOR]*P58),0))</f>
        <v>0</v>
      </c>
      <c r="R58" s="144"/>
      <c r="S58" s="56" cm="1">
        <f t="array" ref="S58">IF(R58="X",(_xlfn.XLOOKUP($B58,Tabla1[SERVICIO],Tabla1[VALOR])*1),IF(R58&gt;=1,_xlfn.XLOOKUP($B58,Tabla1[SERVICIO],Tabla1[VALOR]*R58),0))</f>
        <v>0</v>
      </c>
      <c r="T58" s="144"/>
      <c r="U58" s="56" cm="1">
        <f t="array" ref="U58">IF(T58="X",(_xlfn.XLOOKUP($B58,Tabla1[SERVICIO],Tabla1[VALOR])*1),IF(T58&gt;=1,_xlfn.XLOOKUP($B58,Tabla1[SERVICIO],Tabla1[VALOR]*T58),0))</f>
        <v>0</v>
      </c>
      <c r="V58" s="144"/>
      <c r="W58" s="56" cm="1">
        <f t="array" ref="W58">IF(V58="X",(_xlfn.XLOOKUP($B58,Tabla1[SERVICIO],Tabla1[VALOR])*1),IF(V58&gt;=1,_xlfn.XLOOKUP($B58,Tabla1[SERVICIO],Tabla1[VALOR]*V58),0))</f>
        <v>0</v>
      </c>
      <c r="X58" s="144"/>
      <c r="Y58" s="56" cm="1">
        <f t="array" ref="Y58">IF(X58="X",(_xlfn.XLOOKUP($B58,Tabla1[SERVICIO],Tabla1[VALOR])*1),IF(X58&gt;=1,_xlfn.XLOOKUP($B58,Tabla1[SERVICIO],Tabla1[VALOR]*X58),0))</f>
        <v>0</v>
      </c>
      <c r="Z58" s="144"/>
      <c r="AA58" s="56">
        <v>0</v>
      </c>
      <c r="AB58" s="145"/>
      <c r="AC58" s="56">
        <v>0</v>
      </c>
      <c r="AD58" s="145"/>
      <c r="AE58" s="56">
        <v>0</v>
      </c>
      <c r="AF58" s="145"/>
      <c r="AG58" s="56">
        <v>0</v>
      </c>
      <c r="AH58" s="144"/>
      <c r="AI58" s="56">
        <v>0</v>
      </c>
      <c r="AJ58" s="144"/>
      <c r="AK58" s="56">
        <v>0</v>
      </c>
      <c r="AL58" s="144">
        <v>1</v>
      </c>
      <c r="AM58" s="56" cm="1">
        <f t="array" ref="AM58">IF(AL58="X",(_xlfn.XLOOKUP($B58,Tabla1[SERVICIO],Tabla1[VALOR])*1),IF(AL58&gt;=1,_xlfn.XLOOKUP($B58,Tabla1[SERVICIO],Tabla1[VALOR]*AL58),0))</f>
        <v>20414.75585737115</v>
      </c>
      <c r="AN58" s="81">
        <f t="shared" si="1"/>
        <v>20414.75585737115</v>
      </c>
      <c r="AO58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8" s="104" t="s">
        <v>318</v>
      </c>
      <c r="AQ58" s="119">
        <v>1</v>
      </c>
      <c r="AR58" s="121">
        <f>+Tabla41429[[#This Row],[TOTAL]]*Tabla41429[[#This Row],[% de las personas que lo usaron]]</f>
        <v>20414.75585737115</v>
      </c>
      <c r="AS58" s="104" t="s">
        <v>349</v>
      </c>
      <c r="AT58" s="335">
        <v>18</v>
      </c>
    </row>
    <row r="59" spans="1:46" x14ac:dyDescent="0.25">
      <c r="A59" s="7" t="s">
        <v>27</v>
      </c>
      <c r="B59" s="8" t="s">
        <v>28</v>
      </c>
      <c r="C59" s="96" t="str">
        <f>_xlfn.XLOOKUP(Tabla41429[[#This Row],[Servicios del Programa:]],Tabla151[CODIGO],Tabla151[VALOR])</f>
        <v>Diagnosticos</v>
      </c>
      <c r="D59" s="144">
        <v>1</v>
      </c>
      <c r="E59" s="56" cm="1">
        <f t="array" ref="E59">IF(D59="X",(_xlfn.XLOOKUP($B59,Tabla1[SERVICIO],Tabla1[VALOR])*1),IF(D59&gt;=1,_xlfn.XLOOKUP($B59,Tabla1[SERVICIO],Tabla1[VALOR]*D59),0))</f>
        <v>43480.816890660324</v>
      </c>
      <c r="F59" s="144"/>
      <c r="G59" s="56" cm="1">
        <f t="array" ref="G59">IF(F59="X",(_xlfn.XLOOKUP($B59,Tabla1[SERVICIO],Tabla1[VALOR])*1),IF(F59&gt;=1,_xlfn.XLOOKUP($B59,Tabla1[SERVICIO],Tabla1[VALOR]*F59),0))</f>
        <v>0</v>
      </c>
      <c r="H59" s="144"/>
      <c r="I59" s="56" cm="1">
        <f t="array" ref="I59">IF(H59="X",(_xlfn.XLOOKUP($B59,Tabla1[SERVICIO],Tabla1[VALOR])*1),IF(H59&gt;=1,_xlfn.XLOOKUP($B59,Tabla1[SERVICIO],Tabla1[VALOR]*H59),0))</f>
        <v>0</v>
      </c>
      <c r="J59" s="144"/>
      <c r="K59" s="56" cm="1">
        <f t="array" ref="K59">IF(J59="X",(_xlfn.XLOOKUP($B59,Tabla1[SERVICIO],Tabla1[VALOR])*1),IF(J59&gt;=1,_xlfn.XLOOKUP($B59,Tabla1[SERVICIO],Tabla1[VALOR]*J59),0))</f>
        <v>0</v>
      </c>
      <c r="L59" s="144"/>
      <c r="M59" s="56" cm="1">
        <f t="array" ref="M59">IF(L59="X",(_xlfn.XLOOKUP($B59,Tabla1[SERVICIO],Tabla1[VALOR])*1),IF(L59&gt;=1,_xlfn.XLOOKUP($B59,Tabla1[SERVICIO],Tabla1[VALOR]*L59),0))</f>
        <v>0</v>
      </c>
      <c r="N59" s="144"/>
      <c r="O59" s="56" cm="1">
        <f t="array" ref="O59">IF(N59="X",(_xlfn.XLOOKUP($B59,Tabla1[SERVICIO],Tabla1[VALOR])*1),IF(N59&gt;=1,_xlfn.XLOOKUP($B59,Tabla1[SERVICIO],Tabla1[VALOR]*N59),0))</f>
        <v>0</v>
      </c>
      <c r="P59" s="144"/>
      <c r="Q59" s="56" cm="1">
        <f t="array" ref="Q59">IF(P59="X",(_xlfn.XLOOKUP($B59,Tabla1[SERVICIO],Tabla1[VALOR])*1),IF(P59&gt;=1,_xlfn.XLOOKUP($B59,Tabla1[SERVICIO],Tabla1[VALOR]*P59),0))</f>
        <v>0</v>
      </c>
      <c r="R59" s="144"/>
      <c r="S59" s="56" cm="1">
        <f t="array" ref="S59">IF(R59="X",(_xlfn.XLOOKUP($B59,Tabla1[SERVICIO],Tabla1[VALOR])*1),IF(R59&gt;=1,_xlfn.XLOOKUP($B59,Tabla1[SERVICIO],Tabla1[VALOR]*R59),0))</f>
        <v>0</v>
      </c>
      <c r="T59" s="144"/>
      <c r="U59" s="56" cm="1">
        <f t="array" ref="U59">IF(T59="X",(_xlfn.XLOOKUP($B59,Tabla1[SERVICIO],Tabla1[VALOR])*1),IF(T59&gt;=1,_xlfn.XLOOKUP($B59,Tabla1[SERVICIO],Tabla1[VALOR]*T59),0))</f>
        <v>0</v>
      </c>
      <c r="V59" s="144"/>
      <c r="W59" s="56" cm="1">
        <f t="array" ref="W59">IF(V59="X",(_xlfn.XLOOKUP($B59,Tabla1[SERVICIO],Tabla1[VALOR])*1),IF(V59&gt;=1,_xlfn.XLOOKUP($B59,Tabla1[SERVICIO],Tabla1[VALOR]*V59),0))</f>
        <v>0</v>
      </c>
      <c r="X59" s="144"/>
      <c r="Y59" s="56" cm="1">
        <f t="array" ref="Y59">IF(X59="X",(_xlfn.XLOOKUP($B59,Tabla1[SERVICIO],Tabla1[VALOR])*1),IF(X59&gt;=1,_xlfn.XLOOKUP($B59,Tabla1[SERVICIO],Tabla1[VALOR]*X59),0))</f>
        <v>0</v>
      </c>
      <c r="Z59" s="144"/>
      <c r="AA59" s="56">
        <v>0</v>
      </c>
      <c r="AB59" s="145"/>
      <c r="AC59" s="56">
        <v>0</v>
      </c>
      <c r="AD59" s="145"/>
      <c r="AE59" s="56">
        <v>0</v>
      </c>
      <c r="AF59" s="145"/>
      <c r="AG59" s="56">
        <v>0</v>
      </c>
      <c r="AH59" s="144"/>
      <c r="AI59" s="56">
        <v>0</v>
      </c>
      <c r="AJ59" s="144"/>
      <c r="AK59" s="56">
        <v>0</v>
      </c>
      <c r="AL59" s="144">
        <v>1</v>
      </c>
      <c r="AM59" s="56" cm="1">
        <f t="array" ref="AM59">IF(AL59="X",(_xlfn.XLOOKUP($B59,Tabla1[SERVICIO],Tabla1[VALOR])*1),IF(AL59&gt;=1,_xlfn.XLOOKUP($B59,Tabla1[SERVICIO],Tabla1[VALOR]*AL59),0))</f>
        <v>43480.816890660324</v>
      </c>
      <c r="AN59" s="81">
        <f t="shared" si="1"/>
        <v>86961.633781320648</v>
      </c>
      <c r="AO59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2</v>
      </c>
      <c r="AP59" s="104" t="s">
        <v>318</v>
      </c>
      <c r="AQ59" s="119">
        <v>1</v>
      </c>
      <c r="AR59" s="121">
        <f>+Tabla41429[[#This Row],[TOTAL]]*Tabla41429[[#This Row],[% de las personas que lo usaron]]</f>
        <v>86961.633781320648</v>
      </c>
      <c r="AS59" s="104" t="s">
        <v>349</v>
      </c>
      <c r="AT59" s="335">
        <v>18</v>
      </c>
    </row>
    <row r="60" spans="1:46" x14ac:dyDescent="0.25">
      <c r="A60" s="7" t="s">
        <v>25</v>
      </c>
      <c r="B60" s="8" t="s">
        <v>26</v>
      </c>
      <c r="C60" s="96" t="str">
        <f>_xlfn.XLOOKUP(Tabla41429[[#This Row],[Servicios del Programa:]],Tabla151[CODIGO],Tabla151[VALOR])</f>
        <v>Diagnosticos</v>
      </c>
      <c r="D60" s="144"/>
      <c r="E60" s="56" cm="1">
        <f t="array" ref="E60">IF(D60="X",(_xlfn.XLOOKUP($B60,Tabla1[SERVICIO],Tabla1[VALOR])*1),IF(D60&gt;=1,_xlfn.XLOOKUP($B60,Tabla1[SERVICIO],Tabla1[VALOR]*D60),0))</f>
        <v>0</v>
      </c>
      <c r="F60" s="144"/>
      <c r="G60" s="56" cm="1">
        <f t="array" ref="G60">IF(F60="X",(_xlfn.XLOOKUP($B60,Tabla1[SERVICIO],Tabla1[VALOR])*1),IF(F60&gt;=1,_xlfn.XLOOKUP($B60,Tabla1[SERVICIO],Tabla1[VALOR]*F60),0))</f>
        <v>0</v>
      </c>
      <c r="H60" s="144">
        <v>1</v>
      </c>
      <c r="I60" s="56" cm="1">
        <f t="array" ref="I60">IF(H60="X",(_xlfn.XLOOKUP($B60,Tabla1[SERVICIO],Tabla1[VALOR])*1),IF(H60&gt;=1,_xlfn.XLOOKUP($B60,Tabla1[SERVICIO],Tabla1[VALOR]*H60),0))</f>
        <v>19392.627189167735</v>
      </c>
      <c r="J60" s="144"/>
      <c r="K60" s="56" cm="1">
        <f t="array" ref="K60">IF(J60="X",(_xlfn.XLOOKUP($B60,Tabla1[SERVICIO],Tabla1[VALOR])*1),IF(J60&gt;=1,_xlfn.XLOOKUP($B60,Tabla1[SERVICIO],Tabla1[VALOR]*J60),0))</f>
        <v>0</v>
      </c>
      <c r="L60" s="144"/>
      <c r="M60" s="56" cm="1">
        <f t="array" ref="M60">IF(L60="X",(_xlfn.XLOOKUP($B60,Tabla1[SERVICIO],Tabla1[VALOR])*1),IF(L60&gt;=1,_xlfn.XLOOKUP($B60,Tabla1[SERVICIO],Tabla1[VALOR]*L60),0))</f>
        <v>0</v>
      </c>
      <c r="N60" s="144"/>
      <c r="O60" s="56" cm="1">
        <f t="array" ref="O60">IF(N60="X",(_xlfn.XLOOKUP($B60,Tabla1[SERVICIO],Tabla1[VALOR])*1),IF(N60&gt;=1,_xlfn.XLOOKUP($B60,Tabla1[SERVICIO],Tabla1[VALOR]*N60),0))</f>
        <v>0</v>
      </c>
      <c r="P60" s="144"/>
      <c r="Q60" s="56" cm="1">
        <f t="array" ref="Q60">IF(P60="X",(_xlfn.XLOOKUP($B60,Tabla1[SERVICIO],Tabla1[VALOR])*1),IF(P60&gt;=1,_xlfn.XLOOKUP($B60,Tabla1[SERVICIO],Tabla1[VALOR]*P60),0))</f>
        <v>0</v>
      </c>
      <c r="R60" s="144"/>
      <c r="S60" s="56" cm="1">
        <f t="array" ref="S60">IF(R60="X",(_xlfn.XLOOKUP($B60,Tabla1[SERVICIO],Tabla1[VALOR])*1),IF(R60&gt;=1,_xlfn.XLOOKUP($B60,Tabla1[SERVICIO],Tabla1[VALOR]*R60),0))</f>
        <v>0</v>
      </c>
      <c r="T60" s="144"/>
      <c r="U60" s="56" cm="1">
        <f t="array" ref="U60">IF(T60="X",(_xlfn.XLOOKUP($B60,Tabla1[SERVICIO],Tabla1[VALOR])*1),IF(T60&gt;=1,_xlfn.XLOOKUP($B60,Tabla1[SERVICIO],Tabla1[VALOR]*T60),0))</f>
        <v>0</v>
      </c>
      <c r="V60" s="144"/>
      <c r="W60" s="56" cm="1">
        <f t="array" ref="W60">IF(V60="X",(_xlfn.XLOOKUP($B60,Tabla1[SERVICIO],Tabla1[VALOR])*1),IF(V60&gt;=1,_xlfn.XLOOKUP($B60,Tabla1[SERVICIO],Tabla1[VALOR]*V60),0))</f>
        <v>0</v>
      </c>
      <c r="X60" s="144"/>
      <c r="Y60" s="56" cm="1">
        <f t="array" ref="Y60">IF(X60="X",(_xlfn.XLOOKUP($B60,Tabla1[SERVICIO],Tabla1[VALOR])*1),IF(X60&gt;=1,_xlfn.XLOOKUP($B60,Tabla1[SERVICIO],Tabla1[VALOR]*X60),0))</f>
        <v>0</v>
      </c>
      <c r="Z60" s="144"/>
      <c r="AA60" s="56">
        <v>0</v>
      </c>
      <c r="AB60" s="145"/>
      <c r="AC60" s="56">
        <v>0</v>
      </c>
      <c r="AD60" s="145"/>
      <c r="AE60" s="56">
        <v>0</v>
      </c>
      <c r="AF60" s="145"/>
      <c r="AG60" s="56">
        <v>0</v>
      </c>
      <c r="AH60" s="144"/>
      <c r="AI60" s="56">
        <v>0</v>
      </c>
      <c r="AJ60" s="144"/>
      <c r="AK60" s="56">
        <v>0</v>
      </c>
      <c r="AL60" s="144">
        <v>1</v>
      </c>
      <c r="AM60" s="56" cm="1">
        <f t="array" ref="AM60">IF(AL60="X",(_xlfn.XLOOKUP($B60,Tabla1[SERVICIO],Tabla1[VALOR])*1),IF(AL60&gt;=1,_xlfn.XLOOKUP($B60,Tabla1[SERVICIO],Tabla1[VALOR]*AL60),0))</f>
        <v>19392.627189167735</v>
      </c>
      <c r="AN60" s="81">
        <f t="shared" si="1"/>
        <v>38785.25437833547</v>
      </c>
      <c r="AO60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2</v>
      </c>
      <c r="AP60" s="104" t="s">
        <v>318</v>
      </c>
      <c r="AQ60" s="119">
        <v>1</v>
      </c>
      <c r="AR60" s="121">
        <f>+Tabla41429[[#This Row],[TOTAL]]*Tabla41429[[#This Row],[% de las personas que lo usaron]]</f>
        <v>38785.25437833547</v>
      </c>
      <c r="AS60" s="104" t="s">
        <v>349</v>
      </c>
      <c r="AT60" s="335">
        <v>18</v>
      </c>
    </row>
    <row r="61" spans="1:46" x14ac:dyDescent="0.25">
      <c r="A61" s="7" t="s">
        <v>81</v>
      </c>
      <c r="B61" s="8" t="s">
        <v>279</v>
      </c>
      <c r="C61" s="96" t="str">
        <f>_xlfn.XLOOKUP(Tabla41429[[#This Row],[Servicios del Programa:]],Tabla151[CODIGO],Tabla151[VALOR])</f>
        <v>Diagnosticos</v>
      </c>
      <c r="D61" s="144">
        <v>1</v>
      </c>
      <c r="E61" s="56" cm="1">
        <f t="array" ref="E61">IF(D61="X",(_xlfn.XLOOKUP($B61,Tabla1[SERVICIO],Tabla1[VALOR])*1),IF(D61&gt;=1,_xlfn.XLOOKUP($B61,Tabla1[SERVICIO],Tabla1[VALOR]*D61),0))</f>
        <v>37683.908143651206</v>
      </c>
      <c r="F61" s="144"/>
      <c r="G61" s="56" cm="1">
        <f t="array" ref="G61">IF(F61="X",(_xlfn.XLOOKUP($B61,Tabla1[SERVICIO],Tabla1[VALOR])*1),IF(F61&gt;=1,_xlfn.XLOOKUP($B61,Tabla1[SERVICIO],Tabla1[VALOR]*F61),0))</f>
        <v>0</v>
      </c>
      <c r="H61" s="144"/>
      <c r="I61" s="56" cm="1">
        <f t="array" ref="I61">IF(H61="X",(_xlfn.XLOOKUP($B61,Tabla1[SERVICIO],Tabla1[VALOR])*1),IF(H61&gt;=1,_xlfn.XLOOKUP($B61,Tabla1[SERVICIO],Tabla1[VALOR]*H61),0))</f>
        <v>0</v>
      </c>
      <c r="J61" s="144"/>
      <c r="K61" s="56" cm="1">
        <f t="array" ref="K61">IF(J61="X",(_xlfn.XLOOKUP($B61,Tabla1[SERVICIO],Tabla1[VALOR])*1),IF(J61&gt;=1,_xlfn.XLOOKUP($B61,Tabla1[SERVICIO],Tabla1[VALOR]*J61),0))</f>
        <v>0</v>
      </c>
      <c r="L61" s="144"/>
      <c r="M61" s="56" cm="1">
        <f t="array" ref="M61">IF(L61="X",(_xlfn.XLOOKUP($B61,Tabla1[SERVICIO],Tabla1[VALOR])*1),IF(L61&gt;=1,_xlfn.XLOOKUP($B61,Tabla1[SERVICIO],Tabla1[VALOR]*L61),0))</f>
        <v>0</v>
      </c>
      <c r="N61" s="144"/>
      <c r="O61" s="56" cm="1">
        <f t="array" ref="O61">IF(N61="X",(_xlfn.XLOOKUP($B61,Tabla1[SERVICIO],Tabla1[VALOR])*1),IF(N61&gt;=1,_xlfn.XLOOKUP($B61,Tabla1[SERVICIO],Tabla1[VALOR]*N61),0))</f>
        <v>0</v>
      </c>
      <c r="P61" s="144"/>
      <c r="Q61" s="56" cm="1">
        <f t="array" ref="Q61">IF(P61="X",(_xlfn.XLOOKUP($B61,Tabla1[SERVICIO],Tabla1[VALOR])*1),IF(P61&gt;=1,_xlfn.XLOOKUP($B61,Tabla1[SERVICIO],Tabla1[VALOR]*P61),0))</f>
        <v>0</v>
      </c>
      <c r="R61" s="144"/>
      <c r="S61" s="56" cm="1">
        <f t="array" ref="S61">IF(R61="X",(_xlfn.XLOOKUP($B61,Tabla1[SERVICIO],Tabla1[VALOR])*1),IF(R61&gt;=1,_xlfn.XLOOKUP($B61,Tabla1[SERVICIO],Tabla1[VALOR]*R61),0))</f>
        <v>0</v>
      </c>
      <c r="T61" s="144"/>
      <c r="U61" s="56" cm="1">
        <f t="array" ref="U61">IF(T61="X",(_xlfn.XLOOKUP($B61,Tabla1[SERVICIO],Tabla1[VALOR])*1),IF(T61&gt;=1,_xlfn.XLOOKUP($B61,Tabla1[SERVICIO],Tabla1[VALOR]*T61),0))</f>
        <v>0</v>
      </c>
      <c r="V61" s="144"/>
      <c r="W61" s="56" cm="1">
        <f t="array" ref="W61">IF(V61="X",(_xlfn.XLOOKUP($B61,Tabla1[SERVICIO],Tabla1[VALOR])*1),IF(V61&gt;=1,_xlfn.XLOOKUP($B61,Tabla1[SERVICIO],Tabla1[VALOR]*V61),0))</f>
        <v>0</v>
      </c>
      <c r="X61" s="144"/>
      <c r="Y61" s="56" cm="1">
        <f t="array" ref="Y61">IF(X61="X",(_xlfn.XLOOKUP($B61,Tabla1[SERVICIO],Tabla1[VALOR])*1),IF(X61&gt;=1,_xlfn.XLOOKUP($B61,Tabla1[SERVICIO],Tabla1[VALOR]*X61),0))</f>
        <v>0</v>
      </c>
      <c r="Z61" s="144"/>
      <c r="AA61" s="56">
        <v>0</v>
      </c>
      <c r="AB61" s="145"/>
      <c r="AC61" s="56">
        <v>0</v>
      </c>
      <c r="AD61" s="145"/>
      <c r="AE61" s="56">
        <v>0</v>
      </c>
      <c r="AF61" s="145"/>
      <c r="AG61" s="56">
        <v>0</v>
      </c>
      <c r="AH61" s="144"/>
      <c r="AI61" s="56">
        <v>0</v>
      </c>
      <c r="AJ61" s="144"/>
      <c r="AK61" s="56">
        <v>0</v>
      </c>
      <c r="AL61" s="144"/>
      <c r="AM61" s="56" cm="1">
        <f t="array" ref="AM61">IF(AL61="X",(_xlfn.XLOOKUP($B61,Tabla1[SERVICIO],Tabla1[VALOR])*1),IF(AL61&gt;=1,_xlfn.XLOOKUP($B61,Tabla1[SERVICIO],Tabla1[VALOR]*AL61),0))</f>
        <v>0</v>
      </c>
      <c r="AN61" s="81">
        <f t="shared" si="1"/>
        <v>37683.908143651206</v>
      </c>
      <c r="AO61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1" s="104" t="s">
        <v>319</v>
      </c>
      <c r="AQ61" s="119">
        <v>0.13116123642439431</v>
      </c>
      <c r="AR61" s="121">
        <f>+Tabla41429[[#This Row],[TOTAL]]*Tabla41429[[#This Row],[% de las personas que lo usaron]]</f>
        <v>4942.667985424594</v>
      </c>
      <c r="AS61" s="104" t="s">
        <v>349</v>
      </c>
      <c r="AT61" s="335">
        <v>18</v>
      </c>
    </row>
    <row r="62" spans="1:46" x14ac:dyDescent="0.25">
      <c r="A62" s="7" t="s">
        <v>82</v>
      </c>
      <c r="B62" s="8" t="s">
        <v>83</v>
      </c>
      <c r="C62" s="96" t="str">
        <f>_xlfn.XLOOKUP(Tabla41429[[#This Row],[Servicios del Programa:]],Tabla151[CODIGO],Tabla151[VALOR])</f>
        <v>Diagnosticos</v>
      </c>
      <c r="D62" s="144">
        <v>1</v>
      </c>
      <c r="E62" s="56" cm="1">
        <f t="array" ref="E62">IF(D62="X",(_xlfn.XLOOKUP($B62,Tabla1[SERVICIO],Tabla1[VALOR])*1),IF(D62&gt;=1,_xlfn.XLOOKUP($B62,Tabla1[SERVICIO],Tabla1[VALOR]*D62),0))</f>
        <v>65169.207262455195</v>
      </c>
      <c r="F62" s="144"/>
      <c r="G62" s="56" cm="1">
        <f t="array" ref="G62">IF(F62="X",(_xlfn.XLOOKUP($B62,Tabla1[SERVICIO],Tabla1[VALOR])*1),IF(F62&gt;=1,_xlfn.XLOOKUP($B62,Tabla1[SERVICIO],Tabla1[VALOR]*F62),0))</f>
        <v>0</v>
      </c>
      <c r="H62" s="144"/>
      <c r="I62" s="56" cm="1">
        <f t="array" ref="I62">IF(H62="X",(_xlfn.XLOOKUP($B62,Tabla1[SERVICIO],Tabla1[VALOR])*1),IF(H62&gt;=1,_xlfn.XLOOKUP($B62,Tabla1[SERVICIO],Tabla1[VALOR]*H62),0))</f>
        <v>0</v>
      </c>
      <c r="J62" s="144"/>
      <c r="K62" s="56" cm="1">
        <f t="array" ref="K62">IF(J62="X",(_xlfn.XLOOKUP($B62,Tabla1[SERVICIO],Tabla1[VALOR])*1),IF(J62&gt;=1,_xlfn.XLOOKUP($B62,Tabla1[SERVICIO],Tabla1[VALOR]*J62),0))</f>
        <v>0</v>
      </c>
      <c r="L62" s="144"/>
      <c r="M62" s="56" cm="1">
        <f t="array" ref="M62">IF(L62="X",(_xlfn.XLOOKUP($B62,Tabla1[SERVICIO],Tabla1[VALOR])*1),IF(L62&gt;=1,_xlfn.XLOOKUP($B62,Tabla1[SERVICIO],Tabla1[VALOR]*L62),0))</f>
        <v>0</v>
      </c>
      <c r="N62" s="144"/>
      <c r="O62" s="56" cm="1">
        <f t="array" ref="O62">IF(N62="X",(_xlfn.XLOOKUP($B62,Tabla1[SERVICIO],Tabla1[VALOR])*1),IF(N62&gt;=1,_xlfn.XLOOKUP($B62,Tabla1[SERVICIO],Tabla1[VALOR]*N62),0))</f>
        <v>0</v>
      </c>
      <c r="P62" s="144"/>
      <c r="Q62" s="56" cm="1">
        <f t="array" ref="Q62">IF(P62="X",(_xlfn.XLOOKUP($B62,Tabla1[SERVICIO],Tabla1[VALOR])*1),IF(P62&gt;=1,_xlfn.XLOOKUP($B62,Tabla1[SERVICIO],Tabla1[VALOR]*P62),0))</f>
        <v>0</v>
      </c>
      <c r="R62" s="144"/>
      <c r="S62" s="56" cm="1">
        <f t="array" ref="S62">IF(R62="X",(_xlfn.XLOOKUP($B62,Tabla1[SERVICIO],Tabla1[VALOR])*1),IF(R62&gt;=1,_xlfn.XLOOKUP($B62,Tabla1[SERVICIO],Tabla1[VALOR]*R62),0))</f>
        <v>0</v>
      </c>
      <c r="T62" s="144"/>
      <c r="U62" s="56" cm="1">
        <f t="array" ref="U62">IF(T62="X",(_xlfn.XLOOKUP($B62,Tabla1[SERVICIO],Tabla1[VALOR])*1),IF(T62&gt;=1,_xlfn.XLOOKUP($B62,Tabla1[SERVICIO],Tabla1[VALOR]*T62),0))</f>
        <v>0</v>
      </c>
      <c r="V62" s="144"/>
      <c r="W62" s="56" cm="1">
        <f t="array" ref="W62">IF(V62="X",(_xlfn.XLOOKUP($B62,Tabla1[SERVICIO],Tabla1[VALOR])*1),IF(V62&gt;=1,_xlfn.XLOOKUP($B62,Tabla1[SERVICIO],Tabla1[VALOR]*V62),0))</f>
        <v>0</v>
      </c>
      <c r="X62" s="144"/>
      <c r="Y62" s="56" cm="1">
        <f t="array" ref="Y62">IF(X62="X",(_xlfn.XLOOKUP($B62,Tabla1[SERVICIO],Tabla1[VALOR])*1),IF(X62&gt;=1,_xlfn.XLOOKUP($B62,Tabla1[SERVICIO],Tabla1[VALOR]*X62),0))</f>
        <v>0</v>
      </c>
      <c r="Z62" s="144"/>
      <c r="AA62" s="56">
        <v>0</v>
      </c>
      <c r="AB62" s="145"/>
      <c r="AC62" s="56">
        <v>0</v>
      </c>
      <c r="AD62" s="145"/>
      <c r="AE62" s="56">
        <v>0</v>
      </c>
      <c r="AF62" s="145"/>
      <c r="AG62" s="56">
        <v>0</v>
      </c>
      <c r="AH62" s="144"/>
      <c r="AI62" s="56">
        <v>0</v>
      </c>
      <c r="AJ62" s="144"/>
      <c r="AK62" s="56">
        <v>0</v>
      </c>
      <c r="AL62" s="144"/>
      <c r="AM62" s="56" cm="1">
        <f t="array" ref="AM62">IF(AL62="X",(_xlfn.XLOOKUP($B62,Tabla1[SERVICIO],Tabla1[VALOR])*1),IF(AL62&gt;=1,_xlfn.XLOOKUP($B62,Tabla1[SERVICIO],Tabla1[VALOR]*AL62),0))</f>
        <v>0</v>
      </c>
      <c r="AN62" s="81">
        <f t="shared" si="1"/>
        <v>65169.207262455195</v>
      </c>
      <c r="AO62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2" s="104" t="s">
        <v>319</v>
      </c>
      <c r="AQ62" s="119">
        <v>2.0885547201336674E-2</v>
      </c>
      <c r="AR62" s="121">
        <f>+Tabla41429[[#This Row],[TOTAL]]*Tabla41429[[#This Row],[% de las personas que lo usaron]]</f>
        <v>1361.0945543537007</v>
      </c>
      <c r="AS62" s="104" t="s">
        <v>349</v>
      </c>
      <c r="AT62" s="335">
        <v>18</v>
      </c>
    </row>
    <row r="63" spans="1:46" x14ac:dyDescent="0.25">
      <c r="A63" s="7" t="s">
        <v>84</v>
      </c>
      <c r="B63" s="8" t="s">
        <v>85</v>
      </c>
      <c r="C63" s="96" t="str">
        <f>_xlfn.XLOOKUP(Tabla41429[[#This Row],[Servicios del Programa:]],Tabla151[CODIGO],Tabla151[VALOR])</f>
        <v>Diagnosticos</v>
      </c>
      <c r="D63" s="144">
        <v>1</v>
      </c>
      <c r="E63" s="56" cm="1">
        <f t="array" ref="E63">IF(D63="X",(_xlfn.XLOOKUP($B63,Tabla1[SERVICIO],Tabla1[VALOR])*1),IF(D63&gt;=1,_xlfn.XLOOKUP($B63,Tabla1[SERVICIO],Tabla1[VALOR]*D63),0))</f>
        <v>68748.387080831264</v>
      </c>
      <c r="F63" s="144"/>
      <c r="G63" s="56" cm="1">
        <f t="array" ref="G63">IF(F63="X",(_xlfn.XLOOKUP($B63,Tabla1[SERVICIO],Tabla1[VALOR])*1),IF(F63&gt;=1,_xlfn.XLOOKUP($B63,Tabla1[SERVICIO],Tabla1[VALOR]*F63),0))</f>
        <v>0</v>
      </c>
      <c r="H63" s="144"/>
      <c r="I63" s="56" cm="1">
        <f t="array" ref="I63">IF(H63="X",(_xlfn.XLOOKUP($B63,Tabla1[SERVICIO],Tabla1[VALOR])*1),IF(H63&gt;=1,_xlfn.XLOOKUP($B63,Tabla1[SERVICIO],Tabla1[VALOR]*H63),0))</f>
        <v>0</v>
      </c>
      <c r="J63" s="144"/>
      <c r="K63" s="56" cm="1">
        <f t="array" ref="K63">IF(J63="X",(_xlfn.XLOOKUP($B63,Tabla1[SERVICIO],Tabla1[VALOR])*1),IF(J63&gt;=1,_xlfn.XLOOKUP($B63,Tabla1[SERVICIO],Tabla1[VALOR]*J63),0))</f>
        <v>0</v>
      </c>
      <c r="L63" s="144"/>
      <c r="M63" s="56" cm="1">
        <f t="array" ref="M63">IF(L63="X",(_xlfn.XLOOKUP($B63,Tabla1[SERVICIO],Tabla1[VALOR])*1),IF(L63&gt;=1,_xlfn.XLOOKUP($B63,Tabla1[SERVICIO],Tabla1[VALOR]*L63),0))</f>
        <v>0</v>
      </c>
      <c r="N63" s="144"/>
      <c r="O63" s="56" cm="1">
        <f t="array" ref="O63">IF(N63="X",(_xlfn.XLOOKUP($B63,Tabla1[SERVICIO],Tabla1[VALOR])*1),IF(N63&gt;=1,_xlfn.XLOOKUP($B63,Tabla1[SERVICIO],Tabla1[VALOR]*N63),0))</f>
        <v>0</v>
      </c>
      <c r="P63" s="144"/>
      <c r="Q63" s="56" cm="1">
        <f t="array" ref="Q63">IF(P63="X",(_xlfn.XLOOKUP($B63,Tabla1[SERVICIO],Tabla1[VALOR])*1),IF(P63&gt;=1,_xlfn.XLOOKUP($B63,Tabla1[SERVICIO],Tabla1[VALOR]*P63),0))</f>
        <v>0</v>
      </c>
      <c r="R63" s="144"/>
      <c r="S63" s="56" cm="1">
        <f t="array" ref="S63">IF(R63="X",(_xlfn.XLOOKUP($B63,Tabla1[SERVICIO],Tabla1[VALOR])*1),IF(R63&gt;=1,_xlfn.XLOOKUP($B63,Tabla1[SERVICIO],Tabla1[VALOR]*R63),0))</f>
        <v>0</v>
      </c>
      <c r="T63" s="144"/>
      <c r="U63" s="56" cm="1">
        <f t="array" ref="U63">IF(T63="X",(_xlfn.XLOOKUP($B63,Tabla1[SERVICIO],Tabla1[VALOR])*1),IF(T63&gt;=1,_xlfn.XLOOKUP($B63,Tabla1[SERVICIO],Tabla1[VALOR]*T63),0))</f>
        <v>0</v>
      </c>
      <c r="V63" s="144"/>
      <c r="W63" s="56" cm="1">
        <f t="array" ref="W63">IF(V63="X",(_xlfn.XLOOKUP($B63,Tabla1[SERVICIO],Tabla1[VALOR])*1),IF(V63&gt;=1,_xlfn.XLOOKUP($B63,Tabla1[SERVICIO],Tabla1[VALOR]*V63),0))</f>
        <v>0</v>
      </c>
      <c r="X63" s="144"/>
      <c r="Y63" s="56" cm="1">
        <f t="array" ref="Y63">IF(X63="X",(_xlfn.XLOOKUP($B63,Tabla1[SERVICIO],Tabla1[VALOR])*1),IF(X63&gt;=1,_xlfn.XLOOKUP($B63,Tabla1[SERVICIO],Tabla1[VALOR]*X63),0))</f>
        <v>0</v>
      </c>
      <c r="Z63" s="144"/>
      <c r="AA63" s="56">
        <v>0</v>
      </c>
      <c r="AB63" s="145"/>
      <c r="AC63" s="56">
        <v>0</v>
      </c>
      <c r="AD63" s="145"/>
      <c r="AE63" s="56">
        <v>0</v>
      </c>
      <c r="AF63" s="145"/>
      <c r="AG63" s="56">
        <v>0</v>
      </c>
      <c r="AH63" s="144"/>
      <c r="AI63" s="56">
        <v>0</v>
      </c>
      <c r="AJ63" s="144"/>
      <c r="AK63" s="56">
        <v>0</v>
      </c>
      <c r="AL63" s="144"/>
      <c r="AM63" s="56" cm="1">
        <f t="array" ref="AM63">IF(AL63="X",(_xlfn.XLOOKUP($B63,Tabla1[SERVICIO],Tabla1[VALOR])*1),IF(AL63&gt;=1,_xlfn.XLOOKUP($B63,Tabla1[SERVICIO],Tabla1[VALOR]*AL63),0))</f>
        <v>0</v>
      </c>
      <c r="AN63" s="81">
        <f t="shared" si="1"/>
        <v>68748.387080831264</v>
      </c>
      <c r="AO63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3" s="104" t="s">
        <v>319</v>
      </c>
      <c r="AQ63" s="119">
        <v>1.5037593984962405E-2</v>
      </c>
      <c r="AR63" s="121">
        <f>+Tabla41429[[#This Row],[TOTAL]]*Tabla41429[[#This Row],[% de las personas que lo usaron]]</f>
        <v>1033.8103320425753</v>
      </c>
      <c r="AS63" s="104" t="s">
        <v>349</v>
      </c>
      <c r="AT63" s="335">
        <v>18</v>
      </c>
    </row>
    <row r="64" spans="1:46" x14ac:dyDescent="0.25">
      <c r="A64" s="7" t="s">
        <v>86</v>
      </c>
      <c r="B64" s="8" t="s">
        <v>225</v>
      </c>
      <c r="C64" s="96" t="str">
        <f>_xlfn.XLOOKUP(Tabla41429[[#This Row],[Servicios del Programa:]],Tabla151[CODIGO],Tabla151[VALOR])</f>
        <v>Consultas</v>
      </c>
      <c r="D64" s="144">
        <v>1</v>
      </c>
      <c r="E64" s="56" cm="1">
        <f t="array" ref="E64">IF(D64="X",(_xlfn.XLOOKUP($B64,Tabla1[SERVICIO],Tabla1[VALOR])*1),IF(D64&gt;=1,_xlfn.XLOOKUP($B64,Tabla1[SERVICIO],Tabla1[VALOR]*D64),0))</f>
        <v>85060.59895480916</v>
      </c>
      <c r="F64" s="144"/>
      <c r="G64" s="56" cm="1">
        <f t="array" ref="G64">IF(F64="X",(_xlfn.XLOOKUP($B64,Tabla1[SERVICIO],Tabla1[VALOR])*1),IF(F64&gt;=1,_xlfn.XLOOKUP($B64,Tabla1[SERVICIO],Tabla1[VALOR]*F64),0))</f>
        <v>0</v>
      </c>
      <c r="H64" s="144"/>
      <c r="I64" s="56" cm="1">
        <f t="array" ref="I64">IF(H64="X",(_xlfn.XLOOKUP($B64,Tabla1[SERVICIO],Tabla1[VALOR])*1),IF(H64&gt;=1,_xlfn.XLOOKUP($B64,Tabla1[SERVICIO],Tabla1[VALOR]*H64),0))</f>
        <v>0</v>
      </c>
      <c r="J64" s="144"/>
      <c r="K64" s="56" cm="1">
        <f t="array" ref="K64">IF(J64="X",(_xlfn.XLOOKUP($B64,Tabla1[SERVICIO],Tabla1[VALOR])*1),IF(J64&gt;=1,_xlfn.XLOOKUP($B64,Tabla1[SERVICIO],Tabla1[VALOR]*J64),0))</f>
        <v>0</v>
      </c>
      <c r="L64" s="144"/>
      <c r="M64" s="56" cm="1">
        <f t="array" ref="M64">IF(L64="X",(_xlfn.XLOOKUP($B64,Tabla1[SERVICIO],Tabla1[VALOR])*1),IF(L64&gt;=1,_xlfn.XLOOKUP($B64,Tabla1[SERVICIO],Tabla1[VALOR]*L64),0))</f>
        <v>0</v>
      </c>
      <c r="N64" s="144"/>
      <c r="O64" s="56" cm="1">
        <f t="array" ref="O64">IF(N64="X",(_xlfn.XLOOKUP($B64,Tabla1[SERVICIO],Tabla1[VALOR])*1),IF(N64&gt;=1,_xlfn.XLOOKUP($B64,Tabla1[SERVICIO],Tabla1[VALOR]*N64),0))</f>
        <v>0</v>
      </c>
      <c r="P64" s="144"/>
      <c r="Q64" s="56" cm="1">
        <f t="array" ref="Q64">IF(P64="X",(_xlfn.XLOOKUP($B64,Tabla1[SERVICIO],Tabla1[VALOR])*1),IF(P64&gt;=1,_xlfn.XLOOKUP($B64,Tabla1[SERVICIO],Tabla1[VALOR]*P64),0))</f>
        <v>0</v>
      </c>
      <c r="R64" s="144"/>
      <c r="S64" s="56" cm="1">
        <f t="array" ref="S64">IF(R64="X",(_xlfn.XLOOKUP($B64,Tabla1[SERVICIO],Tabla1[VALOR])*1),IF(R64&gt;=1,_xlfn.XLOOKUP($B64,Tabla1[SERVICIO],Tabla1[VALOR]*R64),0))</f>
        <v>0</v>
      </c>
      <c r="T64" s="144"/>
      <c r="U64" s="56" cm="1">
        <f t="array" ref="U64">IF(T64="X",(_xlfn.XLOOKUP($B64,Tabla1[SERVICIO],Tabla1[VALOR])*1),IF(T64&gt;=1,_xlfn.XLOOKUP($B64,Tabla1[SERVICIO],Tabla1[VALOR]*T64),0))</f>
        <v>0</v>
      </c>
      <c r="V64" s="144"/>
      <c r="W64" s="56" cm="1">
        <f t="array" ref="W64">IF(V64="X",(_xlfn.XLOOKUP($B64,Tabla1[SERVICIO],Tabla1[VALOR])*1),IF(V64&gt;=1,_xlfn.XLOOKUP($B64,Tabla1[SERVICIO],Tabla1[VALOR]*V64),0))</f>
        <v>0</v>
      </c>
      <c r="X64" s="144"/>
      <c r="Y64" s="56" cm="1">
        <f t="array" ref="Y64">IF(X64="X",(_xlfn.XLOOKUP($B64,Tabla1[SERVICIO],Tabla1[VALOR])*1),IF(X64&gt;=1,_xlfn.XLOOKUP($B64,Tabla1[SERVICIO],Tabla1[VALOR]*X64),0))</f>
        <v>0</v>
      </c>
      <c r="Z64" s="144"/>
      <c r="AA64" s="56">
        <v>0</v>
      </c>
      <c r="AB64" s="144"/>
      <c r="AC64" s="56">
        <v>0</v>
      </c>
      <c r="AD64" s="144"/>
      <c r="AE64" s="56">
        <v>0</v>
      </c>
      <c r="AF64" s="144"/>
      <c r="AG64" s="56">
        <v>0</v>
      </c>
      <c r="AH64" s="144"/>
      <c r="AI64" s="56">
        <v>0</v>
      </c>
      <c r="AJ64" s="144"/>
      <c r="AK64" s="56">
        <v>0</v>
      </c>
      <c r="AL64" s="144"/>
      <c r="AM64" s="56" cm="1">
        <f t="array" ref="AM64">IF(AL64="X",(_xlfn.XLOOKUP($B64,Tabla1[SERVICIO],Tabla1[VALOR])*1),IF(AL64&gt;=1,_xlfn.XLOOKUP($B64,Tabla1[SERVICIO],Tabla1[VALOR]*AL64),0))</f>
        <v>0</v>
      </c>
      <c r="AN64" s="81">
        <f t="shared" si="1"/>
        <v>85060.59895480916</v>
      </c>
      <c r="AO64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4" s="104" t="s">
        <v>319</v>
      </c>
      <c r="AQ64" s="119">
        <v>0.29741019214703424</v>
      </c>
      <c r="AR64" s="121">
        <f>+Tabla41429[[#This Row],[TOTAL]]*Tabla41429[[#This Row],[% de las personas que lo usaron]]</f>
        <v>25297.889079291614</v>
      </c>
      <c r="AS64" s="104" t="s">
        <v>349</v>
      </c>
      <c r="AT64" s="335">
        <v>18</v>
      </c>
    </row>
    <row r="65" spans="1:46" x14ac:dyDescent="0.25">
      <c r="A65" s="7" t="s">
        <v>88</v>
      </c>
      <c r="B65" s="8" t="s">
        <v>89</v>
      </c>
      <c r="C65" s="96" t="str">
        <f>_xlfn.XLOOKUP(Tabla41429[[#This Row],[Servicios del Programa:]],Tabla151[CODIGO],Tabla151[VALOR])</f>
        <v>Diagnosticos</v>
      </c>
      <c r="D65" s="144">
        <v>1</v>
      </c>
      <c r="E65" s="56" cm="1">
        <f t="array" ref="E65">IF(D65="X",(_xlfn.XLOOKUP($B65,Tabla1[SERVICIO],Tabla1[VALOR])*1),IF(D65&gt;=1,_xlfn.XLOOKUP($B65,Tabla1[SERVICIO],Tabla1[VALOR]*D65),0))</f>
        <v>76461.626557187497</v>
      </c>
      <c r="F65" s="144"/>
      <c r="G65" s="56" cm="1">
        <f t="array" ref="G65">IF(F65="X",(_xlfn.XLOOKUP($B65,Tabla1[SERVICIO],Tabla1[VALOR])*1),IF(F65&gt;=1,_xlfn.XLOOKUP($B65,Tabla1[SERVICIO],Tabla1[VALOR]*F65),0))</f>
        <v>0</v>
      </c>
      <c r="H65" s="144"/>
      <c r="I65" s="56" cm="1">
        <f t="array" ref="I65">IF(H65="X",(_xlfn.XLOOKUP($B65,Tabla1[SERVICIO],Tabla1[VALOR])*1),IF(H65&gt;=1,_xlfn.XLOOKUP($B65,Tabla1[SERVICIO],Tabla1[VALOR]*H65),0))</f>
        <v>0</v>
      </c>
      <c r="J65" s="144"/>
      <c r="K65" s="56" cm="1">
        <f t="array" ref="K65">IF(J65="X",(_xlfn.XLOOKUP($B65,Tabla1[SERVICIO],Tabla1[VALOR])*1),IF(J65&gt;=1,_xlfn.XLOOKUP($B65,Tabla1[SERVICIO],Tabla1[VALOR]*J65),0))</f>
        <v>0</v>
      </c>
      <c r="L65" s="144"/>
      <c r="M65" s="56" cm="1">
        <f t="array" ref="M65">IF(L65="X",(_xlfn.XLOOKUP($B65,Tabla1[SERVICIO],Tabla1[VALOR])*1),IF(L65&gt;=1,_xlfn.XLOOKUP($B65,Tabla1[SERVICIO],Tabla1[VALOR]*L65),0))</f>
        <v>0</v>
      </c>
      <c r="N65" s="144"/>
      <c r="O65" s="56" cm="1">
        <f t="array" ref="O65">IF(N65="X",(_xlfn.XLOOKUP($B65,Tabla1[SERVICIO],Tabla1[VALOR])*1),IF(N65&gt;=1,_xlfn.XLOOKUP($B65,Tabla1[SERVICIO],Tabla1[VALOR]*N65),0))</f>
        <v>0</v>
      </c>
      <c r="P65" s="144"/>
      <c r="Q65" s="56" cm="1">
        <f t="array" ref="Q65">IF(P65="X",(_xlfn.XLOOKUP($B65,Tabla1[SERVICIO],Tabla1[VALOR])*1),IF(P65&gt;=1,_xlfn.XLOOKUP($B65,Tabla1[SERVICIO],Tabla1[VALOR]*P65),0))</f>
        <v>0</v>
      </c>
      <c r="R65" s="144"/>
      <c r="S65" s="56" cm="1">
        <f t="array" ref="S65">IF(R65="X",(_xlfn.XLOOKUP($B65,Tabla1[SERVICIO],Tabla1[VALOR])*1),IF(R65&gt;=1,_xlfn.XLOOKUP($B65,Tabla1[SERVICIO],Tabla1[VALOR]*R65),0))</f>
        <v>0</v>
      </c>
      <c r="T65" s="144"/>
      <c r="U65" s="56" cm="1">
        <f t="array" ref="U65">IF(T65="X",(_xlfn.XLOOKUP($B65,Tabla1[SERVICIO],Tabla1[VALOR])*1),IF(T65&gt;=1,_xlfn.XLOOKUP($B65,Tabla1[SERVICIO],Tabla1[VALOR]*T65),0))</f>
        <v>0</v>
      </c>
      <c r="V65" s="144"/>
      <c r="W65" s="56" cm="1">
        <f t="array" ref="W65">IF(V65="X",(_xlfn.XLOOKUP($B65,Tabla1[SERVICIO],Tabla1[VALOR])*1),IF(V65&gt;=1,_xlfn.XLOOKUP($B65,Tabla1[SERVICIO],Tabla1[VALOR]*V65),0))</f>
        <v>0</v>
      </c>
      <c r="X65" s="144"/>
      <c r="Y65" s="56" cm="1">
        <f t="array" ref="Y65">IF(X65="X",(_xlfn.XLOOKUP($B65,Tabla1[SERVICIO],Tabla1[VALOR])*1),IF(X65&gt;=1,_xlfn.XLOOKUP($B65,Tabla1[SERVICIO],Tabla1[VALOR]*X65),0))</f>
        <v>0</v>
      </c>
      <c r="Z65" s="144"/>
      <c r="AA65" s="56">
        <v>0</v>
      </c>
      <c r="AB65" s="145"/>
      <c r="AC65" s="56">
        <v>0</v>
      </c>
      <c r="AD65" s="145"/>
      <c r="AE65" s="56">
        <v>0</v>
      </c>
      <c r="AF65" s="145"/>
      <c r="AG65" s="56">
        <v>0</v>
      </c>
      <c r="AH65" s="144"/>
      <c r="AI65" s="56">
        <v>0</v>
      </c>
      <c r="AJ65" s="144"/>
      <c r="AK65" s="56">
        <v>0</v>
      </c>
      <c r="AL65" s="144"/>
      <c r="AM65" s="56" cm="1">
        <f t="array" ref="AM65">IF(AL65="X",(_xlfn.XLOOKUP($B65,Tabla1[SERVICIO],Tabla1[VALOR])*1),IF(AL65&gt;=1,_xlfn.XLOOKUP($B65,Tabla1[SERVICIO],Tabla1[VALOR]*AL65),0))</f>
        <v>0</v>
      </c>
      <c r="AN65" s="81">
        <f t="shared" si="1"/>
        <v>76461.626557187497</v>
      </c>
      <c r="AO65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5" s="104" t="s">
        <v>318</v>
      </c>
      <c r="AQ65" s="119">
        <v>1</v>
      </c>
      <c r="AR65" s="121">
        <f>+Tabla41429[[#This Row],[TOTAL]]*Tabla41429[[#This Row],[% de las personas que lo usaron]]</f>
        <v>76461.626557187497</v>
      </c>
      <c r="AS65" s="104" t="s">
        <v>349</v>
      </c>
      <c r="AT65" s="335">
        <v>18</v>
      </c>
    </row>
    <row r="66" spans="1:46" x14ac:dyDescent="0.25">
      <c r="A66" s="7" t="s">
        <v>46</v>
      </c>
      <c r="B66" s="8" t="s">
        <v>47</v>
      </c>
      <c r="C66" s="96" t="str">
        <f>_xlfn.XLOOKUP(Tabla41429[[#This Row],[Servicios del Programa:]],Tabla151[CODIGO],Tabla151[VALOR])</f>
        <v>Consultas</v>
      </c>
      <c r="D66" s="144">
        <v>1</v>
      </c>
      <c r="E66" s="56" cm="1">
        <f t="array" ref="E66">IF(D66="X",(_xlfn.XLOOKUP($B66,Tabla1[SERVICIO],Tabla1[VALOR])*1),IF(D66&gt;=1,_xlfn.XLOOKUP($B66,Tabla1[SERVICIO],Tabla1[VALOR]*D66),0))</f>
        <v>83398.098568534639</v>
      </c>
      <c r="F66" s="144"/>
      <c r="G66" s="56" cm="1">
        <f t="array" ref="G66">IF(F66="X",(_xlfn.XLOOKUP($B66,Tabla1[SERVICIO],Tabla1[VALOR])*1),IF(F66&gt;=1,_xlfn.XLOOKUP($B66,Tabla1[SERVICIO],Tabla1[VALOR]*F66),0))</f>
        <v>0</v>
      </c>
      <c r="H66" s="144"/>
      <c r="I66" s="56" cm="1">
        <f t="array" ref="I66">IF(H66="X",(_xlfn.XLOOKUP($B66,Tabla1[SERVICIO],Tabla1[VALOR])*1),IF(H66&gt;=1,_xlfn.XLOOKUP($B66,Tabla1[SERVICIO],Tabla1[VALOR]*H66),0))</f>
        <v>0</v>
      </c>
      <c r="J66" s="144"/>
      <c r="K66" s="56" cm="1">
        <f t="array" ref="K66">IF(J66="X",(_xlfn.XLOOKUP($B66,Tabla1[SERVICIO],Tabla1[VALOR])*1),IF(J66&gt;=1,_xlfn.XLOOKUP($B66,Tabla1[SERVICIO],Tabla1[VALOR]*J66),0))</f>
        <v>0</v>
      </c>
      <c r="L66" s="144"/>
      <c r="M66" s="56" cm="1">
        <f t="array" ref="M66">IF(L66="X",(_xlfn.XLOOKUP($B66,Tabla1[SERVICIO],Tabla1[VALOR])*1),IF(L66&gt;=1,_xlfn.XLOOKUP($B66,Tabla1[SERVICIO],Tabla1[VALOR]*L66),0))</f>
        <v>0</v>
      </c>
      <c r="N66" s="144"/>
      <c r="O66" s="56" cm="1">
        <f t="array" ref="O66">IF(N66="X",(_xlfn.XLOOKUP($B66,Tabla1[SERVICIO],Tabla1[VALOR])*1),IF(N66&gt;=1,_xlfn.XLOOKUP($B66,Tabla1[SERVICIO],Tabla1[VALOR]*N66),0))</f>
        <v>0</v>
      </c>
      <c r="P66" s="144"/>
      <c r="Q66" s="56" cm="1">
        <f t="array" ref="Q66">IF(P66="X",(_xlfn.XLOOKUP($B66,Tabla1[SERVICIO],Tabla1[VALOR])*1),IF(P66&gt;=1,_xlfn.XLOOKUP($B66,Tabla1[SERVICIO],Tabla1[VALOR]*P66),0))</f>
        <v>0</v>
      </c>
      <c r="R66" s="144"/>
      <c r="S66" s="56" cm="1">
        <f t="array" ref="S66">IF(R66="X",(_xlfn.XLOOKUP($B66,Tabla1[SERVICIO],Tabla1[VALOR])*1),IF(R66&gt;=1,_xlfn.XLOOKUP($B66,Tabla1[SERVICIO],Tabla1[VALOR]*R66),0))</f>
        <v>0</v>
      </c>
      <c r="T66" s="144"/>
      <c r="U66" s="56" cm="1">
        <f t="array" ref="U66">IF(T66="X",(_xlfn.XLOOKUP($B66,Tabla1[SERVICIO],Tabla1[VALOR])*1),IF(T66&gt;=1,_xlfn.XLOOKUP($B66,Tabla1[SERVICIO],Tabla1[VALOR]*T66),0))</f>
        <v>0</v>
      </c>
      <c r="V66" s="144"/>
      <c r="W66" s="56" cm="1">
        <f t="array" ref="W66">IF(V66="X",(_xlfn.XLOOKUP($B66,Tabla1[SERVICIO],Tabla1[VALOR])*1),IF(V66&gt;=1,_xlfn.XLOOKUP($B66,Tabla1[SERVICIO],Tabla1[VALOR]*V66),0))</f>
        <v>0</v>
      </c>
      <c r="X66" s="144"/>
      <c r="Y66" s="56" cm="1">
        <f t="array" ref="Y66">IF(X66="X",(_xlfn.XLOOKUP($B66,Tabla1[SERVICIO],Tabla1[VALOR])*1),IF(X66&gt;=1,_xlfn.XLOOKUP($B66,Tabla1[SERVICIO],Tabla1[VALOR]*X66),0))</f>
        <v>0</v>
      </c>
      <c r="Z66" s="144"/>
      <c r="AA66" s="56">
        <v>0</v>
      </c>
      <c r="AB66" s="145"/>
      <c r="AC66" s="56">
        <v>0</v>
      </c>
      <c r="AD66" s="145"/>
      <c r="AE66" s="56">
        <v>0</v>
      </c>
      <c r="AF66" s="145"/>
      <c r="AG66" s="56">
        <v>0</v>
      </c>
      <c r="AH66" s="144"/>
      <c r="AI66" s="56">
        <v>0</v>
      </c>
      <c r="AJ66" s="144"/>
      <c r="AK66" s="56">
        <v>0</v>
      </c>
      <c r="AL66" s="144"/>
      <c r="AM66" s="56" cm="1">
        <f t="array" ref="AM66">IF(AL66="X",(_xlfn.XLOOKUP($B66,Tabla1[SERVICIO],Tabla1[VALOR])*1),IF(AL66&gt;=1,_xlfn.XLOOKUP($B66,Tabla1[SERVICIO],Tabla1[VALOR]*AL66),0))</f>
        <v>0</v>
      </c>
      <c r="AN66" s="81">
        <f t="shared" si="1"/>
        <v>83398.098568534639</v>
      </c>
      <c r="AO66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6" s="104" t="s">
        <v>319</v>
      </c>
      <c r="AQ66" s="119">
        <v>2.1720969089390141E-2</v>
      </c>
      <c r="AR66" s="121">
        <f>+Tabla41429[[#This Row],[TOTAL]]*Tabla41429[[#This Row],[% de las personas que lo usaron]]</f>
        <v>1811.4875211210531</v>
      </c>
      <c r="AS66" s="104" t="s">
        <v>349</v>
      </c>
      <c r="AT66" s="335">
        <v>18</v>
      </c>
    </row>
    <row r="67" spans="1:46" x14ac:dyDescent="0.25">
      <c r="A67" s="7" t="s">
        <v>48</v>
      </c>
      <c r="B67" s="8" t="s">
        <v>222</v>
      </c>
      <c r="C67" s="96" t="str">
        <f>_xlfn.XLOOKUP(Tabla41429[[#This Row],[Servicios del Programa:]],Tabla151[CODIGO],Tabla151[VALOR])</f>
        <v>Consultas</v>
      </c>
      <c r="D67" s="144"/>
      <c r="E67" s="56" cm="1">
        <f t="array" ref="E67">IF(D67="X",(_xlfn.XLOOKUP($B67,Tabla1[SERVICIO],Tabla1[VALOR])*1),IF(D67&gt;=1,_xlfn.XLOOKUP($B67,Tabla1[SERVICIO],Tabla1[VALOR]*D67),0))</f>
        <v>0</v>
      </c>
      <c r="F67" s="144"/>
      <c r="G67" s="56" cm="1">
        <f t="array" ref="G67">IF(F67="X",(_xlfn.XLOOKUP($B67,Tabla1[SERVICIO],Tabla1[VALOR])*1),IF(F67&gt;=1,_xlfn.XLOOKUP($B67,Tabla1[SERVICIO],Tabla1[VALOR]*F67),0))</f>
        <v>0</v>
      </c>
      <c r="H67" s="144"/>
      <c r="I67" s="56" cm="1">
        <f t="array" ref="I67">IF(H67="X",(_xlfn.XLOOKUP($B67,Tabla1[SERVICIO],Tabla1[VALOR])*1),IF(H67&gt;=1,_xlfn.XLOOKUP($B67,Tabla1[SERVICIO],Tabla1[VALOR]*H67),0))</f>
        <v>0</v>
      </c>
      <c r="J67" s="144"/>
      <c r="K67" s="56" cm="1">
        <f t="array" ref="K67">IF(J67="X",(_xlfn.XLOOKUP($B67,Tabla1[SERVICIO],Tabla1[VALOR])*1),IF(J67&gt;=1,_xlfn.XLOOKUP($B67,Tabla1[SERVICIO],Tabla1[VALOR]*J67),0))</f>
        <v>0</v>
      </c>
      <c r="L67" s="144"/>
      <c r="M67" s="56" cm="1">
        <f t="array" ref="M67">IF(L67="X",(_xlfn.XLOOKUP($B67,Tabla1[SERVICIO],Tabla1[VALOR])*1),IF(L67&gt;=1,_xlfn.XLOOKUP($B67,Tabla1[SERVICIO],Tabla1[VALOR]*L67),0))</f>
        <v>0</v>
      </c>
      <c r="N67" s="144"/>
      <c r="O67" s="56" cm="1">
        <f t="array" ref="O67">IF(N67="X",(_xlfn.XLOOKUP($B67,Tabla1[SERVICIO],Tabla1[VALOR])*1),IF(N67&gt;=1,_xlfn.XLOOKUP($B67,Tabla1[SERVICIO],Tabla1[VALOR]*N67),0))</f>
        <v>0</v>
      </c>
      <c r="P67" s="144"/>
      <c r="Q67" s="56" cm="1">
        <f t="array" ref="Q67">IF(P67="X",(_xlfn.XLOOKUP($B67,Tabla1[SERVICIO],Tabla1[VALOR])*1),IF(P67&gt;=1,_xlfn.XLOOKUP($B67,Tabla1[SERVICIO],Tabla1[VALOR]*P67),0))</f>
        <v>0</v>
      </c>
      <c r="R67" s="144"/>
      <c r="S67" s="56" cm="1">
        <f t="array" ref="S67">IF(R67="X",(_xlfn.XLOOKUP($B67,Tabla1[SERVICIO],Tabla1[VALOR])*1),IF(R67&gt;=1,_xlfn.XLOOKUP($B67,Tabla1[SERVICIO],Tabla1[VALOR]*R67),0))</f>
        <v>0</v>
      </c>
      <c r="T67" s="144"/>
      <c r="U67" s="56" cm="1">
        <f t="array" ref="U67">IF(T67="X",(_xlfn.XLOOKUP($B67,Tabla1[SERVICIO],Tabla1[VALOR])*1),IF(T67&gt;=1,_xlfn.XLOOKUP($B67,Tabla1[SERVICIO],Tabla1[VALOR]*T67),0))</f>
        <v>0</v>
      </c>
      <c r="V67" s="144"/>
      <c r="W67" s="56" cm="1">
        <f t="array" ref="W67">IF(V67="X",(_xlfn.XLOOKUP($B67,Tabla1[SERVICIO],Tabla1[VALOR])*1),IF(V67&gt;=1,_xlfn.XLOOKUP($B67,Tabla1[SERVICIO],Tabla1[VALOR]*V67),0))</f>
        <v>0</v>
      </c>
      <c r="X67" s="144"/>
      <c r="Y67" s="56" cm="1">
        <f t="array" ref="Y67">IF(X67="X",(_xlfn.XLOOKUP($B67,Tabla1[SERVICIO],Tabla1[VALOR])*1),IF(X67&gt;=1,_xlfn.XLOOKUP($B67,Tabla1[SERVICIO],Tabla1[VALOR]*X67),0))</f>
        <v>0</v>
      </c>
      <c r="Z67" s="144"/>
      <c r="AA67" s="56">
        <v>0</v>
      </c>
      <c r="AB67" s="144"/>
      <c r="AC67" s="56">
        <v>0</v>
      </c>
      <c r="AD67" s="144"/>
      <c r="AE67" s="56">
        <v>0</v>
      </c>
      <c r="AF67" s="144"/>
      <c r="AG67" s="56">
        <v>0</v>
      </c>
      <c r="AH67" s="144"/>
      <c r="AI67" s="56">
        <v>0</v>
      </c>
      <c r="AJ67" s="144"/>
      <c r="AK67" s="56">
        <v>0</v>
      </c>
      <c r="AL67" s="144">
        <v>1</v>
      </c>
      <c r="AM67" s="56" cm="1">
        <f t="array" ref="AM67">IF(AL67="X",(_xlfn.XLOOKUP($B67,Tabla1[SERVICIO],Tabla1[VALOR])*1),IF(AL67&gt;=1,_xlfn.XLOOKUP($B67,Tabla1[SERVICIO],Tabla1[VALOR]*AL67),0))</f>
        <v>77398.098568534639</v>
      </c>
      <c r="AN67" s="81">
        <f t="shared" si="1"/>
        <v>77398.098568534639</v>
      </c>
      <c r="AO67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7" s="104" t="s">
        <v>319</v>
      </c>
      <c r="AQ67" s="119">
        <v>0.71345029239766078</v>
      </c>
      <c r="AR67" s="121">
        <f>+Tabla41429[[#This Row],[TOTAL]]*Tabla41429[[#This Row],[% de las personas que lo usaron]]</f>
        <v>55219.69605474401</v>
      </c>
      <c r="AS67" s="104" t="s">
        <v>349</v>
      </c>
      <c r="AT67" s="335">
        <v>18</v>
      </c>
    </row>
    <row r="68" spans="1:46" x14ac:dyDescent="0.25">
      <c r="A68" s="7" t="s">
        <v>21</v>
      </c>
      <c r="B68" s="8" t="s">
        <v>221</v>
      </c>
      <c r="C68" s="96" t="str">
        <f>_xlfn.XLOOKUP(Tabla41429[[#This Row],[Servicios del Programa:]],Tabla151[CODIGO],Tabla151[VALOR])</f>
        <v>Consultas</v>
      </c>
      <c r="D68" s="144"/>
      <c r="E68" s="56" cm="1">
        <f t="array" ref="E68">IF(D68="X",(_xlfn.XLOOKUP($B68,Tabla1[SERVICIO],Tabla1[VALOR])*1),IF(D68&gt;=1,_xlfn.XLOOKUP($B68,Tabla1[SERVICIO],Tabla1[VALOR]*D68),0))</f>
        <v>0</v>
      </c>
      <c r="F68" s="144"/>
      <c r="G68" s="56" cm="1">
        <f t="array" ref="G68">IF(F68="X",(_xlfn.XLOOKUP($B68,Tabla1[SERVICIO],Tabla1[VALOR])*1),IF(F68&gt;=1,_xlfn.XLOOKUP($B68,Tabla1[SERVICIO],Tabla1[VALOR]*F68),0))</f>
        <v>0</v>
      </c>
      <c r="H68" s="144"/>
      <c r="I68" s="56" cm="1">
        <f t="array" ref="I68">IF(H68="X",(_xlfn.XLOOKUP($B68,Tabla1[SERVICIO],Tabla1[VALOR])*1),IF(H68&gt;=1,_xlfn.XLOOKUP($B68,Tabla1[SERVICIO],Tabla1[VALOR]*H68),0))</f>
        <v>0</v>
      </c>
      <c r="J68" s="144"/>
      <c r="K68" s="56" cm="1">
        <f t="array" ref="K68">IF(J68="X",(_xlfn.XLOOKUP($B68,Tabla1[SERVICIO],Tabla1[VALOR])*1),IF(J68&gt;=1,_xlfn.XLOOKUP($B68,Tabla1[SERVICIO],Tabla1[VALOR]*J68),0))</f>
        <v>0</v>
      </c>
      <c r="L68" s="144"/>
      <c r="M68" s="56" cm="1">
        <f t="array" ref="M68">IF(L68="X",(_xlfn.XLOOKUP($B68,Tabla1[SERVICIO],Tabla1[VALOR])*1),IF(L68&gt;=1,_xlfn.XLOOKUP($B68,Tabla1[SERVICIO],Tabla1[VALOR]*L68),0))</f>
        <v>0</v>
      </c>
      <c r="N68" s="144">
        <v>1</v>
      </c>
      <c r="O68" s="56" cm="1">
        <f t="array" ref="O68">IF(N68="X",(_xlfn.XLOOKUP($B68,Tabla1[SERVICIO],Tabla1[VALOR])*1),IF(N68&gt;=1,_xlfn.XLOOKUP($B68,Tabla1[SERVICIO],Tabla1[VALOR]*N68),0))</f>
        <v>67398.098568534639</v>
      </c>
      <c r="P68" s="144"/>
      <c r="Q68" s="56" cm="1">
        <f t="array" ref="Q68">IF(P68="X",(_xlfn.XLOOKUP($B68,Tabla1[SERVICIO],Tabla1[VALOR])*1),IF(P68&gt;=1,_xlfn.XLOOKUP($B68,Tabla1[SERVICIO],Tabla1[VALOR]*P68),0))</f>
        <v>0</v>
      </c>
      <c r="R68" s="144"/>
      <c r="S68" s="56" cm="1">
        <f t="array" ref="S68">IF(R68="X",(_xlfn.XLOOKUP($B68,Tabla1[SERVICIO],Tabla1[VALOR])*1),IF(R68&gt;=1,_xlfn.XLOOKUP($B68,Tabla1[SERVICIO],Tabla1[VALOR]*R68),0))</f>
        <v>0</v>
      </c>
      <c r="T68" s="144"/>
      <c r="U68" s="56" cm="1">
        <f t="array" ref="U68">IF(T68="X",(_xlfn.XLOOKUP($B68,Tabla1[SERVICIO],Tabla1[VALOR])*1),IF(T68&gt;=1,_xlfn.XLOOKUP($B68,Tabla1[SERVICIO],Tabla1[VALOR]*T68),0))</f>
        <v>0</v>
      </c>
      <c r="V68" s="144"/>
      <c r="W68" s="56" cm="1">
        <f t="array" ref="W68">IF(V68="X",(_xlfn.XLOOKUP($B68,Tabla1[SERVICIO],Tabla1[VALOR])*1),IF(V68&gt;=1,_xlfn.XLOOKUP($B68,Tabla1[SERVICIO],Tabla1[VALOR]*V68),0))</f>
        <v>0</v>
      </c>
      <c r="X68" s="144"/>
      <c r="Y68" s="56" cm="1">
        <f t="array" ref="Y68">IF(X68="X",(_xlfn.XLOOKUP($B68,Tabla1[SERVICIO],Tabla1[VALOR])*1),IF(X68&gt;=1,_xlfn.XLOOKUP($B68,Tabla1[SERVICIO],Tabla1[VALOR]*X68),0))</f>
        <v>0</v>
      </c>
      <c r="Z68" s="144">
        <v>1</v>
      </c>
      <c r="AA68" s="56" cm="1">
        <f t="array" ref="AA68">IF(Z68="X",(_xlfn.XLOOKUP($B68,Tabla1[SERVICIO],Tabla1[VALOR])*1),IF(Z68&gt;=1,_xlfn.XLOOKUP($B68,Tabla1[SERVICIO],Tabla1[VALOR]*Z68),0))</f>
        <v>67398.098568534639</v>
      </c>
      <c r="AB68" s="144"/>
      <c r="AC68" s="56">
        <v>0</v>
      </c>
      <c r="AD68" s="144"/>
      <c r="AE68" s="56">
        <v>0</v>
      </c>
      <c r="AF68" s="144"/>
      <c r="AG68" s="56">
        <v>0</v>
      </c>
      <c r="AH68" s="144"/>
      <c r="AI68" s="56">
        <v>0</v>
      </c>
      <c r="AJ68" s="144"/>
      <c r="AK68" s="56">
        <v>0</v>
      </c>
      <c r="AL68" s="144">
        <v>1</v>
      </c>
      <c r="AM68" s="56" cm="1">
        <f t="array" ref="AM68">IF(AL68="X",(_xlfn.XLOOKUP($B68,Tabla1[SERVICIO],Tabla1[VALOR])*1),IF(AL68&gt;=1,_xlfn.XLOOKUP($B68,Tabla1[SERVICIO],Tabla1[VALOR]*AL68),0))</f>
        <v>67398.098568534639</v>
      </c>
      <c r="AN68" s="81">
        <f>SUM(E68,G68,I68,K68,M68,O68,Q68,S68,U68,W68+Y68,AA68,AC68,AE68,AG68,AI68,AK68,AM68)</f>
        <v>202194.2957056039</v>
      </c>
      <c r="AO68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3</v>
      </c>
      <c r="AP68" s="104" t="s">
        <v>318</v>
      </c>
      <c r="AQ68" s="119">
        <v>1</v>
      </c>
      <c r="AR68" s="121">
        <f>+Tabla41429[[#This Row],[TOTAL]]*Tabla41429[[#This Row],[% de las personas que lo usaron]]</f>
        <v>202194.2957056039</v>
      </c>
      <c r="AS68" s="104" t="s">
        <v>349</v>
      </c>
      <c r="AT68" s="335">
        <v>18</v>
      </c>
    </row>
    <row r="69" spans="1:46" x14ac:dyDescent="0.25">
      <c r="A69" s="7" t="s">
        <v>19</v>
      </c>
      <c r="B69" s="8" t="s">
        <v>20</v>
      </c>
      <c r="C69" s="96" t="str">
        <f>_xlfn.XLOOKUP(Tabla41429[[#This Row],[Servicios del Programa:]],Tabla151[CODIGO],Tabla151[VALOR])</f>
        <v>Consultas</v>
      </c>
      <c r="D69" s="144">
        <v>1</v>
      </c>
      <c r="E69" s="56" cm="1">
        <f t="array" ref="E69">IF(D69="X",(_xlfn.XLOOKUP($B69,Tabla1[SERVICIO],Tabla1[VALOR])*1),IF(D69&gt;=1,_xlfn.XLOOKUP($B69,Tabla1[SERVICIO],Tabla1[VALOR]*D69),0))</f>
        <v>67398.098568534639</v>
      </c>
      <c r="F69" s="144"/>
      <c r="G69" s="56" cm="1">
        <f t="array" ref="G69">IF(F69="X",(_xlfn.XLOOKUP($B69,Tabla1[SERVICIO],Tabla1[VALOR])*1),IF(F69&gt;=1,_xlfn.XLOOKUP($B69,Tabla1[SERVICIO],Tabla1[VALOR]*F69),0))</f>
        <v>0</v>
      </c>
      <c r="H69" s="144"/>
      <c r="I69" s="56" cm="1">
        <f t="array" ref="I69">IF(H69="X",(_xlfn.XLOOKUP($B69,Tabla1[SERVICIO],Tabla1[VALOR])*1),IF(H69&gt;=1,_xlfn.XLOOKUP($B69,Tabla1[SERVICIO],Tabla1[VALOR]*H69),0))</f>
        <v>0</v>
      </c>
      <c r="J69" s="144"/>
      <c r="K69" s="56" cm="1">
        <f t="array" ref="K69">IF(J69="X",(_xlfn.XLOOKUP($B69,Tabla1[SERVICIO],Tabla1[VALOR])*1),IF(J69&gt;=1,_xlfn.XLOOKUP($B69,Tabla1[SERVICIO],Tabla1[VALOR]*J69),0))</f>
        <v>0</v>
      </c>
      <c r="L69" s="144"/>
      <c r="M69" s="56" cm="1">
        <f t="array" ref="M69">IF(L69="X",(_xlfn.XLOOKUP($B69,Tabla1[SERVICIO],Tabla1[VALOR])*1),IF(L69&gt;=1,_xlfn.XLOOKUP($B69,Tabla1[SERVICIO],Tabla1[VALOR]*L69),0))</f>
        <v>0</v>
      </c>
      <c r="N69" s="144"/>
      <c r="O69" s="56" cm="1">
        <f t="array" ref="O69">IF(N69="X",(_xlfn.XLOOKUP($B69,Tabla1[SERVICIO],Tabla1[VALOR])*1),IF(N69&gt;=1,_xlfn.XLOOKUP($B69,Tabla1[SERVICIO],Tabla1[VALOR]*N69),0))</f>
        <v>0</v>
      </c>
      <c r="P69" s="144"/>
      <c r="Q69" s="56" cm="1">
        <f t="array" ref="Q69">IF(P69="X",(_xlfn.XLOOKUP($B69,Tabla1[SERVICIO],Tabla1[VALOR])*1),IF(P69&gt;=1,_xlfn.XLOOKUP($B69,Tabla1[SERVICIO],Tabla1[VALOR]*P69),0))</f>
        <v>0</v>
      </c>
      <c r="R69" s="144"/>
      <c r="S69" s="56" cm="1">
        <f t="array" ref="S69">IF(R69="X",(_xlfn.XLOOKUP($B69,Tabla1[SERVICIO],Tabla1[VALOR])*1),IF(R69&gt;=1,_xlfn.XLOOKUP($B69,Tabla1[SERVICIO],Tabla1[VALOR]*R69),0))</f>
        <v>0</v>
      </c>
      <c r="T69" s="144"/>
      <c r="U69" s="56" cm="1">
        <f t="array" ref="U69">IF(T69="X",(_xlfn.XLOOKUP($B69,Tabla1[SERVICIO],Tabla1[VALOR])*1),IF(T69&gt;=1,_xlfn.XLOOKUP($B69,Tabla1[SERVICIO],Tabla1[VALOR]*T69),0))</f>
        <v>0</v>
      </c>
      <c r="V69" s="144"/>
      <c r="W69" s="56" cm="1">
        <f t="array" ref="W69">IF(V69="X",(_xlfn.XLOOKUP($B69,Tabla1[SERVICIO],Tabla1[VALOR])*1),IF(V69&gt;=1,_xlfn.XLOOKUP($B69,Tabla1[SERVICIO],Tabla1[VALOR]*V69),0))</f>
        <v>0</v>
      </c>
      <c r="X69" s="144"/>
      <c r="Y69" s="56" cm="1">
        <f t="array" ref="Y69">IF(X69="X",(_xlfn.XLOOKUP($B69,Tabla1[SERVICIO],Tabla1[VALOR])*1),IF(X69&gt;=1,_xlfn.XLOOKUP($B69,Tabla1[SERVICIO],Tabla1[VALOR]*X69),0))</f>
        <v>0</v>
      </c>
      <c r="Z69" s="144"/>
      <c r="AA69" s="56">
        <v>0</v>
      </c>
      <c r="AB69" s="144"/>
      <c r="AC69" s="56">
        <v>0</v>
      </c>
      <c r="AD69" s="144"/>
      <c r="AE69" s="56">
        <v>0</v>
      </c>
      <c r="AF69" s="144"/>
      <c r="AG69" s="56">
        <v>0</v>
      </c>
      <c r="AH69" s="144"/>
      <c r="AI69" s="56">
        <v>0</v>
      </c>
      <c r="AJ69" s="144"/>
      <c r="AK69" s="56">
        <v>0</v>
      </c>
      <c r="AL69" s="144"/>
      <c r="AM69" s="56" cm="1">
        <f t="array" ref="AM69">IF(AL69="X",(_xlfn.XLOOKUP($B69,Tabla1[SERVICIO],Tabla1[VALOR])*1),IF(AL69&gt;=1,_xlfn.XLOOKUP($B69,Tabla1[SERVICIO],Tabla1[VALOR]*AL69),0))</f>
        <v>0</v>
      </c>
      <c r="AN69" s="81">
        <f t="shared" si="1"/>
        <v>67398.098568534639</v>
      </c>
      <c r="AO69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9" s="104" t="s">
        <v>318</v>
      </c>
      <c r="AQ69" s="119">
        <v>1</v>
      </c>
      <c r="AR69" s="121">
        <f>+Tabla41429[[#This Row],[TOTAL]]*Tabla41429[[#This Row],[% de las personas que lo usaron]]</f>
        <v>67398.098568534639</v>
      </c>
      <c r="AS69" s="104" t="s">
        <v>349</v>
      </c>
      <c r="AT69" s="335">
        <v>18</v>
      </c>
    </row>
    <row r="70" spans="1:46" x14ac:dyDescent="0.25">
      <c r="A70" s="7" t="s">
        <v>1</v>
      </c>
      <c r="B70" s="8" t="s">
        <v>2</v>
      </c>
      <c r="C70" s="96" t="str">
        <f>_xlfn.XLOOKUP(Tabla41429[[#This Row],[Servicios del Programa:]],Tabla151[CODIGO],Tabla151[VALOR])</f>
        <v>Consultas</v>
      </c>
      <c r="D70" s="144"/>
      <c r="E70" s="56" cm="1">
        <f t="array" ref="E70">IF(D70="X",(_xlfn.XLOOKUP($B70,Tabla1[SERVICIO],Tabla1[VALOR])*1),IF(D70&gt;=1,_xlfn.XLOOKUP($B70,Tabla1[SERVICIO],Tabla1[VALOR]*D70),0))</f>
        <v>0</v>
      </c>
      <c r="F70" s="144"/>
      <c r="G70" s="56" cm="1">
        <f t="array" ref="G70">IF(F70="X",(_xlfn.XLOOKUP($B70,Tabla1[SERVICIO],Tabla1[VALOR])*1),IF(F70&gt;=1,_xlfn.XLOOKUP($B70,Tabla1[SERVICIO],Tabla1[VALOR]*F70),0))</f>
        <v>0</v>
      </c>
      <c r="H70" s="144"/>
      <c r="I70" s="56" cm="1">
        <f t="array" ref="I70">IF(H70="X",(_xlfn.XLOOKUP($B70,Tabla1[SERVICIO],Tabla1[VALOR])*1),IF(H70&gt;=1,_xlfn.XLOOKUP($B70,Tabla1[SERVICIO],Tabla1[VALOR]*H70),0))</f>
        <v>0</v>
      </c>
      <c r="J70" s="144"/>
      <c r="K70" s="56" cm="1">
        <f t="array" ref="K70">IF(J70="X",(_xlfn.XLOOKUP($B70,Tabla1[SERVICIO],Tabla1[VALOR])*1),IF(J70&gt;=1,_xlfn.XLOOKUP($B70,Tabla1[SERVICIO],Tabla1[VALOR]*J70),0))</f>
        <v>0</v>
      </c>
      <c r="L70" s="144"/>
      <c r="M70" s="56" cm="1">
        <f t="array" ref="M70">IF(L70="X",(_xlfn.XLOOKUP($B70,Tabla1[SERVICIO],Tabla1[VALOR])*1),IF(L70&gt;=1,_xlfn.XLOOKUP($B70,Tabla1[SERVICIO],Tabla1[VALOR]*L70),0))</f>
        <v>0</v>
      </c>
      <c r="N70" s="144"/>
      <c r="O70" s="56" cm="1">
        <f t="array" ref="O70">IF(N70="X",(_xlfn.XLOOKUP($B70,Tabla1[SERVICIO],Tabla1[VALOR])*1),IF(N70&gt;=1,_xlfn.XLOOKUP($B70,Tabla1[SERVICIO],Tabla1[VALOR]*N70),0))</f>
        <v>0</v>
      </c>
      <c r="P70" s="144"/>
      <c r="Q70" s="56" cm="1">
        <f t="array" ref="Q70">IF(P70="X",(_xlfn.XLOOKUP($B70,Tabla1[SERVICIO],Tabla1[VALOR])*1),IF(P70&gt;=1,_xlfn.XLOOKUP($B70,Tabla1[SERVICIO],Tabla1[VALOR]*P70),0))</f>
        <v>0</v>
      </c>
      <c r="R70" s="144"/>
      <c r="S70" s="56" cm="1">
        <f t="array" ref="S70">IF(R70="X",(_xlfn.XLOOKUP($B70,Tabla1[SERVICIO],Tabla1[VALOR])*1),IF(R70&gt;=1,_xlfn.XLOOKUP($B70,Tabla1[SERVICIO],Tabla1[VALOR]*R70),0))</f>
        <v>0</v>
      </c>
      <c r="T70" s="144"/>
      <c r="U70" s="56" cm="1">
        <f t="array" ref="U70">IF(T70="X",(_xlfn.XLOOKUP($B70,Tabla1[SERVICIO],Tabla1[VALOR])*1),IF(T70&gt;=1,_xlfn.XLOOKUP($B70,Tabla1[SERVICIO],Tabla1[VALOR]*T70),0))</f>
        <v>0</v>
      </c>
      <c r="V70" s="144"/>
      <c r="W70" s="56" cm="1">
        <f t="array" ref="W70">IF(V70="X",(_xlfn.XLOOKUP($B70,Tabla1[SERVICIO],Tabla1[VALOR])*1),IF(V70&gt;=1,_xlfn.XLOOKUP($B70,Tabla1[SERVICIO],Tabla1[VALOR]*V70),0))</f>
        <v>0</v>
      </c>
      <c r="X70" s="144"/>
      <c r="Y70" s="56" cm="1">
        <f t="array" ref="Y70">IF(X70="X",(_xlfn.XLOOKUP($B70,Tabla1[SERVICIO],Tabla1[VALOR])*1),IF(X70&gt;=1,_xlfn.XLOOKUP($B70,Tabla1[SERVICIO],Tabla1[VALOR]*X70),0))</f>
        <v>0</v>
      </c>
      <c r="Z70" s="144"/>
      <c r="AA70" s="56">
        <v>0</v>
      </c>
      <c r="AB70" s="145"/>
      <c r="AC70" s="56">
        <v>0</v>
      </c>
      <c r="AD70" s="145"/>
      <c r="AE70" s="56">
        <v>0</v>
      </c>
      <c r="AF70" s="145"/>
      <c r="AG70" s="56">
        <v>0</v>
      </c>
      <c r="AH70" s="144"/>
      <c r="AI70" s="56">
        <v>0</v>
      </c>
      <c r="AJ70" s="144"/>
      <c r="AK70" s="56">
        <v>0</v>
      </c>
      <c r="AL70" s="144">
        <v>1</v>
      </c>
      <c r="AM70" s="56" cm="1">
        <f t="array" ref="AM70">IF(AL70="X",(_xlfn.XLOOKUP($B70,Tabla1[SERVICIO],Tabla1[VALOR])*1),IF(AL70&gt;=1,_xlfn.XLOOKUP($B70,Tabla1[SERVICIO],Tabla1[VALOR]*AL70),0))</f>
        <v>21014.39667403782</v>
      </c>
      <c r="AN70" s="81">
        <f t="shared" si="1"/>
        <v>21014.39667403782</v>
      </c>
      <c r="AO70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0" s="104" t="s">
        <v>318</v>
      </c>
      <c r="AQ70" s="119">
        <v>0.72598162071846284</v>
      </c>
      <c r="AR70" s="121">
        <f>+Tabla41429[[#This Row],[TOTAL]]*Tabla41429[[#This Row],[% de las personas que lo usaron]]</f>
        <v>15256.065755838652</v>
      </c>
      <c r="AS70" s="104" t="s">
        <v>349</v>
      </c>
      <c r="AT70" s="335">
        <v>18</v>
      </c>
    </row>
    <row r="71" spans="1:46" x14ac:dyDescent="0.25">
      <c r="A71" s="7" t="s">
        <v>44</v>
      </c>
      <c r="B71" s="8" t="s">
        <v>229</v>
      </c>
      <c r="C71" s="96" t="str">
        <f>_xlfn.XLOOKUP(Tabla41429[[#This Row],[Servicios del Programa:]],Tabla151[CODIGO],Tabla151[VALOR])</f>
        <v>Terapias</v>
      </c>
      <c r="D71" s="144">
        <v>1</v>
      </c>
      <c r="E71" s="56" cm="1">
        <f t="array" ref="E71">IF(D71="X",(_xlfn.XLOOKUP($B71,Tabla1[SERVICIO],Tabla1[VALOR])*1),IF(D71&gt;=1,_xlfn.XLOOKUP($B71,Tabla1[SERVICIO],Tabla1[VALOR]*D71),0))</f>
        <v>31714.220952863223</v>
      </c>
      <c r="F71" s="144"/>
      <c r="G71" s="56" cm="1">
        <f t="array" ref="G71">IF(F71="X",(_xlfn.XLOOKUP($B71,Tabla1[SERVICIO],Tabla1[VALOR])*1),IF(F71&gt;=1,_xlfn.XLOOKUP($B71,Tabla1[SERVICIO],Tabla1[VALOR]*F71),0))</f>
        <v>0</v>
      </c>
      <c r="H71" s="144"/>
      <c r="I71" s="56" cm="1">
        <f t="array" ref="I71">IF(H71="X",(_xlfn.XLOOKUP($B71,Tabla1[SERVICIO],Tabla1[VALOR])*1),IF(H71&gt;=1,_xlfn.XLOOKUP($B71,Tabla1[SERVICIO],Tabla1[VALOR]*H71),0))</f>
        <v>0</v>
      </c>
      <c r="J71" s="144"/>
      <c r="K71" s="56" cm="1">
        <f t="array" ref="K71">IF(J71="X",(_xlfn.XLOOKUP($B71,Tabla1[SERVICIO],Tabla1[VALOR])*1),IF(J71&gt;=1,_xlfn.XLOOKUP($B71,Tabla1[SERVICIO],Tabla1[VALOR]*J71),0))</f>
        <v>0</v>
      </c>
      <c r="L71" s="144"/>
      <c r="M71" s="56" cm="1">
        <f t="array" ref="M71">IF(L71="X",(_xlfn.XLOOKUP($B71,Tabla1[SERVICIO],Tabla1[VALOR])*1),IF(L71&gt;=1,_xlfn.XLOOKUP($B71,Tabla1[SERVICIO],Tabla1[VALOR]*L71),0))</f>
        <v>0</v>
      </c>
      <c r="N71" s="144"/>
      <c r="O71" s="56" cm="1">
        <f t="array" ref="O71">IF(N71="X",(_xlfn.XLOOKUP($B71,Tabla1[SERVICIO],Tabla1[VALOR])*1),IF(N71&gt;=1,_xlfn.XLOOKUP($B71,Tabla1[SERVICIO],Tabla1[VALOR]*N71),0))</f>
        <v>0</v>
      </c>
      <c r="P71" s="144"/>
      <c r="Q71" s="56" cm="1">
        <f t="array" ref="Q71">IF(P71="X",(_xlfn.XLOOKUP($B71,Tabla1[SERVICIO],Tabla1[VALOR])*1),IF(P71&gt;=1,_xlfn.XLOOKUP($B71,Tabla1[SERVICIO],Tabla1[VALOR]*P71),0))</f>
        <v>0</v>
      </c>
      <c r="R71" s="144"/>
      <c r="S71" s="56" cm="1">
        <f t="array" ref="S71">IF(R71="X",(_xlfn.XLOOKUP($B71,Tabla1[SERVICIO],Tabla1[VALOR])*1),IF(R71&gt;=1,_xlfn.XLOOKUP($B71,Tabla1[SERVICIO],Tabla1[VALOR]*R71),0))</f>
        <v>0</v>
      </c>
      <c r="T71" s="144"/>
      <c r="U71" s="56" cm="1">
        <f t="array" ref="U71">IF(T71="X",(_xlfn.XLOOKUP($B71,Tabla1[SERVICIO],Tabla1[VALOR])*1),IF(T71&gt;=1,_xlfn.XLOOKUP($B71,Tabla1[SERVICIO],Tabla1[VALOR]*T71),0))</f>
        <v>0</v>
      </c>
      <c r="V71" s="144"/>
      <c r="W71" s="56" cm="1">
        <f t="array" ref="W71">IF(V71="X",(_xlfn.XLOOKUP($B71,Tabla1[SERVICIO],Tabla1[VALOR])*1),IF(V71&gt;=1,_xlfn.XLOOKUP($B71,Tabla1[SERVICIO],Tabla1[VALOR]*V71),0))</f>
        <v>0</v>
      </c>
      <c r="X71" s="144"/>
      <c r="Y71" s="56" cm="1">
        <f t="array" ref="Y71">IF(X71="X",(_xlfn.XLOOKUP($B71,Tabla1[SERVICIO],Tabla1[VALOR])*1),IF(X71&gt;=1,_xlfn.XLOOKUP($B71,Tabla1[SERVICIO],Tabla1[VALOR]*X71),0))</f>
        <v>0</v>
      </c>
      <c r="Z71" s="144"/>
      <c r="AA71" s="56">
        <v>0</v>
      </c>
      <c r="AB71" s="144"/>
      <c r="AC71" s="56">
        <v>0</v>
      </c>
      <c r="AD71" s="144"/>
      <c r="AE71" s="56">
        <v>0</v>
      </c>
      <c r="AF71" s="144"/>
      <c r="AG71" s="56">
        <v>0</v>
      </c>
      <c r="AH71" s="144"/>
      <c r="AI71" s="56">
        <v>0</v>
      </c>
      <c r="AJ71" s="144"/>
      <c r="AK71" s="56">
        <v>0</v>
      </c>
      <c r="AL71" s="144"/>
      <c r="AM71" s="56" cm="1">
        <f t="array" ref="AM71">IF(AL71="X",(_xlfn.XLOOKUP($B71,Tabla1[SERVICIO],Tabla1[VALOR])*1),IF(AL71&gt;=1,_xlfn.XLOOKUP($B71,Tabla1[SERVICIO],Tabla1[VALOR]*AL71),0))</f>
        <v>0</v>
      </c>
      <c r="AN71" s="81">
        <f t="shared" si="1"/>
        <v>31714.220952863223</v>
      </c>
      <c r="AO71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1" s="104" t="s">
        <v>319</v>
      </c>
      <c r="AQ71" s="119">
        <v>0.11445279866332497</v>
      </c>
      <c r="AR71" s="121">
        <f>+Tabla41429[[#This Row],[TOTAL]]*Tabla41429[[#This Row],[% de las personas que lo usaron]]</f>
        <v>3629.7813454822567</v>
      </c>
      <c r="AS71" s="104" t="s">
        <v>349</v>
      </c>
      <c r="AT71" s="335">
        <v>18</v>
      </c>
    </row>
    <row r="72" spans="1:46" x14ac:dyDescent="0.25">
      <c r="A72" s="7" t="s">
        <v>42</v>
      </c>
      <c r="B72" s="8" t="s">
        <v>228</v>
      </c>
      <c r="C72" s="96" t="str">
        <f>_xlfn.XLOOKUP(Tabla41429[[#This Row],[Servicios del Programa:]],Tabla151[CODIGO],Tabla151[VALOR])</f>
        <v>Terapias</v>
      </c>
      <c r="D72" s="144">
        <v>1</v>
      </c>
      <c r="E72" s="56" cm="1">
        <f t="array" ref="E72">IF(D72="X",(_xlfn.XLOOKUP($B72,Tabla1[SERVICIO],Tabla1[VALOR])*1),IF(D72&gt;=1,_xlfn.XLOOKUP($B72,Tabla1[SERVICIO],Tabla1[VALOR]*D72),0))</f>
        <v>31714.220952863223</v>
      </c>
      <c r="F72" s="144"/>
      <c r="G72" s="56" cm="1">
        <f t="array" ref="G72">IF(F72="X",(_xlfn.XLOOKUP($B72,Tabla1[SERVICIO],Tabla1[VALOR])*1),IF(F72&gt;=1,_xlfn.XLOOKUP($B72,Tabla1[SERVICIO],Tabla1[VALOR]*F72),0))</f>
        <v>0</v>
      </c>
      <c r="H72" s="144"/>
      <c r="I72" s="56" cm="1">
        <f t="array" ref="I72">IF(H72="X",(_xlfn.XLOOKUP($B72,Tabla1[SERVICIO],Tabla1[VALOR])*1),IF(H72&gt;=1,_xlfn.XLOOKUP($B72,Tabla1[SERVICIO],Tabla1[VALOR]*H72),0))</f>
        <v>0</v>
      </c>
      <c r="J72" s="144"/>
      <c r="K72" s="56" cm="1">
        <f t="array" ref="K72">IF(J72="X",(_xlfn.XLOOKUP($B72,Tabla1[SERVICIO],Tabla1[VALOR])*1),IF(J72&gt;=1,_xlfn.XLOOKUP($B72,Tabla1[SERVICIO],Tabla1[VALOR]*J72),0))</f>
        <v>0</v>
      </c>
      <c r="L72" s="144"/>
      <c r="M72" s="56" cm="1">
        <f t="array" ref="M72">IF(L72="X",(_xlfn.XLOOKUP($B72,Tabla1[SERVICIO],Tabla1[VALOR])*1),IF(L72&gt;=1,_xlfn.XLOOKUP($B72,Tabla1[SERVICIO],Tabla1[VALOR]*L72),0))</f>
        <v>0</v>
      </c>
      <c r="N72" s="144"/>
      <c r="O72" s="56" cm="1">
        <f t="array" ref="O72">IF(N72="X",(_xlfn.XLOOKUP($B72,Tabla1[SERVICIO],Tabla1[VALOR])*1),IF(N72&gt;=1,_xlfn.XLOOKUP($B72,Tabla1[SERVICIO],Tabla1[VALOR]*N72),0))</f>
        <v>0</v>
      </c>
      <c r="P72" s="144"/>
      <c r="Q72" s="56" cm="1">
        <f t="array" ref="Q72">IF(P72="X",(_xlfn.XLOOKUP($B72,Tabla1[SERVICIO],Tabla1[VALOR])*1),IF(P72&gt;=1,_xlfn.XLOOKUP($B72,Tabla1[SERVICIO],Tabla1[VALOR]*P72),0))</f>
        <v>0</v>
      </c>
      <c r="R72" s="144"/>
      <c r="S72" s="56" cm="1">
        <f t="array" ref="S72">IF(R72="X",(_xlfn.XLOOKUP($B72,Tabla1[SERVICIO],Tabla1[VALOR])*1),IF(R72&gt;=1,_xlfn.XLOOKUP($B72,Tabla1[SERVICIO],Tabla1[VALOR]*R72),0))</f>
        <v>0</v>
      </c>
      <c r="T72" s="144"/>
      <c r="U72" s="56" cm="1">
        <f t="array" ref="U72">IF(T72="X",(_xlfn.XLOOKUP($B72,Tabla1[SERVICIO],Tabla1[VALOR])*1),IF(T72&gt;=1,_xlfn.XLOOKUP($B72,Tabla1[SERVICIO],Tabla1[VALOR]*T72),0))</f>
        <v>0</v>
      </c>
      <c r="V72" s="144"/>
      <c r="W72" s="56" cm="1">
        <f t="array" ref="W72">IF(V72="X",(_xlfn.XLOOKUP($B72,Tabla1[SERVICIO],Tabla1[VALOR])*1),IF(V72&gt;=1,_xlfn.XLOOKUP($B72,Tabla1[SERVICIO],Tabla1[VALOR]*V72),0))</f>
        <v>0</v>
      </c>
      <c r="X72" s="144"/>
      <c r="Y72" s="56" cm="1">
        <f t="array" ref="Y72">IF(X72="X",(_xlfn.XLOOKUP($B72,Tabla1[SERVICIO],Tabla1[VALOR])*1),IF(X72&gt;=1,_xlfn.XLOOKUP($B72,Tabla1[SERVICIO],Tabla1[VALOR]*X72),0))</f>
        <v>0</v>
      </c>
      <c r="Z72" s="144"/>
      <c r="AA72" s="56">
        <v>0</v>
      </c>
      <c r="AB72" s="144"/>
      <c r="AC72" s="56">
        <v>0</v>
      </c>
      <c r="AD72" s="144"/>
      <c r="AE72" s="56">
        <v>0</v>
      </c>
      <c r="AF72" s="144"/>
      <c r="AG72" s="56">
        <v>0</v>
      </c>
      <c r="AH72" s="144"/>
      <c r="AI72" s="56">
        <v>0</v>
      </c>
      <c r="AJ72" s="144"/>
      <c r="AK72" s="56">
        <v>0</v>
      </c>
      <c r="AL72" s="144"/>
      <c r="AM72" s="56" cm="1">
        <f t="array" ref="AM72">IF(AL72="X",(_xlfn.XLOOKUP($B72,Tabla1[SERVICIO],Tabla1[VALOR])*1),IF(AL72&gt;=1,_xlfn.XLOOKUP($B72,Tabla1[SERVICIO],Tabla1[VALOR]*AL72),0))</f>
        <v>0</v>
      </c>
      <c r="AN72" s="81">
        <f t="shared" si="1"/>
        <v>31714.220952863223</v>
      </c>
      <c r="AO72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2" s="104" t="s">
        <v>319</v>
      </c>
      <c r="AQ72" s="119">
        <v>5.5973266499582286E-2</v>
      </c>
      <c r="AR72" s="121">
        <f>+Tabla41429[[#This Row],[TOTAL]]*Tabla41429[[#This Row],[% de las personas que lo usaron]]</f>
        <v>1775.1485412212496</v>
      </c>
      <c r="AS72" s="104" t="s">
        <v>349</v>
      </c>
      <c r="AT72" s="335">
        <v>18</v>
      </c>
    </row>
    <row r="73" spans="1:46" x14ac:dyDescent="0.25">
      <c r="A73" s="7" t="s">
        <v>50</v>
      </c>
      <c r="B73" s="8" t="s">
        <v>101</v>
      </c>
      <c r="C73" s="96" t="str">
        <f>_xlfn.XLOOKUP(Tabla41429[[#This Row],[Servicios del Programa:]],Tabla151[CODIGO],Tabla151[VALOR])</f>
        <v>Diagnosticos</v>
      </c>
      <c r="D73" s="144">
        <v>1</v>
      </c>
      <c r="E73" s="56" cm="1">
        <f t="array" ref="E73">IF(D73="X",(_xlfn.XLOOKUP($B73,Tabla1[SERVICIO],Tabla1[VALOR])*1),IF(D73&gt;=1,_xlfn.XLOOKUP($B73,Tabla1[SERVICIO],Tabla1[VALOR]*D73),0))</f>
        <v>67391.281653480837</v>
      </c>
      <c r="F73" s="144"/>
      <c r="G73" s="56" cm="1">
        <f t="array" ref="G73">IF(F73="X",(_xlfn.XLOOKUP($B73,Tabla1[SERVICIO],Tabla1[VALOR])*1),IF(F73&gt;=1,_xlfn.XLOOKUP($B73,Tabla1[SERVICIO],Tabla1[VALOR]*F73),0))</f>
        <v>0</v>
      </c>
      <c r="H73" s="144"/>
      <c r="I73" s="56" cm="1">
        <f t="array" ref="I73">IF(H73="X",(_xlfn.XLOOKUP($B73,Tabla1[SERVICIO],Tabla1[VALOR])*1),IF(H73&gt;=1,_xlfn.XLOOKUP($B73,Tabla1[SERVICIO],Tabla1[VALOR]*H73),0))</f>
        <v>0</v>
      </c>
      <c r="J73" s="144"/>
      <c r="K73" s="56" cm="1">
        <f t="array" ref="K73">IF(J73="X",(_xlfn.XLOOKUP($B73,Tabla1[SERVICIO],Tabla1[VALOR])*1),IF(J73&gt;=1,_xlfn.XLOOKUP($B73,Tabla1[SERVICIO],Tabla1[VALOR]*J73),0))</f>
        <v>0</v>
      </c>
      <c r="L73" s="144"/>
      <c r="M73" s="56" cm="1">
        <f t="array" ref="M73">IF(L73="X",(_xlfn.XLOOKUP($B73,Tabla1[SERVICIO],Tabla1[VALOR])*1),IF(L73&gt;=1,_xlfn.XLOOKUP($B73,Tabla1[SERVICIO],Tabla1[VALOR]*L73),0))</f>
        <v>0</v>
      </c>
      <c r="N73" s="144"/>
      <c r="O73" s="56" cm="1">
        <f t="array" ref="O73">IF(N73="X",(_xlfn.XLOOKUP($B73,Tabla1[SERVICIO],Tabla1[VALOR])*1),IF(N73&gt;=1,_xlfn.XLOOKUP($B73,Tabla1[SERVICIO],Tabla1[VALOR]*N73),0))</f>
        <v>0</v>
      </c>
      <c r="P73" s="144"/>
      <c r="Q73" s="56" cm="1">
        <f t="array" ref="Q73">IF(P73="X",(_xlfn.XLOOKUP($B73,Tabla1[SERVICIO],Tabla1[VALOR])*1),IF(P73&gt;=1,_xlfn.XLOOKUP($B73,Tabla1[SERVICIO],Tabla1[VALOR]*P73),0))</f>
        <v>0</v>
      </c>
      <c r="R73" s="144"/>
      <c r="S73" s="56" cm="1">
        <f t="array" ref="S73">IF(R73="X",(_xlfn.XLOOKUP($B73,Tabla1[SERVICIO],Tabla1[VALOR])*1),IF(R73&gt;=1,_xlfn.XLOOKUP($B73,Tabla1[SERVICIO],Tabla1[VALOR]*R73),0))</f>
        <v>0</v>
      </c>
      <c r="T73" s="144"/>
      <c r="U73" s="56" cm="1">
        <f t="array" ref="U73">IF(T73="X",(_xlfn.XLOOKUP($B73,Tabla1[SERVICIO],Tabla1[VALOR])*1),IF(T73&gt;=1,_xlfn.XLOOKUP($B73,Tabla1[SERVICIO],Tabla1[VALOR]*T73),0))</f>
        <v>0</v>
      </c>
      <c r="V73" s="144"/>
      <c r="W73" s="56" cm="1">
        <f t="array" ref="W73">IF(V73="X",(_xlfn.XLOOKUP($B73,Tabla1[SERVICIO],Tabla1[VALOR])*1),IF(V73&gt;=1,_xlfn.XLOOKUP($B73,Tabla1[SERVICIO],Tabla1[VALOR]*V73),0))</f>
        <v>0</v>
      </c>
      <c r="X73" s="144"/>
      <c r="Y73" s="56" cm="1">
        <f t="array" ref="Y73">IF(X73="X",(_xlfn.XLOOKUP($B73,Tabla1[SERVICIO],Tabla1[VALOR])*1),IF(X73&gt;=1,_xlfn.XLOOKUP($B73,Tabla1[SERVICIO],Tabla1[VALOR]*X73),0))</f>
        <v>0</v>
      </c>
      <c r="Z73" s="144"/>
      <c r="AA73" s="56">
        <v>0</v>
      </c>
      <c r="AB73" s="145"/>
      <c r="AC73" s="56">
        <v>0</v>
      </c>
      <c r="AD73" s="145"/>
      <c r="AE73" s="56">
        <v>0</v>
      </c>
      <c r="AF73" s="145"/>
      <c r="AG73" s="56">
        <v>0</v>
      </c>
      <c r="AH73" s="144"/>
      <c r="AI73" s="56">
        <v>0</v>
      </c>
      <c r="AJ73" s="144"/>
      <c r="AK73" s="56">
        <v>0</v>
      </c>
      <c r="AL73" s="144"/>
      <c r="AM73" s="56" cm="1">
        <f t="array" ref="AM73">IF(AL73="X",(_xlfn.XLOOKUP($B73,Tabla1[SERVICIO],Tabla1[VALOR])*1),IF(AL73&gt;=1,_xlfn.XLOOKUP($B73,Tabla1[SERVICIO],Tabla1[VALOR]*AL73),0))</f>
        <v>0</v>
      </c>
      <c r="AN73" s="81">
        <f t="shared" si="1"/>
        <v>67391.281653480837</v>
      </c>
      <c r="AO73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3" s="104" t="s">
        <v>319</v>
      </c>
      <c r="AQ73" s="119">
        <v>5.5973266499582286E-2</v>
      </c>
      <c r="AR73" s="121">
        <f>+Tabla41429[[#This Row],[TOTAL]]*Tabla41429[[#This Row],[% de las personas que lo usaron]]</f>
        <v>3772.1101677386932</v>
      </c>
      <c r="AS73" s="104" t="s">
        <v>349</v>
      </c>
      <c r="AT73" s="335">
        <v>18</v>
      </c>
    </row>
    <row r="74" spans="1:46" x14ac:dyDescent="0.25">
      <c r="A74" s="7" t="s">
        <v>54</v>
      </c>
      <c r="B74" s="8" t="s">
        <v>227</v>
      </c>
      <c r="C74" s="96" t="str">
        <f>_xlfn.XLOOKUP(Tabla41429[[#This Row],[Servicios del Programa:]],Tabla151[CODIGO],Tabla151[VALOR])</f>
        <v>Gestion y seguimiento</v>
      </c>
      <c r="D74" s="144"/>
      <c r="E74" s="56" cm="1">
        <f t="array" ref="E74">IF(D74="X",(_xlfn.XLOOKUP($B74,Tabla1[SERVICIO],Tabla1[VALOR])*1),IF(D74&gt;=1,_xlfn.XLOOKUP($B74,Tabla1[SERVICIO],Tabla1[VALOR]*D74),0))</f>
        <v>0</v>
      </c>
      <c r="F74" s="144"/>
      <c r="G74" s="56" cm="1">
        <f t="array" ref="G74">IF(F74="X",(_xlfn.XLOOKUP($B74,Tabla1[SERVICIO],Tabla1[VALOR])*1),IF(F74&gt;=1,_xlfn.XLOOKUP($B74,Tabla1[SERVICIO],Tabla1[VALOR]*F74),0))</f>
        <v>0</v>
      </c>
      <c r="H74" s="144"/>
      <c r="I74" s="56" cm="1">
        <f t="array" ref="I74">IF(H74="X",(_xlfn.XLOOKUP($B74,Tabla1[SERVICIO],Tabla1[VALOR])*1),IF(H74&gt;=1,_xlfn.XLOOKUP($B74,Tabla1[SERVICIO],Tabla1[VALOR]*H74),0))</f>
        <v>0</v>
      </c>
      <c r="J74" s="144"/>
      <c r="K74" s="56" cm="1">
        <f t="array" ref="K74">IF(J74="X",(_xlfn.XLOOKUP($B74,Tabla1[SERVICIO],Tabla1[VALOR])*1),IF(J74&gt;=1,_xlfn.XLOOKUP($B74,Tabla1[SERVICIO],Tabla1[VALOR]*J74),0))</f>
        <v>0</v>
      </c>
      <c r="L74" s="144"/>
      <c r="M74" s="56" cm="1">
        <f t="array" ref="M74">IF(L74="X",(_xlfn.XLOOKUP($B74,Tabla1[SERVICIO],Tabla1[VALOR])*1),IF(L74&gt;=1,_xlfn.XLOOKUP($B74,Tabla1[SERVICIO],Tabla1[VALOR]*L74),0))</f>
        <v>0</v>
      </c>
      <c r="N74" s="144">
        <v>1</v>
      </c>
      <c r="O74" s="56" cm="1">
        <f t="array" ref="O74">IF(N74="X",(_xlfn.XLOOKUP($B74,Tabla1[SERVICIO],Tabla1[VALOR])*1),IF(N74&gt;=1,_xlfn.XLOOKUP($B74,Tabla1[SERVICIO],Tabla1[VALOR]*N74),0))</f>
        <v>145259.19237771924</v>
      </c>
      <c r="P74" s="144"/>
      <c r="Q74" s="56" cm="1">
        <f t="array" ref="Q74">IF(P74="X",(_xlfn.XLOOKUP($B74,Tabla1[SERVICIO],Tabla1[VALOR])*1),IF(P74&gt;=1,_xlfn.XLOOKUP($B74,Tabla1[SERVICIO],Tabla1[VALOR]*P74),0))</f>
        <v>0</v>
      </c>
      <c r="R74" s="144"/>
      <c r="S74" s="56" cm="1">
        <f t="array" ref="S74">IF(R74="X",(_xlfn.XLOOKUP($B74,Tabla1[SERVICIO],Tabla1[VALOR])*1),IF(R74&gt;=1,_xlfn.XLOOKUP($B74,Tabla1[SERVICIO],Tabla1[VALOR]*R74),0))</f>
        <v>0</v>
      </c>
      <c r="T74" s="144"/>
      <c r="U74" s="56" cm="1">
        <f t="array" ref="U74">IF(T74="X",(_xlfn.XLOOKUP($B74,Tabla1[SERVICIO],Tabla1[VALOR])*1),IF(T74&gt;=1,_xlfn.XLOOKUP($B74,Tabla1[SERVICIO],Tabla1[VALOR]*T74),0))</f>
        <v>0</v>
      </c>
      <c r="V74" s="144"/>
      <c r="W74" s="56" cm="1">
        <f t="array" ref="W74">IF(V74="X",(_xlfn.XLOOKUP($B74,Tabla1[SERVICIO],Tabla1[VALOR])*1),IF(V74&gt;=1,_xlfn.XLOOKUP($B74,Tabla1[SERVICIO],Tabla1[VALOR]*V74),0))</f>
        <v>0</v>
      </c>
      <c r="X74" s="144"/>
      <c r="Y74" s="56" cm="1">
        <f t="array" ref="Y74">IF(X74="X",(_xlfn.XLOOKUP($B74,Tabla1[SERVICIO],Tabla1[VALOR])*1),IF(X74&gt;=1,_xlfn.XLOOKUP($B74,Tabla1[SERVICIO],Tabla1[VALOR]*X74),0))</f>
        <v>0</v>
      </c>
      <c r="Z74" s="144"/>
      <c r="AA74" s="56">
        <v>0</v>
      </c>
      <c r="AB74" s="145"/>
      <c r="AC74" s="56">
        <v>0</v>
      </c>
      <c r="AD74" s="145"/>
      <c r="AE74" s="56">
        <v>0</v>
      </c>
      <c r="AF74" s="145"/>
      <c r="AG74" s="56">
        <v>0</v>
      </c>
      <c r="AH74" s="144"/>
      <c r="AI74" s="56">
        <v>0</v>
      </c>
      <c r="AJ74" s="144"/>
      <c r="AK74" s="56">
        <v>0</v>
      </c>
      <c r="AL74" s="144"/>
      <c r="AM74" s="56" cm="1">
        <f t="array" ref="AM74">IF(AL74="X",(_xlfn.XLOOKUP($B74,Tabla1[SERVICIO],Tabla1[VALOR])*1),IF(AL74&gt;=1,_xlfn.XLOOKUP($B74,Tabla1[SERVICIO],Tabla1[VALOR]*AL74),0))</f>
        <v>0</v>
      </c>
      <c r="AN74" s="81">
        <f t="shared" si="1"/>
        <v>145259.19237771924</v>
      </c>
      <c r="AO74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4" s="104" t="s">
        <v>319</v>
      </c>
      <c r="AQ74" s="119">
        <v>3.5087719298245612E-2</v>
      </c>
      <c r="AR74" s="121">
        <f>+Tabla41429[[#This Row],[TOTAL]]*Tabla41429[[#This Row],[% de las personas que lo usaron]]</f>
        <v>5096.8137676392716</v>
      </c>
      <c r="AS74" s="104" t="s">
        <v>349</v>
      </c>
      <c r="AT74" s="335">
        <v>18</v>
      </c>
    </row>
    <row r="75" spans="1:46" x14ac:dyDescent="0.25">
      <c r="A75" s="7" t="s">
        <v>38</v>
      </c>
      <c r="B75" s="8" t="s">
        <v>102</v>
      </c>
      <c r="C75" s="96" t="str">
        <f>_xlfn.XLOOKUP(Tabla41429[[#This Row],[Servicios del Programa:]],Tabla151[CODIGO],Tabla151[VALOR])</f>
        <v>Consultas</v>
      </c>
      <c r="D75" s="144"/>
      <c r="E75" s="56" cm="1">
        <f t="array" ref="E75">IF(D75="X",(_xlfn.XLOOKUP($B75,Tabla1[SERVICIO],Tabla1[VALOR])*1),IF(D75&gt;=1,_xlfn.XLOOKUP($B75,Tabla1[SERVICIO],Tabla1[VALOR]*D75),0))</f>
        <v>0</v>
      </c>
      <c r="F75" s="144"/>
      <c r="G75" s="56" cm="1">
        <f t="array" ref="G75">IF(F75="X",(_xlfn.XLOOKUP($B75,Tabla1[SERVICIO],Tabla1[VALOR])*1),IF(F75&gt;=1,_xlfn.XLOOKUP($B75,Tabla1[SERVICIO],Tabla1[VALOR]*F75),0))</f>
        <v>0</v>
      </c>
      <c r="H75" s="144"/>
      <c r="I75" s="56" cm="1">
        <f t="array" ref="I75">IF(H75="X",(_xlfn.XLOOKUP($B75,Tabla1[SERVICIO],Tabla1[VALOR])*1),IF(H75&gt;=1,_xlfn.XLOOKUP($B75,Tabla1[SERVICIO],Tabla1[VALOR]*H75),0))</f>
        <v>0</v>
      </c>
      <c r="J75" s="144"/>
      <c r="K75" s="56" cm="1">
        <f t="array" ref="K75">IF(J75="X",(_xlfn.XLOOKUP($B75,Tabla1[SERVICIO],Tabla1[VALOR])*1),IF(J75&gt;=1,_xlfn.XLOOKUP($B75,Tabla1[SERVICIO],Tabla1[VALOR]*J75),0))</f>
        <v>0</v>
      </c>
      <c r="L75" s="144"/>
      <c r="M75" s="56" cm="1">
        <f t="array" ref="M75">IF(L75="X",(_xlfn.XLOOKUP($B75,Tabla1[SERVICIO],Tabla1[VALOR])*1),IF(L75&gt;=1,_xlfn.XLOOKUP($B75,Tabla1[SERVICIO],Tabla1[VALOR]*L75),0))</f>
        <v>0</v>
      </c>
      <c r="N75" s="144"/>
      <c r="O75" s="56" cm="1">
        <f t="array" ref="O75">IF(N75="X",(_xlfn.XLOOKUP($B75,Tabla1[SERVICIO],Tabla1[VALOR])*1),IF(N75&gt;=1,_xlfn.XLOOKUP($B75,Tabla1[SERVICIO],Tabla1[VALOR]*N75),0))</f>
        <v>0</v>
      </c>
      <c r="P75" s="144">
        <v>1</v>
      </c>
      <c r="Q75" s="56" cm="1">
        <f t="array" ref="Q75">IF(P75="X",(_xlfn.XLOOKUP($B75,Tabla1[SERVICIO],Tabla1[VALOR])*1),IF(P75&gt;=1,_xlfn.XLOOKUP($B75,Tabla1[SERVICIO],Tabla1[VALOR]*P75),0))</f>
        <v>56420.692787682223</v>
      </c>
      <c r="R75" s="144"/>
      <c r="S75" s="56" cm="1">
        <f t="array" ref="S75">IF(R75="X",(_xlfn.XLOOKUP($B75,Tabla1[SERVICIO],Tabla1[VALOR])*1),IF(R75&gt;=1,_xlfn.XLOOKUP($B75,Tabla1[SERVICIO],Tabla1[VALOR]*R75),0))</f>
        <v>0</v>
      </c>
      <c r="T75" s="144"/>
      <c r="U75" s="56" cm="1">
        <f t="array" ref="U75">IF(T75="X",(_xlfn.XLOOKUP($B75,Tabla1[SERVICIO],Tabla1[VALOR])*1),IF(T75&gt;=1,_xlfn.XLOOKUP($B75,Tabla1[SERVICIO],Tabla1[VALOR]*T75),0))</f>
        <v>0</v>
      </c>
      <c r="V75" s="144"/>
      <c r="W75" s="56" cm="1">
        <f t="array" ref="W75">IF(V75="X",(_xlfn.XLOOKUP($B75,Tabla1[SERVICIO],Tabla1[VALOR])*1),IF(V75&gt;=1,_xlfn.XLOOKUP($B75,Tabla1[SERVICIO],Tabla1[VALOR]*V75),0))</f>
        <v>0</v>
      </c>
      <c r="X75" s="144"/>
      <c r="Y75" s="56" cm="1">
        <f t="array" ref="Y75">IF(X75="X",(_xlfn.XLOOKUP($B75,Tabla1[SERVICIO],Tabla1[VALOR])*1),IF(X75&gt;=1,_xlfn.XLOOKUP($B75,Tabla1[SERVICIO],Tabla1[VALOR]*X75),0))</f>
        <v>0</v>
      </c>
      <c r="Z75" s="144"/>
      <c r="AA75" s="56">
        <v>0</v>
      </c>
      <c r="AB75" s="145"/>
      <c r="AC75" s="56">
        <v>0</v>
      </c>
      <c r="AD75" s="145"/>
      <c r="AE75" s="56">
        <v>0</v>
      </c>
      <c r="AF75" s="145"/>
      <c r="AG75" s="56">
        <v>0</v>
      </c>
      <c r="AH75" s="144"/>
      <c r="AI75" s="56">
        <v>0</v>
      </c>
      <c r="AJ75" s="144"/>
      <c r="AK75" s="56">
        <v>0</v>
      </c>
      <c r="AL75" s="144"/>
      <c r="AM75" s="56" cm="1">
        <f t="array" ref="AM75">IF(AL75="X",(_xlfn.XLOOKUP($B75,Tabla1[SERVICIO],Tabla1[VALOR])*1),IF(AL75&gt;=1,_xlfn.XLOOKUP($B75,Tabla1[SERVICIO],Tabla1[VALOR]*AL75),0))</f>
        <v>0</v>
      </c>
      <c r="AN75" s="81">
        <f t="shared" si="1"/>
        <v>56420.692787682223</v>
      </c>
      <c r="AO75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5" s="104" t="s">
        <v>319</v>
      </c>
      <c r="AQ75" s="119">
        <v>0.46031746031746029</v>
      </c>
      <c r="AR75" s="121">
        <f>+Tabla41429[[#This Row],[TOTAL]]*Tabla41429[[#This Row],[% de las personas que lo usaron]]</f>
        <v>25971.430013377529</v>
      </c>
      <c r="AS75" s="104" t="s">
        <v>349</v>
      </c>
      <c r="AT75" s="335">
        <v>18</v>
      </c>
    </row>
    <row r="76" spans="1:46" x14ac:dyDescent="0.25">
      <c r="A76" s="7" t="s">
        <v>34</v>
      </c>
      <c r="B76" s="8" t="s">
        <v>35</v>
      </c>
      <c r="C76" s="96" t="str">
        <f>_xlfn.XLOOKUP(Tabla41429[[#This Row],[Servicios del Programa:]],Tabla151[CODIGO],Tabla151[VALOR])</f>
        <v>Consultas</v>
      </c>
      <c r="D76" s="144">
        <v>1</v>
      </c>
      <c r="E76" s="56" cm="1">
        <f t="array" ref="E76">IF(D76="X",(_xlfn.XLOOKUP($B76,Tabla1[SERVICIO],Tabla1[VALOR])*1),IF(D76&gt;=1,_xlfn.XLOOKUP($B76,Tabla1[SERVICIO],Tabla1[VALOR]*D76),0))</f>
        <v>24009.730401318589</v>
      </c>
      <c r="F76" s="144"/>
      <c r="G76" s="56" cm="1">
        <f t="array" ref="G76">IF(F76="X",(_xlfn.XLOOKUP($B76,Tabla1[SERVICIO],Tabla1[VALOR])*1),IF(F76&gt;=1,_xlfn.XLOOKUP($B76,Tabla1[SERVICIO],Tabla1[VALOR]*F76),0))</f>
        <v>0</v>
      </c>
      <c r="H76" s="144"/>
      <c r="I76" s="56" cm="1">
        <f t="array" ref="I76">IF(H76="X",(_xlfn.XLOOKUP($B76,Tabla1[SERVICIO],Tabla1[VALOR])*1),IF(H76&gt;=1,_xlfn.XLOOKUP($B76,Tabla1[SERVICIO],Tabla1[VALOR]*H76),0))</f>
        <v>0</v>
      </c>
      <c r="J76" s="144"/>
      <c r="K76" s="56" cm="1">
        <f t="array" ref="K76">IF(J76="X",(_xlfn.XLOOKUP($B76,Tabla1[SERVICIO],Tabla1[VALOR])*1),IF(J76&gt;=1,_xlfn.XLOOKUP($B76,Tabla1[SERVICIO],Tabla1[VALOR]*J76),0))</f>
        <v>0</v>
      </c>
      <c r="L76" s="144"/>
      <c r="M76" s="56" cm="1">
        <f t="array" ref="M76">IF(L76="X",(_xlfn.XLOOKUP($B76,Tabla1[SERVICIO],Tabla1[VALOR])*1),IF(L76&gt;=1,_xlfn.XLOOKUP($B76,Tabla1[SERVICIO],Tabla1[VALOR]*L76),0))</f>
        <v>0</v>
      </c>
      <c r="N76" s="144"/>
      <c r="O76" s="56" cm="1">
        <f t="array" ref="O76">IF(N76="X",(_xlfn.XLOOKUP($B76,Tabla1[SERVICIO],Tabla1[VALOR])*1),IF(N76&gt;=1,_xlfn.XLOOKUP($B76,Tabla1[SERVICIO],Tabla1[VALOR]*N76),0))</f>
        <v>0</v>
      </c>
      <c r="P76" s="144"/>
      <c r="Q76" s="56" cm="1">
        <f t="array" ref="Q76">IF(P76="X",(_xlfn.XLOOKUP($B76,Tabla1[SERVICIO],Tabla1[VALOR])*1),IF(P76&gt;=1,_xlfn.XLOOKUP($B76,Tabla1[SERVICIO],Tabla1[VALOR]*P76),0))</f>
        <v>0</v>
      </c>
      <c r="R76" s="144"/>
      <c r="S76" s="56" cm="1">
        <f t="array" ref="S76">IF(R76="X",(_xlfn.XLOOKUP($B76,Tabla1[SERVICIO],Tabla1[VALOR])*1),IF(R76&gt;=1,_xlfn.XLOOKUP($B76,Tabla1[SERVICIO],Tabla1[VALOR]*R76),0))</f>
        <v>0</v>
      </c>
      <c r="T76" s="144"/>
      <c r="U76" s="56" cm="1">
        <f t="array" ref="U76">IF(T76="X",(_xlfn.XLOOKUP($B76,Tabla1[SERVICIO],Tabla1[VALOR])*1),IF(T76&gt;=1,_xlfn.XLOOKUP($B76,Tabla1[SERVICIO],Tabla1[VALOR]*T76),0))</f>
        <v>0</v>
      </c>
      <c r="V76" s="144"/>
      <c r="W76" s="56" cm="1">
        <f t="array" ref="W76">IF(V76="X",(_xlfn.XLOOKUP($B76,Tabla1[SERVICIO],Tabla1[VALOR])*1),IF(V76&gt;=1,_xlfn.XLOOKUP($B76,Tabla1[SERVICIO],Tabla1[VALOR]*V76),0))</f>
        <v>0</v>
      </c>
      <c r="X76" s="144"/>
      <c r="Y76" s="56" cm="1">
        <f t="array" ref="Y76">IF(X76="X",(_xlfn.XLOOKUP($B76,Tabla1[SERVICIO],Tabla1[VALOR])*1),IF(X76&gt;=1,_xlfn.XLOOKUP($B76,Tabla1[SERVICIO],Tabla1[VALOR]*X76),0))</f>
        <v>0</v>
      </c>
      <c r="Z76" s="144"/>
      <c r="AA76" s="56">
        <v>0</v>
      </c>
      <c r="AB76" s="145"/>
      <c r="AC76" s="56">
        <v>0</v>
      </c>
      <c r="AD76" s="145"/>
      <c r="AE76" s="56">
        <v>0</v>
      </c>
      <c r="AF76" s="145"/>
      <c r="AG76" s="56">
        <v>0</v>
      </c>
      <c r="AH76" s="144"/>
      <c r="AI76" s="56">
        <v>0</v>
      </c>
      <c r="AJ76" s="144"/>
      <c r="AK76" s="56">
        <v>0</v>
      </c>
      <c r="AL76" s="144"/>
      <c r="AM76" s="56" cm="1">
        <f t="array" ref="AM76">IF(AL76="X",(_xlfn.XLOOKUP($B76,Tabla1[SERVICIO],Tabla1[VALOR])*1),IF(AL76&gt;=1,_xlfn.XLOOKUP($B76,Tabla1[SERVICIO],Tabla1[VALOR]*AL76),0))</f>
        <v>0</v>
      </c>
      <c r="AN76" s="81">
        <f t="shared" si="1"/>
        <v>24009.730401318589</v>
      </c>
      <c r="AO76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6" s="104" t="s">
        <v>319</v>
      </c>
      <c r="AQ76" s="119">
        <v>2.5062656641604009E-3</v>
      </c>
      <c r="AR76" s="121">
        <f>+Tabla41429[[#This Row],[TOTAL]]*Tabla41429[[#This Row],[% de las personas que lo usaron]]</f>
        <v>60.174762910572902</v>
      </c>
      <c r="AS76" s="104" t="s">
        <v>349</v>
      </c>
      <c r="AT76" s="335">
        <v>18</v>
      </c>
    </row>
    <row r="77" spans="1:46" x14ac:dyDescent="0.25">
      <c r="A77" s="7" t="s">
        <v>113</v>
      </c>
      <c r="B77" s="25" t="s">
        <v>116</v>
      </c>
      <c r="C77" s="96" t="str">
        <f>_xlfn.XLOOKUP(Tabla41429[[#This Row],[Servicios del Programa:]],Tabla151[CODIGO],Tabla151[VALOR])</f>
        <v>Consultas</v>
      </c>
      <c r="D77" s="144">
        <v>1</v>
      </c>
      <c r="E77" s="56" cm="1">
        <f t="array" ref="E77">IF(D77="X",(_xlfn.XLOOKUP($B77,Tabla1[SERVICIO],Tabla1[VALOR])*1),IF(D77&gt;=1,_xlfn.XLOOKUP($B77,Tabla1[SERVICIO],Tabla1[VALOR]*D77),0))</f>
        <v>60236.092716419647</v>
      </c>
      <c r="F77" s="144"/>
      <c r="G77" s="56" cm="1">
        <f t="array" ref="G77">IF(F77="X",(_xlfn.XLOOKUP($B77,Tabla1[SERVICIO],Tabla1[VALOR])*1),IF(F77&gt;=1,_xlfn.XLOOKUP($B77,Tabla1[SERVICIO],Tabla1[VALOR]*F77),0))</f>
        <v>0</v>
      </c>
      <c r="H77" s="144"/>
      <c r="I77" s="56" cm="1">
        <f t="array" ref="I77">IF(H77="X",(_xlfn.XLOOKUP($B77,Tabla1[SERVICIO],Tabla1[VALOR])*1),IF(H77&gt;=1,_xlfn.XLOOKUP($B77,Tabla1[SERVICIO],Tabla1[VALOR]*H77),0))</f>
        <v>0</v>
      </c>
      <c r="J77" s="144"/>
      <c r="K77" s="56" cm="1">
        <f t="array" ref="K77">IF(J77="X",(_xlfn.XLOOKUP($B77,Tabla1[SERVICIO],Tabla1[VALOR])*1),IF(J77&gt;=1,_xlfn.XLOOKUP($B77,Tabla1[SERVICIO],Tabla1[VALOR]*J77),0))</f>
        <v>0</v>
      </c>
      <c r="L77" s="144"/>
      <c r="M77" s="56" cm="1">
        <f t="array" ref="M77">IF(L77="X",(_xlfn.XLOOKUP($B77,Tabla1[SERVICIO],Tabla1[VALOR])*1),IF(L77&gt;=1,_xlfn.XLOOKUP($B77,Tabla1[SERVICIO],Tabla1[VALOR]*L77),0))</f>
        <v>0</v>
      </c>
      <c r="N77" s="144"/>
      <c r="O77" s="56" cm="1">
        <f t="array" ref="O77">IF(N77="X",(_xlfn.XLOOKUP($B77,Tabla1[SERVICIO],Tabla1[VALOR])*1),IF(N77&gt;=1,_xlfn.XLOOKUP($B77,Tabla1[SERVICIO],Tabla1[VALOR]*N77),0))</f>
        <v>0</v>
      </c>
      <c r="P77" s="144"/>
      <c r="Q77" s="56" cm="1">
        <f t="array" ref="Q77">IF(P77="X",(_xlfn.XLOOKUP($B77,Tabla1[SERVICIO],Tabla1[VALOR])*1),IF(P77&gt;=1,_xlfn.XLOOKUP($B77,Tabla1[SERVICIO],Tabla1[VALOR]*P77),0))</f>
        <v>0</v>
      </c>
      <c r="R77" s="144"/>
      <c r="S77" s="56" cm="1">
        <f t="array" ref="S77">IF(R77="X",(_xlfn.XLOOKUP($B77,Tabla1[SERVICIO],Tabla1[VALOR])*1),IF(R77&gt;=1,_xlfn.XLOOKUP($B77,Tabla1[SERVICIO],Tabla1[VALOR]*R77),0))</f>
        <v>0</v>
      </c>
      <c r="T77" s="144"/>
      <c r="U77" s="56" cm="1">
        <f t="array" ref="U77">IF(T77="X",(_xlfn.XLOOKUP($B77,Tabla1[SERVICIO],Tabla1[VALOR])*1),IF(T77&gt;=1,_xlfn.XLOOKUP($B77,Tabla1[SERVICIO],Tabla1[VALOR]*T77),0))</f>
        <v>0</v>
      </c>
      <c r="V77" s="144"/>
      <c r="W77" s="56" cm="1">
        <f t="array" ref="W77">IF(V77="X",(_xlfn.XLOOKUP($B77,Tabla1[SERVICIO],Tabla1[VALOR])*1),IF(V77&gt;=1,_xlfn.XLOOKUP($B77,Tabla1[SERVICIO],Tabla1[VALOR]*V77),0))</f>
        <v>0</v>
      </c>
      <c r="X77" s="144"/>
      <c r="Y77" s="56" cm="1">
        <f t="array" ref="Y77">IF(X77="X",(_xlfn.XLOOKUP($B77,Tabla1[SERVICIO],Tabla1[VALOR])*1),IF(X77&gt;=1,_xlfn.XLOOKUP($B77,Tabla1[SERVICIO],Tabla1[VALOR]*X77),0))</f>
        <v>0</v>
      </c>
      <c r="Z77" s="144"/>
      <c r="AA77" s="56">
        <v>0</v>
      </c>
      <c r="AB77" s="145"/>
      <c r="AC77" s="56">
        <v>0</v>
      </c>
      <c r="AD77" s="145"/>
      <c r="AE77" s="56">
        <v>0</v>
      </c>
      <c r="AF77" s="145"/>
      <c r="AG77" s="56">
        <v>0</v>
      </c>
      <c r="AH77" s="144"/>
      <c r="AI77" s="56">
        <v>0</v>
      </c>
      <c r="AJ77" s="144"/>
      <c r="AK77" s="56">
        <v>0</v>
      </c>
      <c r="AL77" s="144"/>
      <c r="AM77" s="56" cm="1">
        <f t="array" ref="AM77">IF(AL77="X",(_xlfn.XLOOKUP($B77,Tabla1[SERVICIO],Tabla1[VALOR])*1),IF(AL77&gt;=1,_xlfn.XLOOKUP($B77,Tabla1[SERVICIO],Tabla1[VALOR]*AL77),0))</f>
        <v>0</v>
      </c>
      <c r="AN77" s="81">
        <f t="shared" si="1"/>
        <v>60236.092716419647</v>
      </c>
      <c r="AO77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7" s="104" t="s">
        <v>319</v>
      </c>
      <c r="AQ77" s="119">
        <v>2.5062656641604009E-2</v>
      </c>
      <c r="AR77" s="121">
        <f>+Tabla41429[[#This Row],[TOTAL]]*Tabla41429[[#This Row],[% de las personas que lo usaron]]</f>
        <v>1509.6765091834498</v>
      </c>
      <c r="AS77" s="104" t="s">
        <v>349</v>
      </c>
      <c r="AT77" s="335">
        <v>18</v>
      </c>
    </row>
    <row r="78" spans="1:46" x14ac:dyDescent="0.25">
      <c r="A78" s="7" t="s">
        <v>114</v>
      </c>
      <c r="B78" s="8" t="s">
        <v>117</v>
      </c>
      <c r="C78" s="96" t="str">
        <f>_xlfn.XLOOKUP(Tabla41429[[#This Row],[Servicios del Programa:]],Tabla151[CODIGO],Tabla151[VALOR])</f>
        <v>Consultas</v>
      </c>
      <c r="D78" s="144"/>
      <c r="E78" s="56" cm="1">
        <f t="array" ref="E78">IF(D78="X",(_xlfn.XLOOKUP($B78,Tabla1[SERVICIO],Tabla1[VALOR])*1),IF(D78&gt;=1,_xlfn.XLOOKUP($B78,Tabla1[SERVICIO],Tabla1[VALOR]*D78),0))</f>
        <v>0</v>
      </c>
      <c r="F78" s="144"/>
      <c r="G78" s="56" cm="1">
        <f t="array" ref="G78">IF(F78="X",(_xlfn.XLOOKUP($B78,Tabla1[SERVICIO],Tabla1[VALOR])*1),IF(F78&gt;=1,_xlfn.XLOOKUP($B78,Tabla1[SERVICIO],Tabla1[VALOR]*F78),0))</f>
        <v>0</v>
      </c>
      <c r="H78" s="144"/>
      <c r="I78" s="56" cm="1">
        <f t="array" ref="I78">IF(H78="X",(_xlfn.XLOOKUP($B78,Tabla1[SERVICIO],Tabla1[VALOR])*1),IF(H78&gt;=1,_xlfn.XLOOKUP($B78,Tabla1[SERVICIO],Tabla1[VALOR]*H78),0))</f>
        <v>0</v>
      </c>
      <c r="J78" s="144"/>
      <c r="K78" s="56" cm="1">
        <f t="array" ref="K78">IF(J78="X",(_xlfn.XLOOKUP($B78,Tabla1[SERVICIO],Tabla1[VALOR])*1),IF(J78&gt;=1,_xlfn.XLOOKUP($B78,Tabla1[SERVICIO],Tabla1[VALOR]*J78),0))</f>
        <v>0</v>
      </c>
      <c r="L78" s="144"/>
      <c r="M78" s="56" cm="1">
        <f t="array" ref="M78">IF(L78="X",(_xlfn.XLOOKUP($B78,Tabla1[SERVICIO],Tabla1[VALOR])*1),IF(L78&gt;=1,_xlfn.XLOOKUP($B78,Tabla1[SERVICIO],Tabla1[VALOR]*L78),0))</f>
        <v>0</v>
      </c>
      <c r="N78" s="144"/>
      <c r="O78" s="56" cm="1">
        <f t="array" ref="O78">IF(N78="X",(_xlfn.XLOOKUP($B78,Tabla1[SERVICIO],Tabla1[VALOR])*1),IF(N78&gt;=1,_xlfn.XLOOKUP($B78,Tabla1[SERVICIO],Tabla1[VALOR]*N78),0))</f>
        <v>0</v>
      </c>
      <c r="P78" s="144">
        <v>1</v>
      </c>
      <c r="Q78" s="56" cm="1">
        <f t="array" ref="Q78">IF(P78="X",(_xlfn.XLOOKUP($B78,Tabla1[SERVICIO],Tabla1[VALOR])*1),IF(P78&gt;=1,_xlfn.XLOOKUP($B78,Tabla1[SERVICIO],Tabla1[VALOR]*P78),0))</f>
        <v>62748.232282880919</v>
      </c>
      <c r="R78" s="144"/>
      <c r="S78" s="56" cm="1">
        <f t="array" ref="S78">IF(R78="X",(_xlfn.XLOOKUP($B78,Tabla1[SERVICIO],Tabla1[VALOR])*1),IF(R78&gt;=1,_xlfn.XLOOKUP($B78,Tabla1[SERVICIO],Tabla1[VALOR]*R78),0))</f>
        <v>0</v>
      </c>
      <c r="T78" s="144"/>
      <c r="U78" s="56" cm="1">
        <f t="array" ref="U78">IF(T78="X",(_xlfn.XLOOKUP($B78,Tabla1[SERVICIO],Tabla1[VALOR])*1),IF(T78&gt;=1,_xlfn.XLOOKUP($B78,Tabla1[SERVICIO],Tabla1[VALOR]*T78),0))</f>
        <v>0</v>
      </c>
      <c r="V78" s="144"/>
      <c r="W78" s="56" cm="1">
        <f t="array" ref="W78">IF(V78="X",(_xlfn.XLOOKUP($B78,Tabla1[SERVICIO],Tabla1[VALOR])*1),IF(V78&gt;=1,_xlfn.XLOOKUP($B78,Tabla1[SERVICIO],Tabla1[VALOR]*V78),0))</f>
        <v>0</v>
      </c>
      <c r="X78" s="144"/>
      <c r="Y78" s="56" cm="1">
        <f t="array" ref="Y78">IF(X78="X",(_xlfn.XLOOKUP($B78,Tabla1[SERVICIO],Tabla1[VALOR])*1),IF(X78&gt;=1,_xlfn.XLOOKUP($B78,Tabla1[SERVICIO],Tabla1[VALOR]*X78),0))</f>
        <v>0</v>
      </c>
      <c r="Z78" s="144"/>
      <c r="AA78" s="56">
        <v>0</v>
      </c>
      <c r="AB78" s="144"/>
      <c r="AC78" s="56">
        <v>0</v>
      </c>
      <c r="AD78" s="145"/>
      <c r="AE78" s="56">
        <v>0</v>
      </c>
      <c r="AF78" s="145"/>
      <c r="AG78" s="56">
        <v>0</v>
      </c>
      <c r="AH78" s="144"/>
      <c r="AI78" s="56">
        <v>0</v>
      </c>
      <c r="AJ78" s="144"/>
      <c r="AK78" s="56">
        <v>0</v>
      </c>
      <c r="AL78" s="144"/>
      <c r="AM78" s="56" cm="1">
        <f t="array" ref="AM78">IF(AL78="X",(_xlfn.XLOOKUP($B78,Tabla1[SERVICIO],Tabla1[VALOR])*1),IF(AL78&gt;=1,_xlfn.XLOOKUP($B78,Tabla1[SERVICIO],Tabla1[VALOR]*AL78),0))</f>
        <v>0</v>
      </c>
      <c r="AN78" s="81">
        <f t="shared" si="1"/>
        <v>62748.232282880919</v>
      </c>
      <c r="AO78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8" s="104" t="s">
        <v>319</v>
      </c>
      <c r="AQ78" s="119">
        <v>8.3542188805346695E-3</v>
      </c>
      <c r="AR78" s="121">
        <f>+Tabla41429[[#This Row],[TOTAL]]*Tabla41429[[#This Row],[% de las personas que lo usaron]]</f>
        <v>524.21246685781887</v>
      </c>
      <c r="AS78" s="104" t="s">
        <v>349</v>
      </c>
      <c r="AT78" s="335">
        <v>18</v>
      </c>
    </row>
    <row r="79" spans="1:46" x14ac:dyDescent="0.25">
      <c r="A79" s="7" t="s">
        <v>115</v>
      </c>
      <c r="B79" s="8" t="s">
        <v>118</v>
      </c>
      <c r="C79" s="96" t="str">
        <f>_xlfn.XLOOKUP(Tabla41429[[#This Row],[Servicios del Programa:]],Tabla151[CODIGO],Tabla151[VALOR])</f>
        <v>Consultas</v>
      </c>
      <c r="D79" s="144"/>
      <c r="E79" s="56" cm="1">
        <f t="array" ref="E79">IF(D79="X",(_xlfn.XLOOKUP($B79,Tabla1[SERVICIO],Tabla1[VALOR])*1),IF(D79&gt;=1,_xlfn.XLOOKUP($B79,Tabla1[SERVICIO],Tabla1[VALOR]*D79),0))</f>
        <v>0</v>
      </c>
      <c r="F79" s="144"/>
      <c r="G79" s="56" cm="1">
        <f t="array" ref="G79">IF(F79="X",(_xlfn.XLOOKUP($B79,Tabla1[SERVICIO],Tabla1[VALOR])*1),IF(F79&gt;=1,_xlfn.XLOOKUP($B79,Tabla1[SERVICIO],Tabla1[VALOR]*F79),0))</f>
        <v>0</v>
      </c>
      <c r="H79" s="144"/>
      <c r="I79" s="56" cm="1">
        <f t="array" ref="I79">IF(H79="X",(_xlfn.XLOOKUP($B79,Tabla1[SERVICIO],Tabla1[VALOR])*1),IF(H79&gt;=1,_xlfn.XLOOKUP($B79,Tabla1[SERVICIO],Tabla1[VALOR]*H79),0))</f>
        <v>0</v>
      </c>
      <c r="J79" s="144"/>
      <c r="K79" s="56" cm="1">
        <f t="array" ref="K79">IF(J79="X",(_xlfn.XLOOKUP($B79,Tabla1[SERVICIO],Tabla1[VALOR])*1),IF(J79&gt;=1,_xlfn.XLOOKUP($B79,Tabla1[SERVICIO],Tabla1[VALOR]*J79),0))</f>
        <v>0</v>
      </c>
      <c r="L79" s="144"/>
      <c r="M79" s="56" cm="1">
        <f t="array" ref="M79">IF(L79="X",(_xlfn.XLOOKUP($B79,Tabla1[SERVICIO],Tabla1[VALOR])*1),IF(L79&gt;=1,_xlfn.XLOOKUP($B79,Tabla1[SERVICIO],Tabla1[VALOR]*L79),0))</f>
        <v>0</v>
      </c>
      <c r="N79" s="144"/>
      <c r="O79" s="56" cm="1">
        <f t="array" ref="O79">IF(N79="X",(_xlfn.XLOOKUP($B79,Tabla1[SERVICIO],Tabla1[VALOR])*1),IF(N79&gt;=1,_xlfn.XLOOKUP($B79,Tabla1[SERVICIO],Tabla1[VALOR]*N79),0))</f>
        <v>0</v>
      </c>
      <c r="P79" s="144"/>
      <c r="Q79" s="56" cm="1">
        <f t="array" ref="Q79">IF(P79="X",(_xlfn.XLOOKUP($B79,Tabla1[SERVICIO],Tabla1[VALOR])*1),IF(P79&gt;=1,_xlfn.XLOOKUP($B79,Tabla1[SERVICIO],Tabla1[VALOR]*P79),0))</f>
        <v>0</v>
      </c>
      <c r="R79" s="144"/>
      <c r="S79" s="56" cm="1">
        <f t="array" ref="S79">IF(R79="X",(_xlfn.XLOOKUP($B79,Tabla1[SERVICIO],Tabla1[VALOR])*1),IF(R79&gt;=1,_xlfn.XLOOKUP($B79,Tabla1[SERVICIO],Tabla1[VALOR]*R79),0))</f>
        <v>0</v>
      </c>
      <c r="T79" s="144"/>
      <c r="U79" s="56" cm="1">
        <f t="array" ref="U79">IF(T79="X",(_xlfn.XLOOKUP($B79,Tabla1[SERVICIO],Tabla1[VALOR])*1),IF(T79&gt;=1,_xlfn.XLOOKUP($B79,Tabla1[SERVICIO],Tabla1[VALOR]*T79),0))</f>
        <v>0</v>
      </c>
      <c r="V79" s="144"/>
      <c r="W79" s="56" cm="1">
        <f t="array" ref="W79">IF(V79="X",(_xlfn.XLOOKUP($B79,Tabla1[SERVICIO],Tabla1[VALOR])*1),IF(V79&gt;=1,_xlfn.XLOOKUP($B79,Tabla1[SERVICIO],Tabla1[VALOR]*V79),0))</f>
        <v>0</v>
      </c>
      <c r="X79" s="144"/>
      <c r="Y79" s="56" cm="1">
        <f t="array" ref="Y79">IF(X79="X",(_xlfn.XLOOKUP($B79,Tabla1[SERVICIO],Tabla1[VALOR])*1),IF(X79&gt;=1,_xlfn.XLOOKUP($B79,Tabla1[SERVICIO],Tabla1[VALOR]*X79),0))</f>
        <v>0</v>
      </c>
      <c r="Z79" s="144"/>
      <c r="AA79" s="56">
        <v>0</v>
      </c>
      <c r="AB79" s="145"/>
      <c r="AC79" s="56">
        <v>0</v>
      </c>
      <c r="AD79" s="145"/>
      <c r="AE79" s="56">
        <v>0</v>
      </c>
      <c r="AF79" s="145"/>
      <c r="AG79" s="56">
        <v>0</v>
      </c>
      <c r="AH79" s="144"/>
      <c r="AI79" s="56">
        <v>0</v>
      </c>
      <c r="AJ79" s="144"/>
      <c r="AK79" s="56">
        <v>0</v>
      </c>
      <c r="AL79" s="144">
        <v>1</v>
      </c>
      <c r="AM79" s="56" cm="1">
        <f t="array" ref="AM79">IF(AL79="X",(_xlfn.XLOOKUP($B79,Tabla1[SERVICIO],Tabla1[VALOR])*1),IF(AL79&gt;=1,_xlfn.XLOOKUP($B79,Tabla1[SERVICIO],Tabla1[VALOR]*AL79),0))</f>
        <v>62748.232282880919</v>
      </c>
      <c r="AN79" s="81">
        <f t="shared" si="1"/>
        <v>62748.232282880919</v>
      </c>
      <c r="AO79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9" s="104" t="s">
        <v>319</v>
      </c>
      <c r="AQ79" s="119">
        <v>0</v>
      </c>
      <c r="AR79" s="121">
        <f>+Tabla41429[[#This Row],[TOTAL]]*Tabla41429[[#This Row],[% de las personas que lo usaron]]</f>
        <v>0</v>
      </c>
      <c r="AS79" s="104" t="s">
        <v>349</v>
      </c>
      <c r="AT79" s="335">
        <v>18</v>
      </c>
    </row>
    <row r="80" spans="1:46" x14ac:dyDescent="0.25">
      <c r="A80" s="7" t="s">
        <v>29</v>
      </c>
      <c r="B80" s="8" t="s">
        <v>196</v>
      </c>
      <c r="C80" s="96" t="str">
        <f>_xlfn.XLOOKUP(Tabla41429[[#This Row],[Servicios del Programa:]],Tabla151[CODIGO],Tabla151[VALOR])</f>
        <v>Terapias</v>
      </c>
      <c r="D80" s="144"/>
      <c r="E80" s="56" cm="1">
        <f t="array" ref="E80">IF(D80="X",(_xlfn.XLOOKUP($B80,Tabla1[SERVICIO],Tabla1[VALOR])*1),IF(D80&gt;=1,_xlfn.XLOOKUP($B80,Tabla1[SERVICIO],Tabla1[VALOR]*D80),0))</f>
        <v>0</v>
      </c>
      <c r="F80" s="144"/>
      <c r="G80" s="56" cm="1">
        <f t="array" ref="G80">IF(F80="X",(_xlfn.XLOOKUP($B80,Tabla1[SERVICIO],Tabla1[VALOR])*1),IF(F80&gt;=1,_xlfn.XLOOKUP($B80,Tabla1[SERVICIO],Tabla1[VALOR]*F80),0))</f>
        <v>0</v>
      </c>
      <c r="H80" s="144"/>
      <c r="I80" s="56" cm="1">
        <f t="array" ref="I80">IF(H80="X",(_xlfn.XLOOKUP($B80,Tabla1[SERVICIO],Tabla1[VALOR])*1),IF(H80&gt;=1,_xlfn.XLOOKUP($B80,Tabla1[SERVICIO],Tabla1[VALOR]*H80),0))</f>
        <v>0</v>
      </c>
      <c r="J80" s="144"/>
      <c r="K80" s="56" cm="1">
        <f t="array" ref="K80">IF(J80="X",(_xlfn.XLOOKUP($B80,Tabla1[SERVICIO],Tabla1[VALOR])*1),IF(J80&gt;=1,_xlfn.XLOOKUP($B80,Tabla1[SERVICIO],Tabla1[VALOR]*J80),0))</f>
        <v>0</v>
      </c>
      <c r="L80" s="144"/>
      <c r="M80" s="56" cm="1">
        <f t="array" ref="M80">IF(L80="X",(_xlfn.XLOOKUP($B80,Tabla1[SERVICIO],Tabla1[VALOR])*1),IF(L80&gt;=1,_xlfn.XLOOKUP($B80,Tabla1[SERVICIO],Tabla1[VALOR]*L80),0))</f>
        <v>0</v>
      </c>
      <c r="N80" s="144"/>
      <c r="O80" s="56" cm="1">
        <f t="array" ref="O80">IF(N80="X",(_xlfn.XLOOKUP($B80,Tabla1[SERVICIO],Tabla1[VALOR])*1),IF(N80&gt;=1,_xlfn.XLOOKUP($B80,Tabla1[SERVICIO],Tabla1[VALOR]*N80),0))</f>
        <v>0</v>
      </c>
      <c r="P80" s="144"/>
      <c r="Q80" s="56" cm="1">
        <f t="array" ref="Q80">IF(P80="X",(_xlfn.XLOOKUP($B80,Tabla1[SERVICIO],Tabla1[VALOR])*1),IF(P80&gt;=1,_xlfn.XLOOKUP($B80,Tabla1[SERVICIO],Tabla1[VALOR]*P80),0))</f>
        <v>0</v>
      </c>
      <c r="R80" s="144"/>
      <c r="S80" s="56" cm="1">
        <f t="array" ref="S80">IF(R80="X",(_xlfn.XLOOKUP($B80,Tabla1[SERVICIO],Tabla1[VALOR])*1),IF(R80&gt;=1,_xlfn.XLOOKUP($B80,Tabla1[SERVICIO],Tabla1[VALOR]*R80),0))</f>
        <v>0</v>
      </c>
      <c r="T80" s="144"/>
      <c r="U80" s="56" cm="1">
        <f t="array" ref="U80">IF(T80="X",(_xlfn.XLOOKUP($B80,Tabla1[SERVICIO],Tabla1[VALOR])*1),IF(T80&gt;=1,_xlfn.XLOOKUP($B80,Tabla1[SERVICIO],Tabla1[VALOR]*T80),0))</f>
        <v>0</v>
      </c>
      <c r="V80" s="144"/>
      <c r="W80" s="56" cm="1">
        <f t="array" ref="W80">IF(V80="X",(_xlfn.XLOOKUP($B80,Tabla1[SERVICIO],Tabla1[VALOR])*1),IF(V80&gt;=1,_xlfn.XLOOKUP($B80,Tabla1[SERVICIO],Tabla1[VALOR]*V80),0))</f>
        <v>0</v>
      </c>
      <c r="X80" s="144"/>
      <c r="Y80" s="56" cm="1">
        <f t="array" ref="Y80">IF(X80="X",(_xlfn.XLOOKUP($B80,Tabla1[SERVICIO],Tabla1[VALOR])*1),IF(X80&gt;=1,_xlfn.XLOOKUP($B80,Tabla1[SERVICIO],Tabla1[VALOR]*X80),0))</f>
        <v>0</v>
      </c>
      <c r="Z80" s="144"/>
      <c r="AA80" s="56">
        <v>0</v>
      </c>
      <c r="AB80" s="145"/>
      <c r="AC80" s="56">
        <v>0</v>
      </c>
      <c r="AD80" s="145"/>
      <c r="AE80" s="56">
        <v>0</v>
      </c>
      <c r="AF80" s="145"/>
      <c r="AG80" s="56">
        <v>0</v>
      </c>
      <c r="AH80" s="144"/>
      <c r="AI80" s="56">
        <v>0</v>
      </c>
      <c r="AJ80" s="144"/>
      <c r="AK80" s="56">
        <v>0</v>
      </c>
      <c r="AL80" s="144">
        <v>1</v>
      </c>
      <c r="AM80" s="56" cm="1">
        <f t="array" ref="AM80">IF(AL80="X",(_xlfn.XLOOKUP($B80,Tabla1[SERVICIO],Tabla1[VALOR])*1),IF(AL80&gt;=1,_xlfn.XLOOKUP($B80,Tabla1[SERVICIO],Tabla1[VALOR]*AL80),0))</f>
        <v>31881.451880098426</v>
      </c>
      <c r="AN80" s="81">
        <f t="shared" si="1"/>
        <v>31881.451880098426</v>
      </c>
      <c r="AO80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0" s="104" t="s">
        <v>318</v>
      </c>
      <c r="AQ80" s="119">
        <v>1</v>
      </c>
      <c r="AR80" s="121">
        <f>+Tabla41429[[#This Row],[TOTAL]]*Tabla41429[[#This Row],[% de las personas que lo usaron]]</f>
        <v>31881.451880098426</v>
      </c>
      <c r="AS80" s="104" t="s">
        <v>349</v>
      </c>
      <c r="AT80" s="335">
        <v>18</v>
      </c>
    </row>
    <row r="81" spans="1:46" x14ac:dyDescent="0.25">
      <c r="A81" s="7" t="s">
        <v>23</v>
      </c>
      <c r="B81" s="8" t="s">
        <v>24</v>
      </c>
      <c r="C81" s="96" t="str">
        <f>_xlfn.XLOOKUP(Tabla41429[[#This Row],[Servicios del Programa:]],Tabla151[CODIGO],Tabla151[VALOR])</f>
        <v>Terapias</v>
      </c>
      <c r="D81" s="144"/>
      <c r="E81" s="56" cm="1">
        <f t="array" ref="E81">IF(D81="X",(_xlfn.XLOOKUP($B81,Tabla1[SERVICIO],Tabla1[VALOR])*1),IF(D81&gt;=1,_xlfn.XLOOKUP($B81,Tabla1[SERVICIO],Tabla1[VALOR]*D81),0))</f>
        <v>0</v>
      </c>
      <c r="F81" s="144"/>
      <c r="G81" s="56" cm="1">
        <f t="array" ref="G81">IF(F81="X",(_xlfn.XLOOKUP($B81,Tabla1[SERVICIO],Tabla1[VALOR])*1),IF(F81&gt;=1,_xlfn.XLOOKUP($B81,Tabla1[SERVICIO],Tabla1[VALOR]*F81),0))</f>
        <v>0</v>
      </c>
      <c r="H81" s="144">
        <v>1</v>
      </c>
      <c r="I81" s="56" cm="1">
        <f t="array" ref="I81">IF(H81="X",(_xlfn.XLOOKUP($B81,Tabla1[SERVICIO],Tabla1[VALOR])*1),IF(H81&gt;=1,_xlfn.XLOOKUP($B81,Tabla1[SERVICIO],Tabla1[VALOR]*H81),0))</f>
        <v>31881.451880098426</v>
      </c>
      <c r="J81" s="144"/>
      <c r="K81" s="56" cm="1">
        <f t="array" ref="K81">IF(J81="X",(_xlfn.XLOOKUP($B81,Tabla1[SERVICIO],Tabla1[VALOR])*1),IF(J81&gt;=1,_xlfn.XLOOKUP($B81,Tabla1[SERVICIO],Tabla1[VALOR]*J81),0))</f>
        <v>0</v>
      </c>
      <c r="L81" s="144"/>
      <c r="M81" s="56" cm="1">
        <f t="array" ref="M81">IF(L81="X",(_xlfn.XLOOKUP($B81,Tabla1[SERVICIO],Tabla1[VALOR])*1),IF(L81&gt;=1,_xlfn.XLOOKUP($B81,Tabla1[SERVICIO],Tabla1[VALOR]*L81),0))</f>
        <v>0</v>
      </c>
      <c r="N81" s="144"/>
      <c r="O81" s="56" cm="1">
        <f t="array" ref="O81">IF(N81="X",(_xlfn.XLOOKUP($B81,Tabla1[SERVICIO],Tabla1[VALOR])*1),IF(N81&gt;=1,_xlfn.XLOOKUP($B81,Tabla1[SERVICIO],Tabla1[VALOR]*N81),0))</f>
        <v>0</v>
      </c>
      <c r="P81" s="144"/>
      <c r="Q81" s="56" cm="1">
        <f t="array" ref="Q81">IF(P81="X",(_xlfn.XLOOKUP($B81,Tabla1[SERVICIO],Tabla1[VALOR])*1),IF(P81&gt;=1,_xlfn.XLOOKUP($B81,Tabla1[SERVICIO],Tabla1[VALOR]*P81),0))</f>
        <v>0</v>
      </c>
      <c r="R81" s="144"/>
      <c r="S81" s="56" cm="1">
        <f t="array" ref="S81">IF(R81="X",(_xlfn.XLOOKUP($B81,Tabla1[SERVICIO],Tabla1[VALOR])*1),IF(R81&gt;=1,_xlfn.XLOOKUP($B81,Tabla1[SERVICIO],Tabla1[VALOR]*R81),0))</f>
        <v>0</v>
      </c>
      <c r="T81" s="144"/>
      <c r="U81" s="56" cm="1">
        <f t="array" ref="U81">IF(T81="X",(_xlfn.XLOOKUP($B81,Tabla1[SERVICIO],Tabla1[VALOR])*1),IF(T81&gt;=1,_xlfn.XLOOKUP($B81,Tabla1[SERVICIO],Tabla1[VALOR]*T81),0))</f>
        <v>0</v>
      </c>
      <c r="V81" s="144"/>
      <c r="W81" s="56" cm="1">
        <f t="array" ref="W81">IF(V81="X",(_xlfn.XLOOKUP($B81,Tabla1[SERVICIO],Tabla1[VALOR])*1),IF(V81&gt;=1,_xlfn.XLOOKUP($B81,Tabla1[SERVICIO],Tabla1[VALOR]*V81),0))</f>
        <v>0</v>
      </c>
      <c r="X81" s="144"/>
      <c r="Y81" s="56" cm="1">
        <f t="array" ref="Y81">IF(X81="X",(_xlfn.XLOOKUP($B81,Tabla1[SERVICIO],Tabla1[VALOR])*1),IF(X81&gt;=1,_xlfn.XLOOKUP($B81,Tabla1[SERVICIO],Tabla1[VALOR]*X81),0))</f>
        <v>0</v>
      </c>
      <c r="Z81" s="144"/>
      <c r="AA81" s="56">
        <v>0</v>
      </c>
      <c r="AB81" s="145"/>
      <c r="AC81" s="56">
        <v>0</v>
      </c>
      <c r="AD81" s="145"/>
      <c r="AE81" s="56">
        <v>0</v>
      </c>
      <c r="AF81" s="145"/>
      <c r="AG81" s="56">
        <v>0</v>
      </c>
      <c r="AH81" s="144"/>
      <c r="AI81" s="56">
        <v>0</v>
      </c>
      <c r="AJ81" s="144"/>
      <c r="AK81" s="56">
        <v>0</v>
      </c>
      <c r="AL81" s="144"/>
      <c r="AM81" s="56" cm="1">
        <f t="array" ref="AM81">IF(AL81="X",(_xlfn.XLOOKUP($B81,Tabla1[SERVICIO],Tabla1[VALOR])*1),IF(AL81&gt;=1,_xlfn.XLOOKUP($B81,Tabla1[SERVICIO],Tabla1[VALOR]*AL81),0))</f>
        <v>0</v>
      </c>
      <c r="AN81" s="81">
        <f t="shared" si="1"/>
        <v>31881.451880098426</v>
      </c>
      <c r="AO81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1" s="104" t="s">
        <v>318</v>
      </c>
      <c r="AQ81" s="119">
        <v>1</v>
      </c>
      <c r="AR81" s="121">
        <f>+Tabla41429[[#This Row],[TOTAL]]*Tabla41429[[#This Row],[% de las personas que lo usaron]]</f>
        <v>31881.451880098426</v>
      </c>
      <c r="AS81" s="104" t="s">
        <v>349</v>
      </c>
      <c r="AT81" s="335">
        <v>18</v>
      </c>
    </row>
    <row r="82" spans="1:46" x14ac:dyDescent="0.25">
      <c r="A82" s="7" t="s">
        <v>32</v>
      </c>
      <c r="B82" s="8" t="s">
        <v>103</v>
      </c>
      <c r="C82" s="96" t="str">
        <f>_xlfn.XLOOKUP(Tabla41429[[#This Row],[Servicios del Programa:]],Tabla151[CODIGO],Tabla151[VALOR])</f>
        <v>Consultas</v>
      </c>
      <c r="D82" s="144"/>
      <c r="E82" s="56" cm="1">
        <f t="array" ref="E82">IF(D82="X",(_xlfn.XLOOKUP($B82,Tabla1[SERVICIO],Tabla1[VALOR])*1),IF(D82&gt;=1,_xlfn.XLOOKUP($B82,Tabla1[SERVICIO],Tabla1[VALOR]*D82),0))</f>
        <v>0</v>
      </c>
      <c r="F82" s="144"/>
      <c r="G82" s="56" cm="1">
        <f t="array" ref="G82">IF(F82="X",(_xlfn.XLOOKUP($B82,Tabla1[SERVICIO],Tabla1[VALOR])*1),IF(F82&gt;=1,_xlfn.XLOOKUP($B82,Tabla1[SERVICIO],Tabla1[VALOR]*F82),0))</f>
        <v>0</v>
      </c>
      <c r="H82" s="144"/>
      <c r="I82" s="56" cm="1">
        <f t="array" ref="I82">IF(H82="X",(_xlfn.XLOOKUP($B82,Tabla1[SERVICIO],Tabla1[VALOR])*1),IF(H82&gt;=1,_xlfn.XLOOKUP($B82,Tabla1[SERVICIO],Tabla1[VALOR]*H82),0))</f>
        <v>0</v>
      </c>
      <c r="J82" s="144"/>
      <c r="K82" s="56" cm="1">
        <f t="array" ref="K82">IF(J82="X",(_xlfn.XLOOKUP($B82,Tabla1[SERVICIO],Tabla1[VALOR])*1),IF(J82&gt;=1,_xlfn.XLOOKUP($B82,Tabla1[SERVICIO],Tabla1[VALOR]*J82),0))</f>
        <v>0</v>
      </c>
      <c r="L82" s="144"/>
      <c r="M82" s="56" cm="1">
        <f t="array" ref="M82">IF(L82="X",(_xlfn.XLOOKUP($B82,Tabla1[SERVICIO],Tabla1[VALOR])*1),IF(L82&gt;=1,_xlfn.XLOOKUP($B82,Tabla1[SERVICIO],Tabla1[VALOR]*L82),0))</f>
        <v>0</v>
      </c>
      <c r="N82" s="144"/>
      <c r="O82" s="56" cm="1">
        <f t="array" ref="O82">IF(N82="X",(_xlfn.XLOOKUP($B82,Tabla1[SERVICIO],Tabla1[VALOR])*1),IF(N82&gt;=1,_xlfn.XLOOKUP($B82,Tabla1[SERVICIO],Tabla1[VALOR]*N82),0))</f>
        <v>0</v>
      </c>
      <c r="P82" s="144"/>
      <c r="Q82" s="56" cm="1">
        <f t="array" ref="Q82">IF(P82="X",(_xlfn.XLOOKUP($B82,Tabla1[SERVICIO],Tabla1[VALOR])*1),IF(P82&gt;=1,_xlfn.XLOOKUP($B82,Tabla1[SERVICIO],Tabla1[VALOR]*P82),0))</f>
        <v>0</v>
      </c>
      <c r="R82" s="144"/>
      <c r="S82" s="56" cm="1">
        <f t="array" ref="S82">IF(R82="X",(_xlfn.XLOOKUP($B82,Tabla1[SERVICIO],Tabla1[VALOR])*1),IF(R82&gt;=1,_xlfn.XLOOKUP($B82,Tabla1[SERVICIO],Tabla1[VALOR]*R82),0))</f>
        <v>0</v>
      </c>
      <c r="T82" s="144"/>
      <c r="U82" s="56" cm="1">
        <f t="array" ref="U82">IF(T82="X",(_xlfn.XLOOKUP($B82,Tabla1[SERVICIO],Tabla1[VALOR])*1),IF(T82&gt;=1,_xlfn.XLOOKUP($B82,Tabla1[SERVICIO],Tabla1[VALOR]*T82),0))</f>
        <v>0</v>
      </c>
      <c r="V82" s="144"/>
      <c r="W82" s="56" cm="1">
        <f t="array" ref="W82">IF(V82="X",(_xlfn.XLOOKUP($B82,Tabla1[SERVICIO],Tabla1[VALOR])*1),IF(V82&gt;=1,_xlfn.XLOOKUP($B82,Tabla1[SERVICIO],Tabla1[VALOR]*V82),0))</f>
        <v>0</v>
      </c>
      <c r="X82" s="144"/>
      <c r="Y82" s="56" cm="1">
        <f t="array" ref="Y82">IF(X82="X",(_xlfn.XLOOKUP($B82,Tabla1[SERVICIO],Tabla1[VALOR])*1),IF(X82&gt;=1,_xlfn.XLOOKUP($B82,Tabla1[SERVICIO],Tabla1[VALOR]*X82),0))</f>
        <v>0</v>
      </c>
      <c r="Z82" s="144"/>
      <c r="AA82" s="56">
        <v>0</v>
      </c>
      <c r="AB82" s="144"/>
      <c r="AC82" s="56">
        <v>0</v>
      </c>
      <c r="AD82" s="145"/>
      <c r="AE82" s="56">
        <v>0</v>
      </c>
      <c r="AF82" s="145"/>
      <c r="AG82" s="56">
        <v>0</v>
      </c>
      <c r="AH82" s="144"/>
      <c r="AI82" s="56">
        <v>0</v>
      </c>
      <c r="AJ82" s="144"/>
      <c r="AK82" s="56">
        <v>0</v>
      </c>
      <c r="AL82" s="144"/>
      <c r="AM82" s="56" cm="1">
        <f t="array" ref="AM82">IF(AL82="X",(_xlfn.XLOOKUP($B82,Tabla1[SERVICIO],Tabla1[VALOR])*1),IF(AL82&gt;=1,_xlfn.XLOOKUP($B82,Tabla1[SERVICIO],Tabla1[VALOR]*AL82),0))</f>
        <v>0</v>
      </c>
      <c r="AN82" s="81">
        <f t="shared" si="1"/>
        <v>0</v>
      </c>
      <c r="AO82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0</v>
      </c>
      <c r="AP82" s="104" t="s">
        <v>319</v>
      </c>
      <c r="AQ82" s="119">
        <v>0</v>
      </c>
      <c r="AR82" s="121">
        <f>+Tabla41429[[#This Row],[TOTAL]]*Tabla41429[[#This Row],[% de las personas que lo usaron]]</f>
        <v>0</v>
      </c>
      <c r="AS82" s="104" t="s">
        <v>349</v>
      </c>
      <c r="AT82" s="335">
        <v>18</v>
      </c>
    </row>
    <row r="83" spans="1:46" x14ac:dyDescent="0.25">
      <c r="A83" s="7" t="s">
        <v>90</v>
      </c>
      <c r="B83" s="112" t="s">
        <v>280</v>
      </c>
      <c r="C83" s="96" t="str">
        <f>_xlfn.XLOOKUP(Tabla41429[[#This Row],[Servicios del Programa:]],Tabla151[CODIGO],Tabla151[VALOR])</f>
        <v>Diagnosticos</v>
      </c>
      <c r="D83" s="180">
        <v>1</v>
      </c>
      <c r="E83" s="113" cm="1">
        <f t="array" ref="E83">IF(D83="X",(_xlfn.XLOOKUP($B83,Tabla1[SERVICIO],Tabla1[VALOR])*1),IF(D83&gt;=1,_xlfn.XLOOKUP($B83,Tabla1[SERVICIO],Tabla1[VALOR]*D83),0))</f>
        <v>232601.87077978876</v>
      </c>
      <c r="F83" s="180"/>
      <c r="G83" s="113" cm="1">
        <f t="array" ref="G83">IF(F83="X",(_xlfn.XLOOKUP($B83,Tabla1[SERVICIO],Tabla1[VALOR])*1),IF(F83&gt;=1,_xlfn.XLOOKUP($B83,Tabla1[SERVICIO],Tabla1[VALOR]*F83),0))</f>
        <v>0</v>
      </c>
      <c r="H83" s="180"/>
      <c r="I83" s="113" cm="1">
        <f t="array" ref="I83">IF(H83="X",(_xlfn.XLOOKUP($B83,Tabla1[SERVICIO],Tabla1[VALOR])*1),IF(H83&gt;=1,_xlfn.XLOOKUP($B83,Tabla1[SERVICIO],Tabla1[VALOR]*H83),0))</f>
        <v>0</v>
      </c>
      <c r="J83" s="180"/>
      <c r="K83" s="113" cm="1">
        <f t="array" ref="K83">IF(J83="X",(_xlfn.XLOOKUP($B83,Tabla1[SERVICIO],Tabla1[VALOR])*1),IF(J83&gt;=1,_xlfn.XLOOKUP($B83,Tabla1[SERVICIO],Tabla1[VALOR]*J83),0))</f>
        <v>0</v>
      </c>
      <c r="L83" s="180"/>
      <c r="M83" s="113" cm="1">
        <f t="array" ref="M83">IF(L83="X",(_xlfn.XLOOKUP($B83,Tabla1[SERVICIO],Tabla1[VALOR])*1),IF(L83&gt;=1,_xlfn.XLOOKUP($B83,Tabla1[SERVICIO],Tabla1[VALOR]*L83),0))</f>
        <v>0</v>
      </c>
      <c r="N83" s="180"/>
      <c r="O83" s="113" cm="1">
        <f t="array" ref="O83">IF(N83="X",(_xlfn.XLOOKUP($B83,Tabla1[SERVICIO],Tabla1[VALOR])*1),IF(N83&gt;=1,_xlfn.XLOOKUP($B83,Tabla1[SERVICIO],Tabla1[VALOR]*N83),0))</f>
        <v>0</v>
      </c>
      <c r="P83" s="180"/>
      <c r="Q83" s="113" cm="1">
        <f t="array" ref="Q83">IF(P83="X",(_xlfn.XLOOKUP($B83,Tabla1[SERVICIO],Tabla1[VALOR])*1),IF(P83&gt;=1,_xlfn.XLOOKUP($B83,Tabla1[SERVICIO],Tabla1[VALOR]*P83),0))</f>
        <v>0</v>
      </c>
      <c r="R83" s="180"/>
      <c r="S83" s="113" cm="1">
        <f t="array" ref="S83">IF(R83="X",(_xlfn.XLOOKUP($B83,Tabla1[SERVICIO],Tabla1[VALOR])*1),IF(R83&gt;=1,_xlfn.XLOOKUP($B83,Tabla1[SERVICIO],Tabla1[VALOR]*R83),0))</f>
        <v>0</v>
      </c>
      <c r="T83" s="180"/>
      <c r="U83" s="113" cm="1">
        <f t="array" ref="U83">IF(T83="X",(_xlfn.XLOOKUP($B83,Tabla1[SERVICIO],Tabla1[VALOR])*1),IF(T83&gt;=1,_xlfn.XLOOKUP($B83,Tabla1[SERVICIO],Tabla1[VALOR]*T83),0))</f>
        <v>0</v>
      </c>
      <c r="V83" s="180"/>
      <c r="W83" s="113" cm="1">
        <f t="array" ref="W83">IF(V83="X",(_xlfn.XLOOKUP($B83,Tabla1[SERVICIO],Tabla1[VALOR])*1),IF(V83&gt;=1,_xlfn.XLOOKUP($B83,Tabla1[SERVICIO],Tabla1[VALOR]*V83),0))</f>
        <v>0</v>
      </c>
      <c r="X83" s="180"/>
      <c r="Y83" s="113" cm="1">
        <f t="array" ref="Y83">IF(X83="X",(_xlfn.XLOOKUP($B83,Tabla1[SERVICIO],Tabla1[VALOR])*1),IF(X83&gt;=1,_xlfn.XLOOKUP($B83,Tabla1[SERVICIO],Tabla1[VALOR]*X83),0))</f>
        <v>0</v>
      </c>
      <c r="Z83" s="144"/>
      <c r="AA83" s="56">
        <v>0</v>
      </c>
      <c r="AB83" s="145"/>
      <c r="AC83" s="56">
        <v>0</v>
      </c>
      <c r="AD83" s="145"/>
      <c r="AE83" s="56">
        <v>0</v>
      </c>
      <c r="AF83" s="145"/>
      <c r="AG83" s="56">
        <v>0</v>
      </c>
      <c r="AH83" s="144"/>
      <c r="AI83" s="56">
        <v>0</v>
      </c>
      <c r="AJ83" s="144"/>
      <c r="AK83" s="56">
        <v>0</v>
      </c>
      <c r="AL83" s="180"/>
      <c r="AM83" s="113" cm="1">
        <f t="array" ref="AM83">IF(AL83="X",(_xlfn.XLOOKUP($B83,Tabla1[SERVICIO],Tabla1[VALOR])*1),IF(AL83&gt;=1,_xlfn.XLOOKUP($B83,Tabla1[SERVICIO],Tabla1[VALOR]*AL83),0))</f>
        <v>0</v>
      </c>
      <c r="AN83" s="81">
        <f t="shared" si="1"/>
        <v>232601.87077978876</v>
      </c>
      <c r="AO83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3" s="116" t="s">
        <v>319</v>
      </c>
      <c r="AQ83" s="118">
        <v>1.5037593984962405E-2</v>
      </c>
      <c r="AR83" s="121">
        <f>+Tabla41429[[#This Row],[TOTAL]]*Tabla41429[[#This Row],[% de las personas que lo usaron]]</f>
        <v>3497.7724929291539</v>
      </c>
      <c r="AS83" s="104" t="s">
        <v>349</v>
      </c>
      <c r="AT83" s="335">
        <v>18</v>
      </c>
    </row>
    <row r="84" spans="1:46" x14ac:dyDescent="0.25">
      <c r="A84" s="7" t="s">
        <v>92</v>
      </c>
      <c r="B84" s="8" t="s">
        <v>93</v>
      </c>
      <c r="C84" s="96" t="str">
        <f>_xlfn.XLOOKUP(Tabla41429[[#This Row],[Servicios del Programa:]],Tabla151[CODIGO],Tabla151[VALOR])</f>
        <v>Consultas</v>
      </c>
      <c r="D84" s="144">
        <v>1</v>
      </c>
      <c r="E84" s="56" cm="1">
        <f t="array" ref="E84">IF(D84="X",(_xlfn.XLOOKUP($B84,Tabla1[SERVICIO],Tabla1[VALOR])*1),IF(D84&gt;=1,_xlfn.XLOOKUP($B84,Tabla1[SERVICIO],Tabla1[VALOR]*D84),0))</f>
        <v>85060.59895480916</v>
      </c>
      <c r="F84" s="144"/>
      <c r="G84" s="56" cm="1">
        <f t="array" ref="G84">IF(F84="X",(_xlfn.XLOOKUP($B84,Tabla1[SERVICIO],Tabla1[VALOR])*1),IF(F84&gt;=1,_xlfn.XLOOKUP($B84,Tabla1[SERVICIO],Tabla1[VALOR]*F84),0))</f>
        <v>0</v>
      </c>
      <c r="H84" s="144"/>
      <c r="I84" s="56" cm="1">
        <f t="array" ref="I84">IF(H84="X",(_xlfn.XLOOKUP($B84,Tabla1[SERVICIO],Tabla1[VALOR])*1),IF(H84&gt;=1,_xlfn.XLOOKUP($B84,Tabla1[SERVICIO],Tabla1[VALOR]*H84),0))</f>
        <v>0</v>
      </c>
      <c r="J84" s="144"/>
      <c r="K84" s="56" cm="1">
        <f t="array" ref="K84">IF(J84="X",(_xlfn.XLOOKUP($B84,Tabla1[SERVICIO],Tabla1[VALOR])*1),IF(J84&gt;=1,_xlfn.XLOOKUP($B84,Tabla1[SERVICIO],Tabla1[VALOR]*J84),0))</f>
        <v>0</v>
      </c>
      <c r="L84" s="144"/>
      <c r="M84" s="56" cm="1">
        <f t="array" ref="M84">IF(L84="X",(_xlfn.XLOOKUP($B84,Tabla1[SERVICIO],Tabla1[VALOR])*1),IF(L84&gt;=1,_xlfn.XLOOKUP($B84,Tabla1[SERVICIO],Tabla1[VALOR]*L84),0))</f>
        <v>0</v>
      </c>
      <c r="N84" s="144"/>
      <c r="O84" s="56" cm="1">
        <f t="array" ref="O84">IF(N84="X",(_xlfn.XLOOKUP($B84,Tabla1[SERVICIO],Tabla1[VALOR])*1),IF(N84&gt;=1,_xlfn.XLOOKUP($B84,Tabla1[SERVICIO],Tabla1[VALOR]*N84),0))</f>
        <v>0</v>
      </c>
      <c r="P84" s="144"/>
      <c r="Q84" s="56" cm="1">
        <f t="array" ref="Q84">IF(P84="X",(_xlfn.XLOOKUP($B84,Tabla1[SERVICIO],Tabla1[VALOR])*1),IF(P84&gt;=1,_xlfn.XLOOKUP($B84,Tabla1[SERVICIO],Tabla1[VALOR]*P84),0))</f>
        <v>0</v>
      </c>
      <c r="R84" s="144"/>
      <c r="S84" s="56" cm="1">
        <f t="array" ref="S84">IF(R84="X",(_xlfn.XLOOKUP($B84,Tabla1[SERVICIO],Tabla1[VALOR])*1),IF(R84&gt;=1,_xlfn.XLOOKUP($B84,Tabla1[SERVICIO],Tabla1[VALOR]*R84),0))</f>
        <v>0</v>
      </c>
      <c r="T84" s="144"/>
      <c r="U84" s="56" cm="1">
        <f t="array" ref="U84">IF(T84="X",(_xlfn.XLOOKUP($B84,Tabla1[SERVICIO],Tabla1[VALOR])*1),IF(T84&gt;=1,_xlfn.XLOOKUP($B84,Tabla1[SERVICIO],Tabla1[VALOR]*T84),0))</f>
        <v>0</v>
      </c>
      <c r="V84" s="144"/>
      <c r="W84" s="56" cm="1">
        <f t="array" ref="W84">IF(V84="X",(_xlfn.XLOOKUP($B84,Tabla1[SERVICIO],Tabla1[VALOR])*1),IF(V84&gt;=1,_xlfn.XLOOKUP($B84,Tabla1[SERVICIO],Tabla1[VALOR]*V84),0))</f>
        <v>0</v>
      </c>
      <c r="X84" s="144"/>
      <c r="Y84" s="56" cm="1">
        <f t="array" ref="Y84">IF(X84="X",(_xlfn.XLOOKUP($B84,Tabla1[SERVICIO],Tabla1[VALOR])*1),IF(X84&gt;=1,_xlfn.XLOOKUP($B84,Tabla1[SERVICIO],Tabla1[VALOR]*X84),0))</f>
        <v>0</v>
      </c>
      <c r="Z84" s="144"/>
      <c r="AA84" s="56">
        <v>0</v>
      </c>
      <c r="AB84" s="177"/>
      <c r="AC84" s="56">
        <v>0</v>
      </c>
      <c r="AD84" s="177"/>
      <c r="AE84" s="56">
        <v>0</v>
      </c>
      <c r="AF84" s="177"/>
      <c r="AG84" s="56">
        <v>0</v>
      </c>
      <c r="AH84" s="144"/>
      <c r="AI84" s="56">
        <v>0</v>
      </c>
      <c r="AJ84" s="144"/>
      <c r="AK84" s="56">
        <v>0</v>
      </c>
      <c r="AL84" s="144"/>
      <c r="AM84" s="56" cm="1">
        <f t="array" ref="AM84">IF(AL84="X",(_xlfn.XLOOKUP($B84,Tabla1[SERVICIO],Tabla1[VALOR])*1),IF(AL84&gt;=1,_xlfn.XLOOKUP($B84,Tabla1[SERVICIO],Tabla1[VALOR]*AL84),0))</f>
        <v>0</v>
      </c>
      <c r="AN84" s="81">
        <f t="shared" si="1"/>
        <v>85060.59895480916</v>
      </c>
      <c r="AO84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4" s="104" t="s">
        <v>318</v>
      </c>
      <c r="AQ84" s="119">
        <v>1</v>
      </c>
      <c r="AR84" s="121">
        <f>+Tabla41429[[#This Row],[TOTAL]]*Tabla41429[[#This Row],[% de las personas que lo usaron]]</f>
        <v>85060.59895480916</v>
      </c>
      <c r="AS84" s="104" t="s">
        <v>349</v>
      </c>
      <c r="AT84" s="335">
        <v>18</v>
      </c>
    </row>
    <row r="85" spans="1:46" x14ac:dyDescent="0.25">
      <c r="A85" s="7" t="s">
        <v>52</v>
      </c>
      <c r="B85" s="8" t="s">
        <v>191</v>
      </c>
      <c r="C85" s="96" t="str">
        <f>_xlfn.XLOOKUP(Tabla41429[[#This Row],[Servicios del Programa:]],Tabla151[CODIGO],Tabla151[VALOR])</f>
        <v>Consultas</v>
      </c>
      <c r="D85" s="144">
        <v>1</v>
      </c>
      <c r="E85" s="56" cm="1">
        <f t="array" ref="E85">IF(D85="X",(_xlfn.XLOOKUP($B85,Tabla1[SERVICIO],Tabla1[VALOR])*1),IF(D85&gt;=1,_xlfn.XLOOKUP($B85,Tabla1[SERVICIO],Tabla1[VALOR]*D85),0))</f>
        <v>26897.079640267821</v>
      </c>
      <c r="F85" s="144"/>
      <c r="G85" s="56" cm="1">
        <f t="array" ref="G85">IF(F85="X",(_xlfn.XLOOKUP($B85,Tabla1[SERVICIO],Tabla1[VALOR])*1),IF(F85&gt;=1,_xlfn.XLOOKUP($B85,Tabla1[SERVICIO],Tabla1[VALOR]*F85),0))</f>
        <v>0</v>
      </c>
      <c r="H85" s="144"/>
      <c r="I85" s="56" cm="1">
        <f t="array" ref="I85">IF(H85="X",(_xlfn.XLOOKUP($B85,Tabla1[SERVICIO],Tabla1[VALOR])*1),IF(H85&gt;=1,_xlfn.XLOOKUP($B85,Tabla1[SERVICIO],Tabla1[VALOR]*H85),0))</f>
        <v>0</v>
      </c>
      <c r="J85" s="144"/>
      <c r="K85" s="56" cm="1">
        <f t="array" ref="K85">IF(J85="X",(_xlfn.XLOOKUP($B85,Tabla1[SERVICIO],Tabla1[VALOR])*1),IF(J85&gt;=1,_xlfn.XLOOKUP($B85,Tabla1[SERVICIO],Tabla1[VALOR]*J85),0))</f>
        <v>0</v>
      </c>
      <c r="L85" s="144"/>
      <c r="M85" s="56" cm="1">
        <f t="array" ref="M85">IF(L85="X",(_xlfn.XLOOKUP($B85,Tabla1[SERVICIO],Tabla1[VALOR])*1),IF(L85&gt;=1,_xlfn.XLOOKUP($B85,Tabla1[SERVICIO],Tabla1[VALOR]*L85),0))</f>
        <v>0</v>
      </c>
      <c r="N85" s="144"/>
      <c r="O85" s="56" cm="1">
        <f t="array" ref="O85">IF(N85="X",(_xlfn.XLOOKUP($B85,Tabla1[SERVICIO],Tabla1[VALOR])*1),IF(N85&gt;=1,_xlfn.XLOOKUP($B85,Tabla1[SERVICIO],Tabla1[VALOR]*N85),0))</f>
        <v>0</v>
      </c>
      <c r="P85" s="144"/>
      <c r="Q85" s="56" cm="1">
        <f t="array" ref="Q85">IF(P85="X",(_xlfn.XLOOKUP($B85,Tabla1[SERVICIO],Tabla1[VALOR])*1),IF(P85&gt;=1,_xlfn.XLOOKUP($B85,Tabla1[SERVICIO],Tabla1[VALOR]*P85),0))</f>
        <v>0</v>
      </c>
      <c r="R85" s="144"/>
      <c r="S85" s="56" cm="1">
        <f t="array" ref="S85">IF(R85="X",(_xlfn.XLOOKUP($B85,Tabla1[SERVICIO],Tabla1[VALOR])*1),IF(R85&gt;=1,_xlfn.XLOOKUP($B85,Tabla1[SERVICIO],Tabla1[VALOR]*R85),0))</f>
        <v>0</v>
      </c>
      <c r="T85" s="144"/>
      <c r="U85" s="56" cm="1">
        <f t="array" ref="U85">IF(T85="X",(_xlfn.XLOOKUP($B85,Tabla1[SERVICIO],Tabla1[VALOR])*1),IF(T85&gt;=1,_xlfn.XLOOKUP($B85,Tabla1[SERVICIO],Tabla1[VALOR]*T85),0))</f>
        <v>0</v>
      </c>
      <c r="V85" s="144"/>
      <c r="W85" s="56" cm="1">
        <f t="array" ref="W85">IF(V85="X",(_xlfn.XLOOKUP($B85,Tabla1[SERVICIO],Tabla1[VALOR])*1),IF(V85&gt;=1,_xlfn.XLOOKUP($B85,Tabla1[SERVICIO],Tabla1[VALOR]*V85),0))</f>
        <v>0</v>
      </c>
      <c r="X85" s="144"/>
      <c r="Y85" s="56" cm="1">
        <f t="array" ref="Y85">IF(X85="X",(_xlfn.XLOOKUP($B85,Tabla1[SERVICIO],Tabla1[VALOR])*1),IF(X85&gt;=1,_xlfn.XLOOKUP($B85,Tabla1[SERVICIO],Tabla1[VALOR]*X85),0))</f>
        <v>0</v>
      </c>
      <c r="Z85" s="144"/>
      <c r="AA85" s="56">
        <v>0</v>
      </c>
      <c r="AB85" s="145"/>
      <c r="AC85" s="56">
        <v>0</v>
      </c>
      <c r="AD85" s="145"/>
      <c r="AE85" s="56">
        <v>0</v>
      </c>
      <c r="AF85" s="145"/>
      <c r="AG85" s="56">
        <v>0</v>
      </c>
      <c r="AH85" s="144"/>
      <c r="AI85" s="56">
        <v>0</v>
      </c>
      <c r="AJ85" s="144"/>
      <c r="AK85" s="56">
        <v>0</v>
      </c>
      <c r="AL85" s="144"/>
      <c r="AM85" s="56" cm="1">
        <f t="array" ref="AM85">IF(AL85="X",(_xlfn.XLOOKUP($B85,Tabla1[SERVICIO],Tabla1[VALOR])*1),IF(AL85&gt;=1,_xlfn.XLOOKUP($B85,Tabla1[SERVICIO],Tabla1[VALOR]*AL85),0))</f>
        <v>0</v>
      </c>
      <c r="AN85" s="81">
        <f t="shared" si="1"/>
        <v>26897.079640267821</v>
      </c>
      <c r="AO85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5" s="104" t="s">
        <v>319</v>
      </c>
      <c r="AQ85" s="119">
        <v>0</v>
      </c>
      <c r="AR85" s="121">
        <f>+Tabla41429[[#This Row],[TOTAL]]*Tabla41429[[#This Row],[% de las personas que lo usaron]]</f>
        <v>0</v>
      </c>
      <c r="AS85" s="104" t="s">
        <v>349</v>
      </c>
      <c r="AT85" s="335">
        <v>18</v>
      </c>
    </row>
    <row r="86" spans="1:46" x14ac:dyDescent="0.25">
      <c r="A86" s="7" t="s">
        <v>53</v>
      </c>
      <c r="B86" s="8" t="s">
        <v>230</v>
      </c>
      <c r="C86" s="96" t="str">
        <f>_xlfn.XLOOKUP(Tabla41429[[#This Row],[Servicios del Programa:]],Tabla151[CODIGO],Tabla151[VALOR])</f>
        <v>Consultas</v>
      </c>
      <c r="D86" s="181">
        <v>1</v>
      </c>
      <c r="E86" s="56" cm="1">
        <f t="array" ref="E86">IF(D86="X",(_xlfn.XLOOKUP($B86,Tabla1[SERVICIO],Tabla1[VALOR])*1),IF(D86&gt;=1,_xlfn.XLOOKUP($B86,Tabla1[SERVICIO],Tabla1[VALOR]*D86),0))</f>
        <v>26897.079640267817</v>
      </c>
      <c r="F86" s="181"/>
      <c r="G86" s="56" cm="1">
        <f t="array" ref="G86">IF(F86="X",(_xlfn.XLOOKUP($B86,Tabla1[SERVICIO],Tabla1[VALOR])*1),IF(F86&gt;=1,_xlfn.XLOOKUP($B86,Tabla1[SERVICIO],Tabla1[VALOR]*F86),0))</f>
        <v>0</v>
      </c>
      <c r="H86" s="181"/>
      <c r="I86" s="56" cm="1">
        <f t="array" ref="I86">IF(H86="X",(_xlfn.XLOOKUP($B86,Tabla1[SERVICIO],Tabla1[VALOR])*1),IF(H86&gt;=1,_xlfn.XLOOKUP($B86,Tabla1[SERVICIO],Tabla1[VALOR]*H86),0))</f>
        <v>0</v>
      </c>
      <c r="J86" s="181"/>
      <c r="K86" s="56" cm="1">
        <f t="array" ref="K86">IF(J86="X",(_xlfn.XLOOKUP($B86,Tabla1[SERVICIO],Tabla1[VALOR])*1),IF(J86&gt;=1,_xlfn.XLOOKUP($B86,Tabla1[SERVICIO],Tabla1[VALOR]*J86),0))</f>
        <v>0</v>
      </c>
      <c r="L86" s="181"/>
      <c r="M86" s="56" cm="1">
        <f t="array" ref="M86">IF(L86="X",(_xlfn.XLOOKUP($B86,Tabla1[SERVICIO],Tabla1[VALOR])*1),IF(L86&gt;=1,_xlfn.XLOOKUP($B86,Tabla1[SERVICIO],Tabla1[VALOR]*L86),0))</f>
        <v>0</v>
      </c>
      <c r="N86" s="181"/>
      <c r="O86" s="56" cm="1">
        <f t="array" ref="O86">IF(N86="X",(_xlfn.XLOOKUP($B86,Tabla1[SERVICIO],Tabla1[VALOR])*1),IF(N86&gt;=1,_xlfn.XLOOKUP($B86,Tabla1[SERVICIO],Tabla1[VALOR]*N86),0))</f>
        <v>0</v>
      </c>
      <c r="P86" s="181"/>
      <c r="Q86" s="56" cm="1">
        <f t="array" ref="Q86">IF(P86="X",(_xlfn.XLOOKUP($B86,Tabla1[SERVICIO],Tabla1[VALOR])*1),IF(P86&gt;=1,_xlfn.XLOOKUP($B86,Tabla1[SERVICIO],Tabla1[VALOR]*P86),0))</f>
        <v>0</v>
      </c>
      <c r="R86" s="181"/>
      <c r="S86" s="56" cm="1">
        <f t="array" ref="S86">IF(R86="X",(_xlfn.XLOOKUP($B86,Tabla1[SERVICIO],Tabla1[VALOR])*1),IF(R86&gt;=1,_xlfn.XLOOKUP($B86,Tabla1[SERVICIO],Tabla1[VALOR]*R86),0))</f>
        <v>0</v>
      </c>
      <c r="T86" s="181"/>
      <c r="U86" s="56" cm="1">
        <f t="array" ref="U86">IF(T86="X",(_xlfn.XLOOKUP($B86,Tabla1[SERVICIO],Tabla1[VALOR])*1),IF(T86&gt;=1,_xlfn.XLOOKUP($B86,Tabla1[SERVICIO],Tabla1[VALOR]*T86),0))</f>
        <v>0</v>
      </c>
      <c r="V86" s="181"/>
      <c r="W86" s="56" cm="1">
        <f t="array" ref="W86">IF(V86="X",(_xlfn.XLOOKUP($B86,Tabla1[SERVICIO],Tabla1[VALOR])*1),IF(V86&gt;=1,_xlfn.XLOOKUP($B86,Tabla1[SERVICIO],Tabla1[VALOR]*V86),0))</f>
        <v>0</v>
      </c>
      <c r="X86" s="181"/>
      <c r="Y86" s="56" cm="1">
        <f t="array" ref="Y86">IF(X86="X",(_xlfn.XLOOKUP($B86,Tabla1[SERVICIO],Tabla1[VALOR])*1),IF(X86&gt;=1,_xlfn.XLOOKUP($B86,Tabla1[SERVICIO],Tabla1[VALOR]*X86),0))</f>
        <v>0</v>
      </c>
      <c r="Z86" s="144"/>
      <c r="AA86" s="56">
        <v>0</v>
      </c>
      <c r="AB86" s="144"/>
      <c r="AC86" s="56">
        <v>0</v>
      </c>
      <c r="AD86" s="144"/>
      <c r="AE86" s="56">
        <v>0</v>
      </c>
      <c r="AF86" s="144"/>
      <c r="AG86" s="56">
        <v>0</v>
      </c>
      <c r="AH86" s="144"/>
      <c r="AI86" s="56">
        <v>0</v>
      </c>
      <c r="AJ86" s="144"/>
      <c r="AK86" s="56">
        <v>0</v>
      </c>
      <c r="AL86" s="181"/>
      <c r="AM86" s="56" cm="1">
        <f t="array" ref="AM86">IF(AL86="X",(_xlfn.XLOOKUP($B86,Tabla1[SERVICIO],Tabla1[VALOR])*1),IF(AL86&gt;=1,_xlfn.XLOOKUP($B86,Tabla1[SERVICIO],Tabla1[VALOR]*AL86),0))</f>
        <v>0</v>
      </c>
      <c r="AN86" s="81">
        <f t="shared" si="1"/>
        <v>26897.079640267817</v>
      </c>
      <c r="AO86" s="106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6" s="104" t="s">
        <v>319</v>
      </c>
      <c r="AQ86" s="119">
        <v>1.6708437761069339E-3</v>
      </c>
      <c r="AR86" s="121">
        <f>+Tabla41429[[#This Row],[TOTAL]]*Tabla41429[[#This Row],[% de las personas que lo usaron]]</f>
        <v>44.940818112394012</v>
      </c>
      <c r="AS86" s="104" t="s">
        <v>349</v>
      </c>
      <c r="AT86" s="335">
        <v>18</v>
      </c>
    </row>
    <row r="87" spans="1:46" x14ac:dyDescent="0.25">
      <c r="A87" s="264" t="s">
        <v>327</v>
      </c>
      <c r="B87" s="265"/>
      <c r="C87" s="265"/>
      <c r="D87" s="266">
        <f>SUBTOTAL(109,Tabla41429[MES 1])</f>
        <v>23</v>
      </c>
      <c r="E87" s="266">
        <f>SUBTOTAL(109,Tabla41429[COSTOS])</f>
        <v>1219915.8374380074</v>
      </c>
      <c r="F87" s="266">
        <f>SUBTOTAL(109,Tabla41429[MES 2])</f>
        <v>2</v>
      </c>
      <c r="G87" s="266">
        <f>SUBTOTAL(109,Tabla41429[COSTOS2])</f>
        <v>28378.274667939098</v>
      </c>
      <c r="H87" s="266">
        <f>SUBTOTAL(109,Tabla41429[MES 3])</f>
        <v>14</v>
      </c>
      <c r="I87" s="266">
        <f>SUBTOTAL(109,Tabla41429[COSTOS3])</f>
        <v>187148.71011779437</v>
      </c>
      <c r="J87" s="266">
        <f>SUBTOTAL(109,Tabla41429[MES 4])</f>
        <v>9</v>
      </c>
      <c r="K87" s="266">
        <f>SUBTOTAL(109,Tabla41429[COSTOS4])</f>
        <v>82984.380575551229</v>
      </c>
      <c r="L87" s="266">
        <f>SUBTOTAL(109,Tabla41429[MES 5])</f>
        <v>9</v>
      </c>
      <c r="M87" s="266">
        <f>SUBTOTAL(109,Tabla41429[COSTOS5])</f>
        <v>82984.380575551229</v>
      </c>
      <c r="N87" s="266">
        <f>SUBTOTAL(109,Tabla41429[MES 6])</f>
        <v>12</v>
      </c>
      <c r="O87" s="266">
        <f>SUBTOTAL(109,Tabla41429[COSTOS6])</f>
        <v>311276.52454752458</v>
      </c>
      <c r="P87" s="266">
        <f>SUBTOTAL(109,Tabla41429[MES 7])</f>
        <v>11</v>
      </c>
      <c r="Q87" s="266">
        <f>SUBTOTAL(109,Tabla41429[COSTOS7])</f>
        <v>202153.30564611437</v>
      </c>
      <c r="R87" s="266">
        <f>SUBTOTAL(109,Tabla41429[MES 8])</f>
        <v>9</v>
      </c>
      <c r="S87" s="266">
        <f>SUBTOTAL(109,Tabla41429[COSTOS8])</f>
        <v>82984.380575551229</v>
      </c>
      <c r="T87" s="266">
        <f>SUBTOTAL(109,Tabla41429[MES 9])</f>
        <v>10</v>
      </c>
      <c r="U87" s="266">
        <f>SUBTOTAL(109,Tabla41429[COSTOS9])</f>
        <v>98619.233601270695</v>
      </c>
      <c r="V87" s="266">
        <f>SUBTOTAL(109,Tabla41429[MES 10])</f>
        <v>9</v>
      </c>
      <c r="W87" s="266">
        <f>SUBTOTAL(109,Tabla41429[COSTOS10])</f>
        <v>82984.380575551229</v>
      </c>
      <c r="X87" s="266">
        <f>SUBTOTAL(109,Tabla41429[MES 11])</f>
        <v>9</v>
      </c>
      <c r="Y87" s="266">
        <f>SUBTOTAL(109,Tabla41429[COSTOS11])</f>
        <v>82984.380575551229</v>
      </c>
      <c r="Z87" s="266">
        <f>SUBTOTAL(109,Tabla41429[MES 12])</f>
        <v>11</v>
      </c>
      <c r="AA87" s="266">
        <f>SUBTOTAL(109,Tabla41429[COSTOS12])</f>
        <v>166017.33216980533</v>
      </c>
      <c r="AB87" s="266">
        <f>SUBTOTAL(109,Tabla41429[MES 13])</f>
        <v>9</v>
      </c>
      <c r="AC87" s="266">
        <f>SUBTOTAL(109,Tabla41429[COSTOS13])</f>
        <v>82984.380575551229</v>
      </c>
      <c r="AD87" s="266">
        <f>SUBTOTAL(109,Tabla41429[MES 14])</f>
        <v>9</v>
      </c>
      <c r="AE87" s="266">
        <f>SUBTOTAL(109,Tabla41429[COSTOS14])</f>
        <v>82984.380575551229</v>
      </c>
      <c r="AF87" s="266">
        <f>SUBTOTAL(109,Tabla41429[MES 15])</f>
        <v>9</v>
      </c>
      <c r="AG87" s="151">
        <f>SUBTOTAL(109,Tabla41429[COSTOS15])</f>
        <v>82984.380575551229</v>
      </c>
      <c r="AH87" s="266">
        <f>SUBTOTAL(109,Tabla41429[MES 16])</f>
        <v>9</v>
      </c>
      <c r="AI87" s="151">
        <f>SUBTOTAL(109,Tabla41429[COSTOS16])</f>
        <v>82984.380575551229</v>
      </c>
      <c r="AJ87" s="266">
        <f>SUBTOTAL(109,Tabla41429[MES 17])</f>
        <v>9</v>
      </c>
      <c r="AK87" s="151">
        <f>SUBTOTAL(109,Tabla41429[COSTOS17])</f>
        <v>82984.380575551229</v>
      </c>
      <c r="AL87" s="266">
        <f>SUBTOTAL(109,Tabla41429[MES 18])</f>
        <v>20</v>
      </c>
      <c r="AM87" s="151">
        <f>SUBTOTAL(109,Tabla41429[COSTOS18])</f>
        <v>482287.62112351879</v>
      </c>
      <c r="AN87" s="151">
        <f>SUBTOTAL(109,Tabla41429[TOTAL])</f>
        <v>3525640.645067486</v>
      </c>
      <c r="AO87" s="266">
        <f>SUBTOTAL(109,Tabla41429[TOTAL SERVICIOS])</f>
        <v>193</v>
      </c>
      <c r="AP87" s="266">
        <f>SUBTOTAL(109,Tabla41429[Modalidad])</f>
        <v>0</v>
      </c>
      <c r="AQ87" s="266">
        <f>SUBTOTAL(109,Tabla41429[% de las personas que lo usaron])</f>
        <v>22.700083542188803</v>
      </c>
      <c r="AR87" s="266">
        <f>SUBTOTAL(109,Tabla41429[VALOR COSTO])</f>
        <v>2409334.795514469</v>
      </c>
      <c r="AS87" s="266">
        <f>+Tabla41429[[#Totals],[VALOR COSTO]]/18</f>
        <v>133851.93308413716</v>
      </c>
      <c r="AT87" s="266"/>
    </row>
    <row r="89" spans="1:46" x14ac:dyDescent="0.25">
      <c r="Z89" s="74"/>
    </row>
    <row r="90" spans="1:46" x14ac:dyDescent="0.25">
      <c r="B90" s="4" t="b">
        <f t="shared" ref="B90:B129" si="2">+B3=B47</f>
        <v>1</v>
      </c>
    </row>
    <row r="91" spans="1:46" x14ac:dyDescent="0.25">
      <c r="B91" s="4" t="b">
        <f t="shared" si="2"/>
        <v>1</v>
      </c>
    </row>
    <row r="92" spans="1:46" x14ac:dyDescent="0.25">
      <c r="B92" s="4" t="b">
        <f t="shared" si="2"/>
        <v>1</v>
      </c>
    </row>
    <row r="93" spans="1:46" x14ac:dyDescent="0.25">
      <c r="B93" s="4" t="b">
        <f t="shared" si="2"/>
        <v>1</v>
      </c>
    </row>
    <row r="94" spans="1:46" x14ac:dyDescent="0.25">
      <c r="B94" s="4" t="b">
        <f t="shared" si="2"/>
        <v>1</v>
      </c>
    </row>
    <row r="95" spans="1:46" x14ac:dyDescent="0.25">
      <c r="B95" s="4" t="b">
        <f t="shared" si="2"/>
        <v>1</v>
      </c>
    </row>
    <row r="96" spans="1:46" x14ac:dyDescent="0.25">
      <c r="B96" s="4" t="b">
        <f t="shared" si="2"/>
        <v>1</v>
      </c>
    </row>
    <row r="97" spans="2:2" x14ac:dyDescent="0.25">
      <c r="B97" s="4" t="b">
        <f t="shared" si="2"/>
        <v>1</v>
      </c>
    </row>
    <row r="98" spans="2:2" x14ac:dyDescent="0.25">
      <c r="B98" s="4" t="b">
        <f t="shared" si="2"/>
        <v>1</v>
      </c>
    </row>
    <row r="99" spans="2:2" x14ac:dyDescent="0.25">
      <c r="B99" s="4" t="b">
        <f t="shared" si="2"/>
        <v>1</v>
      </c>
    </row>
    <row r="100" spans="2:2" x14ac:dyDescent="0.25">
      <c r="B100" s="4" t="b">
        <f t="shared" si="2"/>
        <v>1</v>
      </c>
    </row>
    <row r="101" spans="2:2" x14ac:dyDescent="0.25">
      <c r="B101" s="4" t="b">
        <f t="shared" si="2"/>
        <v>1</v>
      </c>
    </row>
    <row r="102" spans="2:2" x14ac:dyDescent="0.25">
      <c r="B102" s="4" t="b">
        <f t="shared" si="2"/>
        <v>1</v>
      </c>
    </row>
    <row r="103" spans="2:2" x14ac:dyDescent="0.25">
      <c r="B103" s="4" t="b">
        <f t="shared" si="2"/>
        <v>1</v>
      </c>
    </row>
    <row r="104" spans="2:2" x14ac:dyDescent="0.25">
      <c r="B104" s="4" t="b">
        <f t="shared" si="2"/>
        <v>1</v>
      </c>
    </row>
    <row r="105" spans="2:2" x14ac:dyDescent="0.25">
      <c r="B105" s="4" t="b">
        <f t="shared" si="2"/>
        <v>1</v>
      </c>
    </row>
    <row r="106" spans="2:2" x14ac:dyDescent="0.25">
      <c r="B106" s="4" t="b">
        <f t="shared" si="2"/>
        <v>1</v>
      </c>
    </row>
    <row r="107" spans="2:2" x14ac:dyDescent="0.25">
      <c r="B107" s="4" t="b">
        <f t="shared" si="2"/>
        <v>1</v>
      </c>
    </row>
    <row r="108" spans="2:2" x14ac:dyDescent="0.25">
      <c r="B108" s="4" t="b">
        <f t="shared" si="2"/>
        <v>1</v>
      </c>
    </row>
    <row r="109" spans="2:2" x14ac:dyDescent="0.25">
      <c r="B109" s="4" t="b">
        <f t="shared" si="2"/>
        <v>1</v>
      </c>
    </row>
    <row r="110" spans="2:2" x14ac:dyDescent="0.25">
      <c r="B110" s="4" t="b">
        <f t="shared" si="2"/>
        <v>1</v>
      </c>
    </row>
    <row r="111" spans="2:2" x14ac:dyDescent="0.25">
      <c r="B111" s="4" t="b">
        <f t="shared" si="2"/>
        <v>1</v>
      </c>
    </row>
    <row r="112" spans="2:2" x14ac:dyDescent="0.25">
      <c r="B112" s="4" t="b">
        <f t="shared" si="2"/>
        <v>1</v>
      </c>
    </row>
    <row r="113" spans="2:2" x14ac:dyDescent="0.25">
      <c r="B113" s="4" t="b">
        <f t="shared" si="2"/>
        <v>1</v>
      </c>
    </row>
    <row r="114" spans="2:2" x14ac:dyDescent="0.25">
      <c r="B114" s="4" t="b">
        <f t="shared" si="2"/>
        <v>1</v>
      </c>
    </row>
    <row r="115" spans="2:2" x14ac:dyDescent="0.25">
      <c r="B115" s="4" t="b">
        <f t="shared" si="2"/>
        <v>1</v>
      </c>
    </row>
    <row r="116" spans="2:2" x14ac:dyDescent="0.25">
      <c r="B116" s="4" t="b">
        <f t="shared" si="2"/>
        <v>1</v>
      </c>
    </row>
    <row r="117" spans="2:2" x14ac:dyDescent="0.25">
      <c r="B117" s="4" t="b">
        <f t="shared" si="2"/>
        <v>1</v>
      </c>
    </row>
    <row r="118" spans="2:2" x14ac:dyDescent="0.25">
      <c r="B118" s="4" t="b">
        <f t="shared" si="2"/>
        <v>1</v>
      </c>
    </row>
    <row r="119" spans="2:2" x14ac:dyDescent="0.25">
      <c r="B119" s="4" t="b">
        <f t="shared" si="2"/>
        <v>1</v>
      </c>
    </row>
    <row r="120" spans="2:2" x14ac:dyDescent="0.25">
      <c r="B120" s="4" t="b">
        <f t="shared" si="2"/>
        <v>1</v>
      </c>
    </row>
    <row r="121" spans="2:2" x14ac:dyDescent="0.25">
      <c r="B121" s="4" t="b">
        <f t="shared" si="2"/>
        <v>1</v>
      </c>
    </row>
    <row r="122" spans="2:2" x14ac:dyDescent="0.25">
      <c r="B122" s="4" t="b">
        <f t="shared" si="2"/>
        <v>1</v>
      </c>
    </row>
    <row r="123" spans="2:2" x14ac:dyDescent="0.25">
      <c r="B123" s="4" t="b">
        <f t="shared" si="2"/>
        <v>1</v>
      </c>
    </row>
    <row r="124" spans="2:2" x14ac:dyDescent="0.25">
      <c r="B124" s="4" t="b">
        <f t="shared" si="2"/>
        <v>1</v>
      </c>
    </row>
    <row r="125" spans="2:2" x14ac:dyDescent="0.25">
      <c r="B125" s="4" t="b">
        <f t="shared" si="2"/>
        <v>1</v>
      </c>
    </row>
    <row r="126" spans="2:2" x14ac:dyDescent="0.25">
      <c r="B126" s="4" t="b">
        <f t="shared" si="2"/>
        <v>1</v>
      </c>
    </row>
    <row r="127" spans="2:2" x14ac:dyDescent="0.25">
      <c r="B127" s="4" t="b">
        <f t="shared" si="2"/>
        <v>1</v>
      </c>
    </row>
    <row r="128" spans="2:2" x14ac:dyDescent="0.25">
      <c r="B128" s="4" t="b">
        <f t="shared" si="2"/>
        <v>1</v>
      </c>
    </row>
    <row r="129" spans="2:2" x14ac:dyDescent="0.25">
      <c r="B129" s="4" t="b">
        <f t="shared" si="2"/>
        <v>1</v>
      </c>
    </row>
  </sheetData>
  <autoFilter ref="AD2:AF43" xr:uid="{06BC1AF7-99CB-4BDC-A6C3-96BC9AC57D2A}"/>
  <phoneticPr fontId="13" type="noConversion"/>
  <conditionalFormatting sqref="A3:A43">
    <cfRule type="duplicateValues" dxfId="62" priority="4"/>
  </conditionalFormatting>
  <conditionalFormatting sqref="A47:A86">
    <cfRule type="duplicateValues" dxfId="61" priority="52"/>
  </conditionalFormatting>
  <conditionalFormatting sqref="AF3:AF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7:AR86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E47:AE86 AG48:AO51 E47:AC55 AG53:AO55 AG52:AM52 AO52 AG57:AO86 AG56 AO56 AG47:AM47 E57:AC86 E56:G56 U56 I56 K56 M56 O56 Q56 W56 Y56 AA56 AC56 AI56 AK56 AM56" calculatedColumn="1"/>
  </ignoredErrors>
  <legacy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CA02-D032-426A-91FB-3EC6E83CDF6A}">
  <sheetPr codeName="Hoja2">
    <tabColor theme="7" tint="0.39997558519241921"/>
  </sheetPr>
  <dimension ref="A1:AT92"/>
  <sheetViews>
    <sheetView zoomScale="40" zoomScaleNormal="40" workbookViewId="0">
      <selection activeCell="A3" sqref="A3:AH30"/>
    </sheetView>
    <sheetView zoomScale="70" zoomScaleNormal="70" workbookViewId="1">
      <selection activeCell="B5" sqref="B5"/>
    </sheetView>
  </sheetViews>
  <sheetFormatPr baseColWidth="10" defaultRowHeight="15" x14ac:dyDescent="0.25"/>
  <cols>
    <col min="1" max="1" width="11.42578125" style="5" customWidth="1"/>
    <col min="2" max="2" width="60" style="4" customWidth="1"/>
    <col min="3" max="3" width="22.42578125" style="4" customWidth="1"/>
    <col min="4" max="4" width="17.7109375" style="42" bestFit="1" customWidth="1"/>
    <col min="5" max="5" width="16" style="4" bestFit="1" customWidth="1"/>
    <col min="6" max="6" width="10" style="4" bestFit="1" customWidth="1"/>
    <col min="7" max="7" width="7.5703125" style="4" customWidth="1"/>
    <col min="8" max="8" width="10" style="4" bestFit="1" customWidth="1"/>
    <col min="9" max="9" width="7.5703125" style="4" customWidth="1"/>
    <col min="10" max="10" width="10" style="4" bestFit="1" customWidth="1"/>
    <col min="11" max="11" width="15.28515625" style="4" bestFit="1" customWidth="1"/>
    <col min="12" max="12" width="10" style="4" bestFit="1" customWidth="1"/>
    <col min="13" max="13" width="7.5703125" style="4" customWidth="1"/>
    <col min="14" max="14" width="10" style="4" bestFit="1" customWidth="1"/>
    <col min="15" max="15" width="7.5703125" style="4" customWidth="1"/>
    <col min="16" max="16" width="14.42578125" style="4" bestFit="1" customWidth="1"/>
    <col min="17" max="17" width="8.28515625" style="4" customWidth="1"/>
    <col min="18" max="18" width="10" style="4" bestFit="1" customWidth="1"/>
    <col min="19" max="19" width="8.28515625" style="4" customWidth="1"/>
    <col min="20" max="20" width="10" style="4" bestFit="1" customWidth="1"/>
    <col min="21" max="21" width="8.28515625" style="4" customWidth="1"/>
    <col min="22" max="22" width="18.140625" style="4" bestFit="1" customWidth="1"/>
    <col min="23" max="23" width="11.42578125" style="4"/>
    <col min="24" max="24" width="17.7109375" style="4" bestFit="1" customWidth="1"/>
    <col min="25" max="25" width="11.42578125" style="4"/>
    <col min="26" max="26" width="18.140625" style="4" bestFit="1" customWidth="1"/>
    <col min="27" max="27" width="14.85546875" style="4" bestFit="1" customWidth="1"/>
    <col min="28" max="28" width="17.140625" style="4" bestFit="1" customWidth="1"/>
    <col min="29" max="29" width="11.42578125" style="4"/>
    <col min="30" max="30" width="13" style="4" bestFit="1" customWidth="1"/>
    <col min="31" max="31" width="17.85546875" style="4" bestFit="1" customWidth="1"/>
    <col min="32" max="32" width="19.28515625" style="4" bestFit="1" customWidth="1"/>
    <col min="33" max="33" width="27.85546875" style="4" bestFit="1" customWidth="1"/>
    <col min="34" max="34" width="13" style="4" bestFit="1" customWidth="1"/>
    <col min="35" max="35" width="11.42578125" style="4"/>
    <col min="36" max="36" width="19.140625" style="4" customWidth="1"/>
    <col min="37" max="37" width="11.42578125" style="4"/>
    <col min="38" max="38" width="13.42578125" style="4" bestFit="1" customWidth="1"/>
    <col min="39" max="39" width="16.42578125" style="4" bestFit="1" customWidth="1"/>
    <col min="40" max="40" width="17.140625" style="4" bestFit="1" customWidth="1"/>
    <col min="41" max="42" width="11.42578125" style="4"/>
    <col min="43" max="44" width="17.85546875" style="4" bestFit="1" customWidth="1"/>
    <col min="45" max="16384" width="11.42578125" style="4"/>
  </cols>
  <sheetData>
    <row r="1" spans="1:34" ht="30.75" customHeight="1" x14ac:dyDescent="0.25">
      <c r="A1" s="44" t="s">
        <v>267</v>
      </c>
      <c r="B1" s="45"/>
      <c r="C1" s="45"/>
      <c r="D1" s="63"/>
      <c r="E1" s="45"/>
      <c r="F1" s="45"/>
      <c r="G1" s="45"/>
      <c r="H1" s="45"/>
      <c r="I1" s="45"/>
      <c r="J1" s="45"/>
      <c r="K1" s="45"/>
      <c r="L1" s="45"/>
      <c r="M1" s="45"/>
      <c r="N1" s="46"/>
      <c r="O1" s="64"/>
    </row>
    <row r="2" spans="1:34" s="3" customFormat="1" ht="25.5" x14ac:dyDescent="0.2">
      <c r="A2" s="20" t="s">
        <v>0</v>
      </c>
      <c r="B2" s="17" t="s">
        <v>268</v>
      </c>
      <c r="C2" s="17" t="s">
        <v>347</v>
      </c>
      <c r="D2" s="18" t="s">
        <v>56</v>
      </c>
      <c r="E2" s="142" t="s">
        <v>235</v>
      </c>
      <c r="F2" s="94" t="s">
        <v>57</v>
      </c>
      <c r="G2" s="94" t="s">
        <v>236</v>
      </c>
      <c r="H2" s="94" t="s">
        <v>58</v>
      </c>
      <c r="I2" s="94" t="s">
        <v>237</v>
      </c>
      <c r="J2" s="94" t="s">
        <v>59</v>
      </c>
      <c r="K2" s="94" t="s">
        <v>238</v>
      </c>
      <c r="L2" s="94" t="s">
        <v>60</v>
      </c>
      <c r="M2" s="94" t="s">
        <v>239</v>
      </c>
      <c r="N2" s="94" t="s">
        <v>61</v>
      </c>
      <c r="O2" s="94" t="s">
        <v>240</v>
      </c>
      <c r="P2" s="94" t="s">
        <v>62</v>
      </c>
      <c r="Q2" s="94" t="s">
        <v>241</v>
      </c>
      <c r="R2" s="94" t="s">
        <v>63</v>
      </c>
      <c r="S2" s="94" t="s">
        <v>242</v>
      </c>
      <c r="T2" s="94" t="s">
        <v>64</v>
      </c>
      <c r="U2" s="94" t="s">
        <v>243</v>
      </c>
      <c r="V2" s="94" t="s">
        <v>65</v>
      </c>
      <c r="W2" s="94" t="s">
        <v>244</v>
      </c>
      <c r="X2" s="94" t="s">
        <v>66</v>
      </c>
      <c r="Y2" s="94" t="s">
        <v>245</v>
      </c>
      <c r="Z2" s="94" t="s">
        <v>67</v>
      </c>
      <c r="AA2" s="94" t="s">
        <v>246</v>
      </c>
      <c r="AB2" s="105" t="s">
        <v>269</v>
      </c>
      <c r="AC2" s="105" t="s">
        <v>313</v>
      </c>
      <c r="AD2" s="66" t="s">
        <v>323</v>
      </c>
      <c r="AE2" s="66" t="s">
        <v>316</v>
      </c>
      <c r="AF2" s="66" t="s">
        <v>317</v>
      </c>
      <c r="AG2" s="66" t="s">
        <v>348</v>
      </c>
      <c r="AH2" s="66" t="s">
        <v>406</v>
      </c>
    </row>
    <row r="3" spans="1:34" x14ac:dyDescent="0.25">
      <c r="A3" s="7" t="s">
        <v>13</v>
      </c>
      <c r="B3" s="8" t="s">
        <v>14</v>
      </c>
      <c r="C3" s="96" t="str">
        <f>_xlfn.XLOOKUP(Tabla46[[#This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8"/>
      <c r="G3" s="56" cm="1">
        <f t="array" ref="G3">IF(F3="X",(_xlfn.XLOOKUP($B3,Tabla1[SERVICIO],Tabla1[VALOR])*1),IF(F3&gt;=1,_xlfn.XLOOKUP($B3,Tabla1[SERVICIO],Tabla1[VALOR]*F3),0))</f>
        <v>0</v>
      </c>
      <c r="H3" s="8"/>
      <c r="I3" s="56" cm="1">
        <f t="array" ref="I3">IF(H3="X",(_xlfn.XLOOKUP($B3,Tabla1[SERVICIO],Tabla1[VALOR])*1),IF(H3&gt;=1,_xlfn.XLOOKUP($B3,Tabla1[SERVICIO],Tabla1[VALOR]*H3),0))</f>
        <v>0</v>
      </c>
      <c r="J3" s="8"/>
      <c r="K3" s="56" cm="1">
        <f t="array" ref="K3">IF(J3="X",(_xlfn.XLOOKUP($B3,Tabla1[SERVICIO],Tabla1[VALOR])*1),IF(J3&gt;=1,_xlfn.XLOOKUP($B3,Tabla1[SERVICIO],Tabla1[VALOR]*J3),0))</f>
        <v>0</v>
      </c>
      <c r="L3" s="8"/>
      <c r="M3" s="56" cm="1">
        <f t="array" ref="M3">IF(L3="X",(_xlfn.XLOOKUP($B3,Tabla1[SERVICIO],Tabla1[VALOR])*1),IF(L3&gt;=1,_xlfn.XLOOKUP($B3,Tabla1[SERVICIO],Tabla1[VALOR]*L3),0))</f>
        <v>0</v>
      </c>
      <c r="N3" s="8"/>
      <c r="O3" s="56" cm="1">
        <f t="array" ref="O3">IF(N3="X",(_xlfn.XLOOKUP($B3,Tabla1[SERVICIO],Tabla1[VALOR])*1),IF(N3&gt;=1,_xlfn.XLOOKUP($B3,Tabla1[SERVICIO],Tabla1[VALOR]*N3),0))</f>
        <v>0</v>
      </c>
      <c r="P3" s="8"/>
      <c r="Q3" s="56" cm="1">
        <f t="array" ref="Q3">IF(P3="X",(_xlfn.XLOOKUP($B3,Tabla1[SERVICIO],Tabla1[VALOR])*1),IF(P3&gt;=1,_xlfn.XLOOKUP($B3,Tabla1[SERVICIO],Tabla1[VALOR]*P3),0))</f>
        <v>0</v>
      </c>
      <c r="R3" s="8"/>
      <c r="S3" s="56" cm="1">
        <f t="array" ref="S3">IF(R3="X",(_xlfn.XLOOKUP($B3,Tabla1[SERVICIO],Tabla1[VALOR])*1),IF(R3&gt;=1,_xlfn.XLOOKUP($B3,Tabla1[SERVICIO],Tabla1[VALOR]*R3),0))</f>
        <v>0</v>
      </c>
      <c r="T3" s="8"/>
      <c r="U3" s="56" cm="1">
        <f t="array" ref="U3">IF(T3="X",(_xlfn.XLOOKUP($B3,Tabla1[SERVICIO],Tabla1[VALOR])*1),IF(T3&gt;=1,_xlfn.XLOOKUP($B3,Tabla1[SERVICIO],Tabla1[VALOR]*T3),0))</f>
        <v>0</v>
      </c>
      <c r="V3" s="8"/>
      <c r="W3" s="56" cm="1">
        <f t="array" ref="W3">IF(V3="X",(_xlfn.XLOOKUP($B3,Tabla1[SERVICIO],Tabla1[VALOR])*1),IF(V3&gt;=1,_xlfn.XLOOKUP($B3,Tabla1[SERVICIO],Tabla1[VALOR]*V3),0))</f>
        <v>0</v>
      </c>
      <c r="X3" s="8"/>
      <c r="Y3" s="56" cm="1">
        <f t="array" ref="Y3">IF(X3="X",(_xlfn.XLOOKUP($B3,Tabla1[SERVICIO],Tabla1[VALOR])*1),IF(X3&gt;=1,_xlfn.XLOOKUP($B3,Tabla1[SERVICIO],Tabla1[VALOR]*X3),0))</f>
        <v>0</v>
      </c>
      <c r="Z3" s="8"/>
      <c r="AA3" s="56" cm="1">
        <f t="array" ref="AA3">IF(Z3="X",(_xlfn.XLOOKUP($B3,Tabla1[SERVICIO],Tabla1[VALOR])*1),IF(Z3&gt;=1,_xlfn.XLOOKUP($B3,Tabla1[SERVICIO],Tabla1[VALOR]*Z3),0))</f>
        <v>0</v>
      </c>
      <c r="AB3" s="81">
        <f>SUM(E3,G3,I3,K3+M3,O3,Q3,S3,U3,W3,Y3,AA3)</f>
        <v>20552.755657371155</v>
      </c>
      <c r="AC3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3" s="122" t="s">
        <v>318</v>
      </c>
      <c r="AE3" s="127">
        <v>1</v>
      </c>
      <c r="AF3" s="121">
        <f>+Tabla46[[#This Row],[TOTAL RUTA]]*AE3</f>
        <v>20552.755657371155</v>
      </c>
      <c r="AG3" s="82" t="s">
        <v>350</v>
      </c>
      <c r="AH3" s="335">
        <v>12</v>
      </c>
    </row>
    <row r="4" spans="1:34" x14ac:dyDescent="0.25">
      <c r="A4" s="7" t="s">
        <v>40</v>
      </c>
      <c r="B4" s="96" t="s">
        <v>41</v>
      </c>
      <c r="C4" s="96" t="str">
        <f>_xlfn.XLOOKUP(Tabla46[[#This Row],[Servicios del Programa:]],Tabla151[CODIGO],Tabla151[VALOR])</f>
        <v>Gestion y seguimiento</v>
      </c>
      <c r="D4" s="14">
        <v>1</v>
      </c>
      <c r="E4" s="56" cm="1">
        <f t="array" ref="E4">IF(D4="X",(_xlfn.XLOOKUP($B4,Tabla1[SERVICIO],Tabla1[VALOR])*1),IF(D4&gt;=1,_xlfn.XLOOKUP($B4,Tabla1[SERVICIO],Tabla1[VALOR]*D4),0))</f>
        <v>15634.853025719462</v>
      </c>
      <c r="F4" s="14">
        <v>1</v>
      </c>
      <c r="G4" s="56" cm="1">
        <f t="array" ref="G4">IF(F4="X",(_xlfn.XLOOKUP($B4,Tabla1[SERVICIO],Tabla1[VALOR])*1),IF(F4&gt;=1,_xlfn.XLOOKUP($B4,Tabla1[SERVICIO],Tabla1[VALOR]*F4),0))</f>
        <v>15634.853025719462</v>
      </c>
      <c r="H4" s="14">
        <v>1</v>
      </c>
      <c r="I4" s="56" cm="1">
        <f t="array" ref="I4">IF(H4="X",(_xlfn.XLOOKUP($B4,Tabla1[SERVICIO],Tabla1[VALOR])*1),IF(H4&gt;=1,_xlfn.XLOOKUP($B4,Tabla1[SERVICIO],Tabla1[VALOR]*H4),0))</f>
        <v>15634.853025719462</v>
      </c>
      <c r="J4" s="14">
        <v>1</v>
      </c>
      <c r="K4" s="56" cm="1">
        <f t="array" ref="K4">IF(J4="X",(_xlfn.XLOOKUP($B4,Tabla1[SERVICIO],Tabla1[VALOR])*1),IF(J4&gt;=1,_xlfn.XLOOKUP($B4,Tabla1[SERVICIO],Tabla1[VALOR]*J4),0))</f>
        <v>15634.853025719462</v>
      </c>
      <c r="L4" s="14">
        <v>1</v>
      </c>
      <c r="M4" s="56" cm="1">
        <f t="array" ref="M4">IF(L4="X",(_xlfn.XLOOKUP($B4,Tabla1[SERVICIO],Tabla1[VALOR])*1),IF(L4&gt;=1,_xlfn.XLOOKUP($B4,Tabla1[SERVICIO],Tabla1[VALOR]*L4),0))</f>
        <v>15634.853025719462</v>
      </c>
      <c r="N4" s="14">
        <v>1</v>
      </c>
      <c r="O4" s="56" cm="1">
        <f t="array" ref="O4">IF(N4="X",(_xlfn.XLOOKUP($B4,Tabla1[SERVICIO],Tabla1[VALOR])*1),IF(N4&gt;=1,_xlfn.XLOOKUP($B4,Tabla1[SERVICIO],Tabla1[VALOR]*N4),0))</f>
        <v>15634.853025719462</v>
      </c>
      <c r="P4" s="14">
        <v>1</v>
      </c>
      <c r="Q4" s="56" cm="1">
        <f t="array" ref="Q4">IF(P4="X",(_xlfn.XLOOKUP($B4,Tabla1[SERVICIO],Tabla1[VALOR])*1),IF(P4&gt;=1,_xlfn.XLOOKUP($B4,Tabla1[SERVICIO],Tabla1[VALOR]*P4),0))</f>
        <v>15634.853025719462</v>
      </c>
      <c r="R4" s="14">
        <v>1</v>
      </c>
      <c r="S4" s="56" cm="1">
        <f t="array" ref="S4">IF(R4="X",(_xlfn.XLOOKUP($B4,Tabla1[SERVICIO],Tabla1[VALOR])*1),IF(R4&gt;=1,_xlfn.XLOOKUP($B4,Tabla1[SERVICIO],Tabla1[VALOR]*R4),0))</f>
        <v>15634.853025719462</v>
      </c>
      <c r="T4" s="14">
        <v>1</v>
      </c>
      <c r="U4" s="56" cm="1">
        <f t="array" ref="U4">IF(T4="X",(_xlfn.XLOOKUP($B4,Tabla1[SERVICIO],Tabla1[VALOR])*1),IF(T4&gt;=1,_xlfn.XLOOKUP($B4,Tabla1[SERVICIO],Tabla1[VALOR]*T4),0))</f>
        <v>15634.853025719462</v>
      </c>
      <c r="V4" s="14">
        <v>1</v>
      </c>
      <c r="W4" s="56" cm="1">
        <f t="array" ref="W4">IF(V4="X",(_xlfn.XLOOKUP($B4,Tabla1[SERVICIO],Tabla1[VALOR])*1),IF(V4&gt;=1,_xlfn.XLOOKUP($B4,Tabla1[SERVICIO],Tabla1[VALOR]*V4),0))</f>
        <v>15634.853025719462</v>
      </c>
      <c r="X4" s="14">
        <v>1</v>
      </c>
      <c r="Y4" s="56" cm="1">
        <f t="array" ref="Y4">IF(X4="X",(_xlfn.XLOOKUP($B4,Tabla1[SERVICIO],Tabla1[VALOR])*1),IF(X4&gt;=1,_xlfn.XLOOKUP($B4,Tabla1[SERVICIO],Tabla1[VALOR]*X4),0))</f>
        <v>15634.853025719462</v>
      </c>
      <c r="Z4" s="14">
        <v>1</v>
      </c>
      <c r="AA4" s="56" cm="1">
        <f t="array" ref="AA4">IF(Z4="X",(_xlfn.XLOOKUP($B4,Tabla1[SERVICIO],Tabla1[VALOR])*1),IF(Z4&gt;=1,_xlfn.XLOOKUP($B4,Tabla1[SERVICIO],Tabla1[VALOR]*Z4),0))</f>
        <v>15634.853025719462</v>
      </c>
      <c r="AB4" s="81">
        <f t="shared" ref="AB4:AB30" si="0">SUM(E4,G4,I4,K4+M4,O4,Q4,S4,U4,W4,Y4,AA4)</f>
        <v>187618.23630863355</v>
      </c>
      <c r="AC4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12</v>
      </c>
      <c r="AD4" s="122" t="s">
        <v>318</v>
      </c>
      <c r="AE4" s="127">
        <v>1</v>
      </c>
      <c r="AF4" s="121">
        <f>+Tabla46[[#This Row],[TOTAL RUTA]]*AE4</f>
        <v>187618.23630863355</v>
      </c>
      <c r="AG4" s="82" t="s">
        <v>350</v>
      </c>
      <c r="AH4" s="335">
        <v>12</v>
      </c>
    </row>
    <row r="5" spans="1:34" x14ac:dyDescent="0.25">
      <c r="A5" s="7" t="s">
        <v>36</v>
      </c>
      <c r="B5" s="96" t="s">
        <v>100</v>
      </c>
      <c r="C5" s="96" t="str">
        <f>_xlfn.XLOOKUP(Tabla46[[#This Row],[Servicios del Programa:]],Tabla151[CODIGO],Tabla151[VALOR])</f>
        <v>Terapias</v>
      </c>
      <c r="D5" s="8"/>
      <c r="E5" s="56" cm="1">
        <f t="array" ref="E5">IF(D5="X",(_xlfn.XLOOKUP($B5,Tabla1[SERVICIO],Tabla1[VALOR])*1),IF(D5&gt;=1,_xlfn.XLOOKUP($B5,Tabla1[SERVICIO],Tabla1[VALOR]*D5),0))</f>
        <v>0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14">
        <v>8</v>
      </c>
      <c r="I5" s="56" cm="1">
        <f t="array" ref="I5">IF(H5="X",(_xlfn.XLOOKUP($B5,Tabla1[SERVICIO],Tabla1[VALOR])*1),IF(H5&gt;=1,_xlfn.XLOOKUP($B5,Tabla1[SERVICIO],Tabla1[VALOR]*H5),0))</f>
        <v>70240.958933331596</v>
      </c>
      <c r="J5" s="14">
        <v>8</v>
      </c>
      <c r="K5" s="56" cm="1">
        <f t="array" ref="K5">IF(J5="X",(_xlfn.XLOOKUP($B5,Tabla1[SERVICIO],Tabla1[VALOR])*1),IF(J5&gt;=1,_xlfn.XLOOKUP($B5,Tabla1[SERVICIO],Tabla1[VALOR]*J5),0))</f>
        <v>70240.958933331596</v>
      </c>
      <c r="L5" s="14">
        <v>8</v>
      </c>
      <c r="M5" s="56" cm="1">
        <f t="array" ref="M5">IF(L5="X",(_xlfn.XLOOKUP($B5,Tabla1[SERVICIO],Tabla1[VALOR])*1),IF(L5&gt;=1,_xlfn.XLOOKUP($B5,Tabla1[SERVICIO],Tabla1[VALOR]*L5),0))</f>
        <v>70240.958933331596</v>
      </c>
      <c r="N5" s="14">
        <v>8</v>
      </c>
      <c r="O5" s="56" cm="1">
        <f t="array" ref="O5">IF(N5="X",(_xlfn.XLOOKUP($B5,Tabla1[SERVICIO],Tabla1[VALOR])*1),IF(N5&gt;=1,_xlfn.XLOOKUP($B5,Tabla1[SERVICIO],Tabla1[VALOR]*N5),0))</f>
        <v>70240.958933331596</v>
      </c>
      <c r="P5" s="14">
        <v>8</v>
      </c>
      <c r="Q5" s="56" cm="1">
        <f t="array" ref="Q5">IF(P5="X",(_xlfn.XLOOKUP($B5,Tabla1[SERVICIO],Tabla1[VALOR])*1),IF(P5&gt;=1,_xlfn.XLOOKUP($B5,Tabla1[SERVICIO],Tabla1[VALOR]*P5),0))</f>
        <v>70240.958933331596</v>
      </c>
      <c r="R5" s="14">
        <v>8</v>
      </c>
      <c r="S5" s="56" cm="1">
        <f t="array" ref="S5">IF(R5="X",(_xlfn.XLOOKUP($B5,Tabla1[SERVICIO],Tabla1[VALOR])*1),IF(R5&gt;=1,_xlfn.XLOOKUP($B5,Tabla1[SERVICIO],Tabla1[VALOR]*R5),0))</f>
        <v>70240.958933331596</v>
      </c>
      <c r="T5" s="14">
        <v>8</v>
      </c>
      <c r="U5" s="56" cm="1">
        <f t="array" ref="U5">IF(T5="X",(_xlfn.XLOOKUP($B5,Tabla1[SERVICIO],Tabla1[VALOR])*1),IF(T5&gt;=1,_xlfn.XLOOKUP($B5,Tabla1[SERVICIO],Tabla1[VALOR]*T5),0))</f>
        <v>70240.958933331596</v>
      </c>
      <c r="V5" s="14">
        <v>8</v>
      </c>
      <c r="W5" s="56" cm="1">
        <f t="array" ref="W5">IF(V5="X",(_xlfn.XLOOKUP($B5,Tabla1[SERVICIO],Tabla1[VALOR])*1),IF(V5&gt;=1,_xlfn.XLOOKUP($B5,Tabla1[SERVICIO],Tabla1[VALOR]*V5),0))</f>
        <v>70240.958933331596</v>
      </c>
      <c r="X5" s="14">
        <v>8</v>
      </c>
      <c r="Y5" s="56" cm="1">
        <f t="array" ref="Y5">IF(X5="X",(_xlfn.XLOOKUP($B5,Tabla1[SERVICIO],Tabla1[VALOR])*1),IF(X5&gt;=1,_xlfn.XLOOKUP($B5,Tabla1[SERVICIO],Tabla1[VALOR]*X5),0))</f>
        <v>70240.958933331596</v>
      </c>
      <c r="Z5" s="14">
        <v>8</v>
      </c>
      <c r="AA5" s="56" cm="1">
        <f t="array" ref="AA5">IF(Z5="X",(_xlfn.XLOOKUP($B5,Tabla1[SERVICIO],Tabla1[VALOR])*1),IF(Z5&gt;=1,_xlfn.XLOOKUP($B5,Tabla1[SERVICIO],Tabla1[VALOR]*Z5),0))</f>
        <v>70240.958933331596</v>
      </c>
      <c r="AB5" s="81">
        <f t="shared" si="0"/>
        <v>702409.58933331585</v>
      </c>
      <c r="AC5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80</v>
      </c>
      <c r="AD5" s="122" t="s">
        <v>318</v>
      </c>
      <c r="AE5" s="127">
        <v>1</v>
      </c>
      <c r="AF5" s="121">
        <f>+Tabla46[[#This Row],[TOTAL RUTA]]*AE5</f>
        <v>702409.58933331585</v>
      </c>
      <c r="AG5" s="82" t="s">
        <v>350</v>
      </c>
      <c r="AH5" s="335">
        <v>12</v>
      </c>
    </row>
    <row r="6" spans="1:34" x14ac:dyDescent="0.25">
      <c r="A6" s="7" t="s">
        <v>15</v>
      </c>
      <c r="B6" s="96" t="s">
        <v>16</v>
      </c>
      <c r="C6" s="96" t="str">
        <f>_xlfn.XLOOKUP(Tabla46[[#This Row],[Servicios del Programa:]],Tabla151[CODIGO],Tabla151[VALOR])</f>
        <v>Consultas</v>
      </c>
      <c r="D6" s="8"/>
      <c r="E6" s="56" cm="1">
        <f t="array" ref="E6">IF(D6="X",(_xlfn.XLOOKUP($B6,Tabla1[SERVICIO],Tabla1[VALOR])*1),IF(D6&gt;=1,_xlfn.XLOOKUP($B6,Tabla1[SERVICIO],Tabla1[VALOR]*D6),0))</f>
        <v>0</v>
      </c>
      <c r="F6" s="8"/>
      <c r="G6" s="56" cm="1">
        <f t="array" ref="G6">IF(F6="X",(_xlfn.XLOOKUP($B6,Tabla1[SERVICIO],Tabla1[VALOR])*1),IF(F6&gt;=1,_xlfn.XLOOKUP($B6,Tabla1[SERVICIO],Tabla1[VALOR]*F6),0))</f>
        <v>0</v>
      </c>
      <c r="H6" s="8"/>
      <c r="I6" s="56" cm="1">
        <f t="array" ref="I6">IF(H6="X",(_xlfn.XLOOKUP($B6,Tabla1[SERVICIO],Tabla1[VALOR])*1),IF(H6&gt;=1,_xlfn.XLOOKUP($B6,Tabla1[SERVICIO],Tabla1[VALOR]*H6),0))</f>
        <v>0</v>
      </c>
      <c r="J6" s="8"/>
      <c r="K6" s="56" cm="1">
        <f t="array" ref="K6">IF(J6="X",(_xlfn.XLOOKUP($B6,Tabla1[SERVICIO],Tabla1[VALOR])*1),IF(J6&gt;=1,_xlfn.XLOOKUP($B6,Tabla1[SERVICIO],Tabla1[VALOR]*J6),0))</f>
        <v>0</v>
      </c>
      <c r="L6" s="8"/>
      <c r="M6" s="56" cm="1">
        <f t="array" ref="M6">IF(L6="X",(_xlfn.XLOOKUP($B6,Tabla1[SERVICIO],Tabla1[VALOR])*1),IF(L6&gt;=1,_xlfn.XLOOKUP($B6,Tabla1[SERVICIO],Tabla1[VALOR]*L6),0))</f>
        <v>0</v>
      </c>
      <c r="N6" s="14">
        <v>1</v>
      </c>
      <c r="O6" s="56" cm="1">
        <f t="array" ref="O6">IF(N6="X",(_xlfn.XLOOKUP($B6,Tabla1[SERVICIO],Tabla1[VALOR])*1),IF(N6&gt;=1,_xlfn.XLOOKUP($B6,Tabla1[SERVICIO],Tabla1[VALOR]*N6),0))</f>
        <v>22052.520800552971</v>
      </c>
      <c r="P6" s="8"/>
      <c r="Q6" s="56" cm="1">
        <f t="array" ref="Q6">IF(P6="X",(_xlfn.XLOOKUP($B6,Tabla1[SERVICIO],Tabla1[VALOR])*1),IF(P6&gt;=1,_xlfn.XLOOKUP($B6,Tabla1[SERVICIO],Tabla1[VALOR]*P6),0))</f>
        <v>0</v>
      </c>
      <c r="R6" s="8"/>
      <c r="S6" s="56" cm="1">
        <f t="array" ref="S6">IF(R6="X",(_xlfn.XLOOKUP($B6,Tabla1[SERVICIO],Tabla1[VALOR])*1),IF(R6&gt;=1,_xlfn.XLOOKUP($B6,Tabla1[SERVICIO],Tabla1[VALOR]*R6),0))</f>
        <v>0</v>
      </c>
      <c r="T6" s="8"/>
      <c r="U6" s="56" cm="1">
        <f t="array" ref="U6">IF(T6="X",(_xlfn.XLOOKUP($B6,Tabla1[SERVICIO],Tabla1[VALOR])*1),IF(T6&gt;=1,_xlfn.XLOOKUP($B6,Tabla1[SERVICIO],Tabla1[VALOR]*T6),0))</f>
        <v>0</v>
      </c>
      <c r="V6" s="8"/>
      <c r="W6" s="56" cm="1">
        <f t="array" ref="W6">IF(V6="X",(_xlfn.XLOOKUP($B6,Tabla1[SERVICIO],Tabla1[VALOR])*1),IF(V6&gt;=1,_xlfn.XLOOKUP($B6,Tabla1[SERVICIO],Tabla1[VALOR]*V6),0))</f>
        <v>0</v>
      </c>
      <c r="X6" s="8"/>
      <c r="Y6" s="56" cm="1">
        <f t="array" ref="Y6">IF(X6="X",(_xlfn.XLOOKUP($B6,Tabla1[SERVICIO],Tabla1[VALOR])*1),IF(X6&gt;=1,_xlfn.XLOOKUP($B6,Tabla1[SERVICIO],Tabla1[VALOR]*X6),0))</f>
        <v>0</v>
      </c>
      <c r="Z6" s="14">
        <v>1</v>
      </c>
      <c r="AA6" s="56" cm="1">
        <f t="array" ref="AA6">IF(Z6="X",(_xlfn.XLOOKUP($B6,Tabla1[SERVICIO],Tabla1[VALOR])*1),IF(Z6&gt;=1,_xlfn.XLOOKUP($B6,Tabla1[SERVICIO],Tabla1[VALOR]*Z6),0))</f>
        <v>22052.520800552971</v>
      </c>
      <c r="AB6" s="81">
        <f t="shared" si="0"/>
        <v>44105.041601105942</v>
      </c>
      <c r="AC6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6" s="122" t="s">
        <v>318</v>
      </c>
      <c r="AE6" s="127">
        <v>1</v>
      </c>
      <c r="AF6" s="121">
        <f>+Tabla46[[#This Row],[TOTAL RUTA]]*AE6</f>
        <v>44105.041601105942</v>
      </c>
      <c r="AG6" s="82" t="s">
        <v>350</v>
      </c>
      <c r="AH6" s="335">
        <v>12</v>
      </c>
    </row>
    <row r="7" spans="1:34" x14ac:dyDescent="0.25">
      <c r="A7" s="7" t="s">
        <v>3</v>
      </c>
      <c r="B7" s="96" t="s">
        <v>4</v>
      </c>
      <c r="C7" s="96" t="str">
        <f>_xlfn.XLOOKUP(Tabla46[[#This Row],[Servicios del Programa:]],Tabla151[CODIGO],Tabla151[VALOR])</f>
        <v>Consultas</v>
      </c>
      <c r="D7" s="14">
        <v>1</v>
      </c>
      <c r="E7" s="56" cm="1">
        <f t="array" ref="E7">IF(D7="X",(_xlfn.XLOOKUP($B7,Tabla1[SERVICIO],Tabla1[VALOR])*1),IF(D7&gt;=1,_xlfn.XLOOKUP($B7,Tabla1[SERVICIO],Tabla1[VALOR]*D7),0))</f>
        <v>20406.13276336317</v>
      </c>
      <c r="F7" s="8"/>
      <c r="G7" s="56" cm="1">
        <f t="array" ref="G7">IF(F7="X",(_xlfn.XLOOKUP($B7,Tabla1[SERVICIO],Tabla1[VALOR])*1),IF(F7&gt;=1,_xlfn.XLOOKUP($B7,Tabla1[SERVICIO],Tabla1[VALOR]*F7),0))</f>
        <v>0</v>
      </c>
      <c r="H7" s="8"/>
      <c r="I7" s="56" cm="1">
        <f t="array" ref="I7">IF(H7="X",(_xlfn.XLOOKUP($B7,Tabla1[SERVICIO],Tabla1[VALOR])*1),IF(H7&gt;=1,_xlfn.XLOOKUP($B7,Tabla1[SERVICIO],Tabla1[VALOR]*H7),0))</f>
        <v>0</v>
      </c>
      <c r="J7" s="8"/>
      <c r="K7" s="56" cm="1">
        <f t="array" ref="K7">IF(J7="X",(_xlfn.XLOOKUP($B7,Tabla1[SERVICIO],Tabla1[VALOR])*1),IF(J7&gt;=1,_xlfn.XLOOKUP($B7,Tabla1[SERVICIO],Tabla1[VALOR]*J7),0))</f>
        <v>0</v>
      </c>
      <c r="L7" s="8"/>
      <c r="M7" s="56" cm="1">
        <f t="array" ref="M7">IF(L7="X",(_xlfn.XLOOKUP($B7,Tabla1[SERVICIO],Tabla1[VALOR])*1),IF(L7&gt;=1,_xlfn.XLOOKUP($B7,Tabla1[SERVICIO],Tabla1[VALOR]*L7),0))</f>
        <v>0</v>
      </c>
      <c r="N7" s="14"/>
      <c r="O7" s="56" cm="1">
        <f t="array" ref="O7">IF(N7="X",(_xlfn.XLOOKUP($B7,Tabla1[SERVICIO],Tabla1[VALOR])*1),IF(N7&gt;=1,_xlfn.XLOOKUP($B7,Tabla1[SERVICIO],Tabla1[VALOR]*N7),0))</f>
        <v>0</v>
      </c>
      <c r="P7" s="8"/>
      <c r="Q7" s="56" cm="1">
        <f t="array" ref="Q7">IF(P7="X",(_xlfn.XLOOKUP($B7,Tabla1[SERVICIO],Tabla1[VALOR])*1),IF(P7&gt;=1,_xlfn.XLOOKUP($B7,Tabla1[SERVICIO],Tabla1[VALOR]*P7),0))</f>
        <v>0</v>
      </c>
      <c r="R7" s="8"/>
      <c r="S7" s="56" cm="1">
        <f t="array" ref="S7">IF(R7="X",(_xlfn.XLOOKUP($B7,Tabla1[SERVICIO],Tabla1[VALOR])*1),IF(R7&gt;=1,_xlfn.XLOOKUP($B7,Tabla1[SERVICIO],Tabla1[VALOR]*R7),0))</f>
        <v>0</v>
      </c>
      <c r="T7" s="8"/>
      <c r="U7" s="56" cm="1">
        <f t="array" ref="U7">IF(T7="X",(_xlfn.XLOOKUP($B7,Tabla1[SERVICIO],Tabla1[VALOR])*1),IF(T7&gt;=1,_xlfn.XLOOKUP($B7,Tabla1[SERVICIO],Tabla1[VALOR]*T7),0))</f>
        <v>0</v>
      </c>
      <c r="V7" s="8"/>
      <c r="W7" s="56" cm="1">
        <f t="array" ref="W7">IF(V7="X",(_xlfn.XLOOKUP($B7,Tabla1[SERVICIO],Tabla1[VALOR])*1),IF(V7&gt;=1,_xlfn.XLOOKUP($B7,Tabla1[SERVICIO],Tabla1[VALOR]*V7),0))</f>
        <v>0</v>
      </c>
      <c r="X7" s="8"/>
      <c r="Y7" s="56" cm="1">
        <f t="array" ref="Y7">IF(X7="X",(_xlfn.XLOOKUP($B7,Tabla1[SERVICIO],Tabla1[VALOR])*1),IF(X7&gt;=1,_xlfn.XLOOKUP($B7,Tabla1[SERVICIO],Tabla1[VALOR]*X7),0))</f>
        <v>0</v>
      </c>
      <c r="Z7" s="14"/>
      <c r="AA7" s="56" cm="1">
        <f t="array" ref="AA7">IF(Z7="X",(_xlfn.XLOOKUP($B7,Tabla1[SERVICIO],Tabla1[VALOR])*1),IF(Z7&gt;=1,_xlfn.XLOOKUP($B7,Tabla1[SERVICIO],Tabla1[VALOR]*Z7),0))</f>
        <v>0</v>
      </c>
      <c r="AB7" s="81">
        <f t="shared" si="0"/>
        <v>20406.13276336317</v>
      </c>
      <c r="AC7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7" s="122" t="s">
        <v>318</v>
      </c>
      <c r="AE7" s="127">
        <v>1</v>
      </c>
      <c r="AF7" s="121">
        <f>+Tabla46[[#This Row],[TOTAL RUTA]]*AE7</f>
        <v>20406.13276336317</v>
      </c>
      <c r="AG7" s="82" t="s">
        <v>350</v>
      </c>
      <c r="AH7" s="335">
        <v>12</v>
      </c>
    </row>
    <row r="8" spans="1:34" x14ac:dyDescent="0.25">
      <c r="A8" s="7" t="s">
        <v>5</v>
      </c>
      <c r="B8" s="96" t="s">
        <v>6</v>
      </c>
      <c r="C8" s="96" t="str">
        <f>_xlfn.XLOOKUP(Tabla46[[#This Row],[Servicios del Programa:]],Tabla151[CODIGO],Tabla151[VALOR])</f>
        <v>Consultas</v>
      </c>
      <c r="D8" s="14">
        <v>1</v>
      </c>
      <c r="E8" s="56" cm="1">
        <f t="array" ref="E8">IF(D8="X",(_xlfn.XLOOKUP($B8,Tabla1[SERVICIO],Tabla1[VALOR])*1),IF(D8&gt;=1,_xlfn.XLOOKUP($B8,Tabla1[SERVICIO],Tabla1[VALOR]*D8),0))</f>
        <v>18768.367820181349</v>
      </c>
      <c r="F8" s="8"/>
      <c r="G8" s="56" cm="1">
        <f t="array" ref="G8">IF(F8="X",(_xlfn.XLOOKUP($B8,Tabla1[SERVICIO],Tabla1[VALOR])*1),IF(F8&gt;=1,_xlfn.XLOOKUP($B8,Tabla1[SERVICIO],Tabla1[VALOR]*F8),0))</f>
        <v>0</v>
      </c>
      <c r="H8" s="8"/>
      <c r="I8" s="56" cm="1">
        <f t="array" ref="I8">IF(H8="X",(_xlfn.XLOOKUP($B8,Tabla1[SERVICIO],Tabla1[VALOR])*1),IF(H8&gt;=1,_xlfn.XLOOKUP($B8,Tabla1[SERVICIO],Tabla1[VALOR]*H8),0))</f>
        <v>0</v>
      </c>
      <c r="J8" s="8"/>
      <c r="K8" s="56" cm="1">
        <f t="array" ref="K8">IF(J8="X",(_xlfn.XLOOKUP($B8,Tabla1[SERVICIO],Tabla1[VALOR])*1),IF(J8&gt;=1,_xlfn.XLOOKUP($B8,Tabla1[SERVICIO],Tabla1[VALOR]*J8),0))</f>
        <v>0</v>
      </c>
      <c r="L8" s="8"/>
      <c r="M8" s="56" cm="1">
        <f t="array" ref="M8">IF(L8="X",(_xlfn.XLOOKUP($B8,Tabla1[SERVICIO],Tabla1[VALOR])*1),IF(L8&gt;=1,_xlfn.XLOOKUP($B8,Tabla1[SERVICIO],Tabla1[VALOR]*L8),0))</f>
        <v>0</v>
      </c>
      <c r="N8" s="8"/>
      <c r="O8" s="56" cm="1">
        <f t="array" ref="O8">IF(N8="X",(_xlfn.XLOOKUP($B8,Tabla1[SERVICIO],Tabla1[VALOR])*1),IF(N8&gt;=1,_xlfn.XLOOKUP($B8,Tabla1[SERVICIO],Tabla1[VALOR]*N8),0))</f>
        <v>0</v>
      </c>
      <c r="P8" s="8"/>
      <c r="Q8" s="56" cm="1">
        <f t="array" ref="Q8">IF(P8="X",(_xlfn.XLOOKUP($B8,Tabla1[SERVICIO],Tabla1[VALOR])*1),IF(P8&gt;=1,_xlfn.XLOOKUP($B8,Tabla1[SERVICIO],Tabla1[VALOR]*P8),0))</f>
        <v>0</v>
      </c>
      <c r="R8" s="8"/>
      <c r="S8" s="56" cm="1">
        <f t="array" ref="S8">IF(R8="X",(_xlfn.XLOOKUP($B8,Tabla1[SERVICIO],Tabla1[VALOR])*1),IF(R8&gt;=1,_xlfn.XLOOKUP($B8,Tabla1[SERVICIO],Tabla1[VALOR]*R8),0))</f>
        <v>0</v>
      </c>
      <c r="T8" s="8"/>
      <c r="U8" s="56" cm="1">
        <f t="array" ref="U8">IF(T8="X",(_xlfn.XLOOKUP($B8,Tabla1[SERVICIO],Tabla1[VALOR])*1),IF(T8&gt;=1,_xlfn.XLOOKUP($B8,Tabla1[SERVICIO],Tabla1[VALOR]*T8),0))</f>
        <v>0</v>
      </c>
      <c r="V8" s="8"/>
      <c r="W8" s="56" cm="1">
        <f t="array" ref="W8">IF(V8="X",(_xlfn.XLOOKUP($B8,Tabla1[SERVICIO],Tabla1[VALOR])*1),IF(V8&gt;=1,_xlfn.XLOOKUP($B8,Tabla1[SERVICIO],Tabla1[VALOR]*V8),0))</f>
        <v>0</v>
      </c>
      <c r="X8" s="8"/>
      <c r="Y8" s="56" cm="1">
        <f t="array" ref="Y8">IF(X8="X",(_xlfn.XLOOKUP($B8,Tabla1[SERVICIO],Tabla1[VALOR])*1),IF(X8&gt;=1,_xlfn.XLOOKUP($B8,Tabla1[SERVICIO],Tabla1[VALOR]*X8),0))</f>
        <v>0</v>
      </c>
      <c r="Z8" s="8"/>
      <c r="AA8" s="56" cm="1">
        <f t="array" ref="AA8">IF(Z8="X",(_xlfn.XLOOKUP($B8,Tabla1[SERVICIO],Tabla1[VALOR])*1),IF(Z8&gt;=1,_xlfn.XLOOKUP($B8,Tabla1[SERVICIO],Tabla1[VALOR]*Z8),0))</f>
        <v>0</v>
      </c>
      <c r="AB8" s="81">
        <f t="shared" si="0"/>
        <v>18768.367820181349</v>
      </c>
      <c r="AC8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8" s="122" t="s">
        <v>318</v>
      </c>
      <c r="AE8" s="127">
        <v>1</v>
      </c>
      <c r="AF8" s="121">
        <f>+Tabla46[[#This Row],[TOTAL RUTA]]*AE8</f>
        <v>18768.367820181349</v>
      </c>
      <c r="AG8" s="82" t="s">
        <v>350</v>
      </c>
      <c r="AH8" s="335">
        <v>12</v>
      </c>
    </row>
    <row r="9" spans="1:34" x14ac:dyDescent="0.25">
      <c r="A9" s="7" t="s">
        <v>17</v>
      </c>
      <c r="B9" s="96" t="s">
        <v>18</v>
      </c>
      <c r="C9" s="96" t="str">
        <f>_xlfn.XLOOKUP(Tabla46[[#This Row],[Servicios del Programa:]],Tabla151[CODIGO],Tabla151[VALOR])</f>
        <v>Consultas</v>
      </c>
      <c r="D9" s="8"/>
      <c r="E9" s="56" cm="1">
        <f t="array" ref="E9">IF(D9="X",(_xlfn.XLOOKUP($B9,Tabla1[SERVICIO],Tabla1[VALOR])*1),IF(D9&gt;=1,_xlfn.XLOOKUP($B9,Tabla1[SERVICIO],Tabla1[VALOR]*D9),0))</f>
        <v>0</v>
      </c>
      <c r="F9" s="8"/>
      <c r="G9" s="56" cm="1">
        <f t="array" ref="G9">IF(F9="X",(_xlfn.XLOOKUP($B9,Tabla1[SERVICIO],Tabla1[VALOR])*1),IF(F9&gt;=1,_xlfn.XLOOKUP($B9,Tabla1[SERVICIO],Tabla1[VALOR]*F9),0))</f>
        <v>0</v>
      </c>
      <c r="H9" s="8"/>
      <c r="I9" s="56" cm="1">
        <f t="array" ref="I9">IF(H9="X",(_xlfn.XLOOKUP($B9,Tabla1[SERVICIO],Tabla1[VALOR])*1),IF(H9&gt;=1,_xlfn.XLOOKUP($B9,Tabla1[SERVICIO],Tabla1[VALOR]*H9),0))</f>
        <v>0</v>
      </c>
      <c r="J9" s="8"/>
      <c r="K9" s="56" cm="1">
        <f t="array" ref="K9">IF(J9="X",(_xlfn.XLOOKUP($B9,Tabla1[SERVICIO],Tabla1[VALOR])*1),IF(J9&gt;=1,_xlfn.XLOOKUP($B9,Tabla1[SERVICIO],Tabla1[VALOR]*J9),0))</f>
        <v>0</v>
      </c>
      <c r="L9" s="8"/>
      <c r="M9" s="56" cm="1">
        <f t="array" ref="M9">IF(L9="X",(_xlfn.XLOOKUP($B9,Tabla1[SERVICIO],Tabla1[VALOR])*1),IF(L9&gt;=1,_xlfn.XLOOKUP($B9,Tabla1[SERVICIO],Tabla1[VALOR]*L9),0))</f>
        <v>0</v>
      </c>
      <c r="N9" s="14">
        <v>1</v>
      </c>
      <c r="O9" s="56" cm="1">
        <f t="array" ref="O9">IF(N9="X",(_xlfn.XLOOKUP($B9,Tabla1[SERVICIO],Tabla1[VALOR])*1),IF(N9&gt;=1,_xlfn.XLOOKUP($B9,Tabla1[SERVICIO],Tabla1[VALOR]*N9),0))</f>
        <v>20414.75585737115</v>
      </c>
      <c r="P9" s="8"/>
      <c r="Q9" s="56" cm="1">
        <f t="array" ref="Q9">IF(P9="X",(_xlfn.XLOOKUP($B9,Tabla1[SERVICIO],Tabla1[VALOR])*1),IF(P9&gt;=1,_xlfn.XLOOKUP($B9,Tabla1[SERVICIO],Tabla1[VALOR]*P9),0))</f>
        <v>0</v>
      </c>
      <c r="R9" s="8"/>
      <c r="S9" s="56" cm="1">
        <f t="array" ref="S9">IF(R9="X",(_xlfn.XLOOKUP($B9,Tabla1[SERVICIO],Tabla1[VALOR])*1),IF(R9&gt;=1,_xlfn.XLOOKUP($B9,Tabla1[SERVICIO],Tabla1[VALOR]*R9),0))</f>
        <v>0</v>
      </c>
      <c r="T9" s="8"/>
      <c r="U9" s="56" cm="1">
        <f t="array" ref="U9">IF(T9="X",(_xlfn.XLOOKUP($B9,Tabla1[SERVICIO],Tabla1[VALOR])*1),IF(T9&gt;=1,_xlfn.XLOOKUP($B9,Tabla1[SERVICIO],Tabla1[VALOR]*T9),0))</f>
        <v>0</v>
      </c>
      <c r="V9" s="8"/>
      <c r="W9" s="56" cm="1">
        <f t="array" ref="W9">IF(V9="X",(_xlfn.XLOOKUP($B9,Tabla1[SERVICIO],Tabla1[VALOR])*1),IF(V9&gt;=1,_xlfn.XLOOKUP($B9,Tabla1[SERVICIO],Tabla1[VALOR]*V9),0))</f>
        <v>0</v>
      </c>
      <c r="X9" s="8"/>
      <c r="Y9" s="56" cm="1">
        <f t="array" ref="Y9">IF(X9="X",(_xlfn.XLOOKUP($B9,Tabla1[SERVICIO],Tabla1[VALOR])*1),IF(X9&gt;=1,_xlfn.XLOOKUP($B9,Tabla1[SERVICIO],Tabla1[VALOR]*X9),0))</f>
        <v>0</v>
      </c>
      <c r="Z9" s="14">
        <v>1</v>
      </c>
      <c r="AA9" s="56" cm="1">
        <f t="array" ref="AA9">IF(Z9="X",(_xlfn.XLOOKUP($B9,Tabla1[SERVICIO],Tabla1[VALOR])*1),IF(Z9&gt;=1,_xlfn.XLOOKUP($B9,Tabla1[SERVICIO],Tabla1[VALOR]*Z9),0))</f>
        <v>20414.75585737115</v>
      </c>
      <c r="AB9" s="81">
        <f t="shared" si="0"/>
        <v>40829.511714742301</v>
      </c>
      <c r="AC9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9" s="122" t="s">
        <v>318</v>
      </c>
      <c r="AE9" s="127">
        <v>1</v>
      </c>
      <c r="AF9" s="121">
        <f>+Tabla46[[#This Row],[TOTAL RUTA]]*AE9</f>
        <v>40829.511714742301</v>
      </c>
      <c r="AG9" s="82" t="s">
        <v>350</v>
      </c>
      <c r="AH9" s="335">
        <v>12</v>
      </c>
    </row>
    <row r="10" spans="1:34" x14ac:dyDescent="0.25">
      <c r="A10" s="7" t="s">
        <v>38</v>
      </c>
      <c r="B10" s="96" t="s">
        <v>102</v>
      </c>
      <c r="C10" s="96" t="str">
        <f>_xlfn.XLOOKUP(Tabla46[[#This Row],[Servicios del Programa:]],Tabla151[CODIGO],Tabla151[VALOR])</f>
        <v>Consultas</v>
      </c>
      <c r="D10" s="14">
        <v>1</v>
      </c>
      <c r="E10" s="56" cm="1">
        <f t="array" ref="E10">IF(D10="X",(_xlfn.XLOOKUP($B10,Tabla1[SERVICIO],Tabla1[VALOR])*1),IF(D10&gt;=1,_xlfn.XLOOKUP($B10,Tabla1[SERVICIO],Tabla1[VALOR]*D10),0))</f>
        <v>56420.692787682223</v>
      </c>
      <c r="F10" s="14"/>
      <c r="G10" s="56" cm="1">
        <f t="array" ref="G10">IF(F10="X",(_xlfn.XLOOKUP($B10,Tabla1[SERVICIO],Tabla1[VALOR])*1),IF(F10&gt;=1,_xlfn.XLOOKUP($B10,Tabla1[SERVICIO],Tabla1[VALOR]*F10),0))</f>
        <v>0</v>
      </c>
      <c r="H10" s="14"/>
      <c r="I10" s="56" cm="1">
        <f t="array" ref="I10">IF(H10="X",(_xlfn.XLOOKUP($B10,Tabla1[SERVICIO],Tabla1[VALOR])*1),IF(H10&gt;=1,_xlfn.XLOOKUP($B10,Tabla1[SERVICIO],Tabla1[VALOR]*H10),0))</f>
        <v>0</v>
      </c>
      <c r="J10" s="14"/>
      <c r="K10" s="56" cm="1">
        <f t="array" ref="K10">IF(J10="X",(_xlfn.XLOOKUP($B10,Tabla1[SERVICIO],Tabla1[VALOR])*1),IF(J10&gt;=1,_xlfn.XLOOKUP($B10,Tabla1[SERVICIO],Tabla1[VALOR]*J10),0))</f>
        <v>0</v>
      </c>
      <c r="L10" s="14"/>
      <c r="M10" s="56" cm="1">
        <f t="array" ref="M10">IF(L10="X",(_xlfn.XLOOKUP($B10,Tabla1[SERVICIO],Tabla1[VALOR])*1),IF(L10&gt;=1,_xlfn.XLOOKUP($B10,Tabla1[SERVICIO],Tabla1[VALOR]*L10),0))</f>
        <v>0</v>
      </c>
      <c r="N10" s="14"/>
      <c r="O10" s="56" cm="1">
        <f t="array" ref="O10">IF(N10="X",(_xlfn.XLOOKUP($B10,Tabla1[SERVICIO],Tabla1[VALOR])*1),IF(N10&gt;=1,_xlfn.XLOOKUP($B10,Tabla1[SERVICIO],Tabla1[VALOR]*N10),0))</f>
        <v>0</v>
      </c>
      <c r="P10" s="14"/>
      <c r="Q10" s="56" cm="1">
        <f t="array" ref="Q10">IF(P10="X",(_xlfn.XLOOKUP($B10,Tabla1[SERVICIO],Tabla1[VALOR])*1),IF(P10&gt;=1,_xlfn.XLOOKUP($B10,Tabla1[SERVICIO],Tabla1[VALOR]*P10),0))</f>
        <v>0</v>
      </c>
      <c r="R10" s="14"/>
      <c r="S10" s="56" cm="1">
        <f t="array" ref="S10">IF(R10="X",(_xlfn.XLOOKUP($B10,Tabla1[SERVICIO],Tabla1[VALOR])*1),IF(R10&gt;=1,_xlfn.XLOOKUP($B10,Tabla1[SERVICIO],Tabla1[VALOR]*R10),0))</f>
        <v>0</v>
      </c>
      <c r="T10" s="14"/>
      <c r="U10" s="56" cm="1">
        <f t="array" ref="U10">IF(T10="X",(_xlfn.XLOOKUP($B10,Tabla1[SERVICIO],Tabla1[VALOR])*1),IF(T10&gt;=1,_xlfn.XLOOKUP($B10,Tabla1[SERVICIO],Tabla1[VALOR]*T10),0))</f>
        <v>0</v>
      </c>
      <c r="V10" s="14"/>
      <c r="W10" s="56" cm="1">
        <f t="array" ref="W10">IF(V10="X",(_xlfn.XLOOKUP($B10,Tabla1[SERVICIO],Tabla1[VALOR])*1),IF(V10&gt;=1,_xlfn.XLOOKUP($B10,Tabla1[SERVICIO],Tabla1[VALOR]*V10),0))</f>
        <v>0</v>
      </c>
      <c r="X10" s="14"/>
      <c r="Y10" s="56" cm="1">
        <f t="array" ref="Y10">IF(X10="X",(_xlfn.XLOOKUP($B10,Tabla1[SERVICIO],Tabla1[VALOR])*1),IF(X10&gt;=1,_xlfn.XLOOKUP($B10,Tabla1[SERVICIO],Tabla1[VALOR]*X10),0))</f>
        <v>0</v>
      </c>
      <c r="Z10" s="14"/>
      <c r="AA10" s="56" cm="1">
        <f t="array" ref="AA10">IF(Z10="X",(_xlfn.XLOOKUP($B10,Tabla1[SERVICIO],Tabla1[VALOR])*1),IF(Z10&gt;=1,_xlfn.XLOOKUP($B10,Tabla1[SERVICIO],Tabla1[VALOR]*Z10),0))</f>
        <v>0</v>
      </c>
      <c r="AB10" s="81">
        <f t="shared" si="0"/>
        <v>56420.692787682223</v>
      </c>
      <c r="AC10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0" s="122" t="s">
        <v>319</v>
      </c>
      <c r="AE10" s="127">
        <v>0.30593607305936071</v>
      </c>
      <c r="AF10" s="121">
        <f>+Tabla46[[#This Row],[TOTAL RUTA]]*AE10</f>
        <v>17261.125190752096</v>
      </c>
      <c r="AG10" s="82" t="s">
        <v>350</v>
      </c>
      <c r="AH10" s="335">
        <v>12</v>
      </c>
    </row>
    <row r="11" spans="1:34" x14ac:dyDescent="0.25">
      <c r="A11" s="7" t="s">
        <v>94</v>
      </c>
      <c r="B11" s="96" t="s">
        <v>95</v>
      </c>
      <c r="C11" s="96" t="str">
        <f>_xlfn.XLOOKUP(Tabla46[[#This Row],[Servicios del Programa:]],Tabla151[CODIGO],Tabla151[VALOR])</f>
        <v>Consultas</v>
      </c>
      <c r="D11" s="14">
        <v>1</v>
      </c>
      <c r="E11" s="56" cm="1">
        <f t="array" ref="E11">IF(D11="X",(_xlfn.XLOOKUP($B11,Tabla1[SERVICIO],Tabla1[VALOR])*1),IF(D11&gt;=1,_xlfn.XLOOKUP($B11,Tabla1[SERVICIO],Tabla1[VALOR]*D11),0))</f>
        <v>58766.154033233033</v>
      </c>
      <c r="F11" s="8"/>
      <c r="G11" s="56" cm="1">
        <f t="array" ref="G11">IF(F11="X",(_xlfn.XLOOKUP($B11,Tabla1[SERVICIO],Tabla1[VALOR])*1),IF(F11&gt;=1,_xlfn.XLOOKUP($B11,Tabla1[SERVICIO],Tabla1[VALOR]*F11),0))</f>
        <v>0</v>
      </c>
      <c r="H11" s="8"/>
      <c r="I11" s="56" cm="1">
        <f t="array" ref="I11">IF(H11="X",(_xlfn.XLOOKUP($B11,Tabla1[SERVICIO],Tabla1[VALOR])*1),IF(H11&gt;=1,_xlfn.XLOOKUP($B11,Tabla1[SERVICIO],Tabla1[VALOR]*H11),0))</f>
        <v>0</v>
      </c>
      <c r="J11" s="8"/>
      <c r="K11" s="56" cm="1">
        <f t="array" ref="K11">IF(J11="X",(_xlfn.XLOOKUP($B11,Tabla1[SERVICIO],Tabla1[VALOR])*1),IF(J11&gt;=1,_xlfn.XLOOKUP($B11,Tabla1[SERVICIO],Tabla1[VALOR]*J11),0))</f>
        <v>0</v>
      </c>
      <c r="L11" s="8"/>
      <c r="M11" s="56" cm="1">
        <f t="array" ref="M11">IF(L11="X",(_xlfn.XLOOKUP($B11,Tabla1[SERVICIO],Tabla1[VALOR])*1),IF(L11&gt;=1,_xlfn.XLOOKUP($B11,Tabla1[SERVICIO],Tabla1[VALOR]*L11),0))</f>
        <v>0</v>
      </c>
      <c r="N11" s="8"/>
      <c r="O11" s="56" cm="1">
        <f t="array" ref="O11">IF(N11="X",(_xlfn.XLOOKUP($B11,Tabla1[SERVICIO],Tabla1[VALOR])*1),IF(N11&gt;=1,_xlfn.XLOOKUP($B11,Tabla1[SERVICIO],Tabla1[VALOR]*N11),0))</f>
        <v>0</v>
      </c>
      <c r="P11" s="8"/>
      <c r="Q11" s="56" cm="1">
        <f t="array" ref="Q11">IF(P11="X",(_xlfn.XLOOKUP($B11,Tabla1[SERVICIO],Tabla1[VALOR])*1),IF(P11&gt;=1,_xlfn.XLOOKUP($B11,Tabla1[SERVICIO],Tabla1[VALOR]*P11),0))</f>
        <v>0</v>
      </c>
      <c r="R11" s="8"/>
      <c r="S11" s="56" cm="1">
        <f t="array" ref="S11">IF(R11="X",(_xlfn.XLOOKUP($B11,Tabla1[SERVICIO],Tabla1[VALOR])*1),IF(R11&gt;=1,_xlfn.XLOOKUP($B11,Tabla1[SERVICIO],Tabla1[VALOR]*R11),0))</f>
        <v>0</v>
      </c>
      <c r="T11" s="8"/>
      <c r="U11" s="56" cm="1">
        <f t="array" ref="U11">IF(T11="X",(_xlfn.XLOOKUP($B11,Tabla1[SERVICIO],Tabla1[VALOR])*1),IF(T11&gt;=1,_xlfn.XLOOKUP($B11,Tabla1[SERVICIO],Tabla1[VALOR]*T11),0))</f>
        <v>0</v>
      </c>
      <c r="V11" s="8"/>
      <c r="W11" s="56" cm="1">
        <f t="array" ref="W11">IF(V11="X",(_xlfn.XLOOKUP($B11,Tabla1[SERVICIO],Tabla1[VALOR])*1),IF(V11&gt;=1,_xlfn.XLOOKUP($B11,Tabla1[SERVICIO],Tabla1[VALOR]*V11),0))</f>
        <v>0</v>
      </c>
      <c r="X11" s="8"/>
      <c r="Y11" s="56" cm="1">
        <f t="array" ref="Y11">IF(X11="X",(_xlfn.XLOOKUP($B11,Tabla1[SERVICIO],Tabla1[VALOR])*1),IF(X11&gt;=1,_xlfn.XLOOKUP($B11,Tabla1[SERVICIO],Tabla1[VALOR]*X11),0))</f>
        <v>0</v>
      </c>
      <c r="Z11" s="8"/>
      <c r="AA11" s="56" cm="1">
        <f t="array" ref="AA11">IF(Z11="X",(_xlfn.XLOOKUP($B11,Tabla1[SERVICIO],Tabla1[VALOR])*1),IF(Z11&gt;=1,_xlfn.XLOOKUP($B11,Tabla1[SERVICIO],Tabla1[VALOR]*Z11),0))</f>
        <v>0</v>
      </c>
      <c r="AB11" s="81">
        <f t="shared" si="0"/>
        <v>58766.154033233033</v>
      </c>
      <c r="AC11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1" s="122" t="s">
        <v>319</v>
      </c>
      <c r="AE11" s="127">
        <v>0.15068493150684931</v>
      </c>
      <c r="AF11" s="121">
        <f>+Tabla46[[#This Row],[TOTAL RUTA]]*AE11</f>
        <v>8855.1738954186749</v>
      </c>
      <c r="AG11" s="82" t="s">
        <v>350</v>
      </c>
      <c r="AH11" s="335">
        <v>12</v>
      </c>
    </row>
    <row r="12" spans="1:34" x14ac:dyDescent="0.25">
      <c r="A12" s="7" t="s">
        <v>96</v>
      </c>
      <c r="B12" s="96" t="s">
        <v>224</v>
      </c>
      <c r="C12" s="96" t="str">
        <f>_xlfn.XLOOKUP(Tabla46[[#This Row],[Servicios del Programa:]],Tabla151[CODIGO],Tabla151[VALOR])</f>
        <v>Consultas</v>
      </c>
      <c r="D12" s="14">
        <v>1</v>
      </c>
      <c r="E12" s="56" cm="1">
        <f t="array" ref="E12">IF(D12="X",(_xlfn.XLOOKUP($B12,Tabla1[SERVICIO],Tabla1[VALOR])*1),IF(D12&gt;=1,_xlfn.XLOOKUP($B12,Tabla1[SERVICIO],Tabla1[VALOR]*D12),0))</f>
        <v>58766.154033233033</v>
      </c>
      <c r="F12" s="14"/>
      <c r="G12" s="56" cm="1">
        <f t="array" ref="G12">IF(F12="X",(_xlfn.XLOOKUP($B12,Tabla1[SERVICIO],Tabla1[VALOR])*1),IF(F12&gt;=1,_xlfn.XLOOKUP($B12,Tabla1[SERVICIO],Tabla1[VALOR]*F12),0))</f>
        <v>0</v>
      </c>
      <c r="H12" s="14"/>
      <c r="I12" s="56" cm="1">
        <f t="array" ref="I12">IF(H12="X",(_xlfn.XLOOKUP($B12,Tabla1[SERVICIO],Tabla1[VALOR])*1),IF(H12&gt;=1,_xlfn.XLOOKUP($B12,Tabla1[SERVICIO],Tabla1[VALOR]*H12),0))</f>
        <v>0</v>
      </c>
      <c r="J12" s="14"/>
      <c r="K12" s="56" cm="1">
        <f t="array" ref="K12">IF(J12="X",(_xlfn.XLOOKUP($B12,Tabla1[SERVICIO],Tabla1[VALOR])*1),IF(J12&gt;=1,_xlfn.XLOOKUP($B12,Tabla1[SERVICIO],Tabla1[VALOR]*J12),0))</f>
        <v>0</v>
      </c>
      <c r="L12" s="14"/>
      <c r="M12" s="56" cm="1">
        <f t="array" ref="M12">IF(L12="X",(_xlfn.XLOOKUP($B12,Tabla1[SERVICIO],Tabla1[VALOR])*1),IF(L12&gt;=1,_xlfn.XLOOKUP($B12,Tabla1[SERVICIO],Tabla1[VALOR]*L12),0))</f>
        <v>0</v>
      </c>
      <c r="N12" s="14"/>
      <c r="O12" s="56" cm="1">
        <f t="array" ref="O12">IF(N12="X",(_xlfn.XLOOKUP($B12,Tabla1[SERVICIO],Tabla1[VALOR])*1),IF(N12&gt;=1,_xlfn.XLOOKUP($B12,Tabla1[SERVICIO],Tabla1[VALOR]*N12),0))</f>
        <v>0</v>
      </c>
      <c r="P12" s="14"/>
      <c r="Q12" s="56" cm="1">
        <f t="array" ref="Q12">IF(P12="X",(_xlfn.XLOOKUP($B12,Tabla1[SERVICIO],Tabla1[VALOR])*1),IF(P12&gt;=1,_xlfn.XLOOKUP($B12,Tabla1[SERVICIO],Tabla1[VALOR]*P12),0))</f>
        <v>0</v>
      </c>
      <c r="R12" s="14"/>
      <c r="S12" s="56" cm="1">
        <f t="array" ref="S12">IF(R12="X",(_xlfn.XLOOKUP($B12,Tabla1[SERVICIO],Tabla1[VALOR])*1),IF(R12&gt;=1,_xlfn.XLOOKUP($B12,Tabla1[SERVICIO],Tabla1[VALOR]*R12),0))</f>
        <v>0</v>
      </c>
      <c r="T12" s="14"/>
      <c r="U12" s="56" cm="1">
        <f t="array" ref="U12">IF(T12="X",(_xlfn.XLOOKUP($B12,Tabla1[SERVICIO],Tabla1[VALOR])*1),IF(T12&gt;=1,_xlfn.XLOOKUP($B12,Tabla1[SERVICIO],Tabla1[VALOR]*T12),0))</f>
        <v>0</v>
      </c>
      <c r="V12" s="14"/>
      <c r="W12" s="56" cm="1">
        <f t="array" ref="W12">IF(V12="X",(_xlfn.XLOOKUP($B12,Tabla1[SERVICIO],Tabla1[VALOR])*1),IF(V12&gt;=1,_xlfn.XLOOKUP($B12,Tabla1[SERVICIO],Tabla1[VALOR]*V12),0))</f>
        <v>0</v>
      </c>
      <c r="X12" s="14"/>
      <c r="Y12" s="56" cm="1">
        <f t="array" ref="Y12">IF(X12="X",(_xlfn.XLOOKUP($B12,Tabla1[SERVICIO],Tabla1[VALOR])*1),IF(X12&gt;=1,_xlfn.XLOOKUP($B12,Tabla1[SERVICIO],Tabla1[VALOR]*X12),0))</f>
        <v>0</v>
      </c>
      <c r="Z12" s="14"/>
      <c r="AA12" s="56" cm="1">
        <f t="array" ref="AA12">IF(Z12="X",(_xlfn.XLOOKUP($B12,Tabla1[SERVICIO],Tabla1[VALOR])*1),IF(Z12&gt;=1,_xlfn.XLOOKUP($B12,Tabla1[SERVICIO],Tabla1[VALOR]*Z12),0))</f>
        <v>0</v>
      </c>
      <c r="AB12" s="81">
        <f t="shared" si="0"/>
        <v>58766.154033233033</v>
      </c>
      <c r="AC12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2" s="122" t="s">
        <v>319</v>
      </c>
      <c r="AE12" s="127">
        <v>1.2648401826484019</v>
      </c>
      <c r="AF12" s="121">
        <f>+Tabla46[[#This Row],[TOTAL RUTA]]*AE12</f>
        <v>74329.793000938589</v>
      </c>
      <c r="AG12" s="82" t="s">
        <v>350</v>
      </c>
      <c r="AH12" s="335">
        <v>12</v>
      </c>
    </row>
    <row r="13" spans="1:34" x14ac:dyDescent="0.25">
      <c r="A13" s="7" t="s">
        <v>32</v>
      </c>
      <c r="B13" s="96" t="s">
        <v>103</v>
      </c>
      <c r="C13" s="96" t="str">
        <f>_xlfn.XLOOKUP(Tabla46[[#This Row],[Servicios del Programa:]],Tabla151[CODIGO],Tabla151[VALOR])</f>
        <v>Consultas</v>
      </c>
      <c r="D13" s="14">
        <v>1</v>
      </c>
      <c r="E13" s="56" cm="1">
        <f t="array" ref="E13">IF(D13="X",(_xlfn.XLOOKUP($B13,Tabla1[SERVICIO],Tabla1[VALOR])*1),IF(D13&gt;=1,_xlfn.XLOOKUP($B13,Tabla1[SERVICIO],Tabla1[VALOR]*D13),0))</f>
        <v>24009.730401318589</v>
      </c>
      <c r="F13" s="14"/>
      <c r="G13" s="56" cm="1">
        <f t="array" ref="G13">IF(F13="X",(_xlfn.XLOOKUP($B13,Tabla1[SERVICIO],Tabla1[VALOR])*1),IF(F13&gt;=1,_xlfn.XLOOKUP($B13,Tabla1[SERVICIO],Tabla1[VALOR]*F13),0))</f>
        <v>0</v>
      </c>
      <c r="H13" s="14"/>
      <c r="I13" s="56" cm="1">
        <f t="array" ref="I13">IF(H13="X",(_xlfn.XLOOKUP($B13,Tabla1[SERVICIO],Tabla1[VALOR])*1),IF(H13&gt;=1,_xlfn.XLOOKUP($B13,Tabla1[SERVICIO],Tabla1[VALOR]*H13),0))</f>
        <v>0</v>
      </c>
      <c r="J13" s="14"/>
      <c r="K13" s="56" cm="1">
        <f t="array" ref="K13">IF(J13="X",(_xlfn.XLOOKUP($B13,Tabla1[SERVICIO],Tabla1[VALOR])*1),IF(J13&gt;=1,_xlfn.XLOOKUP($B13,Tabla1[SERVICIO],Tabla1[VALOR]*J13),0))</f>
        <v>0</v>
      </c>
      <c r="L13" s="14"/>
      <c r="M13" s="56" cm="1">
        <f t="array" ref="M13">IF(L13="X",(_xlfn.XLOOKUP($B13,Tabla1[SERVICIO],Tabla1[VALOR])*1),IF(L13&gt;=1,_xlfn.XLOOKUP($B13,Tabla1[SERVICIO],Tabla1[VALOR]*L13),0))</f>
        <v>0</v>
      </c>
      <c r="N13" s="14"/>
      <c r="O13" s="56" cm="1">
        <f t="array" ref="O13">IF(N13="X",(_xlfn.XLOOKUP($B13,Tabla1[SERVICIO],Tabla1[VALOR])*1),IF(N13&gt;=1,_xlfn.XLOOKUP($B13,Tabla1[SERVICIO],Tabla1[VALOR]*N13),0))</f>
        <v>0</v>
      </c>
      <c r="P13" s="14"/>
      <c r="Q13" s="56" cm="1">
        <f t="array" ref="Q13">IF(P13="X",(_xlfn.XLOOKUP($B13,Tabla1[SERVICIO],Tabla1[VALOR])*1),IF(P13&gt;=1,_xlfn.XLOOKUP($B13,Tabla1[SERVICIO],Tabla1[VALOR]*P13),0))</f>
        <v>0</v>
      </c>
      <c r="R13" s="14"/>
      <c r="S13" s="56" cm="1">
        <f t="array" ref="S13">IF(R13="X",(_xlfn.XLOOKUP($B13,Tabla1[SERVICIO],Tabla1[VALOR])*1),IF(R13&gt;=1,_xlfn.XLOOKUP($B13,Tabla1[SERVICIO],Tabla1[VALOR]*R13),0))</f>
        <v>0</v>
      </c>
      <c r="T13" s="14"/>
      <c r="U13" s="56" cm="1">
        <f t="array" ref="U13">IF(T13="X",(_xlfn.XLOOKUP($B13,Tabla1[SERVICIO],Tabla1[VALOR])*1),IF(T13&gt;=1,_xlfn.XLOOKUP($B13,Tabla1[SERVICIO],Tabla1[VALOR]*T13),0))</f>
        <v>0</v>
      </c>
      <c r="V13" s="14"/>
      <c r="W13" s="56" cm="1">
        <f t="array" ref="W13">IF(V13="X",(_xlfn.XLOOKUP($B13,Tabla1[SERVICIO],Tabla1[VALOR])*1),IF(V13&gt;=1,_xlfn.XLOOKUP($B13,Tabla1[SERVICIO],Tabla1[VALOR]*V13),0))</f>
        <v>0</v>
      </c>
      <c r="X13" s="14"/>
      <c r="Y13" s="56" cm="1">
        <f t="array" ref="Y13">IF(X13="X",(_xlfn.XLOOKUP($B13,Tabla1[SERVICIO],Tabla1[VALOR])*1),IF(X13&gt;=1,_xlfn.XLOOKUP($B13,Tabla1[SERVICIO],Tabla1[VALOR]*X13),0))</f>
        <v>0</v>
      </c>
      <c r="Z13" s="14"/>
      <c r="AA13" s="56" cm="1">
        <f t="array" ref="AA13">IF(Z13="X",(_xlfn.XLOOKUP($B13,Tabla1[SERVICIO],Tabla1[VALOR])*1),IF(Z13&gt;=1,_xlfn.XLOOKUP($B13,Tabla1[SERVICIO],Tabla1[VALOR]*Z13),0))</f>
        <v>0</v>
      </c>
      <c r="AB13" s="81">
        <f t="shared" si="0"/>
        <v>24009.730401318589</v>
      </c>
      <c r="AC13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3" s="122" t="s">
        <v>319</v>
      </c>
      <c r="AE13" s="127">
        <v>6.5019505851755528E-4</v>
      </c>
      <c r="AF13" s="121">
        <f>+Tabla46[[#This Row],[TOTAL RUTA]]*AE13</f>
        <v>15.611008063276067</v>
      </c>
      <c r="AG13" s="82" t="s">
        <v>350</v>
      </c>
      <c r="AH13" s="335">
        <v>12</v>
      </c>
    </row>
    <row r="14" spans="1:34" x14ac:dyDescent="0.25">
      <c r="A14" s="7" t="s">
        <v>11</v>
      </c>
      <c r="B14" s="96" t="s">
        <v>12</v>
      </c>
      <c r="C14" s="96" t="str">
        <f>_xlfn.XLOOKUP(Tabla46[[#This Row],[Servicios del Programa:]],Tabla151[CODIGO],Tabla151[VALOR])</f>
        <v>Educacion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12743.421642219637</v>
      </c>
      <c r="F14" s="14">
        <v>1</v>
      </c>
      <c r="G14" s="56" cm="1">
        <f t="array" ref="G14">IF(F14="X",(_xlfn.XLOOKUP($B14,Tabla1[SERVICIO],Tabla1[VALOR])*1),IF(F14&gt;=1,_xlfn.XLOOKUP($B14,Tabla1[SERVICIO],Tabla1[VALOR]*F14),0))</f>
        <v>12743.421642219637</v>
      </c>
      <c r="H14" s="14">
        <v>1</v>
      </c>
      <c r="I14" s="56" cm="1">
        <f t="array" ref="I14">IF(H14="X",(_xlfn.XLOOKUP($B14,Tabla1[SERVICIO],Tabla1[VALOR])*1),IF(H14&gt;=1,_xlfn.XLOOKUP($B14,Tabla1[SERVICIO],Tabla1[VALOR]*H14),0))</f>
        <v>12743.421642219637</v>
      </c>
      <c r="J14" s="14">
        <v>1</v>
      </c>
      <c r="K14" s="56" cm="1">
        <f t="array" ref="K14">IF(J14="X",(_xlfn.XLOOKUP($B14,Tabla1[SERVICIO],Tabla1[VALOR])*1),IF(J14&gt;=1,_xlfn.XLOOKUP($B14,Tabla1[SERVICIO],Tabla1[VALOR]*J14),0))</f>
        <v>12743.421642219637</v>
      </c>
      <c r="L14" s="14">
        <v>1</v>
      </c>
      <c r="M14" s="56" cm="1">
        <f t="array" ref="M14">IF(L14="X",(_xlfn.XLOOKUP($B14,Tabla1[SERVICIO],Tabla1[VALOR])*1),IF(L14&gt;=1,_xlfn.XLOOKUP($B14,Tabla1[SERVICIO],Tabla1[VALOR]*L14),0))</f>
        <v>12743.421642219637</v>
      </c>
      <c r="N14" s="14">
        <v>1</v>
      </c>
      <c r="O14" s="56" cm="1">
        <f t="array" ref="O14">IF(N14="X",(_xlfn.XLOOKUP($B14,Tabla1[SERVICIO],Tabla1[VALOR])*1),IF(N14&gt;=1,_xlfn.XLOOKUP($B14,Tabla1[SERVICIO],Tabla1[VALOR]*N14),0))</f>
        <v>12743.421642219637</v>
      </c>
      <c r="P14" s="14">
        <v>1</v>
      </c>
      <c r="Q14" s="56" cm="1">
        <f t="array" ref="Q14">IF(P14="X",(_xlfn.XLOOKUP($B14,Tabla1[SERVICIO],Tabla1[VALOR])*1),IF(P14&gt;=1,_xlfn.XLOOKUP($B14,Tabla1[SERVICIO],Tabla1[VALOR]*P14),0))</f>
        <v>12743.421642219637</v>
      </c>
      <c r="R14" s="14">
        <v>1</v>
      </c>
      <c r="S14" s="56" cm="1">
        <f t="array" ref="S14">IF(R14="X",(_xlfn.XLOOKUP($B14,Tabla1[SERVICIO],Tabla1[VALOR])*1),IF(R14&gt;=1,_xlfn.XLOOKUP($B14,Tabla1[SERVICIO],Tabla1[VALOR]*R14),0))</f>
        <v>12743.421642219637</v>
      </c>
      <c r="T14" s="14">
        <v>1</v>
      </c>
      <c r="U14" s="56" cm="1">
        <f t="array" ref="U14">IF(T14="X",(_xlfn.XLOOKUP($B14,Tabla1[SERVICIO],Tabla1[VALOR])*1),IF(T14&gt;=1,_xlfn.XLOOKUP($B14,Tabla1[SERVICIO],Tabla1[VALOR]*T14),0))</f>
        <v>12743.421642219637</v>
      </c>
      <c r="V14" s="14">
        <v>1</v>
      </c>
      <c r="W14" s="56" cm="1">
        <f t="array" ref="W14">IF(V14="X",(_xlfn.XLOOKUP($B14,Tabla1[SERVICIO],Tabla1[VALOR])*1),IF(V14&gt;=1,_xlfn.XLOOKUP($B14,Tabla1[SERVICIO],Tabla1[VALOR]*V14),0))</f>
        <v>12743.421642219637</v>
      </c>
      <c r="X14" s="14">
        <v>1</v>
      </c>
      <c r="Y14" s="56" cm="1">
        <f t="array" ref="Y14">IF(X14="X",(_xlfn.XLOOKUP($B14,Tabla1[SERVICIO],Tabla1[VALOR])*1),IF(X14&gt;=1,_xlfn.XLOOKUP($B14,Tabla1[SERVICIO],Tabla1[VALOR]*X14),0))</f>
        <v>12743.421642219637</v>
      </c>
      <c r="Z14" s="14">
        <v>1</v>
      </c>
      <c r="AA14" s="56" cm="1">
        <f t="array" ref="AA14">IF(Z14="X",(_xlfn.XLOOKUP($B14,Tabla1[SERVICIO],Tabla1[VALOR])*1),IF(Z14&gt;=1,_xlfn.XLOOKUP($B14,Tabla1[SERVICIO],Tabla1[VALOR]*Z14),0))</f>
        <v>12743.421642219637</v>
      </c>
      <c r="AB14" s="81">
        <f t="shared" si="0"/>
        <v>152921.05970663566</v>
      </c>
      <c r="AC14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12</v>
      </c>
      <c r="AD14" s="122" t="s">
        <v>318</v>
      </c>
      <c r="AE14" s="127">
        <v>1</v>
      </c>
      <c r="AF14" s="121">
        <f>+Tabla46[[#This Row],[TOTAL RUTA]]*AE14</f>
        <v>152921.05970663566</v>
      </c>
      <c r="AG14" s="82" t="s">
        <v>350</v>
      </c>
      <c r="AH14" s="335">
        <v>12</v>
      </c>
    </row>
    <row r="15" spans="1:34" x14ac:dyDescent="0.25">
      <c r="A15" s="7" t="s">
        <v>27</v>
      </c>
      <c r="B15" s="96" t="s">
        <v>28</v>
      </c>
      <c r="C15" s="96" t="str">
        <f>_xlfn.XLOOKUP(Tabla46[[#This Row],[Servicios del Programa:]],Tabla151[CODIGO],Tabla151[VALOR])</f>
        <v>Diagnosticos</v>
      </c>
      <c r="D15" s="14">
        <v>1</v>
      </c>
      <c r="E15" s="56" cm="1">
        <f t="array" ref="E15">IF(D15="X",(_xlfn.XLOOKUP($B15,Tabla1[SERVICIO],Tabla1[VALOR])*1),IF(D15&gt;=1,_xlfn.XLOOKUP($B15,Tabla1[SERVICIO],Tabla1[VALOR]*D15),0))</f>
        <v>43480.816890660324</v>
      </c>
      <c r="F15" s="8"/>
      <c r="G15" s="56" cm="1">
        <f t="array" ref="G15">IF(F15="X",(_xlfn.XLOOKUP($B15,Tabla1[SERVICIO],Tabla1[VALOR])*1),IF(F15&gt;=1,_xlfn.XLOOKUP($B15,Tabla1[SERVICIO],Tabla1[VALOR]*F15),0))</f>
        <v>0</v>
      </c>
      <c r="H15" s="8"/>
      <c r="I15" s="56" cm="1">
        <f t="array" ref="I15">IF(H15="X",(_xlfn.XLOOKUP($B15,Tabla1[SERVICIO],Tabla1[VALOR])*1),IF(H15&gt;=1,_xlfn.XLOOKUP($B15,Tabla1[SERVICIO],Tabla1[VALOR]*H15),0))</f>
        <v>0</v>
      </c>
      <c r="J15" s="8"/>
      <c r="K15" s="56" cm="1">
        <f t="array" ref="K15">IF(J15="X",(_xlfn.XLOOKUP($B15,Tabla1[SERVICIO],Tabla1[VALOR])*1),IF(J15&gt;=1,_xlfn.XLOOKUP($B15,Tabla1[SERVICIO],Tabla1[VALOR]*J15),0))</f>
        <v>0</v>
      </c>
      <c r="L15" s="8"/>
      <c r="M15" s="56" cm="1">
        <f t="array" ref="M15">IF(L15="X",(_xlfn.XLOOKUP($B15,Tabla1[SERVICIO],Tabla1[VALOR])*1),IF(L15&gt;=1,_xlfn.XLOOKUP($B15,Tabla1[SERVICIO],Tabla1[VALOR]*L15),0))</f>
        <v>0</v>
      </c>
      <c r="N15" s="8"/>
      <c r="O15" s="56" cm="1">
        <f t="array" ref="O15">IF(N15="X",(_xlfn.XLOOKUP($B15,Tabla1[SERVICIO],Tabla1[VALOR])*1),IF(N15&gt;=1,_xlfn.XLOOKUP($B15,Tabla1[SERVICIO],Tabla1[VALOR]*N15),0))</f>
        <v>0</v>
      </c>
      <c r="P15" s="8"/>
      <c r="Q15" s="56" cm="1">
        <f t="array" ref="Q15">IF(P15="X",(_xlfn.XLOOKUP($B15,Tabla1[SERVICIO],Tabla1[VALOR])*1),IF(P15&gt;=1,_xlfn.XLOOKUP($B15,Tabla1[SERVICIO],Tabla1[VALOR]*P15),0))</f>
        <v>0</v>
      </c>
      <c r="R15" s="8"/>
      <c r="S15" s="56" cm="1">
        <f t="array" ref="S15">IF(R15="X",(_xlfn.XLOOKUP($B15,Tabla1[SERVICIO],Tabla1[VALOR])*1),IF(R15&gt;=1,_xlfn.XLOOKUP($B15,Tabla1[SERVICIO],Tabla1[VALOR]*R15),0))</f>
        <v>0</v>
      </c>
      <c r="T15" s="8"/>
      <c r="U15" s="56" cm="1">
        <f t="array" ref="U15">IF(T15="X",(_xlfn.XLOOKUP($B15,Tabla1[SERVICIO],Tabla1[VALOR])*1),IF(T15&gt;=1,_xlfn.XLOOKUP($B15,Tabla1[SERVICIO],Tabla1[VALOR]*T15),0))</f>
        <v>0</v>
      </c>
      <c r="V15" s="8"/>
      <c r="W15" s="56" cm="1">
        <f t="array" ref="W15">IF(V15="X",(_xlfn.XLOOKUP($B15,Tabla1[SERVICIO],Tabla1[VALOR])*1),IF(V15&gt;=1,_xlfn.XLOOKUP($B15,Tabla1[SERVICIO],Tabla1[VALOR]*V15),0))</f>
        <v>0</v>
      </c>
      <c r="X15" s="8"/>
      <c r="Y15" s="56" cm="1">
        <f t="array" ref="Y15">IF(X15="X",(_xlfn.XLOOKUP($B15,Tabla1[SERVICIO],Tabla1[VALOR])*1),IF(X15&gt;=1,_xlfn.XLOOKUP($B15,Tabla1[SERVICIO],Tabla1[VALOR]*X15),0))</f>
        <v>0</v>
      </c>
      <c r="Z15" s="14">
        <v>1</v>
      </c>
      <c r="AA15" s="56" cm="1">
        <f t="array" ref="AA15">IF(Z15="X",(_xlfn.XLOOKUP($B15,Tabla1[SERVICIO],Tabla1[VALOR])*1),IF(Z15&gt;=1,_xlfn.XLOOKUP($B15,Tabla1[SERVICIO],Tabla1[VALOR]*Z15),0))</f>
        <v>43480.816890660324</v>
      </c>
      <c r="AB15" s="81">
        <f t="shared" si="0"/>
        <v>86961.633781320648</v>
      </c>
      <c r="AC15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15" s="122" t="s">
        <v>318</v>
      </c>
      <c r="AE15" s="127">
        <v>1</v>
      </c>
      <c r="AF15" s="121">
        <f>+Tabla46[[#This Row],[TOTAL RUTA]]*AE15</f>
        <v>86961.633781320648</v>
      </c>
      <c r="AG15" s="82" t="s">
        <v>350</v>
      </c>
      <c r="AH15" s="335">
        <v>12</v>
      </c>
    </row>
    <row r="16" spans="1:34" x14ac:dyDescent="0.25">
      <c r="A16" s="7" t="s">
        <v>21</v>
      </c>
      <c r="B16" s="96" t="s">
        <v>221</v>
      </c>
      <c r="C16" s="96" t="str">
        <f>_xlfn.XLOOKUP(Tabla46[[#This Row],[Servicios del Programa:]],Tabla151[CODIGO],Tabla151[VALOR])</f>
        <v>Consultas</v>
      </c>
      <c r="D16" s="14">
        <v>1</v>
      </c>
      <c r="E16" s="56" cm="1">
        <f t="array" ref="E16">IF(D16="X",(_xlfn.XLOOKUP($B16,Tabla1[SERVICIO],Tabla1[VALOR])*1),IF(D16&gt;=1,_xlfn.XLOOKUP($B16,Tabla1[SERVICIO],Tabla1[VALOR]*D16),0))</f>
        <v>67398.098568534639</v>
      </c>
      <c r="F16" s="14"/>
      <c r="G16" s="56" cm="1">
        <f t="array" ref="G16">IF(F16="X",(_xlfn.XLOOKUP($B16,Tabla1[SERVICIO],Tabla1[VALOR])*1),IF(F16&gt;=1,_xlfn.XLOOKUP($B16,Tabla1[SERVICIO],Tabla1[VALOR]*F16),0))</f>
        <v>0</v>
      </c>
      <c r="H16" s="14"/>
      <c r="I16" s="56" cm="1">
        <f t="array" ref="I16">IF(H16="X",(_xlfn.XLOOKUP($B16,Tabla1[SERVICIO],Tabla1[VALOR])*1),IF(H16&gt;=1,_xlfn.XLOOKUP($B16,Tabla1[SERVICIO],Tabla1[VALOR]*H16),0))</f>
        <v>0</v>
      </c>
      <c r="J16" s="14"/>
      <c r="K16" s="56" cm="1">
        <f t="array" ref="K16">IF(J16="X",(_xlfn.XLOOKUP($B16,Tabla1[SERVICIO],Tabla1[VALOR])*1),IF(J16&gt;=1,_xlfn.XLOOKUP($B16,Tabla1[SERVICIO],Tabla1[VALOR]*J16),0))</f>
        <v>0</v>
      </c>
      <c r="L16" s="14"/>
      <c r="M16" s="56" cm="1">
        <f t="array" ref="M16">IF(L16="X",(_xlfn.XLOOKUP($B16,Tabla1[SERVICIO],Tabla1[VALOR])*1),IF(L16&gt;=1,_xlfn.XLOOKUP($B16,Tabla1[SERVICIO],Tabla1[VALOR]*L16),0))</f>
        <v>0</v>
      </c>
      <c r="N16" s="14"/>
      <c r="O16" s="56" cm="1">
        <f t="array" ref="O16">IF(N16="X",(_xlfn.XLOOKUP($B16,Tabla1[SERVICIO],Tabla1[VALOR])*1),IF(N16&gt;=1,_xlfn.XLOOKUP($B16,Tabla1[SERVICIO],Tabla1[VALOR]*N16),0))</f>
        <v>0</v>
      </c>
      <c r="P16" s="14"/>
      <c r="Q16" s="56" cm="1">
        <f t="array" ref="Q16">IF(P16="X",(_xlfn.XLOOKUP($B16,Tabla1[SERVICIO],Tabla1[VALOR])*1),IF(P16&gt;=1,_xlfn.XLOOKUP($B16,Tabla1[SERVICIO],Tabla1[VALOR]*P16),0))</f>
        <v>0</v>
      </c>
      <c r="R16" s="14"/>
      <c r="S16" s="56" cm="1">
        <f t="array" ref="S16">IF(R16="X",(_xlfn.XLOOKUP($B16,Tabla1[SERVICIO],Tabla1[VALOR])*1),IF(R16&gt;=1,_xlfn.XLOOKUP($B16,Tabla1[SERVICIO],Tabla1[VALOR]*R16),0))</f>
        <v>0</v>
      </c>
      <c r="T16" s="14"/>
      <c r="U16" s="56" cm="1">
        <f t="array" ref="U16">IF(T16="X",(_xlfn.XLOOKUP($B16,Tabla1[SERVICIO],Tabla1[VALOR])*1),IF(T16&gt;=1,_xlfn.XLOOKUP($B16,Tabla1[SERVICIO],Tabla1[VALOR]*T16),0))</f>
        <v>0</v>
      </c>
      <c r="V16" s="14"/>
      <c r="W16" s="56" cm="1">
        <f t="array" ref="W16">IF(V16="X",(_xlfn.XLOOKUP($B16,Tabla1[SERVICIO],Tabla1[VALOR])*1),IF(V16&gt;=1,_xlfn.XLOOKUP($B16,Tabla1[SERVICIO],Tabla1[VALOR]*V16),0))</f>
        <v>0</v>
      </c>
      <c r="X16" s="14"/>
      <c r="Y16" s="56" cm="1">
        <f t="array" ref="Y16">IF(X16="X",(_xlfn.XLOOKUP($B16,Tabla1[SERVICIO],Tabla1[VALOR])*1),IF(X16&gt;=1,_xlfn.XLOOKUP($B16,Tabla1[SERVICIO],Tabla1[VALOR]*X16),0))</f>
        <v>0</v>
      </c>
      <c r="Z16" s="14"/>
      <c r="AA16" s="56" cm="1">
        <f t="array" ref="AA16">IF(Z16="X",(_xlfn.XLOOKUP($B16,Tabla1[SERVICIO],Tabla1[VALOR])*1),IF(Z16&gt;=1,_xlfn.XLOOKUP($B16,Tabla1[SERVICIO],Tabla1[VALOR]*Z16),0))</f>
        <v>0</v>
      </c>
      <c r="AB16" s="81">
        <f>SUM(E16,G16,I16,K16+M16,O16,Q16,S16,U16,W16,Y16,AA16)</f>
        <v>67398.098568534639</v>
      </c>
      <c r="AC16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6" s="122" t="s">
        <v>319</v>
      </c>
      <c r="AE16" s="127">
        <v>2.6940639269406392</v>
      </c>
      <c r="AF16" s="121">
        <f>+Tabla46[[#This Row],[TOTAL RUTA]]*AE16</f>
        <v>181574.78609787871</v>
      </c>
      <c r="AG16" s="82" t="s">
        <v>350</v>
      </c>
      <c r="AH16" s="335">
        <v>12</v>
      </c>
    </row>
    <row r="17" spans="1:36" x14ac:dyDescent="0.25">
      <c r="A17" s="7" t="s">
        <v>19</v>
      </c>
      <c r="B17" s="96" t="s">
        <v>20</v>
      </c>
      <c r="C17" s="96" t="str">
        <f>_xlfn.XLOOKUP(Tabla46[[#This Row],[Servicios del Programa:]],Tabla151[CODIGO],Tabla151[VALOR])</f>
        <v>Consultas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67398.098568534639</v>
      </c>
      <c r="F17" s="8"/>
      <c r="G17" s="56" cm="1">
        <f t="array" ref="G17">IF(F17="X",(_xlfn.XLOOKUP($B17,Tabla1[SERVICIO],Tabla1[VALOR])*1),IF(F17&gt;=1,_xlfn.XLOOKUP($B17,Tabla1[SERVICIO],Tabla1[VALOR]*F17),0))</f>
        <v>0</v>
      </c>
      <c r="H17" s="8"/>
      <c r="I17" s="56" cm="1">
        <f t="array" ref="I17">IF(H17="X",(_xlfn.XLOOKUP($B17,Tabla1[SERVICIO],Tabla1[VALOR])*1),IF(H17&gt;=1,_xlfn.XLOOKUP($B17,Tabla1[SERVICIO],Tabla1[VALOR]*H17),0))</f>
        <v>0</v>
      </c>
      <c r="J17" s="8"/>
      <c r="K17" s="56" cm="1">
        <f t="array" ref="K17">IF(J17="X",(_xlfn.XLOOKUP($B17,Tabla1[SERVICIO],Tabla1[VALOR])*1),IF(J17&gt;=1,_xlfn.XLOOKUP($B17,Tabla1[SERVICIO],Tabla1[VALOR]*J17),0))</f>
        <v>0</v>
      </c>
      <c r="L17" s="8"/>
      <c r="M17" s="56" cm="1">
        <f t="array" ref="M17">IF(L17="X",(_xlfn.XLOOKUP($B17,Tabla1[SERVICIO],Tabla1[VALOR])*1),IF(L17&gt;=1,_xlfn.XLOOKUP($B17,Tabla1[SERVICIO],Tabla1[VALOR]*L17),0))</f>
        <v>0</v>
      </c>
      <c r="N17" s="8"/>
      <c r="O17" s="56" cm="1">
        <f t="array" ref="O17">IF(N17="X",(_xlfn.XLOOKUP($B17,Tabla1[SERVICIO],Tabla1[VALOR])*1),IF(N17&gt;=1,_xlfn.XLOOKUP($B17,Tabla1[SERVICIO],Tabla1[VALOR]*N17),0))</f>
        <v>0</v>
      </c>
      <c r="P17" s="8"/>
      <c r="Q17" s="56" cm="1">
        <f t="array" ref="Q17">IF(P17="X",(_xlfn.XLOOKUP($B17,Tabla1[SERVICIO],Tabla1[VALOR])*1),IF(P17&gt;=1,_xlfn.XLOOKUP($B17,Tabla1[SERVICIO],Tabla1[VALOR]*P17),0))</f>
        <v>0</v>
      </c>
      <c r="R17" s="8"/>
      <c r="S17" s="56" cm="1">
        <f t="array" ref="S17">IF(R17="X",(_xlfn.XLOOKUP($B17,Tabla1[SERVICIO],Tabla1[VALOR])*1),IF(R17&gt;=1,_xlfn.XLOOKUP($B17,Tabla1[SERVICIO],Tabla1[VALOR]*R17),0))</f>
        <v>0</v>
      </c>
      <c r="T17" s="8"/>
      <c r="U17" s="56" cm="1">
        <f t="array" ref="U17">IF(T17="X",(_xlfn.XLOOKUP($B17,Tabla1[SERVICIO],Tabla1[VALOR])*1),IF(T17&gt;=1,_xlfn.XLOOKUP($B17,Tabla1[SERVICIO],Tabla1[VALOR]*T17),0))</f>
        <v>0</v>
      </c>
      <c r="V17" s="8"/>
      <c r="W17" s="56" cm="1">
        <f t="array" ref="W17">IF(V17="X",(_xlfn.XLOOKUP($B17,Tabla1[SERVICIO],Tabla1[VALOR])*1),IF(V17&gt;=1,_xlfn.XLOOKUP($B17,Tabla1[SERVICIO],Tabla1[VALOR]*V17),0))</f>
        <v>0</v>
      </c>
      <c r="X17" s="8"/>
      <c r="Y17" s="56" cm="1">
        <f t="array" ref="Y17">IF(X17="X",(_xlfn.XLOOKUP($B17,Tabla1[SERVICIO],Tabla1[VALOR])*1),IF(X17&gt;=1,_xlfn.XLOOKUP($B17,Tabla1[SERVICIO],Tabla1[VALOR]*X17),0))</f>
        <v>0</v>
      </c>
      <c r="Z17" s="8"/>
      <c r="AA17" s="56" cm="1">
        <f t="array" ref="AA17">IF(Z17="X",(_xlfn.XLOOKUP($B17,Tabla1[SERVICIO],Tabla1[VALOR])*1),IF(Z17&gt;=1,_xlfn.XLOOKUP($B17,Tabla1[SERVICIO],Tabla1[VALOR]*Z17),0))</f>
        <v>0</v>
      </c>
      <c r="AB17" s="81">
        <f t="shared" si="0"/>
        <v>67398.098568534639</v>
      </c>
      <c r="AC17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7" s="122" t="s">
        <v>319</v>
      </c>
      <c r="AE17" s="127">
        <v>0.13698630136986301</v>
      </c>
      <c r="AF17" s="121">
        <f>+Tabla46[[#This Row],[TOTAL RUTA]]*AE17</f>
        <v>9232.6162422650177</v>
      </c>
      <c r="AG17" s="82" t="s">
        <v>350</v>
      </c>
      <c r="AH17" s="335">
        <v>12</v>
      </c>
    </row>
    <row r="18" spans="1:36" x14ac:dyDescent="0.25">
      <c r="A18" s="7" t="s">
        <v>23</v>
      </c>
      <c r="B18" s="96" t="s">
        <v>24</v>
      </c>
      <c r="C18" s="96" t="str">
        <f>_xlfn.XLOOKUP(Tabla46[[#This Row],[Servicios del Programa:]],Tabla151[CODIGO],Tabla151[VALOR])</f>
        <v>Terapias</v>
      </c>
      <c r="D18" s="8"/>
      <c r="E18" s="56" cm="1">
        <f t="array" ref="E18">IF(D18="X",(_xlfn.XLOOKUP($B18,Tabla1[SERVICIO],Tabla1[VALOR])*1),IF(D18&gt;=1,_xlfn.XLOOKUP($B18,Tabla1[SERVICIO],Tabla1[VALOR]*D18),0))</f>
        <v>0</v>
      </c>
      <c r="F18" s="8"/>
      <c r="G18" s="56" cm="1">
        <f t="array" ref="G18">IF(F18="X",(_xlfn.XLOOKUP($B18,Tabla1[SERVICIO],Tabla1[VALOR])*1),IF(F18&gt;=1,_xlfn.XLOOKUP($B18,Tabla1[SERVICIO],Tabla1[VALOR]*F18),0))</f>
        <v>0</v>
      </c>
      <c r="H18" s="14">
        <v>1</v>
      </c>
      <c r="I18" s="56" cm="1">
        <f t="array" ref="I18">IF(H18="X",(_xlfn.XLOOKUP($B18,Tabla1[SERVICIO],Tabla1[VALOR])*1),IF(H18&gt;=1,_xlfn.XLOOKUP($B18,Tabla1[SERVICIO],Tabla1[VALOR]*H18),0))</f>
        <v>31881.451880098426</v>
      </c>
      <c r="J18" s="8"/>
      <c r="K18" s="56" cm="1">
        <f t="array" ref="K18">IF(J18="X",(_xlfn.XLOOKUP($B18,Tabla1[SERVICIO],Tabla1[VALOR])*1),IF(J18&gt;=1,_xlfn.XLOOKUP($B18,Tabla1[SERVICIO],Tabla1[VALOR]*J18),0))</f>
        <v>0</v>
      </c>
      <c r="L18" s="8"/>
      <c r="M18" s="56" cm="1">
        <f t="array" ref="M18">IF(L18="X",(_xlfn.XLOOKUP($B18,Tabla1[SERVICIO],Tabla1[VALOR])*1),IF(L18&gt;=1,_xlfn.XLOOKUP($B18,Tabla1[SERVICIO],Tabla1[VALOR]*L18),0))</f>
        <v>0</v>
      </c>
      <c r="N18" s="8"/>
      <c r="O18" s="56" cm="1">
        <f t="array" ref="O18">IF(N18="X",(_xlfn.XLOOKUP($B18,Tabla1[SERVICIO],Tabla1[VALOR])*1),IF(N18&gt;=1,_xlfn.XLOOKUP($B18,Tabla1[SERVICIO],Tabla1[VALOR]*N18),0))</f>
        <v>0</v>
      </c>
      <c r="P18" s="8"/>
      <c r="Q18" s="56" cm="1">
        <f t="array" ref="Q18">IF(P18="X",(_xlfn.XLOOKUP($B18,Tabla1[SERVICIO],Tabla1[VALOR])*1),IF(P18&gt;=1,_xlfn.XLOOKUP($B18,Tabla1[SERVICIO],Tabla1[VALOR]*P18),0))</f>
        <v>0</v>
      </c>
      <c r="R18" s="8"/>
      <c r="S18" s="56" cm="1">
        <f t="array" ref="S18">IF(R18="X",(_xlfn.XLOOKUP($B18,Tabla1[SERVICIO],Tabla1[VALOR])*1),IF(R18&gt;=1,_xlfn.XLOOKUP($B18,Tabla1[SERVICIO],Tabla1[VALOR]*R18),0))</f>
        <v>0</v>
      </c>
      <c r="T18" s="8"/>
      <c r="U18" s="56" cm="1">
        <f t="array" ref="U18">IF(T18="X",(_xlfn.XLOOKUP($B18,Tabla1[SERVICIO],Tabla1[VALOR])*1),IF(T18&gt;=1,_xlfn.XLOOKUP($B18,Tabla1[SERVICIO],Tabla1[VALOR]*T18),0))</f>
        <v>0</v>
      </c>
      <c r="V18" s="8"/>
      <c r="W18" s="56" cm="1">
        <f t="array" ref="W18">IF(V18="X",(_xlfn.XLOOKUP($B18,Tabla1[SERVICIO],Tabla1[VALOR])*1),IF(V18&gt;=1,_xlfn.XLOOKUP($B18,Tabla1[SERVICIO],Tabla1[VALOR]*V18),0))</f>
        <v>0</v>
      </c>
      <c r="X18" s="8"/>
      <c r="Y18" s="56" cm="1">
        <f t="array" ref="Y18">IF(X18="X",(_xlfn.XLOOKUP($B18,Tabla1[SERVICIO],Tabla1[VALOR])*1),IF(X18&gt;=1,_xlfn.XLOOKUP($B18,Tabla1[SERVICIO],Tabla1[VALOR]*X18),0))</f>
        <v>0</v>
      </c>
      <c r="Z18" s="8"/>
      <c r="AA18" s="56" cm="1">
        <f t="array" ref="AA18">IF(Z18="X",(_xlfn.XLOOKUP($B18,Tabla1[SERVICIO],Tabla1[VALOR])*1),IF(Z18&gt;=1,_xlfn.XLOOKUP($B18,Tabla1[SERVICIO],Tabla1[VALOR]*Z18),0))</f>
        <v>0</v>
      </c>
      <c r="AB18" s="81">
        <f t="shared" si="0"/>
        <v>31881.451880098426</v>
      </c>
      <c r="AC18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8" s="122" t="s">
        <v>318</v>
      </c>
      <c r="AE18" s="127">
        <v>1</v>
      </c>
      <c r="AF18" s="121">
        <f>+Tabla46[[#This Row],[TOTAL RUTA]]*AE18</f>
        <v>31881.451880098426</v>
      </c>
      <c r="AG18" s="82" t="s">
        <v>350</v>
      </c>
      <c r="AH18" s="335">
        <v>12</v>
      </c>
    </row>
    <row r="19" spans="1:36" x14ac:dyDescent="0.25">
      <c r="A19" s="7" t="s">
        <v>29</v>
      </c>
      <c r="B19" s="96" t="s">
        <v>196</v>
      </c>
      <c r="C19" s="96" t="str">
        <f>_xlfn.XLOOKUP(Tabla46[[#This Row],[Servicios del Programa:]],Tabla151[CODIGO],Tabla151[VALOR])</f>
        <v>Terapias</v>
      </c>
      <c r="D19" s="8"/>
      <c r="E19" s="56" cm="1">
        <f t="array" ref="E19">IF(D19="X",(_xlfn.XLOOKUP($B19,Tabla1[SERVICIO],Tabla1[VALOR])*1),IF(D19&gt;=1,_xlfn.XLOOKUP($B19,Tabla1[SERVICIO],Tabla1[VALOR]*D19),0))</f>
        <v>0</v>
      </c>
      <c r="F19" s="8"/>
      <c r="G19" s="56" cm="1">
        <f t="array" ref="G19">IF(F19="X",(_xlfn.XLOOKUP($B19,Tabla1[SERVICIO],Tabla1[VALOR])*1),IF(F19&gt;=1,_xlfn.XLOOKUP($B19,Tabla1[SERVICIO],Tabla1[VALOR]*F19),0))</f>
        <v>0</v>
      </c>
      <c r="H19" s="8"/>
      <c r="I19" s="56" cm="1">
        <f t="array" ref="I19">IF(H19="X",(_xlfn.XLOOKUP($B19,Tabla1[SERVICIO],Tabla1[VALOR])*1),IF(H19&gt;=1,_xlfn.XLOOKUP($B19,Tabla1[SERVICIO],Tabla1[VALOR]*H19),0))</f>
        <v>0</v>
      </c>
      <c r="J19" s="8"/>
      <c r="K19" s="56" cm="1">
        <f t="array" ref="K19">IF(J19="X",(_xlfn.XLOOKUP($B19,Tabla1[SERVICIO],Tabla1[VALOR])*1),IF(J19&gt;=1,_xlfn.XLOOKUP($B19,Tabla1[SERVICIO],Tabla1[VALOR]*J19),0))</f>
        <v>0</v>
      </c>
      <c r="L19" s="8"/>
      <c r="M19" s="56" cm="1">
        <f t="array" ref="M19">IF(L19="X",(_xlfn.XLOOKUP($B19,Tabla1[SERVICIO],Tabla1[VALOR])*1),IF(L19&gt;=1,_xlfn.XLOOKUP($B19,Tabla1[SERVICIO],Tabla1[VALOR]*L19),0))</f>
        <v>0</v>
      </c>
      <c r="N19" s="8"/>
      <c r="O19" s="56" cm="1">
        <f t="array" ref="O19">IF(N19="X",(_xlfn.XLOOKUP($B19,Tabla1[SERVICIO],Tabla1[VALOR])*1),IF(N19&gt;=1,_xlfn.XLOOKUP($B19,Tabla1[SERVICIO],Tabla1[VALOR]*N19),0))</f>
        <v>0</v>
      </c>
      <c r="P19" s="8"/>
      <c r="Q19" s="56" cm="1">
        <f t="array" ref="Q19">IF(P19="X",(_xlfn.XLOOKUP($B19,Tabla1[SERVICIO],Tabla1[VALOR])*1),IF(P19&gt;=1,_xlfn.XLOOKUP($B19,Tabla1[SERVICIO],Tabla1[VALOR]*P19),0))</f>
        <v>0</v>
      </c>
      <c r="R19" s="8"/>
      <c r="S19" s="56" cm="1">
        <f t="array" ref="S19">IF(R19="X",(_xlfn.XLOOKUP($B19,Tabla1[SERVICIO],Tabla1[VALOR])*1),IF(R19&gt;=1,_xlfn.XLOOKUP($B19,Tabla1[SERVICIO],Tabla1[VALOR]*R19),0))</f>
        <v>0</v>
      </c>
      <c r="T19" s="8"/>
      <c r="U19" s="56" cm="1">
        <f t="array" ref="U19">IF(T19="X",(_xlfn.XLOOKUP($B19,Tabla1[SERVICIO],Tabla1[VALOR])*1),IF(T19&gt;=1,_xlfn.XLOOKUP($B19,Tabla1[SERVICIO],Tabla1[VALOR]*T19),0))</f>
        <v>0</v>
      </c>
      <c r="V19" s="8"/>
      <c r="W19" s="56" cm="1">
        <f t="array" ref="W19">IF(V19="X",(_xlfn.XLOOKUP($B19,Tabla1[SERVICIO],Tabla1[VALOR])*1),IF(V19&gt;=1,_xlfn.XLOOKUP($B19,Tabla1[SERVICIO],Tabla1[VALOR]*V19),0))</f>
        <v>0</v>
      </c>
      <c r="X19" s="8"/>
      <c r="Y19" s="56" cm="1">
        <f t="array" ref="Y19">IF(X19="X",(_xlfn.XLOOKUP($B19,Tabla1[SERVICIO],Tabla1[VALOR])*1),IF(X19&gt;=1,_xlfn.XLOOKUP($B19,Tabla1[SERVICIO],Tabla1[VALOR]*X19),0))</f>
        <v>0</v>
      </c>
      <c r="Z19" s="14">
        <v>1</v>
      </c>
      <c r="AA19" s="56" cm="1">
        <f t="array" ref="AA19">IF(Z19="X",(_xlfn.XLOOKUP($B19,Tabla1[SERVICIO],Tabla1[VALOR])*1),IF(Z19&gt;=1,_xlfn.XLOOKUP($B19,Tabla1[SERVICIO],Tabla1[VALOR]*Z19),0))</f>
        <v>31881.451880098426</v>
      </c>
      <c r="AB19" s="81">
        <f t="shared" si="0"/>
        <v>31881.451880098426</v>
      </c>
      <c r="AC19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9" s="122" t="s">
        <v>318</v>
      </c>
      <c r="AE19" s="127">
        <v>1</v>
      </c>
      <c r="AF19" s="121">
        <f>+Tabla46[[#This Row],[TOTAL RUTA]]*AE19</f>
        <v>31881.451880098426</v>
      </c>
      <c r="AG19" s="82" t="s">
        <v>350</v>
      </c>
      <c r="AH19" s="335">
        <v>12</v>
      </c>
    </row>
    <row r="20" spans="1:36" x14ac:dyDescent="0.25">
      <c r="A20" s="7" t="s">
        <v>25</v>
      </c>
      <c r="B20" s="96" t="s">
        <v>26</v>
      </c>
      <c r="C20" s="96" t="str">
        <f>_xlfn.XLOOKUP(Tabla46[[#This Row],[Servicios del Programa:]],Tabla151[CODIGO],Tabla151[VALOR])</f>
        <v>Diagnosticos</v>
      </c>
      <c r="D20" s="8"/>
      <c r="E20" s="56" cm="1">
        <f t="array" ref="E20">IF(D20="X",(_xlfn.XLOOKUP($B20,Tabla1[SERVICIO],Tabla1[VALOR])*1),IF(D20&gt;=1,_xlfn.XLOOKUP($B20,Tabla1[SERVICIO],Tabla1[VALOR]*D20),0))</f>
        <v>0</v>
      </c>
      <c r="F20" s="8"/>
      <c r="G20" s="56" cm="1">
        <f t="array" ref="G20">IF(F20="X",(_xlfn.XLOOKUP($B20,Tabla1[SERVICIO],Tabla1[VALOR])*1),IF(F20&gt;=1,_xlfn.XLOOKUP($B20,Tabla1[SERVICIO],Tabla1[VALOR]*F20),0))</f>
        <v>0</v>
      </c>
      <c r="H20" s="14">
        <v>1</v>
      </c>
      <c r="I20" s="56" cm="1">
        <f t="array" ref="I20">IF(H20="X",(_xlfn.XLOOKUP($B20,Tabla1[SERVICIO],Tabla1[VALOR])*1),IF(H20&gt;=1,_xlfn.XLOOKUP($B20,Tabla1[SERVICIO],Tabla1[VALOR]*H20),0))</f>
        <v>19392.627189167735</v>
      </c>
      <c r="J20" s="8"/>
      <c r="K20" s="56" cm="1">
        <f t="array" ref="K20">IF(J20="X",(_xlfn.XLOOKUP($B20,Tabla1[SERVICIO],Tabla1[VALOR])*1),IF(J20&gt;=1,_xlfn.XLOOKUP($B20,Tabla1[SERVICIO],Tabla1[VALOR]*J20),0))</f>
        <v>0</v>
      </c>
      <c r="L20" s="8"/>
      <c r="M20" s="56" cm="1">
        <f t="array" ref="M20">IF(L20="X",(_xlfn.XLOOKUP($B20,Tabla1[SERVICIO],Tabla1[VALOR])*1),IF(L20&gt;=1,_xlfn.XLOOKUP($B20,Tabla1[SERVICIO],Tabla1[VALOR]*L20),0))</f>
        <v>0</v>
      </c>
      <c r="N20" s="8"/>
      <c r="O20" s="56" cm="1">
        <f t="array" ref="O20">IF(N20="X",(_xlfn.XLOOKUP($B20,Tabla1[SERVICIO],Tabla1[VALOR])*1),IF(N20&gt;=1,_xlfn.XLOOKUP($B20,Tabla1[SERVICIO],Tabla1[VALOR]*N20),0))</f>
        <v>0</v>
      </c>
      <c r="P20" s="8"/>
      <c r="Q20" s="56" cm="1">
        <f t="array" ref="Q20">IF(P20="X",(_xlfn.XLOOKUP($B20,Tabla1[SERVICIO],Tabla1[VALOR])*1),IF(P20&gt;=1,_xlfn.XLOOKUP($B20,Tabla1[SERVICIO],Tabla1[VALOR]*P20),0))</f>
        <v>0</v>
      </c>
      <c r="R20" s="8"/>
      <c r="S20" s="56" cm="1">
        <f t="array" ref="S20">IF(R20="X",(_xlfn.XLOOKUP($B20,Tabla1[SERVICIO],Tabla1[VALOR])*1),IF(R20&gt;=1,_xlfn.XLOOKUP($B20,Tabla1[SERVICIO],Tabla1[VALOR]*R20),0))</f>
        <v>0</v>
      </c>
      <c r="T20" s="8"/>
      <c r="U20" s="56" cm="1">
        <f t="array" ref="U20">IF(T20="X",(_xlfn.XLOOKUP($B20,Tabla1[SERVICIO],Tabla1[VALOR])*1),IF(T20&gt;=1,_xlfn.XLOOKUP($B20,Tabla1[SERVICIO],Tabla1[VALOR]*T20),0))</f>
        <v>0</v>
      </c>
      <c r="V20" s="8"/>
      <c r="W20" s="56" cm="1">
        <f t="array" ref="W20">IF(V20="X",(_xlfn.XLOOKUP($B20,Tabla1[SERVICIO],Tabla1[VALOR])*1),IF(V20&gt;=1,_xlfn.XLOOKUP($B20,Tabla1[SERVICIO],Tabla1[VALOR]*V20),0))</f>
        <v>0</v>
      </c>
      <c r="X20" s="8"/>
      <c r="Y20" s="56" cm="1">
        <f t="array" ref="Y20">IF(X20="X",(_xlfn.XLOOKUP($B20,Tabla1[SERVICIO],Tabla1[VALOR])*1),IF(X20&gt;=1,_xlfn.XLOOKUP($B20,Tabla1[SERVICIO],Tabla1[VALOR]*X20),0))</f>
        <v>0</v>
      </c>
      <c r="Z20" s="14">
        <v>1</v>
      </c>
      <c r="AA20" s="56" cm="1">
        <f t="array" ref="AA20">IF(Z20="X",(_xlfn.XLOOKUP($B20,Tabla1[SERVICIO],Tabla1[VALOR])*1),IF(Z20&gt;=1,_xlfn.XLOOKUP($B20,Tabla1[SERVICIO],Tabla1[VALOR]*Z20),0))</f>
        <v>19392.627189167735</v>
      </c>
      <c r="AB20" s="81">
        <f t="shared" si="0"/>
        <v>38785.25437833547</v>
      </c>
      <c r="AC20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20" s="122" t="s">
        <v>318</v>
      </c>
      <c r="AE20" s="127">
        <v>1</v>
      </c>
      <c r="AF20" s="121">
        <f>+Tabla46[[#This Row],[TOTAL RUTA]]*AE20</f>
        <v>38785.25437833547</v>
      </c>
      <c r="AG20" s="82" t="s">
        <v>350</v>
      </c>
      <c r="AH20" s="335">
        <v>12</v>
      </c>
    </row>
    <row r="21" spans="1:36" x14ac:dyDescent="0.25">
      <c r="A21" s="7" t="s">
        <v>54</v>
      </c>
      <c r="B21" s="96" t="s">
        <v>227</v>
      </c>
      <c r="C21" s="96" t="str">
        <f>_xlfn.XLOOKUP(Tabla46[[#This Row],[Servicios del Programa:]],Tabla151[CODIGO],Tabla151[VALOR])</f>
        <v>Gestion y seguimiento</v>
      </c>
      <c r="D21" s="14"/>
      <c r="E21" s="56" cm="1">
        <f t="array" ref="E21">IF(D21="X",(_xlfn.XLOOKUP($B21,Tabla1[SERVICIO],Tabla1[VALOR])*1),IF(D21&gt;=1,_xlfn.XLOOKUP($B21,Tabla1[SERVICIO],Tabla1[VALOR]*D21),0))</f>
        <v>0</v>
      </c>
      <c r="F21" s="14"/>
      <c r="G21" s="56" cm="1">
        <f t="array" ref="G21">IF(F21="X",(_xlfn.XLOOKUP($B21,Tabla1[SERVICIO],Tabla1[VALOR])*1),IF(F21&gt;=1,_xlfn.XLOOKUP($B21,Tabla1[SERVICIO],Tabla1[VALOR]*F21),0))</f>
        <v>0</v>
      </c>
      <c r="H21" s="14"/>
      <c r="I21" s="56" cm="1">
        <f t="array" ref="I21">IF(H21="X",(_xlfn.XLOOKUP($B21,Tabla1[SERVICIO],Tabla1[VALOR])*1),IF(H21&gt;=1,_xlfn.XLOOKUP($B21,Tabla1[SERVICIO],Tabla1[VALOR]*H21),0))</f>
        <v>0</v>
      </c>
      <c r="J21" s="14"/>
      <c r="K21" s="56" cm="1">
        <f t="array" ref="K21">IF(J21="X",(_xlfn.XLOOKUP($B21,Tabla1[SERVICIO],Tabla1[VALOR])*1),IF(J21&gt;=1,_xlfn.XLOOKUP($B21,Tabla1[SERVICIO],Tabla1[VALOR]*J21),0))</f>
        <v>0</v>
      </c>
      <c r="L21" s="14"/>
      <c r="M21" s="56" cm="1">
        <f t="array" ref="M21">IF(L21="X",(_xlfn.XLOOKUP($B21,Tabla1[SERVICIO],Tabla1[VALOR])*1),IF(L21&gt;=1,_xlfn.XLOOKUP($B21,Tabla1[SERVICIO],Tabla1[VALOR]*L21),0))</f>
        <v>0</v>
      </c>
      <c r="N21" s="14">
        <v>1</v>
      </c>
      <c r="O21" s="56" cm="1">
        <f t="array" ref="O21">IF(N21="X",(_xlfn.XLOOKUP($B21,Tabla1[SERVICIO],Tabla1[VALOR])*1),IF(N21&gt;=1,_xlfn.XLOOKUP($B21,Tabla1[SERVICIO],Tabla1[VALOR]*N21),0))</f>
        <v>145259.19237771924</v>
      </c>
      <c r="P21" s="14"/>
      <c r="Q21" s="56" cm="1">
        <f t="array" ref="Q21">IF(P21="X",(_xlfn.XLOOKUP($B21,Tabla1[SERVICIO],Tabla1[VALOR])*1),IF(P21&gt;=1,_xlfn.XLOOKUP($B21,Tabla1[SERVICIO],Tabla1[VALOR]*P21),0))</f>
        <v>0</v>
      </c>
      <c r="R21" s="14"/>
      <c r="S21" s="56" cm="1">
        <f t="array" ref="S21">IF(R21="X",(_xlfn.XLOOKUP($B21,Tabla1[SERVICIO],Tabla1[VALOR])*1),IF(R21&gt;=1,_xlfn.XLOOKUP($B21,Tabla1[SERVICIO],Tabla1[VALOR]*R21),0))</f>
        <v>0</v>
      </c>
      <c r="T21" s="14"/>
      <c r="U21" s="56" cm="1">
        <f t="array" ref="U21">IF(T21="X",(_xlfn.XLOOKUP($B21,Tabla1[SERVICIO],Tabla1[VALOR])*1),IF(T21&gt;=1,_xlfn.XLOOKUP($B21,Tabla1[SERVICIO],Tabla1[VALOR]*T21),0))</f>
        <v>0</v>
      </c>
      <c r="V21" s="14"/>
      <c r="W21" s="56" cm="1">
        <f t="array" ref="W21">IF(V21="X",(_xlfn.XLOOKUP($B21,Tabla1[SERVICIO],Tabla1[VALOR])*1),IF(V21&gt;=1,_xlfn.XLOOKUP($B21,Tabla1[SERVICIO],Tabla1[VALOR]*V21),0))</f>
        <v>0</v>
      </c>
      <c r="X21" s="14"/>
      <c r="Y21" s="56" cm="1">
        <f t="array" ref="Y21">IF(X21="X",(_xlfn.XLOOKUP($B21,Tabla1[SERVICIO],Tabla1[VALOR])*1),IF(X21&gt;=1,_xlfn.XLOOKUP($B21,Tabla1[SERVICIO],Tabla1[VALOR]*X21),0))</f>
        <v>0</v>
      </c>
      <c r="Z21" s="14"/>
      <c r="AA21" s="56" cm="1">
        <f t="array" ref="AA21">IF(Z21="X",(_xlfn.XLOOKUP($B21,Tabla1[SERVICIO],Tabla1[VALOR])*1),IF(Z21&gt;=1,_xlfn.XLOOKUP($B21,Tabla1[SERVICIO],Tabla1[VALOR]*Z21),0))</f>
        <v>0</v>
      </c>
      <c r="AB21" s="81">
        <f t="shared" si="0"/>
        <v>145259.19237771924</v>
      </c>
      <c r="AC21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1" s="122" t="s">
        <v>319</v>
      </c>
      <c r="AE21" s="127">
        <v>0.1095890410958904</v>
      </c>
      <c r="AF21" s="121">
        <f>+Tabla46[[#This Row],[TOTAL RUTA]]*AE21</f>
        <v>15918.815603037725</v>
      </c>
      <c r="AG21" s="82" t="s">
        <v>350</v>
      </c>
      <c r="AH21" s="335">
        <v>12</v>
      </c>
    </row>
    <row r="22" spans="1:36" x14ac:dyDescent="0.25">
      <c r="A22" s="7" t="s">
        <v>34</v>
      </c>
      <c r="B22" s="96" t="s">
        <v>35</v>
      </c>
      <c r="C22" s="96" t="str">
        <f>_xlfn.XLOOKUP(Tabla46[[#This Row],[Servicios del Programa:]],Tabla151[CODIGO],Tabla151[VALOR])</f>
        <v>Consultas</v>
      </c>
      <c r="D22" s="14">
        <v>1</v>
      </c>
      <c r="E22" s="56" cm="1">
        <f t="array" ref="E22">IF(D22="X",(_xlfn.XLOOKUP($B22,Tabla1[SERVICIO],Tabla1[VALOR])*1),IF(D22&gt;=1,_xlfn.XLOOKUP($B22,Tabla1[SERVICIO],Tabla1[VALOR]*D22),0))</f>
        <v>24009.730401318589</v>
      </c>
      <c r="F22" s="8"/>
      <c r="G22" s="56" cm="1">
        <f t="array" ref="G22">IF(F22="X",(_xlfn.XLOOKUP($B22,Tabla1[SERVICIO],Tabla1[VALOR])*1),IF(F22&gt;=1,_xlfn.XLOOKUP($B22,Tabla1[SERVICIO],Tabla1[VALOR]*F22),0))</f>
        <v>0</v>
      </c>
      <c r="H22" s="8"/>
      <c r="I22" s="56" cm="1">
        <f t="array" ref="I22">IF(H22="X",(_xlfn.XLOOKUP($B22,Tabla1[SERVICIO],Tabla1[VALOR])*1),IF(H22&gt;=1,_xlfn.XLOOKUP($B22,Tabla1[SERVICIO],Tabla1[VALOR]*H22),0))</f>
        <v>0</v>
      </c>
      <c r="J22" s="8"/>
      <c r="K22" s="56" cm="1">
        <f t="array" ref="K22">IF(J22="X",(_xlfn.XLOOKUP($B22,Tabla1[SERVICIO],Tabla1[VALOR])*1),IF(J22&gt;=1,_xlfn.XLOOKUP($B22,Tabla1[SERVICIO],Tabla1[VALOR]*J22),0))</f>
        <v>0</v>
      </c>
      <c r="L22" s="8"/>
      <c r="M22" s="56" cm="1">
        <f t="array" ref="M22">IF(L22="X",(_xlfn.XLOOKUP($B22,Tabla1[SERVICIO],Tabla1[VALOR])*1),IF(L22&gt;=1,_xlfn.XLOOKUP($B22,Tabla1[SERVICIO],Tabla1[VALOR]*L22),0))</f>
        <v>0</v>
      </c>
      <c r="N22" s="8"/>
      <c r="O22" s="56" cm="1">
        <f t="array" ref="O22">IF(N22="X",(_xlfn.XLOOKUP($B22,Tabla1[SERVICIO],Tabla1[VALOR])*1),IF(N22&gt;=1,_xlfn.XLOOKUP($B22,Tabla1[SERVICIO],Tabla1[VALOR]*N22),0))</f>
        <v>0</v>
      </c>
      <c r="P22" s="8"/>
      <c r="Q22" s="56" cm="1">
        <f t="array" ref="Q22">IF(P22="X",(_xlfn.XLOOKUP($B22,Tabla1[SERVICIO],Tabla1[VALOR])*1),IF(P22&gt;=1,_xlfn.XLOOKUP($B22,Tabla1[SERVICIO],Tabla1[VALOR]*P22),0))</f>
        <v>0</v>
      </c>
      <c r="R22" s="8"/>
      <c r="S22" s="56" cm="1">
        <f t="array" ref="S22">IF(R22="X",(_xlfn.XLOOKUP($B22,Tabla1[SERVICIO],Tabla1[VALOR])*1),IF(R22&gt;=1,_xlfn.XLOOKUP($B22,Tabla1[SERVICIO],Tabla1[VALOR]*R22),0))</f>
        <v>0</v>
      </c>
      <c r="T22" s="8"/>
      <c r="U22" s="56" cm="1">
        <f t="array" ref="U22">IF(T22="X",(_xlfn.XLOOKUP($B22,Tabla1[SERVICIO],Tabla1[VALOR])*1),IF(T22&gt;=1,_xlfn.XLOOKUP($B22,Tabla1[SERVICIO],Tabla1[VALOR]*T22),0))</f>
        <v>0</v>
      </c>
      <c r="V22" s="8"/>
      <c r="W22" s="56" cm="1">
        <f t="array" ref="W22">IF(V22="X",(_xlfn.XLOOKUP($B22,Tabla1[SERVICIO],Tabla1[VALOR])*1),IF(V22&gt;=1,_xlfn.XLOOKUP($B22,Tabla1[SERVICIO],Tabla1[VALOR]*V22),0))</f>
        <v>0</v>
      </c>
      <c r="X22" s="8"/>
      <c r="Y22" s="56" cm="1">
        <f t="array" ref="Y22">IF(X22="X",(_xlfn.XLOOKUP($B22,Tabla1[SERVICIO],Tabla1[VALOR])*1),IF(X22&gt;=1,_xlfn.XLOOKUP($B22,Tabla1[SERVICIO],Tabla1[VALOR]*X22),0))</f>
        <v>0</v>
      </c>
      <c r="Z22" s="8"/>
      <c r="AA22" s="56" cm="1">
        <f t="array" ref="AA22">IF(Z22="X",(_xlfn.XLOOKUP($B22,Tabla1[SERVICIO],Tabla1[VALOR])*1),IF(Z22&gt;=1,_xlfn.XLOOKUP($B22,Tabla1[SERVICIO],Tabla1[VALOR]*Z22),0))</f>
        <v>0</v>
      </c>
      <c r="AB22" s="81">
        <f t="shared" si="0"/>
        <v>24009.730401318589</v>
      </c>
      <c r="AC22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2" s="122" t="s">
        <v>318</v>
      </c>
      <c r="AE22" s="127">
        <v>1</v>
      </c>
      <c r="AF22" s="121">
        <f>+Tabla46[[#This Row],[TOTAL RUTA]]*AE22</f>
        <v>24009.730401318589</v>
      </c>
      <c r="AG22" s="82" t="s">
        <v>350</v>
      </c>
      <c r="AH22" s="335">
        <v>12</v>
      </c>
    </row>
    <row r="23" spans="1:36" ht="15" customHeight="1" x14ac:dyDescent="0.25">
      <c r="A23" s="7" t="s">
        <v>48</v>
      </c>
      <c r="B23" s="8" t="s">
        <v>222</v>
      </c>
      <c r="C23" s="96" t="str">
        <f>_xlfn.XLOOKUP(Tabla46[[#This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77398.098568534639</v>
      </c>
      <c r="F23" s="14"/>
      <c r="G23" s="56" cm="1">
        <f t="array" ref="G23">IF(F23="X",(_xlfn.XLOOKUP($B23,Tabla1[SERVICIO],Tabla1[VALOR])*1),IF(F23&gt;=1,_xlfn.XLOOKUP($B23,Tabla1[SERVICIO],Tabla1[VALOR]*F23),0))</f>
        <v>0</v>
      </c>
      <c r="H23" s="14"/>
      <c r="I23" s="56" cm="1">
        <f t="array" ref="I23">IF(H23="X",(_xlfn.XLOOKUP($B23,Tabla1[SERVICIO],Tabla1[VALOR])*1),IF(H23&gt;=1,_xlfn.XLOOKUP($B23,Tabla1[SERVICIO],Tabla1[VALOR]*H23),0))</f>
        <v>0</v>
      </c>
      <c r="J23" s="14"/>
      <c r="K23" s="56" cm="1">
        <f t="array" ref="K23">IF(J23="X",(_xlfn.XLOOKUP($B23,Tabla1[SERVICIO],Tabla1[VALOR])*1),IF(J23&gt;=1,_xlfn.XLOOKUP($B23,Tabla1[SERVICIO],Tabla1[VALOR]*J23),0))</f>
        <v>0</v>
      </c>
      <c r="L23" s="14"/>
      <c r="M23" s="56" cm="1">
        <f t="array" ref="M23">IF(L23="X",(_xlfn.XLOOKUP($B23,Tabla1[SERVICIO],Tabla1[VALOR])*1),IF(L23&gt;=1,_xlfn.XLOOKUP($B23,Tabla1[SERVICIO],Tabla1[VALOR]*L23),0))</f>
        <v>0</v>
      </c>
      <c r="N23" s="14"/>
      <c r="O23" s="56" cm="1">
        <f t="array" ref="O23">IF(N23="X",(_xlfn.XLOOKUP($B23,Tabla1[SERVICIO],Tabla1[VALOR])*1),IF(N23&gt;=1,_xlfn.XLOOKUP($B23,Tabla1[SERVICIO],Tabla1[VALOR]*N23),0))</f>
        <v>0</v>
      </c>
      <c r="P23" s="14"/>
      <c r="Q23" s="56" cm="1">
        <f t="array" ref="Q23">IF(P23="X",(_xlfn.XLOOKUP($B23,Tabla1[SERVICIO],Tabla1[VALOR])*1),IF(P23&gt;=1,_xlfn.XLOOKUP($B23,Tabla1[SERVICIO],Tabla1[VALOR]*P23),0))</f>
        <v>0</v>
      </c>
      <c r="R23" s="14"/>
      <c r="S23" s="56" cm="1">
        <f t="array" ref="S23">IF(R23="X",(_xlfn.XLOOKUP($B23,Tabla1[SERVICIO],Tabla1[VALOR])*1),IF(R23&gt;=1,_xlfn.XLOOKUP($B23,Tabla1[SERVICIO],Tabla1[VALOR]*R23),0))</f>
        <v>0</v>
      </c>
      <c r="T23" s="14"/>
      <c r="U23" s="56" cm="1">
        <f t="array" ref="U23">IF(T23="X",(_xlfn.XLOOKUP($B23,Tabla1[SERVICIO],Tabla1[VALOR])*1),IF(T23&gt;=1,_xlfn.XLOOKUP($B23,Tabla1[SERVICIO],Tabla1[VALOR]*T23),0))</f>
        <v>0</v>
      </c>
      <c r="V23" s="14"/>
      <c r="W23" s="56" cm="1">
        <f t="array" ref="W23">IF(V23="X",(_xlfn.XLOOKUP($B23,Tabla1[SERVICIO],Tabla1[VALOR])*1),IF(V23&gt;=1,_xlfn.XLOOKUP($B23,Tabla1[SERVICIO],Tabla1[VALOR]*V23),0))</f>
        <v>0</v>
      </c>
      <c r="X23" s="14"/>
      <c r="Y23" s="56" cm="1">
        <f t="array" ref="Y23">IF(X23="X",(_xlfn.XLOOKUP($B23,Tabla1[SERVICIO],Tabla1[VALOR])*1),IF(X23&gt;=1,_xlfn.XLOOKUP($B23,Tabla1[SERVICIO],Tabla1[VALOR]*X23),0))</f>
        <v>0</v>
      </c>
      <c r="Z23" s="14"/>
      <c r="AA23" s="56" cm="1">
        <f t="array" ref="AA23">IF(Z23="X",(_xlfn.XLOOKUP($B23,Tabla1[SERVICIO],Tabla1[VALOR])*1),IF(Z23&gt;=1,_xlfn.XLOOKUP($B23,Tabla1[SERVICIO],Tabla1[VALOR]*Z23),0))</f>
        <v>0</v>
      </c>
      <c r="AB23" s="81">
        <f t="shared" si="0"/>
        <v>77398.098568534639</v>
      </c>
      <c r="AC23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3" s="122" t="s">
        <v>319</v>
      </c>
      <c r="AE23" s="127">
        <v>3.1963470319634701E-2</v>
      </c>
      <c r="AF23" s="121">
        <f>+Tabla46[[#This Row],[TOTAL RUTA]]*AE23</f>
        <v>2473.9118263915179</v>
      </c>
      <c r="AG23" s="82" t="s">
        <v>350</v>
      </c>
      <c r="AH23" s="335">
        <v>12</v>
      </c>
    </row>
    <row r="24" spans="1:36" x14ac:dyDescent="0.25">
      <c r="A24" s="7" t="s">
        <v>46</v>
      </c>
      <c r="B24" s="8" t="s">
        <v>47</v>
      </c>
      <c r="C24" s="96" t="str">
        <f>_xlfn.XLOOKUP(Tabla46[[#This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83398.098568534639</v>
      </c>
      <c r="F24" s="8"/>
      <c r="G24" s="56" cm="1">
        <f t="array" ref="G24">IF(F24="X",(_xlfn.XLOOKUP($B24,Tabla1[SERVICIO],Tabla1[VALOR])*1),IF(F24&gt;=1,_xlfn.XLOOKUP($B24,Tabla1[SERVICIO],Tabla1[VALOR]*F24),0))</f>
        <v>0</v>
      </c>
      <c r="H24" s="8"/>
      <c r="I24" s="56" cm="1">
        <f t="array" ref="I24">IF(H24="X",(_xlfn.XLOOKUP($B24,Tabla1[SERVICIO],Tabla1[VALOR])*1),IF(H24&gt;=1,_xlfn.XLOOKUP($B24,Tabla1[SERVICIO],Tabla1[VALOR]*H24),0))</f>
        <v>0</v>
      </c>
      <c r="J24" s="8"/>
      <c r="K24" s="56" cm="1">
        <f t="array" ref="K24">IF(J24="X",(_xlfn.XLOOKUP($B24,Tabla1[SERVICIO],Tabla1[VALOR])*1),IF(J24&gt;=1,_xlfn.XLOOKUP($B24,Tabla1[SERVICIO],Tabla1[VALOR]*J24),0))</f>
        <v>0</v>
      </c>
      <c r="L24" s="8"/>
      <c r="M24" s="56" cm="1">
        <f t="array" ref="M24">IF(L24="X",(_xlfn.XLOOKUP($B24,Tabla1[SERVICIO],Tabla1[VALOR])*1),IF(L24&gt;=1,_xlfn.XLOOKUP($B24,Tabla1[SERVICIO],Tabla1[VALOR]*L24),0))</f>
        <v>0</v>
      </c>
      <c r="N24" s="8"/>
      <c r="O24" s="56" cm="1">
        <f t="array" ref="O24">IF(N24="X",(_xlfn.XLOOKUP($B24,Tabla1[SERVICIO],Tabla1[VALOR])*1),IF(N24&gt;=1,_xlfn.XLOOKUP($B24,Tabla1[SERVICIO],Tabla1[VALOR]*N24),0))</f>
        <v>0</v>
      </c>
      <c r="P24" s="8"/>
      <c r="Q24" s="56" cm="1">
        <f t="array" ref="Q24">IF(P24="X",(_xlfn.XLOOKUP($B24,Tabla1[SERVICIO],Tabla1[VALOR])*1),IF(P24&gt;=1,_xlfn.XLOOKUP($B24,Tabla1[SERVICIO],Tabla1[VALOR]*P24),0))</f>
        <v>0</v>
      </c>
      <c r="R24" s="8"/>
      <c r="S24" s="56" cm="1">
        <f t="array" ref="S24">IF(R24="X",(_xlfn.XLOOKUP($B24,Tabla1[SERVICIO],Tabla1[VALOR])*1),IF(R24&gt;=1,_xlfn.XLOOKUP($B24,Tabla1[SERVICIO],Tabla1[VALOR]*R24),0))</f>
        <v>0</v>
      </c>
      <c r="T24" s="8"/>
      <c r="U24" s="56" cm="1">
        <f t="array" ref="U24">IF(T24="X",(_xlfn.XLOOKUP($B24,Tabla1[SERVICIO],Tabla1[VALOR])*1),IF(T24&gt;=1,_xlfn.XLOOKUP($B24,Tabla1[SERVICIO],Tabla1[VALOR]*T24),0))</f>
        <v>0</v>
      </c>
      <c r="V24" s="8"/>
      <c r="W24" s="56" cm="1">
        <f t="array" ref="W24">IF(V24="X",(_xlfn.XLOOKUP($B24,Tabla1[SERVICIO],Tabla1[VALOR])*1),IF(V24&gt;=1,_xlfn.XLOOKUP($B24,Tabla1[SERVICIO],Tabla1[VALOR]*V24),0))</f>
        <v>0</v>
      </c>
      <c r="X24" s="8"/>
      <c r="Y24" s="56" cm="1">
        <f t="array" ref="Y24">IF(X24="X",(_xlfn.XLOOKUP($B24,Tabla1[SERVICIO],Tabla1[VALOR])*1),IF(X24&gt;=1,_xlfn.XLOOKUP($B24,Tabla1[SERVICIO],Tabla1[VALOR]*X24),0))</f>
        <v>0</v>
      </c>
      <c r="Z24" s="8"/>
      <c r="AA24" s="56" cm="1">
        <f t="array" ref="AA24">IF(Z24="X",(_xlfn.XLOOKUP($B24,Tabla1[SERVICIO],Tabla1[VALOR])*1),IF(Z24&gt;=1,_xlfn.XLOOKUP($B24,Tabla1[SERVICIO],Tabla1[VALOR]*Z24),0))</f>
        <v>0</v>
      </c>
      <c r="AB24" s="81">
        <f t="shared" si="0"/>
        <v>83398.098568534639</v>
      </c>
      <c r="AC24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4" s="122" t="s">
        <v>318</v>
      </c>
      <c r="AE24" s="127">
        <v>1</v>
      </c>
      <c r="AF24" s="121">
        <f>+Tabla46[[#This Row],[TOTAL RUTA]]*AE24</f>
        <v>83398.098568534639</v>
      </c>
      <c r="AG24" s="82" t="s">
        <v>350</v>
      </c>
      <c r="AH24" s="335">
        <v>12</v>
      </c>
    </row>
    <row r="25" spans="1:36" x14ac:dyDescent="0.25">
      <c r="A25" s="7" t="s">
        <v>52</v>
      </c>
      <c r="B25" s="8" t="s">
        <v>191</v>
      </c>
      <c r="C25" s="96" t="str">
        <f>_xlfn.XLOOKUP(Tabla46[[#This Row],[Servicios del Programa:]],Tabla151[CODIGO],Tabla151[VALOR])</f>
        <v>Consultas</v>
      </c>
      <c r="D25" s="14">
        <v>1</v>
      </c>
      <c r="E25" s="56" cm="1">
        <f t="array" ref="E25">IF(D25="X",(_xlfn.XLOOKUP($B25,Tabla1[SERVICIO],Tabla1[VALOR])*1),IF(D25&gt;=1,_xlfn.XLOOKUP($B25,Tabla1[SERVICIO],Tabla1[VALOR]*D25),0))</f>
        <v>26897.079640267821</v>
      </c>
      <c r="F25" s="8"/>
      <c r="G25" s="56" cm="1">
        <f t="array" ref="G25">IF(F25="X",(_xlfn.XLOOKUP($B25,Tabla1[SERVICIO],Tabla1[VALOR])*1),IF(F25&gt;=1,_xlfn.XLOOKUP($B25,Tabla1[SERVICIO],Tabla1[VALOR]*F25),0))</f>
        <v>0</v>
      </c>
      <c r="H25" s="8"/>
      <c r="I25" s="56" cm="1">
        <f t="array" ref="I25">IF(H25="X",(_xlfn.XLOOKUP($B25,Tabla1[SERVICIO],Tabla1[VALOR])*1),IF(H25&gt;=1,_xlfn.XLOOKUP($B25,Tabla1[SERVICIO],Tabla1[VALOR]*H25),0))</f>
        <v>0</v>
      </c>
      <c r="J25" s="8"/>
      <c r="K25" s="56" cm="1">
        <f t="array" ref="K25">IF(J25="X",(_xlfn.XLOOKUP($B25,Tabla1[SERVICIO],Tabla1[VALOR])*1),IF(J25&gt;=1,_xlfn.XLOOKUP($B25,Tabla1[SERVICIO],Tabla1[VALOR]*J25),0))</f>
        <v>0</v>
      </c>
      <c r="L25" s="8"/>
      <c r="M25" s="56" cm="1">
        <f t="array" ref="M25">IF(L25="X",(_xlfn.XLOOKUP($B25,Tabla1[SERVICIO],Tabla1[VALOR])*1),IF(L25&gt;=1,_xlfn.XLOOKUP($B25,Tabla1[SERVICIO],Tabla1[VALOR]*L25),0))</f>
        <v>0</v>
      </c>
      <c r="N25" s="8"/>
      <c r="O25" s="56" cm="1">
        <f t="array" ref="O25">IF(N25="X",(_xlfn.XLOOKUP($B25,Tabla1[SERVICIO],Tabla1[VALOR])*1),IF(N25&gt;=1,_xlfn.XLOOKUP($B25,Tabla1[SERVICIO],Tabla1[VALOR]*N25),0))</f>
        <v>0</v>
      </c>
      <c r="P25" s="8"/>
      <c r="Q25" s="56" cm="1">
        <f t="array" ref="Q25">IF(P25="X",(_xlfn.XLOOKUP($B25,Tabla1[SERVICIO],Tabla1[VALOR])*1),IF(P25&gt;=1,_xlfn.XLOOKUP($B25,Tabla1[SERVICIO],Tabla1[VALOR]*P25),0))</f>
        <v>0</v>
      </c>
      <c r="R25" s="8"/>
      <c r="S25" s="56" cm="1">
        <f t="array" ref="S25">IF(R25="X",(_xlfn.XLOOKUP($B25,Tabla1[SERVICIO],Tabla1[VALOR])*1),IF(R25&gt;=1,_xlfn.XLOOKUP($B25,Tabla1[SERVICIO],Tabla1[VALOR]*R25),0))</f>
        <v>0</v>
      </c>
      <c r="T25" s="8"/>
      <c r="U25" s="56" cm="1">
        <f t="array" ref="U25">IF(T25="X",(_xlfn.XLOOKUP($B25,Tabla1[SERVICIO],Tabla1[VALOR])*1),IF(T25&gt;=1,_xlfn.XLOOKUP($B25,Tabla1[SERVICIO],Tabla1[VALOR]*T25),0))</f>
        <v>0</v>
      </c>
      <c r="V25" s="8"/>
      <c r="W25" s="56" cm="1">
        <f t="array" ref="W25">IF(V25="X",(_xlfn.XLOOKUP($B25,Tabla1[SERVICIO],Tabla1[VALOR])*1),IF(V25&gt;=1,_xlfn.XLOOKUP($B25,Tabla1[SERVICIO],Tabla1[VALOR]*V25),0))</f>
        <v>0</v>
      </c>
      <c r="X25" s="8"/>
      <c r="Y25" s="56" cm="1">
        <f t="array" ref="Y25">IF(X25="X",(_xlfn.XLOOKUP($B25,Tabla1[SERVICIO],Tabla1[VALOR])*1),IF(X25&gt;=1,_xlfn.XLOOKUP($B25,Tabla1[SERVICIO],Tabla1[VALOR]*X25),0))</f>
        <v>0</v>
      </c>
      <c r="Z25" s="8"/>
      <c r="AA25" s="56" cm="1">
        <f t="array" ref="AA25">IF(Z25="X",(_xlfn.XLOOKUP($B25,Tabla1[SERVICIO],Tabla1[VALOR])*1),IF(Z25&gt;=1,_xlfn.XLOOKUP($B25,Tabla1[SERVICIO],Tabla1[VALOR]*Z25),0))</f>
        <v>0</v>
      </c>
      <c r="AB25" s="81">
        <f t="shared" si="0"/>
        <v>26897.079640267821</v>
      </c>
      <c r="AC25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5" s="122" t="s">
        <v>318</v>
      </c>
      <c r="AE25" s="127">
        <v>1</v>
      </c>
      <c r="AF25" s="121">
        <f>+Tabla46[[#This Row],[TOTAL RUTA]]*AE25</f>
        <v>26897.079640267821</v>
      </c>
      <c r="AG25" s="82" t="s">
        <v>350</v>
      </c>
      <c r="AH25" s="335">
        <v>12</v>
      </c>
    </row>
    <row r="26" spans="1:36" x14ac:dyDescent="0.25">
      <c r="A26" s="7" t="s">
        <v>53</v>
      </c>
      <c r="B26" s="8" t="s">
        <v>230</v>
      </c>
      <c r="C26" s="96" t="str">
        <f>_xlfn.XLOOKUP(Tabla46[[#This Row],[Servicios del Programa:]],Tabla151[CODIGO],Tabla151[VALOR])</f>
        <v>Consultas</v>
      </c>
      <c r="D26" s="14">
        <v>1</v>
      </c>
      <c r="E26" s="56" cm="1">
        <f t="array" ref="E26">IF(D26="X",(_xlfn.XLOOKUP($B26,Tabla1[SERVICIO],Tabla1[VALOR])*1),IF(D26&gt;=1,_xlfn.XLOOKUP($B26,Tabla1[SERVICIO],Tabla1[VALOR]*D26),0))</f>
        <v>26897.079640267817</v>
      </c>
      <c r="F26" s="14"/>
      <c r="G26" s="56" cm="1">
        <f t="array" ref="G26">IF(F26="X",(_xlfn.XLOOKUP($B26,Tabla1[SERVICIO],Tabla1[VALOR])*1),IF(F26&gt;=1,_xlfn.XLOOKUP($B26,Tabla1[SERVICIO],Tabla1[VALOR]*F26),0))</f>
        <v>0</v>
      </c>
      <c r="H26" s="14"/>
      <c r="I26" s="56" cm="1">
        <f t="array" ref="I26">IF(H26="X",(_xlfn.XLOOKUP($B26,Tabla1[SERVICIO],Tabla1[VALOR])*1),IF(H26&gt;=1,_xlfn.XLOOKUP($B26,Tabla1[SERVICIO],Tabla1[VALOR]*H26),0))</f>
        <v>0</v>
      </c>
      <c r="J26" s="14"/>
      <c r="K26" s="56" cm="1">
        <f t="array" ref="K26">IF(J26="X",(_xlfn.XLOOKUP($B26,Tabla1[SERVICIO],Tabla1[VALOR])*1),IF(J26&gt;=1,_xlfn.XLOOKUP($B26,Tabla1[SERVICIO],Tabla1[VALOR]*J26),0))</f>
        <v>0</v>
      </c>
      <c r="L26" s="14"/>
      <c r="M26" s="56" cm="1">
        <f t="array" ref="M26">IF(L26="X",(_xlfn.XLOOKUP($B26,Tabla1[SERVICIO],Tabla1[VALOR])*1),IF(L26&gt;=1,_xlfn.XLOOKUP($B26,Tabla1[SERVICIO],Tabla1[VALOR]*L26),0))</f>
        <v>0</v>
      </c>
      <c r="N26" s="14"/>
      <c r="O26" s="56" cm="1">
        <f t="array" ref="O26">IF(N26="X",(_xlfn.XLOOKUP($B26,Tabla1[SERVICIO],Tabla1[VALOR])*1),IF(N26&gt;=1,_xlfn.XLOOKUP($B26,Tabla1[SERVICIO],Tabla1[VALOR]*N26),0))</f>
        <v>0</v>
      </c>
      <c r="P26" s="14"/>
      <c r="Q26" s="56" cm="1">
        <f t="array" ref="Q26">IF(P26="X",(_xlfn.XLOOKUP($B26,Tabla1[SERVICIO],Tabla1[VALOR])*1),IF(P26&gt;=1,_xlfn.XLOOKUP($B26,Tabla1[SERVICIO],Tabla1[VALOR]*P26),0))</f>
        <v>0</v>
      </c>
      <c r="R26" s="14"/>
      <c r="S26" s="56" cm="1">
        <f t="array" ref="S26">IF(R26="X",(_xlfn.XLOOKUP($B26,Tabla1[SERVICIO],Tabla1[VALOR])*1),IF(R26&gt;=1,_xlfn.XLOOKUP($B26,Tabla1[SERVICIO],Tabla1[VALOR]*R26),0))</f>
        <v>0</v>
      </c>
      <c r="T26" s="14"/>
      <c r="U26" s="56" cm="1">
        <f t="array" ref="U26">IF(T26="X",(_xlfn.XLOOKUP($B26,Tabla1[SERVICIO],Tabla1[VALOR])*1),IF(T26&gt;=1,_xlfn.XLOOKUP($B26,Tabla1[SERVICIO],Tabla1[VALOR]*T26),0))</f>
        <v>0</v>
      </c>
      <c r="V26" s="14"/>
      <c r="W26" s="56" cm="1">
        <f t="array" ref="W26">IF(V26="X",(_xlfn.XLOOKUP($B26,Tabla1[SERVICIO],Tabla1[VALOR])*1),IF(V26&gt;=1,_xlfn.XLOOKUP($B26,Tabla1[SERVICIO],Tabla1[VALOR]*V26),0))</f>
        <v>0</v>
      </c>
      <c r="X26" s="14"/>
      <c r="Y26" s="56" cm="1">
        <f t="array" ref="Y26">IF(X26="X",(_xlfn.XLOOKUP($B26,Tabla1[SERVICIO],Tabla1[VALOR])*1),IF(X26&gt;=1,_xlfn.XLOOKUP($B26,Tabla1[SERVICIO],Tabla1[VALOR]*X26),0))</f>
        <v>0</v>
      </c>
      <c r="Z26" s="14"/>
      <c r="AA26" s="56" cm="1">
        <f t="array" ref="AA26">IF(Z26="X",(_xlfn.XLOOKUP($B26,Tabla1[SERVICIO],Tabla1[VALOR])*1),IF(Z26&gt;=1,_xlfn.XLOOKUP($B26,Tabla1[SERVICIO],Tabla1[VALOR]*Z26),0))</f>
        <v>0</v>
      </c>
      <c r="AB26" s="81">
        <f t="shared" si="0"/>
        <v>26897.079640267817</v>
      </c>
      <c r="AC26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6" s="122" t="s">
        <v>319</v>
      </c>
      <c r="AE26" s="127">
        <v>4.5662100456621002E-3</v>
      </c>
      <c r="AF26" s="121">
        <f>+Tabla46[[#This Row],[TOTAL RUTA]]*AE26</f>
        <v>122.81771525236445</v>
      </c>
      <c r="AG26" s="82" t="s">
        <v>350</v>
      </c>
      <c r="AH26" s="335">
        <v>12</v>
      </c>
    </row>
    <row r="27" spans="1:36" x14ac:dyDescent="0.25">
      <c r="A27" s="7" t="s">
        <v>98</v>
      </c>
      <c r="B27" s="96" t="s">
        <v>99</v>
      </c>
      <c r="C27" s="96" t="str">
        <f>_xlfn.XLOOKUP(Tabla46[[#This Row],[Servicios del Programa:]],Tabla151[CODIGO],Tabla151[VALOR])</f>
        <v>Consultas</v>
      </c>
      <c r="D27" s="14">
        <v>1</v>
      </c>
      <c r="E27" s="56" cm="1">
        <f t="array" ref="E27">IF(D27="X",(_xlfn.XLOOKUP($B27,Tabla1[SERVICIO],Tabla1[VALOR])*1),IF(D27&gt;=1,_xlfn.XLOOKUP($B27,Tabla1[SERVICIO],Tabla1[VALOR]*D27),0))</f>
        <v>17887.388810409495</v>
      </c>
      <c r="F27" s="8"/>
      <c r="G27" s="56" cm="1">
        <f t="array" ref="G27">IF(F27="X",(_xlfn.XLOOKUP($B27,Tabla1[SERVICIO],Tabla1[VALOR])*1),IF(F27&gt;=1,_xlfn.XLOOKUP($B27,Tabla1[SERVICIO],Tabla1[VALOR]*F27),0))</f>
        <v>0</v>
      </c>
      <c r="H27" s="8"/>
      <c r="I27" s="56" cm="1">
        <f t="array" ref="I27">IF(H27="X",(_xlfn.XLOOKUP($B27,Tabla1[SERVICIO],Tabla1[VALOR])*1),IF(H27&gt;=1,_xlfn.XLOOKUP($B27,Tabla1[SERVICIO],Tabla1[VALOR]*H27),0))</f>
        <v>0</v>
      </c>
      <c r="J27" s="8"/>
      <c r="K27" s="56" cm="1">
        <f t="array" ref="K27">IF(J27="X",(_xlfn.XLOOKUP($B27,Tabla1[SERVICIO],Tabla1[VALOR])*1),IF(J27&gt;=1,_xlfn.XLOOKUP($B27,Tabla1[SERVICIO],Tabla1[VALOR]*J27),0))</f>
        <v>0</v>
      </c>
      <c r="L27" s="8"/>
      <c r="M27" s="56" cm="1">
        <f t="array" ref="M27">IF(L27="X",(_xlfn.XLOOKUP($B27,Tabla1[SERVICIO],Tabla1[VALOR])*1),IF(L27&gt;=1,_xlfn.XLOOKUP($B27,Tabla1[SERVICIO],Tabla1[VALOR]*L27),0))</f>
        <v>0</v>
      </c>
      <c r="N27" s="8"/>
      <c r="O27" s="56" cm="1">
        <f t="array" ref="O27">IF(N27="X",(_xlfn.XLOOKUP($B27,Tabla1[SERVICIO],Tabla1[VALOR])*1),IF(N27&gt;=1,_xlfn.XLOOKUP($B27,Tabla1[SERVICIO],Tabla1[VALOR]*N27),0))</f>
        <v>0</v>
      </c>
      <c r="P27" s="8"/>
      <c r="Q27" s="56" cm="1">
        <f t="array" ref="Q27">IF(P27="X",(_xlfn.XLOOKUP($B27,Tabla1[SERVICIO],Tabla1[VALOR])*1),IF(P27&gt;=1,_xlfn.XLOOKUP($B27,Tabla1[SERVICIO],Tabla1[VALOR]*P27),0))</f>
        <v>0</v>
      </c>
      <c r="R27" s="8"/>
      <c r="S27" s="56" cm="1">
        <f t="array" ref="S27">IF(R27="X",(_xlfn.XLOOKUP($B27,Tabla1[SERVICIO],Tabla1[VALOR])*1),IF(R27&gt;=1,_xlfn.XLOOKUP($B27,Tabla1[SERVICIO],Tabla1[VALOR]*R27),0))</f>
        <v>0</v>
      </c>
      <c r="T27" s="8"/>
      <c r="U27" s="56" cm="1">
        <f t="array" ref="U27">IF(T27="X",(_xlfn.XLOOKUP($B27,Tabla1[SERVICIO],Tabla1[VALOR])*1),IF(T27&gt;=1,_xlfn.XLOOKUP($B27,Tabla1[SERVICIO],Tabla1[VALOR]*T27),0))</f>
        <v>0</v>
      </c>
      <c r="V27" s="8"/>
      <c r="W27" s="56" cm="1">
        <f t="array" ref="W27">IF(V27="X",(_xlfn.XLOOKUP($B27,Tabla1[SERVICIO],Tabla1[VALOR])*1),IF(V27&gt;=1,_xlfn.XLOOKUP($B27,Tabla1[SERVICIO],Tabla1[VALOR]*V27),0))</f>
        <v>0</v>
      </c>
      <c r="X27" s="8"/>
      <c r="Y27" s="56" cm="1">
        <f t="array" ref="Y27">IF(X27="X",(_xlfn.XLOOKUP($B27,Tabla1[SERVICIO],Tabla1[VALOR])*1),IF(X27&gt;=1,_xlfn.XLOOKUP($B27,Tabla1[SERVICIO],Tabla1[VALOR]*X27),0))</f>
        <v>0</v>
      </c>
      <c r="Z27" s="8"/>
      <c r="AA27" s="56" cm="1">
        <f t="array" ref="AA27">IF(Z27="X",(_xlfn.XLOOKUP($B27,Tabla1[SERVICIO],Tabla1[VALOR])*1),IF(Z27&gt;=1,_xlfn.XLOOKUP($B27,Tabla1[SERVICIO],Tabla1[VALOR]*Z27),0))</f>
        <v>0</v>
      </c>
      <c r="AB27" s="81">
        <f>SUM(E27,G27,I27,K27+M27,O27,Q27,S27,U27,W27,Y27,AA27)</f>
        <v>17887.388810409495</v>
      </c>
      <c r="AC27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7" s="122" t="s">
        <v>318</v>
      </c>
      <c r="AE27" s="127">
        <v>1</v>
      </c>
      <c r="AF27" s="121">
        <f>+Tabla46[[#This Row],[TOTAL RUTA]]*AE27</f>
        <v>17887.388810409495</v>
      </c>
      <c r="AG27" s="82" t="s">
        <v>350</v>
      </c>
      <c r="AH27" s="335">
        <v>12</v>
      </c>
    </row>
    <row r="28" spans="1:36" x14ac:dyDescent="0.25">
      <c r="A28" s="7" t="s">
        <v>104</v>
      </c>
      <c r="B28" s="96" t="s">
        <v>105</v>
      </c>
      <c r="C28" s="96" t="str">
        <f>_xlfn.XLOOKUP(Tabla46[[#This Row],[Servicios del Programa:]],Tabla151[CODIGO],Tabla151[VALOR])</f>
        <v>Consultas</v>
      </c>
      <c r="D28" s="14"/>
      <c r="E28" s="56" cm="1">
        <f t="array" ref="E28">IF(D28="X",(_xlfn.XLOOKUP($B28,Tabla1[SERVICIO],Tabla1[VALOR])*1),IF(D28&gt;=1,_xlfn.XLOOKUP($B28,Tabla1[SERVICIO],Tabla1[VALOR]*D28),0))</f>
        <v>0</v>
      </c>
      <c r="F28" s="8"/>
      <c r="G28" s="56" cm="1">
        <f t="array" ref="G28">IF(F28="X",(_xlfn.XLOOKUP($B28,Tabla1[SERVICIO],Tabla1[VALOR])*1),IF(F28&gt;=1,_xlfn.XLOOKUP($B28,Tabla1[SERVICIO],Tabla1[VALOR]*F28),0))</f>
        <v>0</v>
      </c>
      <c r="H28" s="8"/>
      <c r="I28" s="56" cm="1">
        <f t="array" ref="I28">IF(H28="X",(_xlfn.XLOOKUP($B28,Tabla1[SERVICIO],Tabla1[VALOR])*1),IF(H28&gt;=1,_xlfn.XLOOKUP($B28,Tabla1[SERVICIO],Tabla1[VALOR]*H28),0))</f>
        <v>0</v>
      </c>
      <c r="J28" s="8"/>
      <c r="K28" s="56" cm="1">
        <f t="array" ref="K28">IF(J28="X",(_xlfn.XLOOKUP($B28,Tabla1[SERVICIO],Tabla1[VALOR])*1),IF(J28&gt;=1,_xlfn.XLOOKUP($B28,Tabla1[SERVICIO],Tabla1[VALOR]*J28),0))</f>
        <v>0</v>
      </c>
      <c r="L28" s="8"/>
      <c r="M28" s="56" cm="1">
        <f t="array" ref="M28">IF(L28="X",(_xlfn.XLOOKUP($B28,Tabla1[SERVICIO],Tabla1[VALOR])*1),IF(L28&gt;=1,_xlfn.XLOOKUP($B28,Tabla1[SERVICIO],Tabla1[VALOR]*L28),0))</f>
        <v>0</v>
      </c>
      <c r="N28" s="8"/>
      <c r="O28" s="56" cm="1">
        <f t="array" ref="O28">IF(N28="X",(_xlfn.XLOOKUP($B28,Tabla1[SERVICIO],Tabla1[VALOR])*1),IF(N28&gt;=1,_xlfn.XLOOKUP($B28,Tabla1[SERVICIO],Tabla1[VALOR]*N28),0))</f>
        <v>0</v>
      </c>
      <c r="P28" s="8"/>
      <c r="Q28" s="56" cm="1">
        <f t="array" ref="Q28">IF(P28="X",(_xlfn.XLOOKUP($B28,Tabla1[SERVICIO],Tabla1[VALOR])*1),IF(P28&gt;=1,_xlfn.XLOOKUP($B28,Tabla1[SERVICIO],Tabla1[VALOR]*P28),0))</f>
        <v>0</v>
      </c>
      <c r="R28" s="8"/>
      <c r="S28" s="56" cm="1">
        <f t="array" ref="S28">IF(R28="X",(_xlfn.XLOOKUP($B28,Tabla1[SERVICIO],Tabla1[VALOR])*1),IF(R28&gt;=1,_xlfn.XLOOKUP($B28,Tabla1[SERVICIO],Tabla1[VALOR]*R28),0))</f>
        <v>0</v>
      </c>
      <c r="T28" s="8"/>
      <c r="U28" s="56" cm="1">
        <f t="array" ref="U28">IF(T28="X",(_xlfn.XLOOKUP($B28,Tabla1[SERVICIO],Tabla1[VALOR])*1),IF(T28&gt;=1,_xlfn.XLOOKUP($B28,Tabla1[SERVICIO],Tabla1[VALOR]*T28),0))</f>
        <v>0</v>
      </c>
      <c r="V28" s="8"/>
      <c r="W28" s="56" cm="1">
        <f t="array" ref="W28">IF(V28="X",(_xlfn.XLOOKUP($B28,Tabla1[SERVICIO],Tabla1[VALOR])*1),IF(V28&gt;=1,_xlfn.XLOOKUP($B28,Tabla1[SERVICIO],Tabla1[VALOR]*V28),0))</f>
        <v>0</v>
      </c>
      <c r="X28" s="8"/>
      <c r="Y28" s="56" cm="1">
        <f t="array" ref="Y28">IF(X28="X",(_xlfn.XLOOKUP($B28,Tabla1[SERVICIO],Tabla1[VALOR])*1),IF(X28&gt;=1,_xlfn.XLOOKUP($B28,Tabla1[SERVICIO],Tabla1[VALOR]*X28),0))</f>
        <v>0</v>
      </c>
      <c r="Z28" s="15">
        <v>1</v>
      </c>
      <c r="AA28" s="56" cm="1">
        <f t="array" ref="AA28">IF(Z28="X",(_xlfn.XLOOKUP($B28,Tabla1[SERVICIO],Tabla1[VALOR])*1),IF(Z28&gt;=1,_xlfn.XLOOKUP($B28,Tabla1[SERVICIO],Tabla1[VALOR]*Z28),0))</f>
        <v>17887.388810409495</v>
      </c>
      <c r="AB28" s="81">
        <f t="shared" si="0"/>
        <v>17887.388810409495</v>
      </c>
      <c r="AC28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8" s="122" t="s">
        <v>319</v>
      </c>
      <c r="AE28" s="127">
        <v>4.1095890410958902E-2</v>
      </c>
      <c r="AF28" s="121">
        <f>+Tabla46[[#This Row],[TOTAL RUTA]]*AE28</f>
        <v>735.09817029080114</v>
      </c>
      <c r="AG28" s="82" t="s">
        <v>350</v>
      </c>
      <c r="AH28" s="335">
        <v>12</v>
      </c>
    </row>
    <row r="29" spans="1:36" x14ac:dyDescent="0.25">
      <c r="A29" s="7" t="s">
        <v>50</v>
      </c>
      <c r="B29" s="8" t="s">
        <v>101</v>
      </c>
      <c r="C29" s="96" t="str">
        <f>_xlfn.XLOOKUP(Tabla46[[#This Row],[Servicios del Programa:]],Tabla151[CODIGO],Tabla151[VALOR])</f>
        <v>Diagnosticos</v>
      </c>
      <c r="D29" s="14">
        <v>1</v>
      </c>
      <c r="E29" s="56" cm="1">
        <f t="array" ref="E29">IF(D29="X",(_xlfn.XLOOKUP($B29,Tabla1[SERVICIO],Tabla1[VALOR])*1),IF(D29&gt;=1,_xlfn.XLOOKUP($B29,Tabla1[SERVICIO],Tabla1[VALOR]*D29),0))</f>
        <v>67391.281653480837</v>
      </c>
      <c r="F29" s="8"/>
      <c r="G29" s="56" cm="1">
        <f t="array" ref="G29">IF(F29="X",(_xlfn.XLOOKUP($B29,Tabla1[SERVICIO],Tabla1[VALOR])*1),IF(F29&gt;=1,_xlfn.XLOOKUP($B29,Tabla1[SERVICIO],Tabla1[VALOR]*F29),0))</f>
        <v>0</v>
      </c>
      <c r="H29" s="8"/>
      <c r="I29" s="56" cm="1">
        <f t="array" ref="I29">IF(H29="X",(_xlfn.XLOOKUP($B29,Tabla1[SERVICIO],Tabla1[VALOR])*1),IF(H29&gt;=1,_xlfn.XLOOKUP($B29,Tabla1[SERVICIO],Tabla1[VALOR]*H29),0))</f>
        <v>0</v>
      </c>
      <c r="J29" s="8"/>
      <c r="K29" s="56" cm="1">
        <f t="array" ref="K29">IF(J29="X",(_xlfn.XLOOKUP($B29,Tabla1[SERVICIO],Tabla1[VALOR])*1),IF(J29&gt;=1,_xlfn.XLOOKUP($B29,Tabla1[SERVICIO],Tabla1[VALOR]*J29),0))</f>
        <v>0</v>
      </c>
      <c r="L29" s="8"/>
      <c r="M29" s="56" cm="1">
        <f t="array" ref="M29">IF(L29="X",(_xlfn.XLOOKUP($B29,Tabla1[SERVICIO],Tabla1[VALOR])*1),IF(L29&gt;=1,_xlfn.XLOOKUP($B29,Tabla1[SERVICIO],Tabla1[VALOR]*L29),0))</f>
        <v>0</v>
      </c>
      <c r="N29" s="8"/>
      <c r="O29" s="56" cm="1">
        <f t="array" ref="O29">IF(N29="X",(_xlfn.XLOOKUP($B29,Tabla1[SERVICIO],Tabla1[VALOR])*1),IF(N29&gt;=1,_xlfn.XLOOKUP($B29,Tabla1[SERVICIO],Tabla1[VALOR]*N29),0))</f>
        <v>0</v>
      </c>
      <c r="P29" s="8"/>
      <c r="Q29" s="56" cm="1">
        <f t="array" ref="Q29">IF(P29="X",(_xlfn.XLOOKUP($B29,Tabla1[SERVICIO],Tabla1[VALOR])*1),IF(P29&gt;=1,_xlfn.XLOOKUP($B29,Tabla1[SERVICIO],Tabla1[VALOR]*P29),0))</f>
        <v>0</v>
      </c>
      <c r="R29" s="8"/>
      <c r="S29" s="56" cm="1">
        <f t="array" ref="S29">IF(R29="X",(_xlfn.XLOOKUP($B29,Tabla1[SERVICIO],Tabla1[VALOR])*1),IF(R29&gt;=1,_xlfn.XLOOKUP($B29,Tabla1[SERVICIO],Tabla1[VALOR]*R29),0))</f>
        <v>0</v>
      </c>
      <c r="T29" s="8"/>
      <c r="U29" s="56" cm="1">
        <f t="array" ref="U29">IF(T29="X",(_xlfn.XLOOKUP($B29,Tabla1[SERVICIO],Tabla1[VALOR])*1),IF(T29&gt;=1,_xlfn.XLOOKUP($B29,Tabla1[SERVICIO],Tabla1[VALOR]*T29),0))</f>
        <v>0</v>
      </c>
      <c r="V29" s="8"/>
      <c r="W29" s="56" cm="1">
        <f t="array" ref="W29">IF(V29="X",(_xlfn.XLOOKUP($B29,Tabla1[SERVICIO],Tabla1[VALOR])*1),IF(V29&gt;=1,_xlfn.XLOOKUP($B29,Tabla1[SERVICIO],Tabla1[VALOR]*V29),0))</f>
        <v>0</v>
      </c>
      <c r="X29" s="8"/>
      <c r="Y29" s="56" cm="1">
        <f t="array" ref="Y29">IF(X29="X",(_xlfn.XLOOKUP($B29,Tabla1[SERVICIO],Tabla1[VALOR])*1),IF(X29&gt;=1,_xlfn.XLOOKUP($B29,Tabla1[SERVICIO],Tabla1[VALOR]*X29),0))</f>
        <v>0</v>
      </c>
      <c r="Z29" s="14">
        <v>1</v>
      </c>
      <c r="AA29" s="56" cm="1">
        <f t="array" ref="AA29">IF(Z29="X",(_xlfn.XLOOKUP($B29,Tabla1[SERVICIO],Tabla1[VALOR])*1),IF(Z29&gt;=1,_xlfn.XLOOKUP($B29,Tabla1[SERVICIO],Tabla1[VALOR]*Z29),0))</f>
        <v>67391.281653480837</v>
      </c>
      <c r="AB29" s="81">
        <f t="shared" si="0"/>
        <v>134782.56330696167</v>
      </c>
      <c r="AC29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29" s="122" t="s">
        <v>319</v>
      </c>
      <c r="AE29" s="127">
        <v>4.5662100456621002E-3</v>
      </c>
      <c r="AF29" s="121">
        <f>+Tabla46[[#This Row],[TOTAL RUTA]]*AE29</f>
        <v>615.44549455233641</v>
      </c>
      <c r="AG29" s="82" t="s">
        <v>350</v>
      </c>
      <c r="AH29" s="335">
        <v>12</v>
      </c>
    </row>
    <row r="30" spans="1:36" ht="15.75" thickBot="1" x14ac:dyDescent="0.3">
      <c r="A30" s="9" t="s">
        <v>1</v>
      </c>
      <c r="B30" s="10" t="s">
        <v>2</v>
      </c>
      <c r="C30" s="96" t="str">
        <f>_xlfn.XLOOKUP(Tabla46[[#This Row],[Servicios del Programa:]],Tabla151[CODIGO],Tabla151[VALOR])</f>
        <v>Consultas</v>
      </c>
      <c r="D30" s="10"/>
      <c r="E30" s="56" cm="1">
        <f t="array" ref="E30">IF(D30="X",(_xlfn.XLOOKUP($B30,Tabla1[SERVICIO],Tabla1[VALOR])*1),IF(D30&gt;=1,_xlfn.XLOOKUP($B30,Tabla1[SERVICIO],Tabla1[VALOR]*D30),0))</f>
        <v>0</v>
      </c>
      <c r="F30" s="10"/>
      <c r="G30" s="56" cm="1">
        <f t="array" ref="G30">IF(F30="X",(_xlfn.XLOOKUP($B30,Tabla1[SERVICIO],Tabla1[VALOR])*1),IF(F30&gt;=1,_xlfn.XLOOKUP($B30,Tabla1[SERVICIO],Tabla1[VALOR]*F30),0))</f>
        <v>0</v>
      </c>
      <c r="H30" s="10"/>
      <c r="I30" s="56" cm="1">
        <f t="array" ref="I30">IF(H30="X",(_xlfn.XLOOKUP($B30,Tabla1[SERVICIO],Tabla1[VALOR])*1),IF(H30&gt;=1,_xlfn.XLOOKUP($B30,Tabla1[SERVICIO],Tabla1[VALOR]*H30),0))</f>
        <v>0</v>
      </c>
      <c r="J30" s="10"/>
      <c r="K30" s="56" cm="1">
        <f t="array" ref="K30">IF(J30="X",(_xlfn.XLOOKUP($B30,Tabla1[SERVICIO],Tabla1[VALOR])*1),IF(J30&gt;=1,_xlfn.XLOOKUP($B30,Tabla1[SERVICIO],Tabla1[VALOR]*J30),0))</f>
        <v>0</v>
      </c>
      <c r="L30" s="10"/>
      <c r="M30" s="56" cm="1">
        <f t="array" ref="M30">IF(L30="X",(_xlfn.XLOOKUP($B30,Tabla1[SERVICIO],Tabla1[VALOR])*1),IF(L30&gt;=1,_xlfn.XLOOKUP($B30,Tabla1[SERVICIO],Tabla1[VALOR]*L30),0))</f>
        <v>0</v>
      </c>
      <c r="N30" s="10"/>
      <c r="O30" s="56" cm="1">
        <f t="array" ref="O30">IF(N30="X",(_xlfn.XLOOKUP($B30,Tabla1[SERVICIO],Tabla1[VALOR])*1),IF(N30&gt;=1,_xlfn.XLOOKUP($B30,Tabla1[SERVICIO],Tabla1[VALOR]*N30),0))</f>
        <v>0</v>
      </c>
      <c r="P30" s="10"/>
      <c r="Q30" s="56" cm="1">
        <f t="array" ref="Q30">IF(P30="X",(_xlfn.XLOOKUP($B30,Tabla1[SERVICIO],Tabla1[VALOR])*1),IF(P30&gt;=1,_xlfn.XLOOKUP($B30,Tabla1[SERVICIO],Tabla1[VALOR]*P30),0))</f>
        <v>0</v>
      </c>
      <c r="R30" s="10"/>
      <c r="S30" s="56" cm="1">
        <f t="array" ref="S30">IF(R30="X",(_xlfn.XLOOKUP($B30,Tabla1[SERVICIO],Tabla1[VALOR])*1),IF(R30&gt;=1,_xlfn.XLOOKUP($B30,Tabla1[SERVICIO],Tabla1[VALOR]*R30),0))</f>
        <v>0</v>
      </c>
      <c r="T30" s="10"/>
      <c r="U30" s="56" cm="1">
        <f t="array" ref="U30">IF(T30="X",(_xlfn.XLOOKUP($B30,Tabla1[SERVICIO],Tabla1[VALOR])*1),IF(T30&gt;=1,_xlfn.XLOOKUP($B30,Tabla1[SERVICIO],Tabla1[VALOR]*T30),0))</f>
        <v>0</v>
      </c>
      <c r="V30" s="10"/>
      <c r="W30" s="56" cm="1">
        <f t="array" ref="W30">IF(V30="X",(_xlfn.XLOOKUP($B30,Tabla1[SERVICIO],Tabla1[VALOR])*1),IF(V30&gt;=1,_xlfn.XLOOKUP($B30,Tabla1[SERVICIO],Tabla1[VALOR]*V30),0))</f>
        <v>0</v>
      </c>
      <c r="X30" s="10"/>
      <c r="Y30" s="56" cm="1">
        <f t="array" ref="Y30">IF(X30="X",(_xlfn.XLOOKUP($B30,Tabla1[SERVICIO],Tabla1[VALOR])*1),IF(X30&gt;=1,_xlfn.XLOOKUP($B30,Tabla1[SERVICIO],Tabla1[VALOR]*X30),0))</f>
        <v>0</v>
      </c>
      <c r="Z30" s="16">
        <v>1</v>
      </c>
      <c r="AA30" s="56" cm="1">
        <f t="array" ref="AA30">IF(Z30="X",(_xlfn.XLOOKUP($B30,Tabla1[SERVICIO],Tabla1[VALOR])*1),IF(Z30&gt;=1,_xlfn.XLOOKUP($B30,Tabla1[SERVICIO],Tabla1[VALOR]*Z30),0))</f>
        <v>21014.39667403782</v>
      </c>
      <c r="AB30" s="81">
        <f t="shared" si="0"/>
        <v>21014.39667403782</v>
      </c>
      <c r="AC30" s="106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30" s="122" t="s">
        <v>318</v>
      </c>
      <c r="AE30" s="127">
        <v>1</v>
      </c>
      <c r="AF30" s="121">
        <f>+Tabla46[[#This Row],[TOTAL RUTA]]*AE30</f>
        <v>21014.39667403782</v>
      </c>
      <c r="AG30" s="82" t="s">
        <v>350</v>
      </c>
      <c r="AH30" s="335">
        <v>12</v>
      </c>
    </row>
    <row r="31" spans="1:36" ht="15.75" thickBot="1" x14ac:dyDescent="0.3">
      <c r="A31" s="67" t="s">
        <v>327</v>
      </c>
      <c r="B31" s="68"/>
      <c r="C31" s="68"/>
      <c r="D31" s="68">
        <f>SUBTOTAL(109,Tabla46[MES 1])</f>
        <v>19</v>
      </c>
      <c r="E31" s="68">
        <f>SUBTOTAL(109,Tabla46[COSTO])</f>
        <v>788224.0334748649</v>
      </c>
      <c r="F31" s="68">
        <f>SUBTOTAL(109,Tabla46[MES 2])</f>
        <v>2</v>
      </c>
      <c r="G31" s="68">
        <f>SUBTOTAL(109,Tabla46[COSTO2])</f>
        <v>28378.274667939098</v>
      </c>
      <c r="H31" s="68">
        <f>SUBTOTAL(109,Tabla46[MES 3])</f>
        <v>12</v>
      </c>
      <c r="I31" s="68">
        <f>SUBTOTAL(109,Tabla46[COSTO3])</f>
        <v>149893.31267053686</v>
      </c>
      <c r="J31" s="68">
        <f>SUBTOTAL(109,Tabla46[MES 4])</f>
        <v>10</v>
      </c>
      <c r="K31" s="68">
        <f>SUBTOTAL(109,Tabla46[COSTO4])</f>
        <v>98619.233601270695</v>
      </c>
      <c r="L31" s="68">
        <f>SUBTOTAL(109,Tabla46[MES 5])</f>
        <v>10</v>
      </c>
      <c r="M31" s="68">
        <f>SUBTOTAL(109,Tabla46[COSTO5])</f>
        <v>98619.233601270695</v>
      </c>
      <c r="N31" s="68">
        <f>SUBTOTAL(109,Tabla46[MES 6])</f>
        <v>13</v>
      </c>
      <c r="O31" s="68">
        <f>SUBTOTAL(109,Tabla46[COSTO6])</f>
        <v>286345.70263691409</v>
      </c>
      <c r="P31" s="68">
        <f>SUBTOTAL(109,Tabla46[MES 7])</f>
        <v>10</v>
      </c>
      <c r="Q31" s="68">
        <f>SUBTOTAL(109,Tabla46[COSTO7])</f>
        <v>98619.233601270695</v>
      </c>
      <c r="R31" s="68">
        <f>SUBTOTAL(109,Tabla46[MES 8])</f>
        <v>10</v>
      </c>
      <c r="S31" s="68">
        <f>SUBTOTAL(109,Tabla46[COSTO8])</f>
        <v>98619.233601270695</v>
      </c>
      <c r="T31" s="68">
        <f>SUBTOTAL(109,Tabla46[MES 9])</f>
        <v>10</v>
      </c>
      <c r="U31" s="68">
        <f>SUBTOTAL(109,Tabla46[COSTO9])</f>
        <v>98619.233601270695</v>
      </c>
      <c r="V31" s="68">
        <f>SUBTOTAL(109,Tabla46[MES 10])</f>
        <v>10</v>
      </c>
      <c r="W31" s="68">
        <f>SUBTOTAL(109,Tabla46[COSTO10])</f>
        <v>98619.233601270695</v>
      </c>
      <c r="X31" s="68">
        <f>SUBTOTAL(109,Tabla46[MES 11])</f>
        <v>10</v>
      </c>
      <c r="Y31" s="68">
        <f>SUBTOTAL(109,Tabla46[COSTO11])</f>
        <v>98619.233601270695</v>
      </c>
      <c r="Z31" s="68">
        <f>SUBTOTAL(109,Tabla46[MES 12])</f>
        <v>18</v>
      </c>
      <c r="AA31" s="68">
        <f>SUBTOTAL(109,Tabla46[COSTO12])</f>
        <v>342134.47335704946</v>
      </c>
      <c r="AB31" s="68">
        <f>SUBTOTAL(109,Tabla46[TOTAL RUTA])</f>
        <v>2285310.4320161999</v>
      </c>
      <c r="AC31" s="68">
        <f>SUBTOTAL(109,Tabla46[TOTAL SERVICIOS])</f>
        <v>134</v>
      </c>
      <c r="AD31" s="68">
        <f>SUBTOTAL(109,Tabla46[Modalidad])</f>
        <v>0</v>
      </c>
      <c r="AE31" s="68">
        <f>SUBTOTAL(109,Tabla46[% de las personas que lo usaron])</f>
        <v>21.744942432501439</v>
      </c>
      <c r="AF31" s="403">
        <f>SUBTOTAL(109,Tabla46[VALOR COSTO])</f>
        <v>1861462.3751646115</v>
      </c>
      <c r="AG31" s="68">
        <f>SUBTOTAL(109,Tabla46[RUTA])</f>
        <v>0</v>
      </c>
      <c r="AH31" s="336"/>
      <c r="AJ31" s="4" t="s">
        <v>326</v>
      </c>
    </row>
    <row r="33" spans="1:46" ht="32.25" customHeight="1" x14ac:dyDescent="0.25">
      <c r="A33" s="44" t="s">
        <v>270</v>
      </c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6"/>
    </row>
    <row r="34" spans="1:46" s="3" customFormat="1" ht="25.5" x14ac:dyDescent="0.2">
      <c r="A34" s="20" t="s">
        <v>0</v>
      </c>
      <c r="B34" s="17" t="s">
        <v>268</v>
      </c>
      <c r="C34" s="17" t="s">
        <v>347</v>
      </c>
      <c r="D34" s="18" t="s">
        <v>56</v>
      </c>
      <c r="E34" s="65" t="s">
        <v>235</v>
      </c>
      <c r="F34" s="18" t="s">
        <v>57</v>
      </c>
      <c r="G34" s="18" t="s">
        <v>236</v>
      </c>
      <c r="H34" s="18" t="s">
        <v>58</v>
      </c>
      <c r="I34" s="18" t="s">
        <v>237</v>
      </c>
      <c r="J34" s="18" t="s">
        <v>59</v>
      </c>
      <c r="K34" s="18" t="s">
        <v>238</v>
      </c>
      <c r="L34" s="18" t="s">
        <v>60</v>
      </c>
      <c r="M34" s="18" t="s">
        <v>239</v>
      </c>
      <c r="N34" s="18" t="s">
        <v>61</v>
      </c>
      <c r="O34" s="18" t="s">
        <v>240</v>
      </c>
      <c r="P34" s="18" t="s">
        <v>62</v>
      </c>
      <c r="Q34" s="18" t="s">
        <v>241</v>
      </c>
      <c r="R34" s="18" t="s">
        <v>63</v>
      </c>
      <c r="S34" s="18" t="s">
        <v>242</v>
      </c>
      <c r="T34" s="18" t="s">
        <v>64</v>
      </c>
      <c r="U34" s="18" t="s">
        <v>243</v>
      </c>
      <c r="V34" s="18" t="s">
        <v>65</v>
      </c>
      <c r="W34" s="18" t="s">
        <v>244</v>
      </c>
      <c r="X34" s="18" t="s">
        <v>66</v>
      </c>
      <c r="Y34" s="18" t="s">
        <v>245</v>
      </c>
      <c r="Z34" s="18" t="s">
        <v>67</v>
      </c>
      <c r="AA34" s="18" t="s">
        <v>246</v>
      </c>
      <c r="AB34" s="18" t="s">
        <v>68</v>
      </c>
      <c r="AC34" s="18" t="s">
        <v>271</v>
      </c>
      <c r="AD34" s="18" t="s">
        <v>69</v>
      </c>
      <c r="AE34" s="18" t="s">
        <v>272</v>
      </c>
      <c r="AF34" s="18" t="s">
        <v>70</v>
      </c>
      <c r="AG34" s="18" t="s">
        <v>273</v>
      </c>
      <c r="AH34" s="18" t="s">
        <v>71</v>
      </c>
      <c r="AI34" s="18" t="s">
        <v>274</v>
      </c>
      <c r="AJ34" s="18" t="s">
        <v>72</v>
      </c>
      <c r="AK34" s="18" t="s">
        <v>275</v>
      </c>
      <c r="AL34" s="19" t="s">
        <v>73</v>
      </c>
      <c r="AM34" s="18" t="s">
        <v>276</v>
      </c>
      <c r="AN34" s="66" t="s">
        <v>277</v>
      </c>
      <c r="AO34" s="66" t="s">
        <v>313</v>
      </c>
      <c r="AP34" s="66" t="s">
        <v>323</v>
      </c>
      <c r="AQ34" s="66" t="s">
        <v>316</v>
      </c>
      <c r="AR34" s="66" t="s">
        <v>317</v>
      </c>
      <c r="AS34" s="66" t="s">
        <v>348</v>
      </c>
      <c r="AT34" s="66" t="s">
        <v>406</v>
      </c>
    </row>
    <row r="35" spans="1:46" x14ac:dyDescent="0.25">
      <c r="A35" s="7" t="s">
        <v>13</v>
      </c>
      <c r="B35" s="8" t="s">
        <v>14</v>
      </c>
      <c r="C35" s="96" t="str">
        <f>_xlfn.XLOOKUP(Tabla4615[[#This Row],[Servicios del Programa:]],Tabla151[CODIGO],Tabla151[VALOR])</f>
        <v>Gestion y seguimiento</v>
      </c>
      <c r="D35" s="14">
        <v>1</v>
      </c>
      <c r="E35" s="56" cm="1">
        <f t="array" ref="E35">IF(D35="X",_xlfn.XLOOKUP(Tabla4615[[#This Row],[Programa Rehabilitacion Pulmonar / Hipertensiòn]],Tabla1[SERVICIO],Tabla1[VALOR]*1),IF(D35&gt;=1,_xlfn.XLOOKUP(Tabla4615[[#This Row],[Programa Rehabilitacion Pulmonar / Hipertensiòn]],Tabla1[SERVICIO],Tabla1[VALOR]*D35),""))</f>
        <v>20552.755657371155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8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>
        <v>0</v>
      </c>
      <c r="AB35" s="8"/>
      <c r="AC35" s="56">
        <v>0</v>
      </c>
      <c r="AD35" s="8"/>
      <c r="AE35" s="56">
        <v>0</v>
      </c>
      <c r="AF35" s="8"/>
      <c r="AG35" s="56">
        <v>0</v>
      </c>
      <c r="AH35" s="8"/>
      <c r="AI35" s="56">
        <v>0</v>
      </c>
      <c r="AJ35" s="8"/>
      <c r="AK35" s="56">
        <v>0</v>
      </c>
      <c r="AL35" s="8"/>
      <c r="AM35" s="56" cm="1">
        <f t="array" ref="AM35">IF(AL35="X",(_xlfn.XLOOKUP($B35,Tabla1[SERVICIO],Tabla1[VALOR])*1),IF(AL35&gt;=1,_xlfn.XLOOKUP($B35,Tabla1[SERVICIO],Tabla1[VALOR]*AL35),0))</f>
        <v>0</v>
      </c>
      <c r="AN35" s="81">
        <f>SUM(E35,G35,I35,K35,M35,O35,Q35,S35,U35,W35+Y35,AA35,AC35,AE35,AG35,AI35,AK35,AM35)</f>
        <v>20552.755657371155</v>
      </c>
      <c r="AO35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35" s="122" t="s">
        <v>318</v>
      </c>
      <c r="AQ35" s="127">
        <v>1</v>
      </c>
      <c r="AR35" s="121">
        <f>+Tabla4615[[#This Row],[% de las personas que lo usaron]]*Tabla4615[[#This Row],[COSTO19]]</f>
        <v>20552.755657371155</v>
      </c>
      <c r="AS35" s="82" t="s">
        <v>350</v>
      </c>
      <c r="AT35" s="335">
        <v>18</v>
      </c>
    </row>
    <row r="36" spans="1:46" x14ac:dyDescent="0.25">
      <c r="A36" s="7" t="s">
        <v>40</v>
      </c>
      <c r="B36" s="8" t="s">
        <v>41</v>
      </c>
      <c r="C36" s="96" t="str">
        <f>_xlfn.XLOOKUP(Tabla4615[[#This Row],[Servicios del Programa:]],Tabla151[CODIGO],Tabla151[VALOR])</f>
        <v>Gestion y seguimiento</v>
      </c>
      <c r="D36" s="14">
        <v>1</v>
      </c>
      <c r="E36" s="56" cm="1">
        <f t="array" ref="E36">IF(D36="X",_xlfn.XLOOKUP(Tabla4615[[#This Row],[Programa Rehabilitacion Pulmonar / Hipertensiòn]],Tabla1[SERVICIO],Tabla1[VALOR]*1),IF(D36&gt;=1,_xlfn.XLOOKUP(Tabla4615[[#This Row],[Programa Rehabilitacion Pulmonar / Hipertensiòn]],Tabla1[SERVICIO],Tabla1[VALOR]*D36),""))</f>
        <v>15634.853025719462</v>
      </c>
      <c r="F36" s="14">
        <v>1</v>
      </c>
      <c r="G36" s="56" cm="1">
        <f t="array" ref="G36">IF(F36="X",(_xlfn.XLOOKUP($B36,Tabla1[SERVICIO],Tabla1[VALOR])*1),IF(F36&gt;=1,_xlfn.XLOOKUP($B36,Tabla1[SERVICIO],Tabla1[VALOR]*F36),0))</f>
        <v>15634.853025719462</v>
      </c>
      <c r="H36" s="14">
        <v>1</v>
      </c>
      <c r="I36" s="56" cm="1">
        <f t="array" ref="I36">IF(H36="X",(_xlfn.XLOOKUP($B36,Tabla1[SERVICIO],Tabla1[VALOR])*1),IF(H36&gt;=1,_xlfn.XLOOKUP($B36,Tabla1[SERVICIO],Tabla1[VALOR]*H36),0))</f>
        <v>15634.853025719462</v>
      </c>
      <c r="J36" s="14">
        <v>1</v>
      </c>
      <c r="K36" s="56" cm="1">
        <f t="array" ref="K36">IF(J36="X",(_xlfn.XLOOKUP($B36,Tabla1[SERVICIO],Tabla1[VALOR])*1),IF(J36&gt;=1,_xlfn.XLOOKUP($B36,Tabla1[SERVICIO],Tabla1[VALOR]*J36),0))</f>
        <v>15634.853025719462</v>
      </c>
      <c r="L36" s="14">
        <v>1</v>
      </c>
      <c r="M36" s="56" cm="1">
        <f t="array" ref="M36">IF(L36="X",(_xlfn.XLOOKUP($B36,Tabla1[SERVICIO],Tabla1[VALOR])*1),IF(L36&gt;=1,_xlfn.XLOOKUP($B36,Tabla1[SERVICIO],Tabla1[VALOR]*L36),0))</f>
        <v>15634.853025719462</v>
      </c>
      <c r="N36" s="14">
        <v>1</v>
      </c>
      <c r="O36" s="56" cm="1">
        <f t="array" ref="O36">IF(N36="X",(_xlfn.XLOOKUP($B36,Tabla1[SERVICIO],Tabla1[VALOR])*1),IF(N36&gt;=1,_xlfn.XLOOKUP($B36,Tabla1[SERVICIO],Tabla1[VALOR]*N36),0))</f>
        <v>15634.853025719462</v>
      </c>
      <c r="P36" s="14">
        <v>1</v>
      </c>
      <c r="Q36" s="56" cm="1">
        <f t="array" ref="Q36">IF(P36="X",(_xlfn.XLOOKUP($B36,Tabla1[SERVICIO],Tabla1[VALOR])*1),IF(P36&gt;=1,_xlfn.XLOOKUP($B36,Tabla1[SERVICIO],Tabla1[VALOR]*P36),0))</f>
        <v>15634.853025719462</v>
      </c>
      <c r="R36" s="14">
        <v>1</v>
      </c>
      <c r="S36" s="56" cm="1">
        <f t="array" ref="S36">IF(R36="X",(_xlfn.XLOOKUP($B36,Tabla1[SERVICIO],Tabla1[VALOR])*1),IF(R36&gt;=1,_xlfn.XLOOKUP($B36,Tabla1[SERVICIO],Tabla1[VALOR]*R36),0))</f>
        <v>15634.853025719462</v>
      </c>
      <c r="T36" s="14">
        <v>1</v>
      </c>
      <c r="U36" s="56" cm="1">
        <f t="array" ref="U36">IF(T36="X",(_xlfn.XLOOKUP($B36,Tabla1[SERVICIO],Tabla1[VALOR])*1),IF(T36&gt;=1,_xlfn.XLOOKUP($B36,Tabla1[SERVICIO],Tabla1[VALOR]*T36),0))</f>
        <v>15634.853025719462</v>
      </c>
      <c r="V36" s="14">
        <v>1</v>
      </c>
      <c r="W36" s="56" cm="1">
        <f t="array" ref="W36">IF(V36="X",(_xlfn.XLOOKUP($B36,Tabla1[SERVICIO],Tabla1[VALOR])*1),IF(V36&gt;=1,_xlfn.XLOOKUP($B36,Tabla1[SERVICIO],Tabla1[VALOR]*V36),0))</f>
        <v>15634.853025719462</v>
      </c>
      <c r="X36" s="14">
        <v>1</v>
      </c>
      <c r="Y36" s="56" cm="1">
        <f t="array" ref="Y36">IF(X36="X",(_xlfn.XLOOKUP($B36,Tabla1[SERVICIO],Tabla1[VALOR])*1),IF(X36&gt;=1,_xlfn.XLOOKUP($B36,Tabla1[SERVICIO],Tabla1[VALOR]*X36),0))</f>
        <v>15634.853025719462</v>
      </c>
      <c r="Z36" s="14">
        <v>1</v>
      </c>
      <c r="AA36" s="56" cm="1">
        <f t="array" ref="AA36">IF(Z36="X",(_xlfn.XLOOKUP($B36,Tabla1[SERVICIO],Tabla1[VALOR])*1),IF(Z36&gt;=1,_xlfn.XLOOKUP($B36,Tabla1[SERVICIO],Tabla1[VALOR]*Z36),0))</f>
        <v>15634.853025719462</v>
      </c>
      <c r="AB36" s="14">
        <v>1</v>
      </c>
      <c r="AC36" s="56" cm="1">
        <f t="array" ref="AC36">IF(AB36="X",(_xlfn.XLOOKUP($B36,Tabla1[SERVICIO],Tabla1[VALOR])*1),IF(AB36&gt;=1,_xlfn.XLOOKUP($B36,Tabla1[SERVICIO],Tabla1[VALOR]*AB36),0))</f>
        <v>15634.853025719462</v>
      </c>
      <c r="AD36" s="14">
        <v>1</v>
      </c>
      <c r="AE36" s="56" cm="1">
        <f t="array" ref="AE36">IF(AD36="X",(_xlfn.XLOOKUP($B36,Tabla1[SERVICIO],Tabla1[VALOR])*1),IF(AD36&gt;=1,_xlfn.XLOOKUP($B36,Tabla1[SERVICIO],Tabla1[VALOR]*AD36),0))</f>
        <v>15634.853025719462</v>
      </c>
      <c r="AF36" s="14">
        <v>1</v>
      </c>
      <c r="AG36" s="56" cm="1">
        <f t="array" ref="AG36">IF(AF36="X",(_xlfn.XLOOKUP($B36,Tabla1[SERVICIO],Tabla1[VALOR])*1),IF(AF36&gt;=1,_xlfn.XLOOKUP($B36,Tabla1[SERVICIO],Tabla1[VALOR]*AF36),0))</f>
        <v>15634.853025719462</v>
      </c>
      <c r="AH36" s="14">
        <v>1</v>
      </c>
      <c r="AI36" s="56" cm="1">
        <f t="array" ref="AI36">IF(AH36="X",(_xlfn.XLOOKUP($B36,Tabla1[SERVICIO],Tabla1[VALOR])*1),IF(AH36&gt;=1,_xlfn.XLOOKUP($B36,Tabla1[SERVICIO],Tabla1[VALOR]*AH36),0))</f>
        <v>15634.853025719462</v>
      </c>
      <c r="AJ36" s="14">
        <v>1</v>
      </c>
      <c r="AK36" s="56" cm="1">
        <f t="array" ref="AK36">IF(AJ36="X",(_xlfn.XLOOKUP($B36,Tabla1[SERVICIO],Tabla1[VALOR])*1),IF(AJ36&gt;=1,_xlfn.XLOOKUP($B36,Tabla1[SERVICIO],Tabla1[VALOR]*AJ36),0))</f>
        <v>15634.853025719462</v>
      </c>
      <c r="AL36" s="14">
        <v>1</v>
      </c>
      <c r="AM36" s="56" cm="1">
        <f t="array" ref="AM36">IF(AL36="X",(_xlfn.XLOOKUP($B36,Tabla1[SERVICIO],Tabla1[VALOR])*1),IF(AL36&gt;=1,_xlfn.XLOOKUP($B36,Tabla1[SERVICIO],Tabla1[VALOR]*AL36),0))</f>
        <v>15634.853025719462</v>
      </c>
      <c r="AN36" s="81">
        <f>SUM(E36,G36,I36,K36,M36,O36,Q36,S36,U36,W36+Y36,AA36,AC36,AE36,AG36,AI36,AK36,AM36)</f>
        <v>281427.35446295032</v>
      </c>
      <c r="AO36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18</v>
      </c>
      <c r="AP36" s="122" t="s">
        <v>318</v>
      </c>
      <c r="AQ36" s="127">
        <v>1</v>
      </c>
      <c r="AR36" s="121">
        <f>+Tabla4615[[#This Row],[% de las personas que lo usaron]]*Tabla4615[[#This Row],[COSTO19]]</f>
        <v>281427.35446295032</v>
      </c>
      <c r="AS36" s="82" t="s">
        <v>350</v>
      </c>
      <c r="AT36" s="335">
        <v>18</v>
      </c>
    </row>
    <row r="37" spans="1:46" x14ac:dyDescent="0.25">
      <c r="A37" s="7" t="s">
        <v>36</v>
      </c>
      <c r="B37" s="8" t="s">
        <v>100</v>
      </c>
      <c r="C37" s="96" t="str">
        <f>_xlfn.XLOOKUP(Tabla4615[[#This Row],[Servicios del Programa:]],Tabla151[CODIGO],Tabla151[VALOR])</f>
        <v>Terapias</v>
      </c>
      <c r="D37" s="8"/>
      <c r="E37" s="56" t="str" cm="1">
        <f t="array" ref="E37">IF(D37="X",_xlfn.XLOOKUP(Tabla4615[[#This Row],[Programa Rehabilitacion Pulmonar / Hipertensiòn]],Tabla1[SERVICIO],Tabla1[VALOR]*1),IF(D37&gt;=1,_xlfn.XLOOKUP(Tabla4615[[#This Row],[Programa Rehabilitacion Pulmonar / Hipertensiòn]],Tabla1[SERVICIO],Tabla1[VALOR]*D37),""))</f>
        <v/>
      </c>
      <c r="F37" s="8"/>
      <c r="G37" s="56" cm="1">
        <f t="array" ref="G37">IF(F37="X",(_xlfn.XLOOKUP($B37,Tabla1[SERVICIO],Tabla1[VALOR])*1),IF(F37&gt;=1,_xlfn.XLOOKUP($B37,Tabla1[SERVICIO],Tabla1[VALOR]*F37),0))</f>
        <v>0</v>
      </c>
      <c r="H37" s="14">
        <v>8</v>
      </c>
      <c r="I37" s="56" cm="1">
        <f t="array" ref="I37">IF(H37="X",(_xlfn.XLOOKUP($B37,Tabla1[SERVICIO],Tabla1[VALOR])*1),IF(H37&gt;=1,_xlfn.XLOOKUP($B37,Tabla1[SERVICIO],Tabla1[VALOR]*H37),0))</f>
        <v>70240.958933331596</v>
      </c>
      <c r="J37" s="14">
        <v>8</v>
      </c>
      <c r="K37" s="56" cm="1">
        <f t="array" ref="K37">IF(J37="X",(_xlfn.XLOOKUP($B37,Tabla1[SERVICIO],Tabla1[VALOR])*1),IF(J37&gt;=1,_xlfn.XLOOKUP($B37,Tabla1[SERVICIO],Tabla1[VALOR]*J37),0))</f>
        <v>70240.958933331596</v>
      </c>
      <c r="L37" s="14">
        <v>8</v>
      </c>
      <c r="M37" s="56" cm="1">
        <f t="array" ref="M37">IF(L37="X",(_xlfn.XLOOKUP($B37,Tabla1[SERVICIO],Tabla1[VALOR])*1),IF(L37&gt;=1,_xlfn.XLOOKUP($B37,Tabla1[SERVICIO],Tabla1[VALOR]*L37),0))</f>
        <v>70240.958933331596</v>
      </c>
      <c r="N37" s="14">
        <v>8</v>
      </c>
      <c r="O37" s="56" cm="1">
        <f t="array" ref="O37">IF(N37="X",(_xlfn.XLOOKUP($B37,Tabla1[SERVICIO],Tabla1[VALOR])*1),IF(N37&gt;=1,_xlfn.XLOOKUP($B37,Tabla1[SERVICIO],Tabla1[VALOR]*N37),0))</f>
        <v>70240.958933331596</v>
      </c>
      <c r="P37" s="14">
        <v>8</v>
      </c>
      <c r="Q37" s="56" cm="1">
        <f t="array" ref="Q37">IF(P37="X",(_xlfn.XLOOKUP($B37,Tabla1[SERVICIO],Tabla1[VALOR])*1),IF(P37&gt;=1,_xlfn.XLOOKUP($B37,Tabla1[SERVICIO],Tabla1[VALOR]*P37),0))</f>
        <v>70240.958933331596</v>
      </c>
      <c r="R37" s="14">
        <v>8</v>
      </c>
      <c r="S37" s="56" cm="1">
        <f t="array" ref="S37">IF(R37="X",(_xlfn.XLOOKUP($B37,Tabla1[SERVICIO],Tabla1[VALOR])*1),IF(R37&gt;=1,_xlfn.XLOOKUP($B37,Tabla1[SERVICIO],Tabla1[VALOR]*R37),0))</f>
        <v>70240.958933331596</v>
      </c>
      <c r="T37" s="14">
        <v>8</v>
      </c>
      <c r="U37" s="56" cm="1">
        <f t="array" ref="U37">IF(T37="X",(_xlfn.XLOOKUP($B37,Tabla1[SERVICIO],Tabla1[VALOR])*1),IF(T37&gt;=1,_xlfn.XLOOKUP($B37,Tabla1[SERVICIO],Tabla1[VALOR]*T37),0))</f>
        <v>70240.958933331596</v>
      </c>
      <c r="V37" s="14">
        <v>8</v>
      </c>
      <c r="W37" s="56" cm="1">
        <f t="array" ref="W37">IF(V37="X",(_xlfn.XLOOKUP($B37,Tabla1[SERVICIO],Tabla1[VALOR])*1),IF(V37&gt;=1,_xlfn.XLOOKUP($B37,Tabla1[SERVICIO],Tabla1[VALOR]*V37),0))</f>
        <v>70240.958933331596</v>
      </c>
      <c r="X37" s="14">
        <v>8</v>
      </c>
      <c r="Y37" s="56" cm="1">
        <f t="array" ref="Y37">IF(X37="X",(_xlfn.XLOOKUP($B37,Tabla1[SERVICIO],Tabla1[VALOR])*1),IF(X37&gt;=1,_xlfn.XLOOKUP($B37,Tabla1[SERVICIO],Tabla1[VALOR]*X37),0))</f>
        <v>70240.958933331596</v>
      </c>
      <c r="Z37" s="14">
        <v>8</v>
      </c>
      <c r="AA37" s="56" cm="1">
        <f t="array" ref="AA37">IF(Z37="X",(_xlfn.XLOOKUP($B37,Tabla1[SERVICIO],Tabla1[VALOR])*1),IF(Z37&gt;=1,_xlfn.XLOOKUP($B37,Tabla1[SERVICIO],Tabla1[VALOR]*Z37),0))</f>
        <v>70240.958933331596</v>
      </c>
      <c r="AB37" s="14">
        <v>8</v>
      </c>
      <c r="AC37" s="56" cm="1">
        <f t="array" ref="AC37">IF(AB37="X",(_xlfn.XLOOKUP($B37,Tabla1[SERVICIO],Tabla1[VALOR])*1),IF(AB37&gt;=1,_xlfn.XLOOKUP($B37,Tabla1[SERVICIO],Tabla1[VALOR]*AB37),0))</f>
        <v>70240.958933331596</v>
      </c>
      <c r="AD37" s="14">
        <v>8</v>
      </c>
      <c r="AE37" s="56" cm="1">
        <f t="array" ref="AE37">IF(AD37="X",(_xlfn.XLOOKUP($B37,Tabla1[SERVICIO],Tabla1[VALOR])*1),IF(AD37&gt;=1,_xlfn.XLOOKUP($B37,Tabla1[SERVICIO],Tabla1[VALOR]*AD37),0))</f>
        <v>70240.958933331596</v>
      </c>
      <c r="AF37" s="14">
        <v>8</v>
      </c>
      <c r="AG37" s="56" cm="1">
        <f t="array" ref="AG37">IF(AF37="X",(_xlfn.XLOOKUP($B37,Tabla1[SERVICIO],Tabla1[VALOR])*1),IF(AF37&gt;=1,_xlfn.XLOOKUP($B37,Tabla1[SERVICIO],Tabla1[VALOR]*AF37),0))</f>
        <v>70240.958933331596</v>
      </c>
      <c r="AH37" s="14">
        <v>8</v>
      </c>
      <c r="AI37" s="56" cm="1">
        <f t="array" ref="AI37">IF(AH37="X",(_xlfn.XLOOKUP($B37,Tabla1[SERVICIO],Tabla1[VALOR])*1),IF(AH37&gt;=1,_xlfn.XLOOKUP($B37,Tabla1[SERVICIO],Tabla1[VALOR]*AH37),0))</f>
        <v>70240.958933331596</v>
      </c>
      <c r="AJ37" s="14">
        <v>8</v>
      </c>
      <c r="AK37" s="56" cm="1">
        <f t="array" ref="AK37">IF(AJ37="X",(_xlfn.XLOOKUP($B37,Tabla1[SERVICIO],Tabla1[VALOR])*1),IF(AJ37&gt;=1,_xlfn.XLOOKUP($B37,Tabla1[SERVICIO],Tabla1[VALOR]*AJ37),0))</f>
        <v>70240.958933331596</v>
      </c>
      <c r="AL37" s="14">
        <v>8</v>
      </c>
      <c r="AM37" s="56" cm="1">
        <f t="array" ref="AM37">IF(AL37="X",(_xlfn.XLOOKUP($B37,Tabla1[SERVICIO],Tabla1[VALOR])*1),IF(AL37&gt;=1,_xlfn.XLOOKUP($B37,Tabla1[SERVICIO],Tabla1[VALOR]*AL37),0))</f>
        <v>70240.958933331596</v>
      </c>
      <c r="AN37" s="81">
        <f t="shared" ref="AN37:AN62" si="1">SUM(E37,G37,I37,K37,M37,O37,Q37,S37,U37,W37+Y37,AA37,AC37,AE37,AG37,AI37,AK37,AM37)</f>
        <v>1123855.3429333051</v>
      </c>
      <c r="AO37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128</v>
      </c>
      <c r="AP37" s="122" t="s">
        <v>318</v>
      </c>
      <c r="AQ37" s="127">
        <v>1</v>
      </c>
      <c r="AR37" s="121">
        <f>+Tabla4615[[#This Row],[% de las personas que lo usaron]]*Tabla4615[[#This Row],[COSTO19]]</f>
        <v>1123855.3429333051</v>
      </c>
      <c r="AS37" s="82" t="s">
        <v>350</v>
      </c>
      <c r="AT37" s="335">
        <v>18</v>
      </c>
    </row>
    <row r="38" spans="1:46" x14ac:dyDescent="0.25">
      <c r="A38" s="7" t="s">
        <v>15</v>
      </c>
      <c r="B38" s="8" t="s">
        <v>16</v>
      </c>
      <c r="C38" s="96" t="str">
        <f>_xlfn.XLOOKUP(Tabla4615[[#This Row],[Servicios del Programa:]],Tabla151[CODIGO],Tabla151[VALOR])</f>
        <v>Consultas</v>
      </c>
      <c r="D38" s="8"/>
      <c r="E38" s="56" t="str" cm="1">
        <f t="array" ref="E38">IF(D38="X",_xlfn.XLOOKUP(Tabla4615[[#This Row],[Programa Rehabilitacion Pulmonar / Hipertensiòn]],Tabla1[SERVICIO],Tabla1[VALOR]*1),IF(D38&gt;=1,_xlfn.XLOOKUP(Tabla4615[[#This Row],[Programa Rehabilitacion Pulmonar / Hipertensiòn]],Tabla1[SERVICIO],Tabla1[VALOR]*D38),""))</f>
        <v/>
      </c>
      <c r="F38" s="8"/>
      <c r="G38" s="56" cm="1">
        <f t="array" ref="G38">IF(F38="X",(_xlfn.XLOOKUP($B38,Tabla1[SERVICIO],Tabla1[VALOR])*1),IF(F38&gt;=1,_xlfn.XLOOKUP($B38,Tabla1[SERVICIO],Tabla1[VALOR]*F38),0))</f>
        <v>0</v>
      </c>
      <c r="H38" s="8"/>
      <c r="I38" s="56" cm="1">
        <f t="array" ref="I38">IF(H38="X",(_xlfn.XLOOKUP($B38,Tabla1[SERVICIO],Tabla1[VALOR])*1),IF(H38&gt;=1,_xlfn.XLOOKUP($B38,Tabla1[SERVICIO],Tabla1[VALOR]*H38),0))</f>
        <v>0</v>
      </c>
      <c r="J38" s="8"/>
      <c r="K38" s="56" cm="1">
        <f t="array" ref="K38">IF(J38="X",(_xlfn.XLOOKUP($B38,Tabla1[SERVICIO],Tabla1[VALOR])*1),IF(J38&gt;=1,_xlfn.XLOOKUP($B38,Tabla1[SERVICIO],Tabla1[VALOR]*J38),0))</f>
        <v>0</v>
      </c>
      <c r="L38" s="8"/>
      <c r="M38" s="56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6" cm="1">
        <f t="array" ref="O38">IF(N38="X",(_xlfn.XLOOKUP($B38,Tabla1[SERVICIO],Tabla1[VALOR])*1),IF(N38&gt;=1,_xlfn.XLOOKUP($B38,Tabla1[SERVICIO],Tabla1[VALOR]*N38),0))</f>
        <v>22052.520800552971</v>
      </c>
      <c r="P38" s="8"/>
      <c r="Q38" s="56" cm="1">
        <f t="array" ref="Q38">IF(P38="X",(_xlfn.XLOOKUP($B38,Tabla1[SERVICIO],Tabla1[VALOR])*1),IF(P38&gt;=1,_xlfn.XLOOKUP($B38,Tabla1[SERVICIO],Tabla1[VALOR]*P38),0))</f>
        <v>0</v>
      </c>
      <c r="R38" s="8"/>
      <c r="S38" s="56" cm="1">
        <f t="array" ref="S38">IF(R38="X",(_xlfn.XLOOKUP($B38,Tabla1[SERVICIO],Tabla1[VALOR])*1),IF(R38&gt;=1,_xlfn.XLOOKUP($B38,Tabla1[SERVICIO],Tabla1[VALOR]*R38),0))</f>
        <v>0</v>
      </c>
      <c r="T38" s="8"/>
      <c r="U38" s="56" cm="1">
        <f t="array" ref="U38">IF(T38="X",(_xlfn.XLOOKUP($B38,Tabla1[SERVICIO],Tabla1[VALOR])*1),IF(T38&gt;=1,_xlfn.XLOOKUP($B38,Tabla1[SERVICIO],Tabla1[VALOR]*T38),0))</f>
        <v>0</v>
      </c>
      <c r="V38" s="8"/>
      <c r="W38" s="56" cm="1">
        <f t="array" ref="W38">IF(V38="X",(_xlfn.XLOOKUP($B38,Tabla1[SERVICIO],Tabla1[VALOR])*1),IF(V38&gt;=1,_xlfn.XLOOKUP($B38,Tabla1[SERVICIO],Tabla1[VALOR]*V38),0))</f>
        <v>0</v>
      </c>
      <c r="X38" s="8"/>
      <c r="Y38" s="56" cm="1">
        <f t="array" ref="Y38">IF(X38="X",(_xlfn.XLOOKUP($B38,Tabla1[SERVICIO],Tabla1[VALOR])*1),IF(X38&gt;=1,_xlfn.XLOOKUP($B38,Tabla1[SERVICIO],Tabla1[VALOR]*X38),0))</f>
        <v>0</v>
      </c>
      <c r="Z38" s="14"/>
      <c r="AA38" s="56">
        <v>0</v>
      </c>
      <c r="AB38" s="8"/>
      <c r="AC38" s="56">
        <v>0</v>
      </c>
      <c r="AD38" s="8"/>
      <c r="AE38" s="56">
        <v>0</v>
      </c>
      <c r="AF38" s="8"/>
      <c r="AG38" s="56">
        <v>0</v>
      </c>
      <c r="AH38" s="8"/>
      <c r="AI38" s="56">
        <v>0</v>
      </c>
      <c r="AJ38" s="8"/>
      <c r="AK38" s="56">
        <v>0</v>
      </c>
      <c r="AL38" s="14">
        <v>1</v>
      </c>
      <c r="AM38" s="56" cm="1">
        <f t="array" ref="AM38">IF(AL38="X",(_xlfn.XLOOKUP($B38,Tabla1[SERVICIO],Tabla1[VALOR])*1),IF(AL38&gt;=1,_xlfn.XLOOKUP($B38,Tabla1[SERVICIO],Tabla1[VALOR]*AL38),0))</f>
        <v>22052.520800552971</v>
      </c>
      <c r="AN38" s="81">
        <f t="shared" si="1"/>
        <v>44105.041601105942</v>
      </c>
      <c r="AO38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38" s="122" t="s">
        <v>318</v>
      </c>
      <c r="AQ38" s="127">
        <v>1</v>
      </c>
      <c r="AR38" s="121">
        <f>+Tabla4615[[#This Row],[% de las personas que lo usaron]]*Tabla4615[[#This Row],[COSTO19]]</f>
        <v>44105.041601105942</v>
      </c>
      <c r="AS38" s="82" t="s">
        <v>350</v>
      </c>
      <c r="AT38" s="335">
        <v>18</v>
      </c>
    </row>
    <row r="39" spans="1:46" x14ac:dyDescent="0.25">
      <c r="A39" s="7" t="s">
        <v>3</v>
      </c>
      <c r="B39" s="8" t="s">
        <v>4</v>
      </c>
      <c r="C39" s="96" t="str">
        <f>_xlfn.XLOOKUP(Tabla4615[[#This Row],[Servicios del Programa:]],Tabla151[CODIGO],Tabla151[VALOR])</f>
        <v>Consultas</v>
      </c>
      <c r="D39" s="14">
        <v>1</v>
      </c>
      <c r="E39" s="56" cm="1">
        <f t="array" ref="E39">IF(D39="X",_xlfn.XLOOKUP(Tabla4615[[#This Row],[Programa Rehabilitacion Pulmonar / Hipertensiòn]],Tabla1[SERVICIO],Tabla1[VALOR]*1),IF(D39&gt;=1,_xlfn.XLOOKUP(Tabla4615[[#This Row],[Programa Rehabilitacion Pulmonar / Hipertensiòn]],Tabla1[SERVICIO],Tabla1[VALOR]*D39),""))</f>
        <v>20406.13276336317</v>
      </c>
      <c r="F39" s="8"/>
      <c r="G39" s="56" cm="1">
        <f t="array" ref="G39">IF(F39="X",(_xlfn.XLOOKUP($B39,Tabla1[SERVICIO],Tabla1[VALOR])*1),IF(F39&gt;=1,_xlfn.XLOOKUP($B39,Tabla1[SERVICIO],Tabla1[VALOR]*F39),0))</f>
        <v>0</v>
      </c>
      <c r="H39" s="8"/>
      <c r="I39" s="56" cm="1">
        <f t="array" ref="I39">IF(H39="X",(_xlfn.XLOOKUP($B39,Tabla1[SERVICIO],Tabla1[VALOR])*1),IF(H39&gt;=1,_xlfn.XLOOKUP($B39,Tabla1[SERVICIO],Tabla1[VALOR]*H39),0))</f>
        <v>0</v>
      </c>
      <c r="J39" s="8"/>
      <c r="K39" s="56" cm="1">
        <f t="array" ref="K39">IF(J39="X",(_xlfn.XLOOKUP($B39,Tabla1[SERVICIO],Tabla1[VALOR])*1),IF(J39&gt;=1,_xlfn.XLOOKUP($B39,Tabla1[SERVICIO],Tabla1[VALOR]*J39),0))</f>
        <v>0</v>
      </c>
      <c r="L39" s="8"/>
      <c r="M39" s="56" cm="1">
        <f t="array" ref="M39">IF(L39="X",(_xlfn.XLOOKUP($B39,Tabla1[SERVICIO],Tabla1[VALOR])*1),IF(L39&gt;=1,_xlfn.XLOOKUP($B39,Tabla1[SERVICIO],Tabla1[VALOR]*L39),0))</f>
        <v>0</v>
      </c>
      <c r="N39" s="14"/>
      <c r="O39" s="56" cm="1">
        <f t="array" ref="O39">IF(N39="X",(_xlfn.XLOOKUP($B39,Tabla1[SERVICIO],Tabla1[VALOR])*1),IF(N39&gt;=1,_xlfn.XLOOKUP($B39,Tabla1[SERVICIO],Tabla1[VALOR]*N39),0))</f>
        <v>0</v>
      </c>
      <c r="P39" s="8"/>
      <c r="Q39" s="56" cm="1">
        <f t="array" ref="Q39">IF(P39="X",(_xlfn.XLOOKUP($B39,Tabla1[SERVICIO],Tabla1[VALOR])*1),IF(P39&gt;=1,_xlfn.XLOOKUP($B39,Tabla1[SERVICIO],Tabla1[VALOR]*P39),0))</f>
        <v>0</v>
      </c>
      <c r="R39" s="8"/>
      <c r="S39" s="56" cm="1">
        <f t="array" ref="S39">IF(R39="X",(_xlfn.XLOOKUP($B39,Tabla1[SERVICIO],Tabla1[VALOR])*1),IF(R39&gt;=1,_xlfn.XLOOKUP($B39,Tabla1[SERVICIO],Tabla1[VALOR]*R39),0))</f>
        <v>0</v>
      </c>
      <c r="T39" s="8"/>
      <c r="U39" s="56" cm="1">
        <f t="array" ref="U39">IF(T39="X",(_xlfn.XLOOKUP($B39,Tabla1[SERVICIO],Tabla1[VALOR])*1),IF(T39&gt;=1,_xlfn.XLOOKUP($B39,Tabla1[SERVICIO],Tabla1[VALOR]*T39),0))</f>
        <v>0</v>
      </c>
      <c r="V39" s="8"/>
      <c r="W39" s="56" cm="1">
        <f t="array" ref="W39">IF(V39="X",(_xlfn.XLOOKUP($B39,Tabla1[SERVICIO],Tabla1[VALOR])*1),IF(V39&gt;=1,_xlfn.XLOOKUP($B39,Tabla1[SERVICIO],Tabla1[VALOR]*V39),0))</f>
        <v>0</v>
      </c>
      <c r="X39" s="8"/>
      <c r="Y39" s="56" cm="1">
        <f t="array" ref="Y39">IF(X39="X",(_xlfn.XLOOKUP($B39,Tabla1[SERVICIO],Tabla1[VALOR])*1),IF(X39&gt;=1,_xlfn.XLOOKUP($B39,Tabla1[SERVICIO],Tabla1[VALOR]*X39),0))</f>
        <v>0</v>
      </c>
      <c r="Z39" s="14"/>
      <c r="AA39" s="56">
        <v>0</v>
      </c>
      <c r="AB39" s="8"/>
      <c r="AC39" s="56">
        <v>0</v>
      </c>
      <c r="AD39" s="8"/>
      <c r="AE39" s="56">
        <v>0</v>
      </c>
      <c r="AF39" s="8"/>
      <c r="AG39" s="56">
        <v>0</v>
      </c>
      <c r="AH39" s="8"/>
      <c r="AI39" s="56">
        <v>0</v>
      </c>
      <c r="AJ39" s="8"/>
      <c r="AK39" s="56">
        <v>0</v>
      </c>
      <c r="AL39" s="14"/>
      <c r="AM39" s="56" cm="1">
        <f t="array" ref="AM39">IF(AL39="X",(_xlfn.XLOOKUP($B39,Tabla1[SERVICIO],Tabla1[VALOR])*1),IF(AL39&gt;=1,_xlfn.XLOOKUP($B39,Tabla1[SERVICIO],Tabla1[VALOR]*AL39),0))</f>
        <v>0</v>
      </c>
      <c r="AN39" s="81">
        <f t="shared" si="1"/>
        <v>20406.13276336317</v>
      </c>
      <c r="AO39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39" s="122" t="s">
        <v>318</v>
      </c>
      <c r="AQ39" s="127">
        <v>1</v>
      </c>
      <c r="AR39" s="121">
        <f>+Tabla4615[[#This Row],[% de las personas que lo usaron]]*Tabla4615[[#This Row],[COSTO19]]</f>
        <v>20406.13276336317</v>
      </c>
      <c r="AS39" s="82" t="s">
        <v>350</v>
      </c>
      <c r="AT39" s="335">
        <v>18</v>
      </c>
    </row>
    <row r="40" spans="1:46" x14ac:dyDescent="0.25">
      <c r="A40" s="7" t="s">
        <v>5</v>
      </c>
      <c r="B40" s="8" t="s">
        <v>6</v>
      </c>
      <c r="C40" s="96" t="str">
        <f>_xlfn.XLOOKUP(Tabla4615[[#This Row],[Servicios del Programa:]],Tabla151[CODIGO],Tabla151[VALOR])</f>
        <v>Consultas</v>
      </c>
      <c r="D40" s="14">
        <v>1</v>
      </c>
      <c r="E40" s="56" cm="1">
        <f t="array" ref="E40">IF(D40="X",_xlfn.XLOOKUP(Tabla4615[[#This Row],[Programa Rehabilitacion Pulmonar / Hipertensiòn]],Tabla1[SERVICIO],Tabla1[VALOR]*1),IF(D40&gt;=1,_xlfn.XLOOKUP(Tabla4615[[#This Row],[Programa Rehabilitacion Pulmonar / Hipertensiòn]],Tabla1[SERVICIO],Tabla1[VALOR]*D40),""))</f>
        <v>18768.367820181349</v>
      </c>
      <c r="F40" s="8"/>
      <c r="G40" s="56" cm="1">
        <f t="array" ref="G40">IF(F40="X",(_xlfn.XLOOKUP($B40,Tabla1[SERVICIO],Tabla1[VALOR])*1),IF(F40&gt;=1,_xlfn.XLOOKUP($B40,Tabla1[SERVICIO],Tabla1[VALOR]*F40),0))</f>
        <v>0</v>
      </c>
      <c r="H40" s="8"/>
      <c r="I40" s="56" cm="1">
        <f t="array" ref="I40">IF(H40="X",(_xlfn.XLOOKUP($B40,Tabla1[SERVICIO],Tabla1[VALOR])*1),IF(H40&gt;=1,_xlfn.XLOOKUP($B40,Tabla1[SERVICIO],Tabla1[VALOR]*H40),0))</f>
        <v>0</v>
      </c>
      <c r="J40" s="8"/>
      <c r="K40" s="56" cm="1">
        <f t="array" ref="K40">IF(J40="X",(_xlfn.XLOOKUP($B40,Tabla1[SERVICIO],Tabla1[VALOR])*1),IF(J40&gt;=1,_xlfn.XLOOKUP($B40,Tabla1[SERVICIO],Tabla1[VALOR]*J40),0))</f>
        <v>0</v>
      </c>
      <c r="L40" s="8"/>
      <c r="M40" s="56" cm="1">
        <f t="array" ref="M40">IF(L40="X",(_xlfn.XLOOKUP($B40,Tabla1[SERVICIO],Tabla1[VALOR])*1),IF(L40&gt;=1,_xlfn.XLOOKUP($B40,Tabla1[SERVICIO],Tabla1[VALOR]*L40),0))</f>
        <v>0</v>
      </c>
      <c r="N40" s="8"/>
      <c r="O40" s="56" cm="1">
        <f t="array" ref="O40">IF(N40="X",(_xlfn.XLOOKUP($B40,Tabla1[SERVICIO],Tabla1[VALOR])*1),IF(N40&gt;=1,_xlfn.XLOOKUP($B40,Tabla1[SERVICIO],Tabla1[VALOR]*N40),0))</f>
        <v>0</v>
      </c>
      <c r="P40" s="8"/>
      <c r="Q40" s="56" cm="1">
        <f t="array" ref="Q40">IF(P40="X",(_xlfn.XLOOKUP($B40,Tabla1[SERVICIO],Tabla1[VALOR])*1),IF(P40&gt;=1,_xlfn.XLOOKUP($B40,Tabla1[SERVICIO],Tabla1[VALOR]*P40),0))</f>
        <v>0</v>
      </c>
      <c r="R40" s="8"/>
      <c r="S40" s="56" cm="1">
        <f t="array" ref="S40">IF(R40="X",(_xlfn.XLOOKUP($B40,Tabla1[SERVICIO],Tabla1[VALOR])*1),IF(R40&gt;=1,_xlfn.XLOOKUP($B40,Tabla1[SERVICIO],Tabla1[VALOR]*R40),0))</f>
        <v>0</v>
      </c>
      <c r="T40" s="8"/>
      <c r="U40" s="56" cm="1">
        <f t="array" ref="U40">IF(T40="X",(_xlfn.XLOOKUP($B40,Tabla1[SERVICIO],Tabla1[VALOR])*1),IF(T40&gt;=1,_xlfn.XLOOKUP($B40,Tabla1[SERVICIO],Tabla1[VALOR]*T40),0))</f>
        <v>0</v>
      </c>
      <c r="V40" s="8"/>
      <c r="W40" s="56" cm="1">
        <f t="array" ref="W40">IF(V40="X",(_xlfn.XLOOKUP($B40,Tabla1[SERVICIO],Tabla1[VALOR])*1),IF(V40&gt;=1,_xlfn.XLOOKUP($B40,Tabla1[SERVICIO],Tabla1[VALOR]*V40),0))</f>
        <v>0</v>
      </c>
      <c r="X40" s="8"/>
      <c r="Y40" s="56" cm="1">
        <f t="array" ref="Y40">IF(X40="X",(_xlfn.XLOOKUP($B40,Tabla1[SERVICIO],Tabla1[VALOR])*1),IF(X40&gt;=1,_xlfn.XLOOKUP($B40,Tabla1[SERVICIO],Tabla1[VALOR]*X40),0))</f>
        <v>0</v>
      </c>
      <c r="Z40" s="8"/>
      <c r="AA40" s="56">
        <v>0</v>
      </c>
      <c r="AB40" s="8"/>
      <c r="AC40" s="56">
        <v>0</v>
      </c>
      <c r="AD40" s="8"/>
      <c r="AE40" s="56">
        <v>0</v>
      </c>
      <c r="AF40" s="8"/>
      <c r="AG40" s="56">
        <v>0</v>
      </c>
      <c r="AH40" s="8"/>
      <c r="AI40" s="56">
        <v>0</v>
      </c>
      <c r="AJ40" s="8"/>
      <c r="AK40" s="56">
        <v>0</v>
      </c>
      <c r="AL40" s="8"/>
      <c r="AM40" s="56" cm="1">
        <f t="array" ref="AM40">IF(AL40="X",(_xlfn.XLOOKUP($B40,Tabla1[SERVICIO],Tabla1[VALOR])*1),IF(AL40&gt;=1,_xlfn.XLOOKUP($B40,Tabla1[SERVICIO],Tabla1[VALOR]*AL40),0))</f>
        <v>0</v>
      </c>
      <c r="AN40" s="81">
        <f t="shared" si="1"/>
        <v>18768.367820181349</v>
      </c>
      <c r="AO40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0" s="122" t="s">
        <v>318</v>
      </c>
      <c r="AQ40" s="127">
        <v>1</v>
      </c>
      <c r="AR40" s="121">
        <f>+Tabla4615[[#This Row],[% de las personas que lo usaron]]*Tabla4615[[#This Row],[COSTO19]]</f>
        <v>18768.367820181349</v>
      </c>
      <c r="AS40" s="82" t="s">
        <v>350</v>
      </c>
      <c r="AT40" s="335">
        <v>18</v>
      </c>
    </row>
    <row r="41" spans="1:46" x14ac:dyDescent="0.25">
      <c r="A41" s="7" t="s">
        <v>17</v>
      </c>
      <c r="B41" s="8" t="s">
        <v>18</v>
      </c>
      <c r="C41" s="96" t="str">
        <f>_xlfn.XLOOKUP(Tabla4615[[#This Row],[Servicios del Programa:]],Tabla151[CODIGO],Tabla151[VALOR])</f>
        <v>Consultas</v>
      </c>
      <c r="D41" s="8"/>
      <c r="E41" s="56" t="str" cm="1">
        <f t="array" ref="E41">IF(D41="X",_xlfn.XLOOKUP(Tabla4615[[#This Row],[Programa Rehabilitacion Pulmonar / Hipertensiòn]],Tabla1[SERVICIO],Tabla1[VALOR]*1),IF(D41&gt;=1,_xlfn.XLOOKUP(Tabla4615[[#This Row],[Programa Rehabilitacion Pulmonar / Hipertensiòn]],Tabla1[SERVICIO],Tabla1[VALOR]*D41),""))</f>
        <v/>
      </c>
      <c r="F41" s="8"/>
      <c r="G41" s="56" cm="1">
        <f t="array" ref="G41">IF(F41="X",(_xlfn.XLOOKUP($B41,Tabla1[SERVICIO],Tabla1[VALOR])*1),IF(F41&gt;=1,_xlfn.XLOOKUP($B41,Tabla1[SERVICIO],Tabla1[VALOR]*F41),0))</f>
        <v>0</v>
      </c>
      <c r="H41" s="8"/>
      <c r="I41" s="56" cm="1">
        <f t="array" ref="I41">IF(H41="X",(_xlfn.XLOOKUP($B41,Tabla1[SERVICIO],Tabla1[VALOR])*1),IF(H41&gt;=1,_xlfn.XLOOKUP($B41,Tabla1[SERVICIO],Tabla1[VALOR]*H41),0))</f>
        <v>0</v>
      </c>
      <c r="J41" s="8"/>
      <c r="K41" s="56" cm="1">
        <f t="array" ref="K41">IF(J41="X",(_xlfn.XLOOKUP($B41,Tabla1[SERVICIO],Tabla1[VALOR])*1),IF(J41&gt;=1,_xlfn.XLOOKUP($B41,Tabla1[SERVICIO],Tabla1[VALOR]*J41),0))</f>
        <v>0</v>
      </c>
      <c r="L41" s="8"/>
      <c r="M41" s="56" cm="1">
        <f t="array" ref="M41">IF(L41="X",(_xlfn.XLOOKUP($B41,Tabla1[SERVICIO],Tabla1[VALOR])*1),IF(L41&gt;=1,_xlfn.XLOOKUP($B41,Tabla1[SERVICIO],Tabla1[VALOR]*L41),0))</f>
        <v>0</v>
      </c>
      <c r="N41" s="14">
        <v>1</v>
      </c>
      <c r="O41" s="56" cm="1">
        <f t="array" ref="O41">IF(N41="X",(_xlfn.XLOOKUP($B41,Tabla1[SERVICIO],Tabla1[VALOR])*1),IF(N41&gt;=1,_xlfn.XLOOKUP($B41,Tabla1[SERVICIO],Tabla1[VALOR]*N41),0))</f>
        <v>20414.75585737115</v>
      </c>
      <c r="P41" s="8"/>
      <c r="Q41" s="56" cm="1">
        <f t="array" ref="Q41">IF(P41="X",(_xlfn.XLOOKUP($B41,Tabla1[SERVICIO],Tabla1[VALOR])*1),IF(P41&gt;=1,_xlfn.XLOOKUP($B41,Tabla1[SERVICIO],Tabla1[VALOR]*P41),0))</f>
        <v>0</v>
      </c>
      <c r="R41" s="8"/>
      <c r="S41" s="56" cm="1">
        <f t="array" ref="S41">IF(R41="X",(_xlfn.XLOOKUP($B41,Tabla1[SERVICIO],Tabla1[VALOR])*1),IF(R41&gt;=1,_xlfn.XLOOKUP($B41,Tabla1[SERVICIO],Tabla1[VALOR]*R41),0))</f>
        <v>0</v>
      </c>
      <c r="T41" s="8"/>
      <c r="U41" s="56" cm="1">
        <f t="array" ref="U41">IF(T41="X",(_xlfn.XLOOKUP($B41,Tabla1[SERVICIO],Tabla1[VALOR])*1),IF(T41&gt;=1,_xlfn.XLOOKUP($B41,Tabla1[SERVICIO],Tabla1[VALOR]*T41),0))</f>
        <v>0</v>
      </c>
      <c r="V41" s="8"/>
      <c r="W41" s="56" cm="1">
        <f t="array" ref="W41">IF(V41="X",(_xlfn.XLOOKUP($B41,Tabla1[SERVICIO],Tabla1[VALOR])*1),IF(V41&gt;=1,_xlfn.XLOOKUP($B41,Tabla1[SERVICIO],Tabla1[VALOR]*V41),0))</f>
        <v>0</v>
      </c>
      <c r="X41" s="8"/>
      <c r="Y41" s="56" cm="1">
        <f t="array" ref="Y41">IF(X41="X",(_xlfn.XLOOKUP($B41,Tabla1[SERVICIO],Tabla1[VALOR])*1),IF(X41&gt;=1,_xlfn.XLOOKUP($B41,Tabla1[SERVICIO],Tabla1[VALOR]*X41),0))</f>
        <v>0</v>
      </c>
      <c r="Z41" s="14"/>
      <c r="AA41" s="56">
        <v>0</v>
      </c>
      <c r="AB41" s="8"/>
      <c r="AC41" s="56">
        <v>0</v>
      </c>
      <c r="AD41" s="8"/>
      <c r="AE41" s="56">
        <v>0</v>
      </c>
      <c r="AF41" s="8"/>
      <c r="AG41" s="56">
        <v>0</v>
      </c>
      <c r="AH41" s="8"/>
      <c r="AI41" s="56">
        <v>0</v>
      </c>
      <c r="AJ41" s="8"/>
      <c r="AK41" s="56">
        <v>0</v>
      </c>
      <c r="AL41" s="14">
        <v>1</v>
      </c>
      <c r="AM41" s="56" cm="1">
        <f t="array" ref="AM41">IF(AL41="X",(_xlfn.XLOOKUP($B41,Tabla1[SERVICIO],Tabla1[VALOR])*1),IF(AL41&gt;=1,_xlfn.XLOOKUP($B41,Tabla1[SERVICIO],Tabla1[VALOR]*AL41),0))</f>
        <v>20414.75585737115</v>
      </c>
      <c r="AN41" s="81">
        <f t="shared" si="1"/>
        <v>40829.511714742301</v>
      </c>
      <c r="AO41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41" s="122" t="s">
        <v>318</v>
      </c>
      <c r="AQ41" s="127">
        <v>1</v>
      </c>
      <c r="AR41" s="121">
        <f>+Tabla4615[[#This Row],[% de las personas que lo usaron]]*Tabla4615[[#This Row],[COSTO19]]</f>
        <v>40829.511714742301</v>
      </c>
      <c r="AS41" s="82" t="s">
        <v>350</v>
      </c>
      <c r="AT41" s="335">
        <v>18</v>
      </c>
    </row>
    <row r="42" spans="1:46" x14ac:dyDescent="0.25">
      <c r="A42" s="7" t="s">
        <v>38</v>
      </c>
      <c r="B42" s="8" t="s">
        <v>102</v>
      </c>
      <c r="C42" s="96" t="str">
        <f>_xlfn.XLOOKUP(Tabla4615[[#This Row],[Servicios del Programa:]],Tabla151[CODIGO],Tabla151[VALOR])</f>
        <v>Consultas</v>
      </c>
      <c r="D42" s="14">
        <v>1</v>
      </c>
      <c r="E42" s="56" cm="1">
        <f t="array" ref="E42">IF(D42="X",_xlfn.XLOOKUP(Tabla4615[[#This Row],[Programa Rehabilitacion Pulmonar / Hipertensiòn]],Tabla1[SERVICIO],Tabla1[VALOR]*1),IF(D42&gt;=1,_xlfn.XLOOKUP(Tabla4615[[#This Row],[Programa Rehabilitacion Pulmonar / Hipertensiòn]],Tabla1[SERVICIO],Tabla1[VALOR]*D42),""))</f>
        <v>56420.692787682223</v>
      </c>
      <c r="F42" s="14"/>
      <c r="G42" s="56" cm="1">
        <f t="array" ref="G42">IF(F42="X",(_xlfn.XLOOKUP($B42,Tabla1[SERVICIO],Tabla1[VALOR])*1),IF(F42&gt;=1,_xlfn.XLOOKUP($B42,Tabla1[SERVICIO],Tabla1[VALOR]*F42),0))</f>
        <v>0</v>
      </c>
      <c r="H42" s="14"/>
      <c r="I42" s="56" cm="1">
        <f t="array" ref="I42">IF(H42="X",(_xlfn.XLOOKUP($B42,Tabla1[SERVICIO],Tabla1[VALOR])*1),IF(H42&gt;=1,_xlfn.XLOOKUP($B42,Tabla1[SERVICIO],Tabla1[VALOR]*H42),0))</f>
        <v>0</v>
      </c>
      <c r="J42" s="14"/>
      <c r="K42" s="56" cm="1">
        <f t="array" ref="K42">IF(J42="X",(_xlfn.XLOOKUP($B42,Tabla1[SERVICIO],Tabla1[VALOR])*1),IF(J42&gt;=1,_xlfn.XLOOKUP($B42,Tabla1[SERVICIO],Tabla1[VALOR]*J42),0))</f>
        <v>0</v>
      </c>
      <c r="L42" s="14"/>
      <c r="M42" s="56" cm="1">
        <f t="array" ref="M42">IF(L42="X",(_xlfn.XLOOKUP($B42,Tabla1[SERVICIO],Tabla1[VALOR])*1),IF(L42&gt;=1,_xlfn.XLOOKUP($B42,Tabla1[SERVICIO],Tabla1[VALOR]*L42),0))</f>
        <v>0</v>
      </c>
      <c r="N42" s="14"/>
      <c r="O42" s="56" cm="1">
        <f t="array" ref="O42">IF(N42="X",(_xlfn.XLOOKUP($B42,Tabla1[SERVICIO],Tabla1[VALOR])*1),IF(N42&gt;=1,_xlfn.XLOOKUP($B42,Tabla1[SERVICIO],Tabla1[VALOR]*N42),0))</f>
        <v>0</v>
      </c>
      <c r="P42" s="14"/>
      <c r="Q42" s="56" cm="1">
        <f t="array" ref="Q42">IF(P42="X",(_xlfn.XLOOKUP($B42,Tabla1[SERVICIO],Tabla1[VALOR])*1),IF(P42&gt;=1,_xlfn.XLOOKUP($B42,Tabla1[SERVICIO],Tabla1[VALOR]*P42),0))</f>
        <v>0</v>
      </c>
      <c r="R42" s="14"/>
      <c r="S42" s="56" cm="1">
        <f t="array" ref="S42">IF(R42="X",(_xlfn.XLOOKUP($B42,Tabla1[SERVICIO],Tabla1[VALOR])*1),IF(R42&gt;=1,_xlfn.XLOOKUP($B42,Tabla1[SERVICIO],Tabla1[VALOR]*R42),0))</f>
        <v>0</v>
      </c>
      <c r="T42" s="14"/>
      <c r="U42" s="56" cm="1">
        <f t="array" ref="U42">IF(T42="X",(_xlfn.XLOOKUP($B42,Tabla1[SERVICIO],Tabla1[VALOR])*1),IF(T42&gt;=1,_xlfn.XLOOKUP($B42,Tabla1[SERVICIO],Tabla1[VALOR]*T42),0))</f>
        <v>0</v>
      </c>
      <c r="V42" s="14"/>
      <c r="W42" s="56" cm="1">
        <f t="array" ref="W42">IF(V42="X",(_xlfn.XLOOKUP($B42,Tabla1[SERVICIO],Tabla1[VALOR])*1),IF(V42&gt;=1,_xlfn.XLOOKUP($B42,Tabla1[SERVICIO],Tabla1[VALOR]*V42),0))</f>
        <v>0</v>
      </c>
      <c r="X42" s="14"/>
      <c r="Y42" s="56" cm="1">
        <f t="array" ref="Y42">IF(X42="X",(_xlfn.XLOOKUP($B42,Tabla1[SERVICIO],Tabla1[VALOR])*1),IF(X42&gt;=1,_xlfn.XLOOKUP($B42,Tabla1[SERVICIO],Tabla1[VALOR]*X42),0))</f>
        <v>0</v>
      </c>
      <c r="Z42" s="14"/>
      <c r="AA42" s="56">
        <v>0</v>
      </c>
      <c r="AB42" s="14"/>
      <c r="AC42" s="56">
        <v>0</v>
      </c>
      <c r="AD42" s="14"/>
      <c r="AE42" s="56">
        <v>0</v>
      </c>
      <c r="AF42" s="14"/>
      <c r="AG42" s="56">
        <v>0</v>
      </c>
      <c r="AH42" s="14"/>
      <c r="AI42" s="56">
        <v>0</v>
      </c>
      <c r="AJ42" s="14"/>
      <c r="AK42" s="56">
        <v>0</v>
      </c>
      <c r="AL42" s="14"/>
      <c r="AM42" s="56" cm="1">
        <f t="array" ref="AM42">IF(AL42="X",(_xlfn.XLOOKUP($B42,Tabla1[SERVICIO],Tabla1[VALOR])*1),IF(AL42&gt;=1,_xlfn.XLOOKUP($B42,Tabla1[SERVICIO],Tabla1[VALOR]*AL42),0))</f>
        <v>0</v>
      </c>
      <c r="AN42" s="81">
        <f t="shared" si="1"/>
        <v>56420.692787682223</v>
      </c>
      <c r="AO42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2" s="122" t="s">
        <v>319</v>
      </c>
      <c r="AQ42" s="127">
        <v>0.30593607305936071</v>
      </c>
      <c r="AR42" s="121">
        <f>+Tabla4615[[#This Row],[% de las personas que lo usaron]]*Tabla4615[[#This Row],[COSTO19]]</f>
        <v>17261.125190752096</v>
      </c>
      <c r="AS42" s="82" t="s">
        <v>350</v>
      </c>
      <c r="AT42" s="335">
        <v>18</v>
      </c>
    </row>
    <row r="43" spans="1:46" x14ac:dyDescent="0.25">
      <c r="A43" s="7" t="s">
        <v>94</v>
      </c>
      <c r="B43" s="8" t="s">
        <v>95</v>
      </c>
      <c r="C43" s="96" t="str">
        <f>_xlfn.XLOOKUP(Tabla4615[[#This Row],[Servicios del Programa:]],Tabla151[CODIGO],Tabla151[VALOR])</f>
        <v>Consultas</v>
      </c>
      <c r="D43" s="14">
        <v>1</v>
      </c>
      <c r="E43" s="56" cm="1">
        <f t="array" ref="E43">IF(D43="X",_xlfn.XLOOKUP(Tabla4615[[#This Row],[Programa Rehabilitacion Pulmonar / Hipertensiòn]],Tabla1[SERVICIO],Tabla1[VALOR]*1),IF(D43&gt;=1,_xlfn.XLOOKUP(Tabla4615[[#This Row],[Programa Rehabilitacion Pulmonar / Hipertensiòn]],Tabla1[SERVICIO],Tabla1[VALOR]*D43),""))</f>
        <v>58766.154033233033</v>
      </c>
      <c r="F43" s="8"/>
      <c r="G43" s="56" cm="1">
        <f t="array" ref="G43">IF(F43="X",(_xlfn.XLOOKUP($B43,Tabla1[SERVICIO],Tabla1[VALOR])*1),IF(F43&gt;=1,_xlfn.XLOOKUP($B43,Tabla1[SERVICIO],Tabla1[VALOR]*F43),0))</f>
        <v>0</v>
      </c>
      <c r="H43" s="8"/>
      <c r="I43" s="56" cm="1">
        <f t="array" ref="I43">IF(H43="X",(_xlfn.XLOOKUP($B43,Tabla1[SERVICIO],Tabla1[VALOR])*1),IF(H43&gt;=1,_xlfn.XLOOKUP($B43,Tabla1[SERVICIO],Tabla1[VALOR]*H43),0))</f>
        <v>0</v>
      </c>
      <c r="J43" s="8"/>
      <c r="K43" s="56" cm="1">
        <f t="array" ref="K43">IF(J43="X",(_xlfn.XLOOKUP($B43,Tabla1[SERVICIO],Tabla1[VALOR])*1),IF(J43&gt;=1,_xlfn.XLOOKUP($B43,Tabla1[SERVICIO],Tabla1[VALOR]*J43),0))</f>
        <v>0</v>
      </c>
      <c r="L43" s="8"/>
      <c r="M43" s="56" cm="1">
        <f t="array" ref="M43">IF(L43="X",(_xlfn.XLOOKUP($B43,Tabla1[SERVICIO],Tabla1[VALOR])*1),IF(L43&gt;=1,_xlfn.XLOOKUP($B43,Tabla1[SERVICIO],Tabla1[VALOR]*L43),0))</f>
        <v>0</v>
      </c>
      <c r="N43" s="8"/>
      <c r="O43" s="56" cm="1">
        <f t="array" ref="O43">IF(N43="X",(_xlfn.XLOOKUP($B43,Tabla1[SERVICIO],Tabla1[VALOR])*1),IF(N43&gt;=1,_xlfn.XLOOKUP($B43,Tabla1[SERVICIO],Tabla1[VALOR]*N43),0))</f>
        <v>0</v>
      </c>
      <c r="P43" s="8"/>
      <c r="Q43" s="56" cm="1">
        <f t="array" ref="Q43">IF(P43="X",(_xlfn.XLOOKUP($B43,Tabla1[SERVICIO],Tabla1[VALOR])*1),IF(P43&gt;=1,_xlfn.XLOOKUP($B43,Tabla1[SERVICIO],Tabla1[VALOR]*P43),0))</f>
        <v>0</v>
      </c>
      <c r="R43" s="8"/>
      <c r="S43" s="56" cm="1">
        <f t="array" ref="S43">IF(R43="X",(_xlfn.XLOOKUP($B43,Tabla1[SERVICIO],Tabla1[VALOR])*1),IF(R43&gt;=1,_xlfn.XLOOKUP($B43,Tabla1[SERVICIO],Tabla1[VALOR]*R43),0))</f>
        <v>0</v>
      </c>
      <c r="T43" s="8"/>
      <c r="U43" s="56" cm="1">
        <f t="array" ref="U43">IF(T43="X",(_xlfn.XLOOKUP($B43,Tabla1[SERVICIO],Tabla1[VALOR])*1),IF(T43&gt;=1,_xlfn.XLOOKUP($B43,Tabla1[SERVICIO],Tabla1[VALOR]*T43),0))</f>
        <v>0</v>
      </c>
      <c r="V43" s="8"/>
      <c r="W43" s="56" cm="1">
        <f t="array" ref="W43">IF(V43="X",(_xlfn.XLOOKUP($B43,Tabla1[SERVICIO],Tabla1[VALOR])*1),IF(V43&gt;=1,_xlfn.XLOOKUP($B43,Tabla1[SERVICIO],Tabla1[VALOR]*V43),0))</f>
        <v>0</v>
      </c>
      <c r="X43" s="8"/>
      <c r="Y43" s="56" cm="1">
        <f t="array" ref="Y43">IF(X43="X",(_xlfn.XLOOKUP($B43,Tabla1[SERVICIO],Tabla1[VALOR])*1),IF(X43&gt;=1,_xlfn.XLOOKUP($B43,Tabla1[SERVICIO],Tabla1[VALOR]*X43),0))</f>
        <v>0</v>
      </c>
      <c r="Z43" s="8"/>
      <c r="AA43" s="56">
        <v>0</v>
      </c>
      <c r="AB43" s="8"/>
      <c r="AC43" s="56">
        <v>0</v>
      </c>
      <c r="AD43" s="8"/>
      <c r="AE43" s="56">
        <v>0</v>
      </c>
      <c r="AF43" s="8"/>
      <c r="AG43" s="56">
        <v>0</v>
      </c>
      <c r="AH43" s="8"/>
      <c r="AI43" s="56">
        <v>0</v>
      </c>
      <c r="AJ43" s="8"/>
      <c r="AK43" s="56">
        <v>0</v>
      </c>
      <c r="AL43" s="8"/>
      <c r="AM43" s="56" cm="1">
        <f t="array" ref="AM43">IF(AL43="X",(_xlfn.XLOOKUP($B43,Tabla1[SERVICIO],Tabla1[VALOR])*1),IF(AL43&gt;=1,_xlfn.XLOOKUP($B43,Tabla1[SERVICIO],Tabla1[VALOR]*AL43),0))</f>
        <v>0</v>
      </c>
      <c r="AN43" s="81">
        <f t="shared" si="1"/>
        <v>58766.154033233033</v>
      </c>
      <c r="AO43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3" s="122" t="s">
        <v>319</v>
      </c>
      <c r="AQ43" s="127">
        <v>0.15068493150684931</v>
      </c>
      <c r="AR43" s="121">
        <f>+Tabla4615[[#This Row],[% de las personas que lo usaron]]*Tabla4615[[#This Row],[COSTO19]]</f>
        <v>8855.1738954186749</v>
      </c>
      <c r="AS43" s="82" t="s">
        <v>350</v>
      </c>
      <c r="AT43" s="335">
        <v>18</v>
      </c>
    </row>
    <row r="44" spans="1:46" x14ac:dyDescent="0.25">
      <c r="A44" s="7" t="s">
        <v>96</v>
      </c>
      <c r="B44" s="8" t="s">
        <v>224</v>
      </c>
      <c r="C44" s="96" t="str">
        <f>_xlfn.XLOOKUP(Tabla4615[[#This Row],[Servicios del Programa:]],Tabla151[CODIGO],Tabla151[VALOR])</f>
        <v>Consultas</v>
      </c>
      <c r="D44" s="14">
        <v>1</v>
      </c>
      <c r="E44" s="56" cm="1">
        <f t="array" ref="E44">IF(D44="X",_xlfn.XLOOKUP(Tabla4615[[#This Row],[Programa Rehabilitacion Pulmonar / Hipertensiòn]],Tabla1[SERVICIO],Tabla1[VALOR]*1),IF(D44&gt;=1,_xlfn.XLOOKUP(Tabla4615[[#This Row],[Programa Rehabilitacion Pulmonar / Hipertensiòn]],Tabla1[SERVICIO],Tabla1[VALOR]*D44),""))</f>
        <v>58766.154033233033</v>
      </c>
      <c r="F44" s="14"/>
      <c r="G44" s="56" cm="1">
        <f t="array" ref="G44">IF(F44="X",(_xlfn.XLOOKUP($B44,Tabla1[SERVICIO],Tabla1[VALOR])*1),IF(F44&gt;=1,_xlfn.XLOOKUP($B44,Tabla1[SERVICIO],Tabla1[VALOR]*F44),0))</f>
        <v>0</v>
      </c>
      <c r="H44" s="14"/>
      <c r="I44" s="56" cm="1">
        <f t="array" ref="I44">IF(H44="X",(_xlfn.XLOOKUP($B44,Tabla1[SERVICIO],Tabla1[VALOR])*1),IF(H44&gt;=1,_xlfn.XLOOKUP($B44,Tabla1[SERVICIO],Tabla1[VALOR]*H44),0))</f>
        <v>0</v>
      </c>
      <c r="J44" s="14"/>
      <c r="K44" s="56" cm="1">
        <f t="array" ref="K44">IF(J44="X",(_xlfn.XLOOKUP($B44,Tabla1[SERVICIO],Tabla1[VALOR])*1),IF(J44&gt;=1,_xlfn.XLOOKUP($B44,Tabla1[SERVICIO],Tabla1[VALOR]*J44),0))</f>
        <v>0</v>
      </c>
      <c r="L44" s="14"/>
      <c r="M44" s="56" cm="1">
        <f t="array" ref="M44">IF(L44="X",(_xlfn.XLOOKUP($B44,Tabla1[SERVICIO],Tabla1[VALOR])*1),IF(L44&gt;=1,_xlfn.XLOOKUP($B44,Tabla1[SERVICIO],Tabla1[VALOR]*L44),0))</f>
        <v>0</v>
      </c>
      <c r="N44" s="14"/>
      <c r="O44" s="56" cm="1">
        <f t="array" ref="O44">IF(N44="X",(_xlfn.XLOOKUP($B44,Tabla1[SERVICIO],Tabla1[VALOR])*1),IF(N44&gt;=1,_xlfn.XLOOKUP($B44,Tabla1[SERVICIO],Tabla1[VALOR]*N44),0))</f>
        <v>0</v>
      </c>
      <c r="P44" s="14"/>
      <c r="Q44" s="56" cm="1">
        <f t="array" ref="Q44">IF(P44="X",(_xlfn.XLOOKUP($B44,Tabla1[SERVICIO],Tabla1[VALOR])*1),IF(P44&gt;=1,_xlfn.XLOOKUP($B44,Tabla1[SERVICIO],Tabla1[VALOR]*P44),0))</f>
        <v>0</v>
      </c>
      <c r="R44" s="14"/>
      <c r="S44" s="56" cm="1">
        <f t="array" ref="S44">IF(R44="X",(_xlfn.XLOOKUP($B44,Tabla1[SERVICIO],Tabla1[VALOR])*1),IF(R44&gt;=1,_xlfn.XLOOKUP($B44,Tabla1[SERVICIO],Tabla1[VALOR]*R44),0))</f>
        <v>0</v>
      </c>
      <c r="T44" s="14"/>
      <c r="U44" s="56" cm="1">
        <f t="array" ref="U44">IF(T44="X",(_xlfn.XLOOKUP($B44,Tabla1[SERVICIO],Tabla1[VALOR])*1),IF(T44&gt;=1,_xlfn.XLOOKUP($B44,Tabla1[SERVICIO],Tabla1[VALOR]*T44),0))</f>
        <v>0</v>
      </c>
      <c r="V44" s="14"/>
      <c r="W44" s="56" cm="1">
        <f t="array" ref="W44">IF(V44="X",(_xlfn.XLOOKUP($B44,Tabla1[SERVICIO],Tabla1[VALOR])*1),IF(V44&gt;=1,_xlfn.XLOOKUP($B44,Tabla1[SERVICIO],Tabla1[VALOR]*V44),0))</f>
        <v>0</v>
      </c>
      <c r="X44" s="14"/>
      <c r="Y44" s="56" cm="1">
        <f t="array" ref="Y44">IF(X44="X",(_xlfn.XLOOKUP($B44,Tabla1[SERVICIO],Tabla1[VALOR])*1),IF(X44&gt;=1,_xlfn.XLOOKUP($B44,Tabla1[SERVICIO],Tabla1[VALOR]*X44),0))</f>
        <v>0</v>
      </c>
      <c r="Z44" s="14"/>
      <c r="AA44" s="56">
        <v>0</v>
      </c>
      <c r="AB44" s="14"/>
      <c r="AC44" s="56">
        <v>0</v>
      </c>
      <c r="AD44" s="14"/>
      <c r="AE44" s="56">
        <v>0</v>
      </c>
      <c r="AF44" s="14"/>
      <c r="AG44" s="56">
        <v>0</v>
      </c>
      <c r="AH44" s="14"/>
      <c r="AI44" s="56">
        <v>0</v>
      </c>
      <c r="AJ44" s="14"/>
      <c r="AK44" s="56">
        <v>0</v>
      </c>
      <c r="AL44" s="14"/>
      <c r="AM44" s="56" cm="1">
        <f t="array" ref="AM44">IF(AL44="X",(_xlfn.XLOOKUP($B44,Tabla1[SERVICIO],Tabla1[VALOR])*1),IF(AL44&gt;=1,_xlfn.XLOOKUP($B44,Tabla1[SERVICIO],Tabla1[VALOR]*AL44),0))</f>
        <v>0</v>
      </c>
      <c r="AN44" s="81">
        <f t="shared" si="1"/>
        <v>58766.154033233033</v>
      </c>
      <c r="AO44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4" s="122" t="s">
        <v>319</v>
      </c>
      <c r="AQ44" s="127">
        <v>1.2648401826484019</v>
      </c>
      <c r="AR44" s="121">
        <f>+Tabla4615[[#This Row],[% de las personas que lo usaron]]*Tabla4615[[#This Row],[COSTO19]]</f>
        <v>74329.793000938589</v>
      </c>
      <c r="AS44" s="82" t="s">
        <v>350</v>
      </c>
      <c r="AT44" s="335">
        <v>18</v>
      </c>
    </row>
    <row r="45" spans="1:46" x14ac:dyDescent="0.25">
      <c r="A45" s="7" t="s">
        <v>32</v>
      </c>
      <c r="B45" s="8" t="s">
        <v>103</v>
      </c>
      <c r="C45" s="96" t="str">
        <f>_xlfn.XLOOKUP(Tabla4615[[#This Row],[Servicios del Programa:]],Tabla151[CODIGO],Tabla151[VALOR])</f>
        <v>Consultas</v>
      </c>
      <c r="D45" s="14">
        <v>1</v>
      </c>
      <c r="E45" s="56" cm="1">
        <f t="array" ref="E45">IF(D45="X",_xlfn.XLOOKUP(Tabla4615[[#This Row],[Programa Rehabilitacion Pulmonar / Hipertensiòn]],Tabla1[SERVICIO],Tabla1[VALOR]*1),IF(D45&gt;=1,_xlfn.XLOOKUP(Tabla4615[[#This Row],[Programa Rehabilitacion Pulmonar / Hipertensiòn]],Tabla1[SERVICIO],Tabla1[VALOR]*D45),""))</f>
        <v>24009.730401318589</v>
      </c>
      <c r="F45" s="14"/>
      <c r="G45" s="56" cm="1">
        <f t="array" ref="G45">IF(F45="X",(_xlfn.XLOOKUP($B45,Tabla1[SERVICIO],Tabla1[VALOR])*1),IF(F45&gt;=1,_xlfn.XLOOKUP($B45,Tabla1[SERVICIO],Tabla1[VALOR]*F45),0))</f>
        <v>0</v>
      </c>
      <c r="H45" s="14"/>
      <c r="I45" s="56" cm="1">
        <f t="array" ref="I45">IF(H45="X",(_xlfn.XLOOKUP($B45,Tabla1[SERVICIO],Tabla1[VALOR])*1),IF(H45&gt;=1,_xlfn.XLOOKUP($B45,Tabla1[SERVICIO],Tabla1[VALOR]*H45),0))</f>
        <v>0</v>
      </c>
      <c r="J45" s="14"/>
      <c r="K45" s="56" cm="1">
        <f t="array" ref="K45">IF(J45="X",(_xlfn.XLOOKUP($B45,Tabla1[SERVICIO],Tabla1[VALOR])*1),IF(J45&gt;=1,_xlfn.XLOOKUP($B45,Tabla1[SERVICIO],Tabla1[VALOR]*J45),0))</f>
        <v>0</v>
      </c>
      <c r="L45" s="14"/>
      <c r="M45" s="56" cm="1">
        <f t="array" ref="M45">IF(L45="X",(_xlfn.XLOOKUP($B45,Tabla1[SERVICIO],Tabla1[VALOR])*1),IF(L45&gt;=1,_xlfn.XLOOKUP($B45,Tabla1[SERVICIO],Tabla1[VALOR]*L45),0))</f>
        <v>0</v>
      </c>
      <c r="N45" s="14"/>
      <c r="O45" s="56" cm="1">
        <f t="array" ref="O45">IF(N45="X",(_xlfn.XLOOKUP($B45,Tabla1[SERVICIO],Tabla1[VALOR])*1),IF(N45&gt;=1,_xlfn.XLOOKUP($B45,Tabla1[SERVICIO],Tabla1[VALOR]*N45),0))</f>
        <v>0</v>
      </c>
      <c r="P45" s="14"/>
      <c r="Q45" s="56" cm="1">
        <f t="array" ref="Q45">IF(P45="X",(_xlfn.XLOOKUP($B45,Tabla1[SERVICIO],Tabla1[VALOR])*1),IF(P45&gt;=1,_xlfn.XLOOKUP($B45,Tabla1[SERVICIO],Tabla1[VALOR]*P45),0))</f>
        <v>0</v>
      </c>
      <c r="R45" s="14"/>
      <c r="S45" s="56" cm="1">
        <f t="array" ref="S45">IF(R45="X",(_xlfn.XLOOKUP($B45,Tabla1[SERVICIO],Tabla1[VALOR])*1),IF(R45&gt;=1,_xlfn.XLOOKUP($B45,Tabla1[SERVICIO],Tabla1[VALOR]*R45),0))</f>
        <v>0</v>
      </c>
      <c r="T45" s="14"/>
      <c r="U45" s="56" cm="1">
        <f t="array" ref="U45">IF(T45="X",(_xlfn.XLOOKUP($B45,Tabla1[SERVICIO],Tabla1[VALOR])*1),IF(T45&gt;=1,_xlfn.XLOOKUP($B45,Tabla1[SERVICIO],Tabla1[VALOR]*T45),0))</f>
        <v>0</v>
      </c>
      <c r="V45" s="14"/>
      <c r="W45" s="56" cm="1">
        <f t="array" ref="W45">IF(V45="X",(_xlfn.XLOOKUP($B45,Tabla1[SERVICIO],Tabla1[VALOR])*1),IF(V45&gt;=1,_xlfn.XLOOKUP($B45,Tabla1[SERVICIO],Tabla1[VALOR]*V45),0))</f>
        <v>0</v>
      </c>
      <c r="X45" s="14"/>
      <c r="Y45" s="56" cm="1">
        <f t="array" ref="Y45">IF(X45="X",(_xlfn.XLOOKUP($B45,Tabla1[SERVICIO],Tabla1[VALOR])*1),IF(X45&gt;=1,_xlfn.XLOOKUP($B45,Tabla1[SERVICIO],Tabla1[VALOR]*X45),0))</f>
        <v>0</v>
      </c>
      <c r="Z45" s="14"/>
      <c r="AA45" s="56">
        <v>0</v>
      </c>
      <c r="AB45" s="14"/>
      <c r="AC45" s="56">
        <v>0</v>
      </c>
      <c r="AD45" s="14"/>
      <c r="AE45" s="56">
        <v>0</v>
      </c>
      <c r="AF45" s="14"/>
      <c r="AG45" s="56">
        <v>0</v>
      </c>
      <c r="AH45" s="14"/>
      <c r="AI45" s="56">
        <v>0</v>
      </c>
      <c r="AJ45" s="14"/>
      <c r="AK45" s="56">
        <v>0</v>
      </c>
      <c r="AL45" s="14"/>
      <c r="AM45" s="56" cm="1">
        <f t="array" ref="AM45">IF(AL45="X",(_xlfn.XLOOKUP($B45,Tabla1[SERVICIO],Tabla1[VALOR])*1),IF(AL45&gt;=1,_xlfn.XLOOKUP($B45,Tabla1[SERVICIO],Tabla1[VALOR]*AL45),0))</f>
        <v>0</v>
      </c>
      <c r="AN45" s="81">
        <f t="shared" si="1"/>
        <v>24009.730401318589</v>
      </c>
      <c r="AO45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5" s="122" t="s">
        <v>319</v>
      </c>
      <c r="AQ45" s="127">
        <v>6.5019505851755528E-4</v>
      </c>
      <c r="AR45" s="121">
        <f>+Tabla4615[[#This Row],[% de las personas que lo usaron]]*Tabla4615[[#This Row],[COSTO19]]</f>
        <v>15.611008063276067</v>
      </c>
      <c r="AS45" s="82" t="s">
        <v>350</v>
      </c>
      <c r="AT45" s="335">
        <v>18</v>
      </c>
    </row>
    <row r="46" spans="1:46" x14ac:dyDescent="0.25">
      <c r="A46" s="7" t="s">
        <v>11</v>
      </c>
      <c r="B46" s="8" t="s">
        <v>12</v>
      </c>
      <c r="C46" s="96" t="str">
        <f>_xlfn.XLOOKUP(Tabla4615[[#This Row],[Servicios del Programa:]],Tabla151[CODIGO],Tabla151[VALOR])</f>
        <v>Educacion</v>
      </c>
      <c r="D46" s="14">
        <v>1</v>
      </c>
      <c r="E46" s="56" cm="1">
        <f t="array" ref="E46">IF(D46="X",_xlfn.XLOOKUP(Tabla4615[[#This Row],[Programa Rehabilitacion Pulmonar / Hipertensiòn]],Tabla1[SERVICIO],Tabla1[VALOR]*1),IF(D46&gt;=1,_xlfn.XLOOKUP(Tabla4615[[#This Row],[Programa Rehabilitacion Pulmonar / Hipertensiòn]],Tabla1[SERVICIO],Tabla1[VALOR]*D46),""))</f>
        <v>12743.421642219637</v>
      </c>
      <c r="F46" s="14">
        <v>1</v>
      </c>
      <c r="G46" s="56" cm="1">
        <f t="array" ref="G46">IF(F46="X",(_xlfn.XLOOKUP($B46,Tabla1[SERVICIO],Tabla1[VALOR])*1),IF(F46&gt;=1,_xlfn.XLOOKUP($B46,Tabla1[SERVICIO],Tabla1[VALOR]*F46),0))</f>
        <v>12743.421642219637</v>
      </c>
      <c r="H46" s="14">
        <v>1</v>
      </c>
      <c r="I46" s="56" cm="1">
        <f t="array" ref="I46">IF(H46="X",(_xlfn.XLOOKUP($B46,Tabla1[SERVICIO],Tabla1[VALOR])*1),IF(H46&gt;=1,_xlfn.XLOOKUP($B46,Tabla1[SERVICIO],Tabla1[VALOR]*H46),0))</f>
        <v>12743.421642219637</v>
      </c>
      <c r="J46" s="14">
        <v>1</v>
      </c>
      <c r="K46" s="56" cm="1">
        <f t="array" ref="K46">IF(J46="X",(_xlfn.XLOOKUP($B46,Tabla1[SERVICIO],Tabla1[VALOR])*1),IF(J46&gt;=1,_xlfn.XLOOKUP($B46,Tabla1[SERVICIO],Tabla1[VALOR]*J46),0))</f>
        <v>12743.421642219637</v>
      </c>
      <c r="L46" s="14">
        <v>1</v>
      </c>
      <c r="M46" s="56" cm="1">
        <f t="array" ref="M46">IF(L46="X",(_xlfn.XLOOKUP($B46,Tabla1[SERVICIO],Tabla1[VALOR])*1),IF(L46&gt;=1,_xlfn.XLOOKUP($B46,Tabla1[SERVICIO],Tabla1[VALOR]*L46),0))</f>
        <v>12743.421642219637</v>
      </c>
      <c r="N46" s="14">
        <v>1</v>
      </c>
      <c r="O46" s="56" cm="1">
        <f t="array" ref="O46">IF(N46="X",(_xlfn.XLOOKUP($B46,Tabla1[SERVICIO],Tabla1[VALOR])*1),IF(N46&gt;=1,_xlfn.XLOOKUP($B46,Tabla1[SERVICIO],Tabla1[VALOR]*N46),0))</f>
        <v>12743.421642219637</v>
      </c>
      <c r="P46" s="14">
        <v>1</v>
      </c>
      <c r="Q46" s="56" cm="1">
        <f t="array" ref="Q46">IF(P46="X",(_xlfn.XLOOKUP($B46,Tabla1[SERVICIO],Tabla1[VALOR])*1),IF(P46&gt;=1,_xlfn.XLOOKUP($B46,Tabla1[SERVICIO],Tabla1[VALOR]*P46),0))</f>
        <v>12743.421642219637</v>
      </c>
      <c r="R46" s="14">
        <v>1</v>
      </c>
      <c r="S46" s="56" cm="1">
        <f t="array" ref="S46">IF(R46="X",(_xlfn.XLOOKUP($B46,Tabla1[SERVICIO],Tabla1[VALOR])*1),IF(R46&gt;=1,_xlfn.XLOOKUP($B46,Tabla1[SERVICIO],Tabla1[VALOR]*R46),0))</f>
        <v>12743.421642219637</v>
      </c>
      <c r="T46" s="14">
        <v>1</v>
      </c>
      <c r="U46" s="56" cm="1">
        <f t="array" ref="U46">IF(T46="X",(_xlfn.XLOOKUP($B46,Tabla1[SERVICIO],Tabla1[VALOR])*1),IF(T46&gt;=1,_xlfn.XLOOKUP($B46,Tabla1[SERVICIO],Tabla1[VALOR]*T46),0))</f>
        <v>12743.421642219637</v>
      </c>
      <c r="V46" s="14">
        <v>1</v>
      </c>
      <c r="W46" s="56" cm="1">
        <f t="array" ref="W46">IF(V46="X",(_xlfn.XLOOKUP($B46,Tabla1[SERVICIO],Tabla1[VALOR])*1),IF(V46&gt;=1,_xlfn.XLOOKUP($B46,Tabla1[SERVICIO],Tabla1[VALOR]*V46),0))</f>
        <v>12743.421642219637</v>
      </c>
      <c r="X46" s="14">
        <v>1</v>
      </c>
      <c r="Y46" s="56" cm="1">
        <f t="array" ref="Y46">IF(X46="X",(_xlfn.XLOOKUP($B46,Tabla1[SERVICIO],Tabla1[VALOR])*1),IF(X46&gt;=1,_xlfn.XLOOKUP($B46,Tabla1[SERVICIO],Tabla1[VALOR]*X46),0))</f>
        <v>12743.421642219637</v>
      </c>
      <c r="Z46" s="14">
        <v>1</v>
      </c>
      <c r="AA46" s="56" cm="1">
        <f t="array" ref="AA46">IF(Z46="X",(_xlfn.XLOOKUP($B46,Tabla1[SERVICIO],Tabla1[VALOR])*1),IF(Z46&gt;=1,_xlfn.XLOOKUP($B46,Tabla1[SERVICIO],Tabla1[VALOR]*Z46),0))</f>
        <v>12743.421642219637</v>
      </c>
      <c r="AB46" s="14">
        <v>1</v>
      </c>
      <c r="AC46" s="56" cm="1">
        <f t="array" ref="AC46">IF(AB46="X",(_xlfn.XLOOKUP($B46,Tabla1[SERVICIO],Tabla1[VALOR])*1),IF(AB46&gt;=1,_xlfn.XLOOKUP($B46,Tabla1[SERVICIO],Tabla1[VALOR]*AB46),0))</f>
        <v>12743.421642219637</v>
      </c>
      <c r="AD46" s="14">
        <v>1</v>
      </c>
      <c r="AE46" s="56" cm="1">
        <f t="array" ref="AE46">IF(AD46="X",(_xlfn.XLOOKUP($B46,Tabla1[SERVICIO],Tabla1[VALOR])*1),IF(AD46&gt;=1,_xlfn.XLOOKUP($B46,Tabla1[SERVICIO],Tabla1[VALOR]*AD46),0))</f>
        <v>12743.421642219637</v>
      </c>
      <c r="AF46" s="14">
        <v>1</v>
      </c>
      <c r="AG46" s="56" cm="1">
        <f t="array" ref="AG46">IF(AF46="X",(_xlfn.XLOOKUP($B46,Tabla1[SERVICIO],Tabla1[VALOR])*1),IF(AF46&gt;=1,_xlfn.XLOOKUP($B46,Tabla1[SERVICIO],Tabla1[VALOR]*AF46),0))</f>
        <v>12743.421642219637</v>
      </c>
      <c r="AH46" s="14">
        <v>1</v>
      </c>
      <c r="AI46" s="56" cm="1">
        <f t="array" ref="AI46">IF(AH46="X",(_xlfn.XLOOKUP($B46,Tabla1[SERVICIO],Tabla1[VALOR])*1),IF(AH46&gt;=1,_xlfn.XLOOKUP($B46,Tabla1[SERVICIO],Tabla1[VALOR]*AH46),0))</f>
        <v>12743.421642219637</v>
      </c>
      <c r="AJ46" s="14">
        <v>1</v>
      </c>
      <c r="AK46" s="56" cm="1">
        <f t="array" ref="AK46">IF(AJ46="X",(_xlfn.XLOOKUP($B46,Tabla1[SERVICIO],Tabla1[VALOR])*1),IF(AJ46&gt;=1,_xlfn.XLOOKUP($B46,Tabla1[SERVICIO],Tabla1[VALOR]*AJ46),0))</f>
        <v>12743.421642219637</v>
      </c>
      <c r="AL46" s="14">
        <v>1</v>
      </c>
      <c r="AM46" s="56" cm="1">
        <f t="array" ref="AM46">IF(AL46="X",(_xlfn.XLOOKUP($B46,Tabla1[SERVICIO],Tabla1[VALOR])*1),IF(AL46&gt;=1,_xlfn.XLOOKUP($B46,Tabla1[SERVICIO],Tabla1[VALOR]*AL46),0))</f>
        <v>12743.421642219637</v>
      </c>
      <c r="AN46" s="81">
        <f t="shared" si="1"/>
        <v>229381.58955995351</v>
      </c>
      <c r="AO46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18</v>
      </c>
      <c r="AP46" s="122" t="s">
        <v>318</v>
      </c>
      <c r="AQ46" s="127">
        <v>1</v>
      </c>
      <c r="AR46" s="121">
        <f>+Tabla4615[[#This Row],[% de las personas que lo usaron]]*Tabla4615[[#This Row],[COSTO19]]</f>
        <v>229381.58955995351</v>
      </c>
      <c r="AS46" s="82" t="s">
        <v>350</v>
      </c>
      <c r="AT46" s="335">
        <v>18</v>
      </c>
    </row>
    <row r="47" spans="1:46" x14ac:dyDescent="0.25">
      <c r="A47" s="7" t="s">
        <v>27</v>
      </c>
      <c r="B47" s="8" t="s">
        <v>28</v>
      </c>
      <c r="C47" s="96" t="str">
        <f>_xlfn.XLOOKUP(Tabla4615[[#This Row],[Servicios del Programa:]],Tabla151[CODIGO],Tabla151[VALOR])</f>
        <v>Diagnosticos</v>
      </c>
      <c r="D47" s="14">
        <v>1</v>
      </c>
      <c r="E47" s="56" cm="1">
        <f t="array" ref="E47">IF(D47="X",_xlfn.XLOOKUP(Tabla4615[[#This Row],[Programa Rehabilitacion Pulmonar / Hipertensiòn]],Tabla1[SERVICIO],Tabla1[VALOR]*1),IF(D47&gt;=1,_xlfn.XLOOKUP(Tabla4615[[#This Row],[Programa Rehabilitacion Pulmonar / Hipertensiòn]],Tabla1[SERVICIO],Tabla1[VALOR]*D47),""))</f>
        <v>43480.816890660324</v>
      </c>
      <c r="F47" s="8"/>
      <c r="G47" s="56" cm="1">
        <f t="array" ref="G47">IF(F47="X",(_xlfn.XLOOKUP($B47,Tabla1[SERVICIO],Tabla1[VALOR])*1),IF(F47&gt;=1,_xlfn.XLOOKUP($B47,Tabla1[SERVICIO],Tabla1[VALOR]*F47),0))</f>
        <v>0</v>
      </c>
      <c r="H47" s="8"/>
      <c r="I47" s="56" cm="1">
        <f t="array" ref="I47">IF(H47="X",(_xlfn.XLOOKUP($B47,Tabla1[SERVICIO],Tabla1[VALOR])*1),IF(H47&gt;=1,_xlfn.XLOOKUP($B47,Tabla1[SERVICIO],Tabla1[VALOR]*H47),0))</f>
        <v>0</v>
      </c>
      <c r="J47" s="8"/>
      <c r="K47" s="56" cm="1">
        <f t="array" ref="K47">IF(J47="X",(_xlfn.XLOOKUP($B47,Tabla1[SERVICIO],Tabla1[VALOR])*1),IF(J47&gt;=1,_xlfn.XLOOKUP($B47,Tabla1[SERVICIO],Tabla1[VALOR]*J47),0))</f>
        <v>0</v>
      </c>
      <c r="L47" s="8"/>
      <c r="M47" s="56" cm="1">
        <f t="array" ref="M47">IF(L47="X",(_xlfn.XLOOKUP($B47,Tabla1[SERVICIO],Tabla1[VALOR])*1),IF(L47&gt;=1,_xlfn.XLOOKUP($B47,Tabla1[SERVICIO],Tabla1[VALOR]*L47),0))</f>
        <v>0</v>
      </c>
      <c r="N47" s="8"/>
      <c r="O47" s="56" cm="1">
        <f t="array" ref="O47">IF(N47="X",(_xlfn.XLOOKUP($B47,Tabla1[SERVICIO],Tabla1[VALOR])*1),IF(N47&gt;=1,_xlfn.XLOOKUP($B47,Tabla1[SERVICIO],Tabla1[VALOR]*N47),0))</f>
        <v>0</v>
      </c>
      <c r="P47" s="8"/>
      <c r="Q47" s="56" cm="1">
        <f t="array" ref="Q47">IF(P47="X",(_xlfn.XLOOKUP($B47,Tabla1[SERVICIO],Tabla1[VALOR])*1),IF(P47&gt;=1,_xlfn.XLOOKUP($B47,Tabla1[SERVICIO],Tabla1[VALOR]*P47),0))</f>
        <v>0</v>
      </c>
      <c r="R47" s="8"/>
      <c r="S47" s="56" cm="1">
        <f t="array" ref="S47">IF(R47="X",(_xlfn.XLOOKUP($B47,Tabla1[SERVICIO],Tabla1[VALOR])*1),IF(R47&gt;=1,_xlfn.XLOOKUP($B47,Tabla1[SERVICIO],Tabla1[VALOR]*R47),0))</f>
        <v>0</v>
      </c>
      <c r="T47" s="8"/>
      <c r="U47" s="56" cm="1">
        <f t="array" ref="U47">IF(T47="X",(_xlfn.XLOOKUP($B47,Tabla1[SERVICIO],Tabla1[VALOR])*1),IF(T47&gt;=1,_xlfn.XLOOKUP($B47,Tabla1[SERVICIO],Tabla1[VALOR]*T47),0))</f>
        <v>0</v>
      </c>
      <c r="V47" s="8"/>
      <c r="W47" s="56" cm="1">
        <f t="array" ref="W47">IF(V47="X",(_xlfn.XLOOKUP($B47,Tabla1[SERVICIO],Tabla1[VALOR])*1),IF(V47&gt;=1,_xlfn.XLOOKUP($B47,Tabla1[SERVICIO],Tabla1[VALOR]*V47),0))</f>
        <v>0</v>
      </c>
      <c r="X47" s="8"/>
      <c r="Y47" s="56" cm="1">
        <f t="array" ref="Y47">IF(X47="X",(_xlfn.XLOOKUP($B47,Tabla1[SERVICIO],Tabla1[VALOR])*1),IF(X47&gt;=1,_xlfn.XLOOKUP($B47,Tabla1[SERVICIO],Tabla1[VALOR]*X47),0))</f>
        <v>0</v>
      </c>
      <c r="Z47" s="14"/>
      <c r="AA47" s="56">
        <v>0</v>
      </c>
      <c r="AB47" s="8"/>
      <c r="AC47" s="56">
        <v>0</v>
      </c>
      <c r="AD47" s="8"/>
      <c r="AE47" s="56">
        <v>0</v>
      </c>
      <c r="AF47" s="8"/>
      <c r="AG47" s="56">
        <v>0</v>
      </c>
      <c r="AH47" s="8"/>
      <c r="AI47" s="56">
        <v>0</v>
      </c>
      <c r="AJ47" s="8"/>
      <c r="AK47" s="56">
        <v>0</v>
      </c>
      <c r="AL47" s="14">
        <v>1</v>
      </c>
      <c r="AM47" s="56" cm="1">
        <f t="array" ref="AM47">IF(AL47="X",(_xlfn.XLOOKUP($B47,Tabla1[SERVICIO],Tabla1[VALOR])*1),IF(AL47&gt;=1,_xlfn.XLOOKUP($B47,Tabla1[SERVICIO],Tabla1[VALOR]*AL47),0))</f>
        <v>43480.816890660324</v>
      </c>
      <c r="AN47" s="81">
        <f t="shared" si="1"/>
        <v>86961.633781320648</v>
      </c>
      <c r="AO47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47" s="122" t="s">
        <v>318</v>
      </c>
      <c r="AQ47" s="127">
        <v>1</v>
      </c>
      <c r="AR47" s="121">
        <f>+Tabla4615[[#This Row],[% de las personas que lo usaron]]*Tabla4615[[#This Row],[COSTO19]]</f>
        <v>86961.633781320648</v>
      </c>
      <c r="AS47" s="82" t="s">
        <v>350</v>
      </c>
      <c r="AT47" s="335">
        <v>18</v>
      </c>
    </row>
    <row r="48" spans="1:46" x14ac:dyDescent="0.25">
      <c r="A48" s="7" t="s">
        <v>21</v>
      </c>
      <c r="B48" s="8" t="s">
        <v>221</v>
      </c>
      <c r="C48" s="96" t="str">
        <f>_xlfn.XLOOKUP(Tabla4615[[#This Row],[Servicios del Programa:]],Tabla151[CODIGO],Tabla151[VALOR])</f>
        <v>Consultas</v>
      </c>
      <c r="D48" s="14">
        <v>1</v>
      </c>
      <c r="E48" s="56" cm="1">
        <f t="array" ref="E48">IF(D48="X",_xlfn.XLOOKUP(Tabla4615[[#This Row],[Programa Rehabilitacion Pulmonar / Hipertensiòn]],Tabla1[SERVICIO],Tabla1[VALOR]*1),IF(D48&gt;=1,_xlfn.XLOOKUP(Tabla4615[[#This Row],[Programa Rehabilitacion Pulmonar / Hipertensiòn]],Tabla1[SERVICIO],Tabla1[VALOR]*D48),""))</f>
        <v>67398.098568534639</v>
      </c>
      <c r="F48" s="14"/>
      <c r="G48" s="56" cm="1">
        <f t="array" ref="G48">IF(F48="X",(_xlfn.XLOOKUP($B48,Tabla1[SERVICIO],Tabla1[VALOR])*1),IF(F48&gt;=1,_xlfn.XLOOKUP($B48,Tabla1[SERVICIO],Tabla1[VALOR]*F48),0))</f>
        <v>0</v>
      </c>
      <c r="H48" s="14"/>
      <c r="I48" s="56" cm="1">
        <f t="array" ref="I48">IF(H48="X",(_xlfn.XLOOKUP($B48,Tabla1[SERVICIO],Tabla1[VALOR])*1),IF(H48&gt;=1,_xlfn.XLOOKUP($B48,Tabla1[SERVICIO],Tabla1[VALOR]*H48),0))</f>
        <v>0</v>
      </c>
      <c r="J48" s="14"/>
      <c r="K48" s="56" cm="1">
        <f t="array" ref="K48">IF(J48="X",(_xlfn.XLOOKUP($B48,Tabla1[SERVICIO],Tabla1[VALOR])*1),IF(J48&gt;=1,_xlfn.XLOOKUP($B48,Tabla1[SERVICIO],Tabla1[VALOR]*J48),0))</f>
        <v>0</v>
      </c>
      <c r="L48" s="14"/>
      <c r="M48" s="56" cm="1">
        <f t="array" ref="M48">IF(L48="X",(_xlfn.XLOOKUP($B48,Tabla1[SERVICIO],Tabla1[VALOR])*1),IF(L48&gt;=1,_xlfn.XLOOKUP($B48,Tabla1[SERVICIO],Tabla1[VALOR]*L48),0))</f>
        <v>0</v>
      </c>
      <c r="N48" s="14"/>
      <c r="O48" s="56" cm="1">
        <f t="array" ref="O48">IF(N48="X",(_xlfn.XLOOKUP($B48,Tabla1[SERVICIO],Tabla1[VALOR])*1),IF(N48&gt;=1,_xlfn.XLOOKUP($B48,Tabla1[SERVICIO],Tabla1[VALOR]*N48),0))</f>
        <v>0</v>
      </c>
      <c r="P48" s="14"/>
      <c r="Q48" s="56" cm="1">
        <f t="array" ref="Q48">IF(P48="X",(_xlfn.XLOOKUP($B48,Tabla1[SERVICIO],Tabla1[VALOR])*1),IF(P48&gt;=1,_xlfn.XLOOKUP($B48,Tabla1[SERVICIO],Tabla1[VALOR]*P48),0))</f>
        <v>0</v>
      </c>
      <c r="R48" s="14"/>
      <c r="S48" s="56" cm="1">
        <f t="array" ref="S48">IF(R48="X",(_xlfn.XLOOKUP($B48,Tabla1[SERVICIO],Tabla1[VALOR])*1),IF(R48&gt;=1,_xlfn.XLOOKUP($B48,Tabla1[SERVICIO],Tabla1[VALOR]*R48),0))</f>
        <v>0</v>
      </c>
      <c r="T48" s="14"/>
      <c r="U48" s="56" cm="1">
        <f t="array" ref="U48">IF(T48="X",(_xlfn.XLOOKUP($B48,Tabla1[SERVICIO],Tabla1[VALOR])*1),IF(T48&gt;=1,_xlfn.XLOOKUP($B48,Tabla1[SERVICIO],Tabla1[VALOR]*T48),0))</f>
        <v>0</v>
      </c>
      <c r="V48" s="14"/>
      <c r="W48" s="56" cm="1">
        <f t="array" ref="W48">IF(V48="X",(_xlfn.XLOOKUP($B48,Tabla1[SERVICIO],Tabla1[VALOR])*1),IF(V48&gt;=1,_xlfn.XLOOKUP($B48,Tabla1[SERVICIO],Tabla1[VALOR]*V48),0))</f>
        <v>0</v>
      </c>
      <c r="X48" s="14"/>
      <c r="Y48" s="56" cm="1">
        <f t="array" ref="Y48">IF(X48="X",(_xlfn.XLOOKUP($B48,Tabla1[SERVICIO],Tabla1[VALOR])*1),IF(X48&gt;=1,_xlfn.XLOOKUP($B48,Tabla1[SERVICIO],Tabla1[VALOR]*X48),0))</f>
        <v>0</v>
      </c>
      <c r="Z48" s="14"/>
      <c r="AA48" s="56">
        <v>0</v>
      </c>
      <c r="AB48" s="14"/>
      <c r="AC48" s="56">
        <v>0</v>
      </c>
      <c r="AD48" s="14"/>
      <c r="AE48" s="56">
        <v>0</v>
      </c>
      <c r="AF48" s="14"/>
      <c r="AG48" s="56">
        <v>0</v>
      </c>
      <c r="AH48" s="14"/>
      <c r="AI48" s="56">
        <v>0</v>
      </c>
      <c r="AJ48" s="14"/>
      <c r="AK48" s="56">
        <v>0</v>
      </c>
      <c r="AL48" s="14"/>
      <c r="AM48" s="56" cm="1">
        <f t="array" ref="AM48">IF(AL48="X",(_xlfn.XLOOKUP($B48,Tabla1[SERVICIO],Tabla1[VALOR])*1),IF(AL48&gt;=1,_xlfn.XLOOKUP($B48,Tabla1[SERVICIO],Tabla1[VALOR]*AL48),0))</f>
        <v>0</v>
      </c>
      <c r="AN48" s="81">
        <f t="shared" si="1"/>
        <v>67398.098568534639</v>
      </c>
      <c r="AO48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8" s="122" t="s">
        <v>319</v>
      </c>
      <c r="AQ48" s="127">
        <v>2.6940639269406392</v>
      </c>
      <c r="AR48" s="121">
        <f>+Tabla4615[[#This Row],[% de las personas que lo usaron]]*Tabla4615[[#This Row],[COSTO19]]</f>
        <v>181574.78609787871</v>
      </c>
      <c r="AS48" s="82" t="s">
        <v>350</v>
      </c>
      <c r="AT48" s="335">
        <v>18</v>
      </c>
    </row>
    <row r="49" spans="1:46" x14ac:dyDescent="0.25">
      <c r="A49" s="7" t="s">
        <v>19</v>
      </c>
      <c r="B49" s="8" t="s">
        <v>20</v>
      </c>
      <c r="C49" s="96" t="str">
        <f>_xlfn.XLOOKUP(Tabla4615[[#This Row],[Servicios del Programa:]],Tabla151[CODIGO],Tabla151[VALOR])</f>
        <v>Consultas</v>
      </c>
      <c r="D49" s="14">
        <v>1</v>
      </c>
      <c r="E49" s="56" cm="1">
        <f t="array" ref="E49">IF(D49="X",_xlfn.XLOOKUP(Tabla4615[[#This Row],[Programa Rehabilitacion Pulmonar / Hipertensiòn]],Tabla1[SERVICIO],Tabla1[VALOR]*1),IF(D49&gt;=1,_xlfn.XLOOKUP(Tabla4615[[#This Row],[Programa Rehabilitacion Pulmonar / Hipertensiòn]],Tabla1[SERVICIO],Tabla1[VALOR]*D49),""))</f>
        <v>67398.098568534639</v>
      </c>
      <c r="F49" s="8"/>
      <c r="G49" s="56" cm="1">
        <f t="array" ref="G49">IF(F49="X",(_xlfn.XLOOKUP($B49,Tabla1[SERVICIO],Tabla1[VALOR])*1),IF(F49&gt;=1,_xlfn.XLOOKUP($B49,Tabla1[SERVICIO],Tabla1[VALOR]*F49),0))</f>
        <v>0</v>
      </c>
      <c r="H49" s="8"/>
      <c r="I49" s="56" cm="1">
        <f t="array" ref="I49">IF(H49="X",(_xlfn.XLOOKUP($B49,Tabla1[SERVICIO],Tabla1[VALOR])*1),IF(H49&gt;=1,_xlfn.XLOOKUP($B49,Tabla1[SERVICIO],Tabla1[VALOR]*H49),0))</f>
        <v>0</v>
      </c>
      <c r="J49" s="8"/>
      <c r="K49" s="56" cm="1">
        <f t="array" ref="K49">IF(J49="X",(_xlfn.XLOOKUP($B49,Tabla1[SERVICIO],Tabla1[VALOR])*1),IF(J49&gt;=1,_xlfn.XLOOKUP($B49,Tabla1[SERVICIO],Tabla1[VALOR]*J49),0))</f>
        <v>0</v>
      </c>
      <c r="L49" s="8"/>
      <c r="M49" s="56" cm="1">
        <f t="array" ref="M49">IF(L49="X",(_xlfn.XLOOKUP($B49,Tabla1[SERVICIO],Tabla1[VALOR])*1),IF(L49&gt;=1,_xlfn.XLOOKUP($B49,Tabla1[SERVICIO],Tabla1[VALOR]*L49),0))</f>
        <v>0</v>
      </c>
      <c r="N49" s="8"/>
      <c r="O49" s="56" cm="1">
        <f t="array" ref="O49">IF(N49="X",(_xlfn.XLOOKUP($B49,Tabla1[SERVICIO],Tabla1[VALOR])*1),IF(N49&gt;=1,_xlfn.XLOOKUP($B49,Tabla1[SERVICIO],Tabla1[VALOR]*N49),0))</f>
        <v>0</v>
      </c>
      <c r="P49" s="8"/>
      <c r="Q49" s="56" cm="1">
        <f t="array" ref="Q49">IF(P49="X",(_xlfn.XLOOKUP($B49,Tabla1[SERVICIO],Tabla1[VALOR])*1),IF(P49&gt;=1,_xlfn.XLOOKUP($B49,Tabla1[SERVICIO],Tabla1[VALOR]*P49),0))</f>
        <v>0</v>
      </c>
      <c r="R49" s="8"/>
      <c r="S49" s="56" cm="1">
        <f t="array" ref="S49">IF(R49="X",(_xlfn.XLOOKUP($B49,Tabla1[SERVICIO],Tabla1[VALOR])*1),IF(R49&gt;=1,_xlfn.XLOOKUP($B49,Tabla1[SERVICIO],Tabla1[VALOR]*R49),0))</f>
        <v>0</v>
      </c>
      <c r="T49" s="8"/>
      <c r="U49" s="56" cm="1">
        <f t="array" ref="U49">IF(T49="X",(_xlfn.XLOOKUP($B49,Tabla1[SERVICIO],Tabla1[VALOR])*1),IF(T49&gt;=1,_xlfn.XLOOKUP($B49,Tabla1[SERVICIO],Tabla1[VALOR]*T49),0))</f>
        <v>0</v>
      </c>
      <c r="V49" s="8"/>
      <c r="W49" s="56" cm="1">
        <f t="array" ref="W49">IF(V49="X",(_xlfn.XLOOKUP($B49,Tabla1[SERVICIO],Tabla1[VALOR])*1),IF(V49&gt;=1,_xlfn.XLOOKUP($B49,Tabla1[SERVICIO],Tabla1[VALOR]*V49),0))</f>
        <v>0</v>
      </c>
      <c r="X49" s="8"/>
      <c r="Y49" s="56" cm="1">
        <f t="array" ref="Y49">IF(X49="X",(_xlfn.XLOOKUP($B49,Tabla1[SERVICIO],Tabla1[VALOR])*1),IF(X49&gt;=1,_xlfn.XLOOKUP($B49,Tabla1[SERVICIO],Tabla1[VALOR]*X49),0))</f>
        <v>0</v>
      </c>
      <c r="Z49" s="8"/>
      <c r="AA49" s="56">
        <v>0</v>
      </c>
      <c r="AB49" s="8"/>
      <c r="AC49" s="56">
        <v>0</v>
      </c>
      <c r="AD49" s="8"/>
      <c r="AE49" s="56">
        <v>0</v>
      </c>
      <c r="AF49" s="8"/>
      <c r="AG49" s="56">
        <v>0</v>
      </c>
      <c r="AH49" s="8"/>
      <c r="AI49" s="56">
        <v>0</v>
      </c>
      <c r="AJ49" s="8"/>
      <c r="AK49" s="56">
        <v>0</v>
      </c>
      <c r="AL49" s="8"/>
      <c r="AM49" s="56" cm="1">
        <f t="array" ref="AM49">IF(AL49="X",(_xlfn.XLOOKUP($B49,Tabla1[SERVICIO],Tabla1[VALOR])*1),IF(AL49&gt;=1,_xlfn.XLOOKUP($B49,Tabla1[SERVICIO],Tabla1[VALOR]*AL49),0))</f>
        <v>0</v>
      </c>
      <c r="AN49" s="81">
        <f t="shared" si="1"/>
        <v>67398.098568534639</v>
      </c>
      <c r="AO49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9" s="122" t="s">
        <v>319</v>
      </c>
      <c r="AQ49" s="127">
        <v>0.13698630136986301</v>
      </c>
      <c r="AR49" s="121">
        <f>+Tabla4615[[#This Row],[% de las personas que lo usaron]]*Tabla4615[[#This Row],[COSTO19]]</f>
        <v>9232.6162422650177</v>
      </c>
      <c r="AS49" s="82" t="s">
        <v>350</v>
      </c>
      <c r="AT49" s="335">
        <v>18</v>
      </c>
    </row>
    <row r="50" spans="1:46" x14ac:dyDescent="0.25">
      <c r="A50" s="7" t="s">
        <v>23</v>
      </c>
      <c r="B50" s="8" t="s">
        <v>24</v>
      </c>
      <c r="C50" s="96" t="str">
        <f>_xlfn.XLOOKUP(Tabla4615[[#This Row],[Servicios del Programa:]],Tabla151[CODIGO],Tabla151[VALOR])</f>
        <v>Terapias</v>
      </c>
      <c r="D50" s="8"/>
      <c r="E50" s="56" t="str" cm="1">
        <f t="array" ref="E50">IF(D50="X",_xlfn.XLOOKUP(Tabla4615[[#This Row],[Programa Rehabilitacion Pulmonar / Hipertensiòn]],Tabla1[SERVICIO],Tabla1[VALOR]*1),IF(D50&gt;=1,_xlfn.XLOOKUP(Tabla4615[[#This Row],[Programa Rehabilitacion Pulmonar / Hipertensiòn]],Tabla1[SERVICIO],Tabla1[VALOR]*D50),""))</f>
        <v/>
      </c>
      <c r="F50" s="8"/>
      <c r="G50" s="56" cm="1">
        <f t="array" ref="G50">IF(F50="X",(_xlfn.XLOOKUP($B50,Tabla1[SERVICIO],Tabla1[VALOR])*1),IF(F50&gt;=1,_xlfn.XLOOKUP($B50,Tabla1[SERVICIO],Tabla1[VALOR]*F50),0))</f>
        <v>0</v>
      </c>
      <c r="H50" s="14">
        <v>1</v>
      </c>
      <c r="I50" s="56" cm="1">
        <f t="array" ref="I50">IF(H50="X",(_xlfn.XLOOKUP($B50,Tabla1[SERVICIO],Tabla1[VALOR])*1),IF(H50&gt;=1,_xlfn.XLOOKUP($B50,Tabla1[SERVICIO],Tabla1[VALOR]*H50),0))</f>
        <v>31881.451880098426</v>
      </c>
      <c r="J50" s="8"/>
      <c r="K50" s="56" cm="1">
        <f t="array" ref="K50">IF(J50="X",(_xlfn.XLOOKUP($B50,Tabla1[SERVICIO],Tabla1[VALOR])*1),IF(J50&gt;=1,_xlfn.XLOOKUP($B50,Tabla1[SERVICIO],Tabla1[VALOR]*J50),0))</f>
        <v>0</v>
      </c>
      <c r="L50" s="8"/>
      <c r="M50" s="56" cm="1">
        <f t="array" ref="M50">IF(L50="X",(_xlfn.XLOOKUP($B50,Tabla1[SERVICIO],Tabla1[VALOR])*1),IF(L50&gt;=1,_xlfn.XLOOKUP($B50,Tabla1[SERVICIO],Tabla1[VALOR]*L50),0))</f>
        <v>0</v>
      </c>
      <c r="N50" s="8"/>
      <c r="O50" s="56" cm="1">
        <f t="array" ref="O50">IF(N50="X",(_xlfn.XLOOKUP($B50,Tabla1[SERVICIO],Tabla1[VALOR])*1),IF(N50&gt;=1,_xlfn.XLOOKUP($B50,Tabla1[SERVICIO],Tabla1[VALOR]*N50),0))</f>
        <v>0</v>
      </c>
      <c r="P50" s="8"/>
      <c r="Q50" s="56" cm="1">
        <f t="array" ref="Q50">IF(P50="X",(_xlfn.XLOOKUP($B50,Tabla1[SERVICIO],Tabla1[VALOR])*1),IF(P50&gt;=1,_xlfn.XLOOKUP($B50,Tabla1[SERVICIO],Tabla1[VALOR]*P50),0))</f>
        <v>0</v>
      </c>
      <c r="R50" s="8"/>
      <c r="S50" s="56" cm="1">
        <f t="array" ref="S50">IF(R50="X",(_xlfn.XLOOKUP($B50,Tabla1[SERVICIO],Tabla1[VALOR])*1),IF(R50&gt;=1,_xlfn.XLOOKUP($B50,Tabla1[SERVICIO],Tabla1[VALOR]*R50),0))</f>
        <v>0</v>
      </c>
      <c r="T50" s="8"/>
      <c r="U50" s="56" cm="1">
        <f t="array" ref="U50">IF(T50="X",(_xlfn.XLOOKUP($B50,Tabla1[SERVICIO],Tabla1[VALOR])*1),IF(T50&gt;=1,_xlfn.XLOOKUP($B50,Tabla1[SERVICIO],Tabla1[VALOR]*T50),0))</f>
        <v>0</v>
      </c>
      <c r="V50" s="8"/>
      <c r="W50" s="56" cm="1">
        <f t="array" ref="W50">IF(V50="X",(_xlfn.XLOOKUP($B50,Tabla1[SERVICIO],Tabla1[VALOR])*1),IF(V50&gt;=1,_xlfn.XLOOKUP($B50,Tabla1[SERVICIO],Tabla1[VALOR]*V50),0))</f>
        <v>0</v>
      </c>
      <c r="X50" s="8"/>
      <c r="Y50" s="56" cm="1">
        <f t="array" ref="Y50">IF(X50="X",(_xlfn.XLOOKUP($B50,Tabla1[SERVICIO],Tabla1[VALOR])*1),IF(X50&gt;=1,_xlfn.XLOOKUP($B50,Tabla1[SERVICIO],Tabla1[VALOR]*X50),0))</f>
        <v>0</v>
      </c>
      <c r="Z50" s="8"/>
      <c r="AA50" s="56">
        <v>0</v>
      </c>
      <c r="AB50" s="8"/>
      <c r="AC50" s="56">
        <v>0</v>
      </c>
      <c r="AD50" s="8"/>
      <c r="AE50" s="56">
        <v>0</v>
      </c>
      <c r="AF50" s="8"/>
      <c r="AG50" s="56">
        <v>0</v>
      </c>
      <c r="AH50" s="8"/>
      <c r="AI50" s="56">
        <v>0</v>
      </c>
      <c r="AJ50" s="8"/>
      <c r="AK50" s="56">
        <v>0</v>
      </c>
      <c r="AL50" s="8"/>
      <c r="AM50" s="56" cm="1">
        <f t="array" ref="AM50">IF(AL50="X",(_xlfn.XLOOKUP($B50,Tabla1[SERVICIO],Tabla1[VALOR])*1),IF(AL50&gt;=1,_xlfn.XLOOKUP($B50,Tabla1[SERVICIO],Tabla1[VALOR]*AL50),0))</f>
        <v>0</v>
      </c>
      <c r="AN50" s="81">
        <f t="shared" si="1"/>
        <v>31881.451880098426</v>
      </c>
      <c r="AO50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0" s="122" t="s">
        <v>318</v>
      </c>
      <c r="AQ50" s="127">
        <v>1</v>
      </c>
      <c r="AR50" s="121">
        <f>+Tabla4615[[#This Row],[% de las personas que lo usaron]]*Tabla4615[[#This Row],[COSTO19]]</f>
        <v>31881.451880098426</v>
      </c>
      <c r="AS50" s="82" t="s">
        <v>350</v>
      </c>
      <c r="AT50" s="335">
        <v>18</v>
      </c>
    </row>
    <row r="51" spans="1:46" x14ac:dyDescent="0.25">
      <c r="A51" s="7" t="s">
        <v>29</v>
      </c>
      <c r="B51" s="8" t="s">
        <v>196</v>
      </c>
      <c r="C51" s="96" t="str">
        <f>_xlfn.XLOOKUP(Tabla4615[[#This Row],[Servicios del Programa:]],Tabla151[CODIGO],Tabla151[VALOR])</f>
        <v>Terapias</v>
      </c>
      <c r="D51" s="8"/>
      <c r="E51" s="56" t="str" cm="1">
        <f t="array" ref="E51">IF(D51="X",_xlfn.XLOOKUP(Tabla4615[[#This Row],[Programa Rehabilitacion Pulmonar / Hipertensiòn]],Tabla1[SERVICIO],Tabla1[VALOR]*1),IF(D51&gt;=1,_xlfn.XLOOKUP(Tabla4615[[#This Row],[Programa Rehabilitacion Pulmonar / Hipertensiòn]],Tabla1[SERVICIO],Tabla1[VALOR]*D51),""))</f>
        <v/>
      </c>
      <c r="F51" s="8"/>
      <c r="G51" s="56" cm="1">
        <f t="array" ref="G51">IF(F51="X",(_xlfn.XLOOKUP($B51,Tabla1[SERVICIO],Tabla1[VALOR])*1),IF(F51&gt;=1,_xlfn.XLOOKUP($B51,Tabla1[SERVICIO],Tabla1[VALOR]*F51),0))</f>
        <v>0</v>
      </c>
      <c r="H51" s="8"/>
      <c r="I51" s="56" cm="1">
        <f t="array" ref="I51">IF(H51="X",(_xlfn.XLOOKUP($B51,Tabla1[SERVICIO],Tabla1[VALOR])*1),IF(H51&gt;=1,_xlfn.XLOOKUP($B51,Tabla1[SERVICIO],Tabla1[VALOR]*H51),0))</f>
        <v>0</v>
      </c>
      <c r="J51" s="8"/>
      <c r="K51" s="56" cm="1">
        <f t="array" ref="K51">IF(J51="X",(_xlfn.XLOOKUP($B51,Tabla1[SERVICIO],Tabla1[VALOR])*1),IF(J51&gt;=1,_xlfn.XLOOKUP($B51,Tabla1[SERVICIO],Tabla1[VALOR]*J51),0))</f>
        <v>0</v>
      </c>
      <c r="L51" s="8"/>
      <c r="M51" s="56" cm="1">
        <f t="array" ref="M51">IF(L51="X",(_xlfn.XLOOKUP($B51,Tabla1[SERVICIO],Tabla1[VALOR])*1),IF(L51&gt;=1,_xlfn.XLOOKUP($B51,Tabla1[SERVICIO],Tabla1[VALOR]*L51),0))</f>
        <v>0</v>
      </c>
      <c r="N51" s="8"/>
      <c r="O51" s="56" cm="1">
        <f t="array" ref="O51">IF(N51="X",(_xlfn.XLOOKUP($B51,Tabla1[SERVICIO],Tabla1[VALOR])*1),IF(N51&gt;=1,_xlfn.XLOOKUP($B51,Tabla1[SERVICIO],Tabla1[VALOR]*N51),0))</f>
        <v>0</v>
      </c>
      <c r="P51" s="8"/>
      <c r="Q51" s="56" cm="1">
        <f t="array" ref="Q51">IF(P51="X",(_xlfn.XLOOKUP($B51,Tabla1[SERVICIO],Tabla1[VALOR])*1),IF(P51&gt;=1,_xlfn.XLOOKUP($B51,Tabla1[SERVICIO],Tabla1[VALOR]*P51),0))</f>
        <v>0</v>
      </c>
      <c r="R51" s="8"/>
      <c r="S51" s="56" cm="1">
        <f t="array" ref="S51">IF(R51="X",(_xlfn.XLOOKUP($B51,Tabla1[SERVICIO],Tabla1[VALOR])*1),IF(R51&gt;=1,_xlfn.XLOOKUP($B51,Tabla1[SERVICIO],Tabla1[VALOR]*R51),0))</f>
        <v>0</v>
      </c>
      <c r="T51" s="8"/>
      <c r="U51" s="56" cm="1">
        <f t="array" ref="U51">IF(T51="X",(_xlfn.XLOOKUP($B51,Tabla1[SERVICIO],Tabla1[VALOR])*1),IF(T51&gt;=1,_xlfn.XLOOKUP($B51,Tabla1[SERVICIO],Tabla1[VALOR]*T51),0))</f>
        <v>0</v>
      </c>
      <c r="V51" s="8"/>
      <c r="W51" s="56" cm="1">
        <f t="array" ref="W51">IF(V51="X",(_xlfn.XLOOKUP($B51,Tabla1[SERVICIO],Tabla1[VALOR])*1),IF(V51&gt;=1,_xlfn.XLOOKUP($B51,Tabla1[SERVICIO],Tabla1[VALOR]*V51),0))</f>
        <v>0</v>
      </c>
      <c r="X51" s="8"/>
      <c r="Y51" s="56" cm="1">
        <f t="array" ref="Y51">IF(X51="X",(_xlfn.XLOOKUP($B51,Tabla1[SERVICIO],Tabla1[VALOR])*1),IF(X51&gt;=1,_xlfn.XLOOKUP($B51,Tabla1[SERVICIO],Tabla1[VALOR]*X51),0))</f>
        <v>0</v>
      </c>
      <c r="Z51" s="14"/>
      <c r="AA51" s="56">
        <v>0</v>
      </c>
      <c r="AB51" s="8"/>
      <c r="AC51" s="56">
        <v>0</v>
      </c>
      <c r="AD51" s="8"/>
      <c r="AE51" s="56">
        <v>0</v>
      </c>
      <c r="AF51" s="8"/>
      <c r="AG51" s="56">
        <v>0</v>
      </c>
      <c r="AH51" s="8"/>
      <c r="AI51" s="56">
        <v>0</v>
      </c>
      <c r="AJ51" s="8"/>
      <c r="AK51" s="56">
        <v>0</v>
      </c>
      <c r="AL51" s="14">
        <v>1</v>
      </c>
      <c r="AM51" s="56" cm="1">
        <f t="array" ref="AM51">IF(AL51="X",(_xlfn.XLOOKUP($B51,Tabla1[SERVICIO],Tabla1[VALOR])*1),IF(AL51&gt;=1,_xlfn.XLOOKUP($B51,Tabla1[SERVICIO],Tabla1[VALOR]*AL51),0))</f>
        <v>31881.451880098426</v>
      </c>
      <c r="AN51" s="81">
        <f t="shared" si="1"/>
        <v>31881.451880098426</v>
      </c>
      <c r="AO51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1" s="122" t="s">
        <v>318</v>
      </c>
      <c r="AQ51" s="127">
        <v>1</v>
      </c>
      <c r="AR51" s="121">
        <f>+Tabla4615[[#This Row],[% de las personas que lo usaron]]*Tabla4615[[#This Row],[COSTO19]]</f>
        <v>31881.451880098426</v>
      </c>
      <c r="AS51" s="82" t="s">
        <v>350</v>
      </c>
      <c r="AT51" s="335">
        <v>18</v>
      </c>
    </row>
    <row r="52" spans="1:46" x14ac:dyDescent="0.25">
      <c r="A52" s="7" t="s">
        <v>25</v>
      </c>
      <c r="B52" s="8" t="s">
        <v>26</v>
      </c>
      <c r="C52" s="96" t="str">
        <f>_xlfn.XLOOKUP(Tabla4615[[#This Row],[Servicios del Programa:]],Tabla151[CODIGO],Tabla151[VALOR])</f>
        <v>Diagnosticos</v>
      </c>
      <c r="D52" s="8"/>
      <c r="E52" s="56" t="str" cm="1">
        <f t="array" ref="E52">IF(D52="X",_xlfn.XLOOKUP(Tabla4615[[#This Row],[Programa Rehabilitacion Pulmonar / Hipertensiòn]],Tabla1[SERVICIO],Tabla1[VALOR]*1),IF(D52&gt;=1,_xlfn.XLOOKUP(Tabla4615[[#This Row],[Programa Rehabilitacion Pulmonar / Hipertensiòn]],Tabla1[SERVICIO],Tabla1[VALOR]*D52),""))</f>
        <v/>
      </c>
      <c r="F52" s="8"/>
      <c r="G52" s="56" cm="1">
        <f t="array" ref="G52">IF(F52="X",(_xlfn.XLOOKUP($B52,Tabla1[SERVICIO],Tabla1[VALOR])*1),IF(F52&gt;=1,_xlfn.XLOOKUP($B52,Tabla1[SERVICIO],Tabla1[VALOR]*F52),0))</f>
        <v>0</v>
      </c>
      <c r="H52" s="14">
        <v>1</v>
      </c>
      <c r="I52" s="56" cm="1">
        <f t="array" ref="I52">IF(H52="X",(_xlfn.XLOOKUP($B52,Tabla1[SERVICIO],Tabla1[VALOR])*1),IF(H52&gt;=1,_xlfn.XLOOKUP($B52,Tabla1[SERVICIO],Tabla1[VALOR]*H52),0))</f>
        <v>19392.627189167735</v>
      </c>
      <c r="J52" s="8"/>
      <c r="K52" s="56" cm="1">
        <f t="array" ref="K52">IF(J52="X",(_xlfn.XLOOKUP($B52,Tabla1[SERVICIO],Tabla1[VALOR])*1),IF(J52&gt;=1,_xlfn.XLOOKUP($B52,Tabla1[SERVICIO],Tabla1[VALOR]*J52),0))</f>
        <v>0</v>
      </c>
      <c r="L52" s="8"/>
      <c r="M52" s="56" cm="1">
        <f t="array" ref="M52">IF(L52="X",(_xlfn.XLOOKUP($B52,Tabla1[SERVICIO],Tabla1[VALOR])*1),IF(L52&gt;=1,_xlfn.XLOOKUP($B52,Tabla1[SERVICIO],Tabla1[VALOR]*L52),0))</f>
        <v>0</v>
      </c>
      <c r="N52" s="8"/>
      <c r="O52" s="56" cm="1">
        <f t="array" ref="O52">IF(N52="X",(_xlfn.XLOOKUP($B52,Tabla1[SERVICIO],Tabla1[VALOR])*1),IF(N52&gt;=1,_xlfn.XLOOKUP($B52,Tabla1[SERVICIO],Tabla1[VALOR]*N52),0))</f>
        <v>0</v>
      </c>
      <c r="P52" s="8"/>
      <c r="Q52" s="56" cm="1">
        <f t="array" ref="Q52">IF(P52="X",(_xlfn.XLOOKUP($B52,Tabla1[SERVICIO],Tabla1[VALOR])*1),IF(P52&gt;=1,_xlfn.XLOOKUP($B52,Tabla1[SERVICIO],Tabla1[VALOR]*P52),0))</f>
        <v>0</v>
      </c>
      <c r="R52" s="8"/>
      <c r="S52" s="56" cm="1">
        <f t="array" ref="S52">IF(R52="X",(_xlfn.XLOOKUP($B52,Tabla1[SERVICIO],Tabla1[VALOR])*1),IF(R52&gt;=1,_xlfn.XLOOKUP($B52,Tabla1[SERVICIO],Tabla1[VALOR]*R52),0))</f>
        <v>0</v>
      </c>
      <c r="T52" s="8"/>
      <c r="U52" s="56" cm="1">
        <f t="array" ref="U52">IF(T52="X",(_xlfn.XLOOKUP($B52,Tabla1[SERVICIO],Tabla1[VALOR])*1),IF(T52&gt;=1,_xlfn.XLOOKUP($B52,Tabla1[SERVICIO],Tabla1[VALOR]*T52),0))</f>
        <v>0</v>
      </c>
      <c r="V52" s="8"/>
      <c r="W52" s="56" cm="1">
        <f t="array" ref="W52">IF(V52="X",(_xlfn.XLOOKUP($B52,Tabla1[SERVICIO],Tabla1[VALOR])*1),IF(V52&gt;=1,_xlfn.XLOOKUP($B52,Tabla1[SERVICIO],Tabla1[VALOR]*V52),0))</f>
        <v>0</v>
      </c>
      <c r="X52" s="8"/>
      <c r="Y52" s="56" cm="1">
        <f t="array" ref="Y52">IF(X52="X",(_xlfn.XLOOKUP($B52,Tabla1[SERVICIO],Tabla1[VALOR])*1),IF(X52&gt;=1,_xlfn.XLOOKUP($B52,Tabla1[SERVICIO],Tabla1[VALOR]*X52),0))</f>
        <v>0</v>
      </c>
      <c r="Z52" s="14"/>
      <c r="AA52" s="56">
        <v>0</v>
      </c>
      <c r="AB52" s="8"/>
      <c r="AC52" s="56">
        <v>0</v>
      </c>
      <c r="AD52" s="8"/>
      <c r="AE52" s="56">
        <v>0</v>
      </c>
      <c r="AF52" s="8"/>
      <c r="AG52" s="56">
        <v>0</v>
      </c>
      <c r="AH52" s="8"/>
      <c r="AI52" s="56">
        <v>0</v>
      </c>
      <c r="AJ52" s="8"/>
      <c r="AK52" s="56">
        <v>0</v>
      </c>
      <c r="AL52" s="14">
        <v>1</v>
      </c>
      <c r="AM52" s="56" cm="1">
        <f t="array" ref="AM52">IF(AL52="X",(_xlfn.XLOOKUP($B52,Tabla1[SERVICIO],Tabla1[VALOR])*1),IF(AL52&gt;=1,_xlfn.XLOOKUP($B52,Tabla1[SERVICIO],Tabla1[VALOR]*AL52),0))</f>
        <v>19392.627189167735</v>
      </c>
      <c r="AN52" s="81">
        <f t="shared" si="1"/>
        <v>38785.25437833547</v>
      </c>
      <c r="AO52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52" s="122" t="s">
        <v>318</v>
      </c>
      <c r="AQ52" s="127">
        <v>1</v>
      </c>
      <c r="AR52" s="121">
        <f>+Tabla4615[[#This Row],[% de las personas que lo usaron]]*Tabla4615[[#This Row],[COSTO19]]</f>
        <v>38785.25437833547</v>
      </c>
      <c r="AS52" s="82" t="s">
        <v>350</v>
      </c>
      <c r="AT52" s="335">
        <v>18</v>
      </c>
    </row>
    <row r="53" spans="1:46" x14ac:dyDescent="0.25">
      <c r="A53" s="7" t="s">
        <v>54</v>
      </c>
      <c r="B53" s="8" t="s">
        <v>227</v>
      </c>
      <c r="C53" s="96" t="str">
        <f>_xlfn.XLOOKUP(Tabla4615[[#This Row],[Servicios del Programa:]],Tabla151[CODIGO],Tabla151[VALOR])</f>
        <v>Gestion y seguimiento</v>
      </c>
      <c r="D53" s="14"/>
      <c r="E53" s="56" t="str" cm="1">
        <f t="array" ref="E53">IF(D53="X",_xlfn.XLOOKUP(Tabla4615[[#This Row],[Programa Rehabilitacion Pulmonar / Hipertensiòn]],Tabla1[SERVICIO],Tabla1[VALOR]*1),IF(D53&gt;=1,_xlfn.XLOOKUP(Tabla4615[[#This Row],[Programa Rehabilitacion Pulmonar / Hipertensiòn]],Tabla1[SERVICIO],Tabla1[VALOR]*D53),""))</f>
        <v/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>
        <v>1</v>
      </c>
      <c r="O53" s="56" cm="1">
        <f t="array" ref="O53">IF(N53="X",(_xlfn.XLOOKUP($B53,Tabla1[SERVICIO],Tabla1[VALOR])*1),IF(N53&gt;=1,_xlfn.XLOOKUP($B53,Tabla1[SERVICIO],Tabla1[VALOR]*N53),0))</f>
        <v>145259.19237771924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>
        <v>0</v>
      </c>
      <c r="AB53" s="14"/>
      <c r="AC53" s="56">
        <v>0</v>
      </c>
      <c r="AD53" s="14"/>
      <c r="AE53" s="56">
        <v>0</v>
      </c>
      <c r="AF53" s="14"/>
      <c r="AG53" s="56">
        <v>0</v>
      </c>
      <c r="AH53" s="14"/>
      <c r="AI53" s="56">
        <v>0</v>
      </c>
      <c r="AJ53" s="14"/>
      <c r="AK53" s="56">
        <v>0</v>
      </c>
      <c r="AL53" s="14"/>
      <c r="AM53" s="56" cm="1">
        <f t="array" ref="AM53">IF(AL53="X",(_xlfn.XLOOKUP($B53,Tabla1[SERVICIO],Tabla1[VALOR])*1),IF(AL53&gt;=1,_xlfn.XLOOKUP($B53,Tabla1[SERVICIO],Tabla1[VALOR]*AL53),0))</f>
        <v>0</v>
      </c>
      <c r="AN53" s="81">
        <f t="shared" si="1"/>
        <v>145259.19237771924</v>
      </c>
      <c r="AO53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3" s="122" t="s">
        <v>319</v>
      </c>
      <c r="AQ53" s="127">
        <v>0.1095890410958904</v>
      </c>
      <c r="AR53" s="121">
        <f>+Tabla4615[[#This Row],[% de las personas que lo usaron]]*Tabla4615[[#This Row],[COSTO19]]</f>
        <v>15918.815603037725</v>
      </c>
      <c r="AS53" s="82" t="s">
        <v>350</v>
      </c>
      <c r="AT53" s="335">
        <v>18</v>
      </c>
    </row>
    <row r="54" spans="1:46" x14ac:dyDescent="0.25">
      <c r="A54" s="7" t="s">
        <v>34</v>
      </c>
      <c r="B54" s="8" t="s">
        <v>35</v>
      </c>
      <c r="C54" s="96" t="str">
        <f>_xlfn.XLOOKUP(Tabla4615[[#This Row],[Servicios del Programa:]],Tabla151[CODIGO],Tabla151[VALOR])</f>
        <v>Consultas</v>
      </c>
      <c r="D54" s="14">
        <v>1</v>
      </c>
      <c r="E54" s="56" cm="1">
        <f t="array" ref="E54">IF(D54="X",_xlfn.XLOOKUP(Tabla4615[[#This Row],[Programa Rehabilitacion Pulmonar / Hipertensiòn]],Tabla1[SERVICIO],Tabla1[VALOR]*1),IF(D54&gt;=1,_xlfn.XLOOKUP(Tabla4615[[#This Row],[Programa Rehabilitacion Pulmonar / Hipertensiòn]],Tabla1[SERVICIO],Tabla1[VALOR]*D54),""))</f>
        <v>24009.730401318589</v>
      </c>
      <c r="F54" s="8"/>
      <c r="G54" s="56" cm="1">
        <f t="array" ref="G54">IF(F54="X",(_xlfn.XLOOKUP($B54,Tabla1[SERVICIO],Tabla1[VALOR])*1),IF(F54&gt;=1,_xlfn.XLOOKUP($B54,Tabla1[SERVICIO],Tabla1[VALOR]*F54),0))</f>
        <v>0</v>
      </c>
      <c r="H54" s="8"/>
      <c r="I54" s="56" cm="1">
        <f t="array" ref="I54">IF(H54="X",(_xlfn.XLOOKUP($B54,Tabla1[SERVICIO],Tabla1[VALOR])*1),IF(H54&gt;=1,_xlfn.XLOOKUP($B54,Tabla1[SERVICIO],Tabla1[VALOR]*H54),0))</f>
        <v>0</v>
      </c>
      <c r="J54" s="8"/>
      <c r="K54" s="56" cm="1">
        <f t="array" ref="K54">IF(J54="X",(_xlfn.XLOOKUP($B54,Tabla1[SERVICIO],Tabla1[VALOR])*1),IF(J54&gt;=1,_xlfn.XLOOKUP($B54,Tabla1[SERVICIO],Tabla1[VALOR]*J54),0))</f>
        <v>0</v>
      </c>
      <c r="L54" s="8"/>
      <c r="M54" s="56" cm="1">
        <f t="array" ref="M54">IF(L54="X",(_xlfn.XLOOKUP($B54,Tabla1[SERVICIO],Tabla1[VALOR])*1),IF(L54&gt;=1,_xlfn.XLOOKUP($B54,Tabla1[SERVICIO],Tabla1[VALOR]*L54),0))</f>
        <v>0</v>
      </c>
      <c r="N54" s="8"/>
      <c r="O54" s="56" cm="1">
        <f t="array" ref="O54">IF(N54="X",(_xlfn.XLOOKUP($B54,Tabla1[SERVICIO],Tabla1[VALOR])*1),IF(N54&gt;=1,_xlfn.XLOOKUP($B54,Tabla1[SERVICIO],Tabla1[VALOR]*N54),0))</f>
        <v>0</v>
      </c>
      <c r="P54" s="8"/>
      <c r="Q54" s="56" cm="1">
        <f t="array" ref="Q54">IF(P54="X",(_xlfn.XLOOKUP($B54,Tabla1[SERVICIO],Tabla1[VALOR])*1),IF(P54&gt;=1,_xlfn.XLOOKUP($B54,Tabla1[SERVICIO],Tabla1[VALOR]*P54),0))</f>
        <v>0</v>
      </c>
      <c r="R54" s="8"/>
      <c r="S54" s="56" cm="1">
        <f t="array" ref="S54">IF(R54="X",(_xlfn.XLOOKUP($B54,Tabla1[SERVICIO],Tabla1[VALOR])*1),IF(R54&gt;=1,_xlfn.XLOOKUP($B54,Tabla1[SERVICIO],Tabla1[VALOR]*R54),0))</f>
        <v>0</v>
      </c>
      <c r="T54" s="8"/>
      <c r="U54" s="56" cm="1">
        <f t="array" ref="U54">IF(T54="X",(_xlfn.XLOOKUP($B54,Tabla1[SERVICIO],Tabla1[VALOR])*1),IF(T54&gt;=1,_xlfn.XLOOKUP($B54,Tabla1[SERVICIO],Tabla1[VALOR]*T54),0))</f>
        <v>0</v>
      </c>
      <c r="V54" s="8"/>
      <c r="W54" s="56" cm="1">
        <f t="array" ref="W54">IF(V54="X",(_xlfn.XLOOKUP($B54,Tabla1[SERVICIO],Tabla1[VALOR])*1),IF(V54&gt;=1,_xlfn.XLOOKUP($B54,Tabla1[SERVICIO],Tabla1[VALOR]*V54),0))</f>
        <v>0</v>
      </c>
      <c r="X54" s="8"/>
      <c r="Y54" s="56" cm="1">
        <f t="array" ref="Y54">IF(X54="X",(_xlfn.XLOOKUP($B54,Tabla1[SERVICIO],Tabla1[VALOR])*1),IF(X54&gt;=1,_xlfn.XLOOKUP($B54,Tabla1[SERVICIO],Tabla1[VALOR]*X54),0))</f>
        <v>0</v>
      </c>
      <c r="Z54" s="8"/>
      <c r="AA54" s="56">
        <v>0</v>
      </c>
      <c r="AB54" s="8"/>
      <c r="AC54" s="56">
        <v>0</v>
      </c>
      <c r="AD54" s="8"/>
      <c r="AE54" s="56">
        <v>0</v>
      </c>
      <c r="AF54" s="8"/>
      <c r="AG54" s="56">
        <v>0</v>
      </c>
      <c r="AH54" s="8"/>
      <c r="AI54" s="56">
        <v>0</v>
      </c>
      <c r="AJ54" s="8"/>
      <c r="AK54" s="56">
        <v>0</v>
      </c>
      <c r="AL54" s="8"/>
      <c r="AM54" s="56" cm="1">
        <f t="array" ref="AM54">IF(AL54="X",(_xlfn.XLOOKUP($B54,Tabla1[SERVICIO],Tabla1[VALOR])*1),IF(AL54&gt;=1,_xlfn.XLOOKUP($B54,Tabla1[SERVICIO],Tabla1[VALOR]*AL54),0))</f>
        <v>0</v>
      </c>
      <c r="AN54" s="81">
        <f t="shared" si="1"/>
        <v>24009.730401318589</v>
      </c>
      <c r="AO54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4" s="122" t="s">
        <v>318</v>
      </c>
      <c r="AQ54" s="127">
        <v>1</v>
      </c>
      <c r="AR54" s="121">
        <f>+Tabla4615[[#This Row],[% de las personas que lo usaron]]*Tabla4615[[#This Row],[COSTO19]]</f>
        <v>24009.730401318589</v>
      </c>
      <c r="AS54" s="82" t="s">
        <v>350</v>
      </c>
      <c r="AT54" s="335">
        <v>18</v>
      </c>
    </row>
    <row r="55" spans="1:46" x14ac:dyDescent="0.25">
      <c r="A55" s="7" t="s">
        <v>48</v>
      </c>
      <c r="B55" s="8" t="s">
        <v>222</v>
      </c>
      <c r="C55" s="96" t="str">
        <f>_xlfn.XLOOKUP(Tabla4615[[#This Row],[Servicios del Programa:]],Tabla151[CODIGO],Tabla151[VALOR])</f>
        <v>Consultas</v>
      </c>
      <c r="D55" s="14">
        <v>1</v>
      </c>
      <c r="E55" s="56" cm="1">
        <f t="array" ref="E55">IF(D55="X",_xlfn.XLOOKUP(Tabla4615[[#This Row],[Programa Rehabilitacion Pulmonar / Hipertensiòn]],Tabla1[SERVICIO],Tabla1[VALOR]*1),IF(D55&gt;=1,_xlfn.XLOOKUP(Tabla4615[[#This Row],[Programa Rehabilitacion Pulmonar / Hipertensiòn]],Tabla1[SERVICIO],Tabla1[VALOR]*D55),""))</f>
        <v>77398.098568534639</v>
      </c>
      <c r="F55" s="14"/>
      <c r="G55" s="56" cm="1">
        <f t="array" ref="G55">IF(F55="X",(_xlfn.XLOOKUP($B55,Tabla1[SERVICIO],Tabla1[VALOR])*1),IF(F55&gt;=1,_xlfn.XLOOKUP($B55,Tabla1[SERVICIO],Tabla1[VALOR]*F55),0))</f>
        <v>0</v>
      </c>
      <c r="H55" s="14"/>
      <c r="I55" s="56" cm="1">
        <f t="array" ref="I55">IF(H55="X",(_xlfn.XLOOKUP($B55,Tabla1[SERVICIO],Tabla1[VALOR])*1),IF(H55&gt;=1,_xlfn.XLOOKUP($B55,Tabla1[SERVICIO],Tabla1[VALOR]*H55),0))</f>
        <v>0</v>
      </c>
      <c r="J55" s="14"/>
      <c r="K55" s="56" cm="1">
        <f t="array" ref="K55">IF(J55="X",(_xlfn.XLOOKUP($B55,Tabla1[SERVICIO],Tabla1[VALOR])*1),IF(J55&gt;=1,_xlfn.XLOOKUP($B55,Tabla1[SERVICIO],Tabla1[VALOR]*J55),0))</f>
        <v>0</v>
      </c>
      <c r="L55" s="14"/>
      <c r="M55" s="56" cm="1">
        <f t="array" ref="M55">IF(L55="X",(_xlfn.XLOOKUP($B55,Tabla1[SERVICIO],Tabla1[VALOR])*1),IF(L55&gt;=1,_xlfn.XLOOKUP($B55,Tabla1[SERVICIO],Tabla1[VALOR]*L55),0))</f>
        <v>0</v>
      </c>
      <c r="N55" s="14"/>
      <c r="O55" s="56" cm="1">
        <f t="array" ref="O55">IF(N55="X",(_xlfn.XLOOKUP($B55,Tabla1[SERVICIO],Tabla1[VALOR])*1),IF(N55&gt;=1,_xlfn.XLOOKUP($B55,Tabla1[SERVICIO],Tabla1[VALOR]*N55),0))</f>
        <v>0</v>
      </c>
      <c r="P55" s="14"/>
      <c r="Q55" s="56" cm="1">
        <f t="array" ref="Q55">IF(P55="X",(_xlfn.XLOOKUP($B55,Tabla1[SERVICIO],Tabla1[VALOR])*1),IF(P55&gt;=1,_xlfn.XLOOKUP($B55,Tabla1[SERVICIO],Tabla1[VALOR]*P55),0))</f>
        <v>0</v>
      </c>
      <c r="R55" s="14"/>
      <c r="S55" s="56" cm="1">
        <f t="array" ref="S55">IF(R55="X",(_xlfn.XLOOKUP($B55,Tabla1[SERVICIO],Tabla1[VALOR])*1),IF(R55&gt;=1,_xlfn.XLOOKUP($B55,Tabla1[SERVICIO],Tabla1[VALOR]*R55),0))</f>
        <v>0</v>
      </c>
      <c r="T55" s="14"/>
      <c r="U55" s="56" cm="1">
        <f t="array" ref="U55">IF(T55="X",(_xlfn.XLOOKUP($B55,Tabla1[SERVICIO],Tabla1[VALOR])*1),IF(T55&gt;=1,_xlfn.XLOOKUP($B55,Tabla1[SERVICIO],Tabla1[VALOR]*T55),0))</f>
        <v>0</v>
      </c>
      <c r="V55" s="14"/>
      <c r="W55" s="56" cm="1">
        <f t="array" ref="W55">IF(V55="X",(_xlfn.XLOOKUP($B55,Tabla1[SERVICIO],Tabla1[VALOR])*1),IF(V55&gt;=1,_xlfn.XLOOKUP($B55,Tabla1[SERVICIO],Tabla1[VALOR]*V55),0))</f>
        <v>0</v>
      </c>
      <c r="X55" s="14"/>
      <c r="Y55" s="56" cm="1">
        <f t="array" ref="Y55">IF(X55="X",(_xlfn.XLOOKUP($B55,Tabla1[SERVICIO],Tabla1[VALOR])*1),IF(X55&gt;=1,_xlfn.XLOOKUP($B55,Tabla1[SERVICIO],Tabla1[VALOR]*X55),0))</f>
        <v>0</v>
      </c>
      <c r="Z55" s="14"/>
      <c r="AA55" s="56">
        <v>0</v>
      </c>
      <c r="AB55" s="14"/>
      <c r="AC55" s="56">
        <v>0</v>
      </c>
      <c r="AD55" s="14"/>
      <c r="AE55" s="56">
        <v>0</v>
      </c>
      <c r="AF55" s="14"/>
      <c r="AG55" s="56">
        <v>0</v>
      </c>
      <c r="AH55" s="14"/>
      <c r="AI55" s="56">
        <v>0</v>
      </c>
      <c r="AJ55" s="14"/>
      <c r="AK55" s="56">
        <v>0</v>
      </c>
      <c r="AL55" s="14"/>
      <c r="AM55" s="56" cm="1">
        <f t="array" ref="AM55">IF(AL55="X",(_xlfn.XLOOKUP($B55,Tabla1[SERVICIO],Tabla1[VALOR])*1),IF(AL55&gt;=1,_xlfn.XLOOKUP($B55,Tabla1[SERVICIO],Tabla1[VALOR]*AL55),0))</f>
        <v>0</v>
      </c>
      <c r="AN55" s="81">
        <f t="shared" si="1"/>
        <v>77398.098568534639</v>
      </c>
      <c r="AO55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5" s="122" t="s">
        <v>319</v>
      </c>
      <c r="AQ55" s="127">
        <v>3.1963470319634701E-2</v>
      </c>
      <c r="AR55" s="121">
        <f>+Tabla4615[[#This Row],[% de las personas que lo usaron]]*Tabla4615[[#This Row],[COSTO19]]</f>
        <v>2473.9118263915179</v>
      </c>
      <c r="AS55" s="82" t="s">
        <v>350</v>
      </c>
      <c r="AT55" s="335">
        <v>18</v>
      </c>
    </row>
    <row r="56" spans="1:46" x14ac:dyDescent="0.25">
      <c r="A56" s="7" t="s">
        <v>46</v>
      </c>
      <c r="B56" s="8" t="s">
        <v>47</v>
      </c>
      <c r="C56" s="96" t="str">
        <f>_xlfn.XLOOKUP(Tabla4615[[#This Row],[Servicios del Programa:]],Tabla151[CODIGO],Tabla151[VALOR])</f>
        <v>Consultas</v>
      </c>
      <c r="D56" s="14">
        <v>1</v>
      </c>
      <c r="E56" s="56" cm="1">
        <f t="array" ref="E56">IF(D56="X",_xlfn.XLOOKUP(Tabla4615[[#This Row],[Programa Rehabilitacion Pulmonar / Hipertensiòn]],Tabla1[SERVICIO],Tabla1[VALOR]*1),IF(D56&gt;=1,_xlfn.XLOOKUP(Tabla4615[[#This Row],[Programa Rehabilitacion Pulmonar / Hipertensiòn]],Tabla1[SERVICIO],Tabla1[VALOR]*D56),""))</f>
        <v>83398.098568534639</v>
      </c>
      <c r="F56" s="8"/>
      <c r="G56" s="56" cm="1">
        <f t="array" ref="G56">IF(F56="X",(_xlfn.XLOOKUP($B56,Tabla1[SERVICIO],Tabla1[VALOR])*1),IF(F56&gt;=1,_xlfn.XLOOKUP($B56,Tabla1[SERVICIO],Tabla1[VALOR]*F56),0))</f>
        <v>0</v>
      </c>
      <c r="H56" s="8"/>
      <c r="I56" s="56" cm="1">
        <f t="array" ref="I56">IF(H56="X",(_xlfn.XLOOKUP($B56,Tabla1[SERVICIO],Tabla1[VALOR])*1),IF(H56&gt;=1,_xlfn.XLOOKUP($B56,Tabla1[SERVICIO],Tabla1[VALOR]*H56),0))</f>
        <v>0</v>
      </c>
      <c r="J56" s="8"/>
      <c r="K56" s="56" cm="1">
        <f t="array" ref="K56">IF(J56="X",(_xlfn.XLOOKUP($B56,Tabla1[SERVICIO],Tabla1[VALOR])*1),IF(J56&gt;=1,_xlfn.XLOOKUP($B56,Tabla1[SERVICIO],Tabla1[VALOR]*J56),0))</f>
        <v>0</v>
      </c>
      <c r="L56" s="8"/>
      <c r="M56" s="56" cm="1">
        <f t="array" ref="M56">IF(L56="X",(_xlfn.XLOOKUP($B56,Tabla1[SERVICIO],Tabla1[VALOR])*1),IF(L56&gt;=1,_xlfn.XLOOKUP($B56,Tabla1[SERVICIO],Tabla1[VALOR]*L56),0))</f>
        <v>0</v>
      </c>
      <c r="N56" s="8"/>
      <c r="O56" s="56" cm="1">
        <f t="array" ref="O56">IF(N56="X",(_xlfn.XLOOKUP($B56,Tabla1[SERVICIO],Tabla1[VALOR])*1),IF(N56&gt;=1,_xlfn.XLOOKUP($B56,Tabla1[SERVICIO],Tabla1[VALOR]*N56),0))</f>
        <v>0</v>
      </c>
      <c r="P56" s="8"/>
      <c r="Q56" s="56" cm="1">
        <f t="array" ref="Q56">IF(P56="X",(_xlfn.XLOOKUP($B56,Tabla1[SERVICIO],Tabla1[VALOR])*1),IF(P56&gt;=1,_xlfn.XLOOKUP($B56,Tabla1[SERVICIO],Tabla1[VALOR]*P56),0))</f>
        <v>0</v>
      </c>
      <c r="R56" s="8"/>
      <c r="S56" s="56" cm="1">
        <f t="array" ref="S56">IF(R56="X",(_xlfn.XLOOKUP($B56,Tabla1[SERVICIO],Tabla1[VALOR])*1),IF(R56&gt;=1,_xlfn.XLOOKUP($B56,Tabla1[SERVICIO],Tabla1[VALOR]*R56),0))</f>
        <v>0</v>
      </c>
      <c r="T56" s="8"/>
      <c r="U56" s="56" cm="1">
        <f t="array" ref="U56">IF(T56="X",(_xlfn.XLOOKUP($B56,Tabla1[SERVICIO],Tabla1[VALOR])*1),IF(T56&gt;=1,_xlfn.XLOOKUP($B56,Tabla1[SERVICIO],Tabla1[VALOR]*T56),0))</f>
        <v>0</v>
      </c>
      <c r="V56" s="8"/>
      <c r="W56" s="56" cm="1">
        <f t="array" ref="W56">IF(V56="X",(_xlfn.XLOOKUP($B56,Tabla1[SERVICIO],Tabla1[VALOR])*1),IF(V56&gt;=1,_xlfn.XLOOKUP($B56,Tabla1[SERVICIO],Tabla1[VALOR]*V56),0))</f>
        <v>0</v>
      </c>
      <c r="X56" s="8"/>
      <c r="Y56" s="56" cm="1">
        <f t="array" ref="Y56">IF(X56="X",(_xlfn.XLOOKUP($B56,Tabla1[SERVICIO],Tabla1[VALOR])*1),IF(X56&gt;=1,_xlfn.XLOOKUP($B56,Tabla1[SERVICIO],Tabla1[VALOR]*X56),0))</f>
        <v>0</v>
      </c>
      <c r="Z56" s="8"/>
      <c r="AA56" s="56">
        <v>0</v>
      </c>
      <c r="AB56" s="8"/>
      <c r="AC56" s="56">
        <v>0</v>
      </c>
      <c r="AD56" s="8"/>
      <c r="AE56" s="56">
        <v>0</v>
      </c>
      <c r="AF56" s="8"/>
      <c r="AG56" s="56">
        <v>0</v>
      </c>
      <c r="AH56" s="8"/>
      <c r="AI56" s="56">
        <v>0</v>
      </c>
      <c r="AJ56" s="8"/>
      <c r="AK56" s="56">
        <v>0</v>
      </c>
      <c r="AL56" s="8"/>
      <c r="AM56" s="56" cm="1">
        <f t="array" ref="AM56">IF(AL56="X",(_xlfn.XLOOKUP($B56,Tabla1[SERVICIO],Tabla1[VALOR])*1),IF(AL56&gt;=1,_xlfn.XLOOKUP($B56,Tabla1[SERVICIO],Tabla1[VALOR]*AL56),0))</f>
        <v>0</v>
      </c>
      <c r="AN56" s="81">
        <f t="shared" si="1"/>
        <v>83398.098568534639</v>
      </c>
      <c r="AO56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6" s="122" t="s">
        <v>318</v>
      </c>
      <c r="AQ56" s="127">
        <v>1</v>
      </c>
      <c r="AR56" s="121">
        <f>+Tabla4615[[#This Row],[% de las personas que lo usaron]]*Tabla4615[[#This Row],[COSTO19]]</f>
        <v>83398.098568534639</v>
      </c>
      <c r="AS56" s="82" t="s">
        <v>350</v>
      </c>
      <c r="AT56" s="335">
        <v>18</v>
      </c>
    </row>
    <row r="57" spans="1:46" x14ac:dyDescent="0.25">
      <c r="A57" s="7" t="s">
        <v>52</v>
      </c>
      <c r="B57" s="8" t="s">
        <v>191</v>
      </c>
      <c r="C57" s="96" t="str">
        <f>_xlfn.XLOOKUP(Tabla4615[[#This Row],[Servicios del Programa:]],Tabla151[CODIGO],Tabla151[VALOR])</f>
        <v>Consultas</v>
      </c>
      <c r="D57" s="14">
        <v>1</v>
      </c>
      <c r="E57" s="56" cm="1">
        <f t="array" ref="E57">IF(D57="X",_xlfn.XLOOKUP(Tabla4615[[#This Row],[Programa Rehabilitacion Pulmonar / Hipertensiòn]],Tabla1[SERVICIO],Tabla1[VALOR]*1),IF(D57&gt;=1,_xlfn.XLOOKUP(Tabla4615[[#This Row],[Programa Rehabilitacion Pulmonar / Hipertensiòn]],Tabla1[SERVICIO],Tabla1[VALOR]*D57),""))</f>
        <v>26897.079640267821</v>
      </c>
      <c r="F57" s="8"/>
      <c r="G57" s="56" cm="1">
        <f t="array" ref="G57">IF(F57="X",(_xlfn.XLOOKUP($B57,Tabla1[SERVICIO],Tabla1[VALOR])*1),IF(F57&gt;=1,_xlfn.XLOOKUP($B57,Tabla1[SERVICIO],Tabla1[VALOR]*F57),0))</f>
        <v>0</v>
      </c>
      <c r="H57" s="8"/>
      <c r="I57" s="56" cm="1">
        <f t="array" ref="I57">IF(H57="X",(_xlfn.XLOOKUP($B57,Tabla1[SERVICIO],Tabla1[VALOR])*1),IF(H57&gt;=1,_xlfn.XLOOKUP($B57,Tabla1[SERVICIO],Tabla1[VALOR]*H57),0))</f>
        <v>0</v>
      </c>
      <c r="J57" s="8"/>
      <c r="K57" s="56" cm="1">
        <f t="array" ref="K57">IF(J57="X",(_xlfn.XLOOKUP($B57,Tabla1[SERVICIO],Tabla1[VALOR])*1),IF(J57&gt;=1,_xlfn.XLOOKUP($B57,Tabla1[SERVICIO],Tabla1[VALOR]*J57),0))</f>
        <v>0</v>
      </c>
      <c r="L57" s="8"/>
      <c r="M57" s="56" cm="1">
        <f t="array" ref="M57">IF(L57="X",(_xlfn.XLOOKUP($B57,Tabla1[SERVICIO],Tabla1[VALOR])*1),IF(L57&gt;=1,_xlfn.XLOOKUP($B57,Tabla1[SERVICIO],Tabla1[VALOR]*L57),0))</f>
        <v>0</v>
      </c>
      <c r="N57" s="8"/>
      <c r="O57" s="56" cm="1">
        <f t="array" ref="O57">IF(N57="X",(_xlfn.XLOOKUP($B57,Tabla1[SERVICIO],Tabla1[VALOR])*1),IF(N57&gt;=1,_xlfn.XLOOKUP($B57,Tabla1[SERVICIO],Tabla1[VALOR]*N57),0))</f>
        <v>0</v>
      </c>
      <c r="P57" s="8"/>
      <c r="Q57" s="56" cm="1">
        <f t="array" ref="Q57">IF(P57="X",(_xlfn.XLOOKUP($B57,Tabla1[SERVICIO],Tabla1[VALOR])*1),IF(P57&gt;=1,_xlfn.XLOOKUP($B57,Tabla1[SERVICIO],Tabla1[VALOR]*P57),0))</f>
        <v>0</v>
      </c>
      <c r="R57" s="8"/>
      <c r="S57" s="56" cm="1">
        <f t="array" ref="S57">IF(R57="X",(_xlfn.XLOOKUP($B57,Tabla1[SERVICIO],Tabla1[VALOR])*1),IF(R57&gt;=1,_xlfn.XLOOKUP($B57,Tabla1[SERVICIO],Tabla1[VALOR]*R57),0))</f>
        <v>0</v>
      </c>
      <c r="T57" s="8"/>
      <c r="U57" s="56" cm="1">
        <f t="array" ref="U57">IF(T57="X",(_xlfn.XLOOKUP($B57,Tabla1[SERVICIO],Tabla1[VALOR])*1),IF(T57&gt;=1,_xlfn.XLOOKUP($B57,Tabla1[SERVICIO],Tabla1[VALOR]*T57),0))</f>
        <v>0</v>
      </c>
      <c r="V57" s="8"/>
      <c r="W57" s="56" cm="1">
        <f t="array" ref="W57">IF(V57="X",(_xlfn.XLOOKUP($B57,Tabla1[SERVICIO],Tabla1[VALOR])*1),IF(V57&gt;=1,_xlfn.XLOOKUP($B57,Tabla1[SERVICIO],Tabla1[VALOR]*V57),0))</f>
        <v>0</v>
      </c>
      <c r="X57" s="8"/>
      <c r="Y57" s="56" cm="1">
        <f t="array" ref="Y57">IF(X57="X",(_xlfn.XLOOKUP($B57,Tabla1[SERVICIO],Tabla1[VALOR])*1),IF(X57&gt;=1,_xlfn.XLOOKUP($B57,Tabla1[SERVICIO],Tabla1[VALOR]*X57),0))</f>
        <v>0</v>
      </c>
      <c r="Z57" s="8"/>
      <c r="AA57" s="56">
        <v>0</v>
      </c>
      <c r="AB57" s="8"/>
      <c r="AC57" s="56">
        <v>0</v>
      </c>
      <c r="AD57" s="8"/>
      <c r="AE57" s="56">
        <v>0</v>
      </c>
      <c r="AF57" s="8"/>
      <c r="AG57" s="56">
        <v>0</v>
      </c>
      <c r="AH57" s="8"/>
      <c r="AI57" s="56">
        <v>0</v>
      </c>
      <c r="AJ57" s="8"/>
      <c r="AK57" s="56">
        <v>0</v>
      </c>
      <c r="AL57" s="8"/>
      <c r="AM57" s="56" cm="1">
        <f t="array" ref="AM57">IF(AL57="X",(_xlfn.XLOOKUP($B57,Tabla1[SERVICIO],Tabla1[VALOR])*1),IF(AL57&gt;=1,_xlfn.XLOOKUP($B57,Tabla1[SERVICIO],Tabla1[VALOR]*AL57),0))</f>
        <v>0</v>
      </c>
      <c r="AN57" s="81">
        <f t="shared" si="1"/>
        <v>26897.079640267821</v>
      </c>
      <c r="AO57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7" s="122" t="s">
        <v>318</v>
      </c>
      <c r="AQ57" s="127">
        <v>1</v>
      </c>
      <c r="AR57" s="121">
        <f>+Tabla4615[[#This Row],[% de las personas que lo usaron]]*Tabla4615[[#This Row],[COSTO19]]</f>
        <v>26897.079640267821</v>
      </c>
      <c r="AS57" s="82" t="s">
        <v>350</v>
      </c>
      <c r="AT57" s="335">
        <v>18</v>
      </c>
    </row>
    <row r="58" spans="1:46" x14ac:dyDescent="0.25">
      <c r="A58" s="7" t="s">
        <v>53</v>
      </c>
      <c r="B58" s="8" t="s">
        <v>230</v>
      </c>
      <c r="C58" s="96" t="str">
        <f>_xlfn.XLOOKUP(Tabla4615[[#This Row],[Servicios del Programa:]],Tabla151[CODIGO],Tabla151[VALOR])</f>
        <v>Consultas</v>
      </c>
      <c r="D58" s="14">
        <v>1</v>
      </c>
      <c r="E58" s="56" cm="1">
        <f t="array" ref="E58">IF(D58="X",_xlfn.XLOOKUP(Tabla4615[[#This Row],[Programa Rehabilitacion Pulmonar / Hipertensiòn]],Tabla1[SERVICIO],Tabla1[VALOR]*1),IF(D58&gt;=1,_xlfn.XLOOKUP(Tabla4615[[#This Row],[Programa Rehabilitacion Pulmonar / Hipertensiòn]],Tabla1[SERVICIO],Tabla1[VALOR]*D58),""))</f>
        <v>26897.079640267817</v>
      </c>
      <c r="F58" s="14"/>
      <c r="G58" s="56" cm="1">
        <f t="array" ref="G58">IF(F58="X",(_xlfn.XLOOKUP($B58,Tabla1[SERVICIO],Tabla1[VALOR])*1),IF(F58&gt;=1,_xlfn.XLOOKUP($B58,Tabla1[SERVICIO],Tabla1[VALOR]*F58),0))</f>
        <v>0</v>
      </c>
      <c r="H58" s="14"/>
      <c r="I58" s="56" cm="1">
        <f t="array" ref="I58">IF(H58="X",(_xlfn.XLOOKUP($B58,Tabla1[SERVICIO],Tabla1[VALOR])*1),IF(H58&gt;=1,_xlfn.XLOOKUP($B58,Tabla1[SERVICIO],Tabla1[VALOR]*H58),0))</f>
        <v>0</v>
      </c>
      <c r="J58" s="14"/>
      <c r="K58" s="56" cm="1">
        <f t="array" ref="K58">IF(J58="X",(_xlfn.XLOOKUP($B58,Tabla1[SERVICIO],Tabla1[VALOR])*1),IF(J58&gt;=1,_xlfn.XLOOKUP($B58,Tabla1[SERVICIO],Tabla1[VALOR]*J58),0))</f>
        <v>0</v>
      </c>
      <c r="L58" s="14"/>
      <c r="M58" s="56" cm="1">
        <f t="array" ref="M58">IF(L58="X",(_xlfn.XLOOKUP($B58,Tabla1[SERVICIO],Tabla1[VALOR])*1),IF(L58&gt;=1,_xlfn.XLOOKUP($B58,Tabla1[SERVICIO],Tabla1[VALOR]*L58),0))</f>
        <v>0</v>
      </c>
      <c r="N58" s="14"/>
      <c r="O58" s="56" cm="1">
        <f t="array" ref="O58">IF(N58="X",(_xlfn.XLOOKUP($B58,Tabla1[SERVICIO],Tabla1[VALOR])*1),IF(N58&gt;=1,_xlfn.XLOOKUP($B58,Tabla1[SERVICIO],Tabla1[VALOR]*N58),0))</f>
        <v>0</v>
      </c>
      <c r="P58" s="14"/>
      <c r="Q58" s="56" cm="1">
        <f t="array" ref="Q58">IF(P58="X",(_xlfn.XLOOKUP($B58,Tabla1[SERVICIO],Tabla1[VALOR])*1),IF(P58&gt;=1,_xlfn.XLOOKUP($B58,Tabla1[SERVICIO],Tabla1[VALOR]*P58),0))</f>
        <v>0</v>
      </c>
      <c r="R58" s="14"/>
      <c r="S58" s="56" cm="1">
        <f t="array" ref="S58">IF(R58="X",(_xlfn.XLOOKUP($B58,Tabla1[SERVICIO],Tabla1[VALOR])*1),IF(R58&gt;=1,_xlfn.XLOOKUP($B58,Tabla1[SERVICIO],Tabla1[VALOR]*R58),0))</f>
        <v>0</v>
      </c>
      <c r="T58" s="14"/>
      <c r="U58" s="56" cm="1">
        <f t="array" ref="U58">IF(T58="X",(_xlfn.XLOOKUP($B58,Tabla1[SERVICIO],Tabla1[VALOR])*1),IF(T58&gt;=1,_xlfn.XLOOKUP($B58,Tabla1[SERVICIO],Tabla1[VALOR]*T58),0))</f>
        <v>0</v>
      </c>
      <c r="V58" s="14"/>
      <c r="W58" s="56" cm="1">
        <f t="array" ref="W58">IF(V58="X",(_xlfn.XLOOKUP($B58,Tabla1[SERVICIO],Tabla1[VALOR])*1),IF(V58&gt;=1,_xlfn.XLOOKUP($B58,Tabla1[SERVICIO],Tabla1[VALOR]*V58),0))</f>
        <v>0</v>
      </c>
      <c r="X58" s="14"/>
      <c r="Y58" s="56" cm="1">
        <f t="array" ref="Y58">IF(X58="X",(_xlfn.XLOOKUP($B58,Tabla1[SERVICIO],Tabla1[VALOR])*1),IF(X58&gt;=1,_xlfn.XLOOKUP($B58,Tabla1[SERVICIO],Tabla1[VALOR]*X58),0))</f>
        <v>0</v>
      </c>
      <c r="Z58" s="14"/>
      <c r="AA58" s="56">
        <v>0</v>
      </c>
      <c r="AB58" s="14"/>
      <c r="AC58" s="56">
        <v>0</v>
      </c>
      <c r="AD58" s="14"/>
      <c r="AE58" s="56">
        <v>0</v>
      </c>
      <c r="AF58" s="14"/>
      <c r="AG58" s="56">
        <v>0</v>
      </c>
      <c r="AH58" s="14"/>
      <c r="AI58" s="56">
        <v>0</v>
      </c>
      <c r="AJ58" s="14"/>
      <c r="AK58" s="56">
        <v>0</v>
      </c>
      <c r="AL58" s="14"/>
      <c r="AM58" s="56" cm="1">
        <f t="array" ref="AM58">IF(AL58="X",(_xlfn.XLOOKUP($B58,Tabla1[SERVICIO],Tabla1[VALOR])*1),IF(AL58&gt;=1,_xlfn.XLOOKUP($B58,Tabla1[SERVICIO],Tabla1[VALOR]*AL58),0))</f>
        <v>0</v>
      </c>
      <c r="AN58" s="81">
        <f t="shared" si="1"/>
        <v>26897.079640267817</v>
      </c>
      <c r="AO58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8" s="122" t="s">
        <v>319</v>
      </c>
      <c r="AQ58" s="127">
        <v>4.5662100456621002E-3</v>
      </c>
      <c r="AR58" s="121">
        <f>+Tabla4615[[#This Row],[% de las personas que lo usaron]]*Tabla4615[[#This Row],[COSTO19]]</f>
        <v>122.81771525236445</v>
      </c>
      <c r="AS58" s="82" t="s">
        <v>350</v>
      </c>
      <c r="AT58" s="335">
        <v>18</v>
      </c>
    </row>
    <row r="59" spans="1:46" x14ac:dyDescent="0.25">
      <c r="A59" s="7" t="s">
        <v>98</v>
      </c>
      <c r="B59" s="8" t="s">
        <v>99</v>
      </c>
      <c r="C59" s="96" t="str">
        <f>_xlfn.XLOOKUP(Tabla4615[[#This Row],[Servicios del Programa:]],Tabla151[CODIGO],Tabla151[VALOR])</f>
        <v>Consultas</v>
      </c>
      <c r="D59" s="14">
        <v>1</v>
      </c>
      <c r="E59" s="56" cm="1">
        <f t="array" ref="E59">IF(D59="X",_xlfn.XLOOKUP(Tabla4615[[#This Row],[Programa Rehabilitacion Pulmonar / Hipertensiòn]],Tabla1[SERVICIO],Tabla1[VALOR]*1),IF(D59&gt;=1,_xlfn.XLOOKUP(Tabla4615[[#This Row],[Programa Rehabilitacion Pulmonar / Hipertensiòn]],Tabla1[SERVICIO],Tabla1[VALOR]*D59),""))</f>
        <v>17887.388810409495</v>
      </c>
      <c r="F59" s="8"/>
      <c r="G59" s="56" cm="1">
        <f t="array" ref="G59">IF(F59="X",(_xlfn.XLOOKUP($B59,Tabla1[SERVICIO],Tabla1[VALOR])*1),IF(F59&gt;=1,_xlfn.XLOOKUP($B59,Tabla1[SERVICIO],Tabla1[VALOR]*F59),0))</f>
        <v>0</v>
      </c>
      <c r="H59" s="8"/>
      <c r="I59" s="56" cm="1">
        <f t="array" ref="I59">IF(H59="X",(_xlfn.XLOOKUP($B59,Tabla1[SERVICIO],Tabla1[VALOR])*1),IF(H59&gt;=1,_xlfn.XLOOKUP($B59,Tabla1[SERVICIO],Tabla1[VALOR]*H59),0))</f>
        <v>0</v>
      </c>
      <c r="J59" s="8"/>
      <c r="K59" s="56" cm="1">
        <f t="array" ref="K59">IF(J59="X",(_xlfn.XLOOKUP($B59,Tabla1[SERVICIO],Tabla1[VALOR])*1),IF(J59&gt;=1,_xlfn.XLOOKUP($B59,Tabla1[SERVICIO],Tabla1[VALOR]*J59),0))</f>
        <v>0</v>
      </c>
      <c r="L59" s="8"/>
      <c r="M59" s="56" cm="1">
        <f t="array" ref="M59">IF(L59="X",(_xlfn.XLOOKUP($B59,Tabla1[SERVICIO],Tabla1[VALOR])*1),IF(L59&gt;=1,_xlfn.XLOOKUP($B59,Tabla1[SERVICIO],Tabla1[VALOR]*L59),0))</f>
        <v>0</v>
      </c>
      <c r="N59" s="8"/>
      <c r="O59" s="56" cm="1">
        <f t="array" ref="O59">IF(N59="X",(_xlfn.XLOOKUP($B59,Tabla1[SERVICIO],Tabla1[VALOR])*1),IF(N59&gt;=1,_xlfn.XLOOKUP($B59,Tabla1[SERVICIO],Tabla1[VALOR]*N59),0))</f>
        <v>0</v>
      </c>
      <c r="P59" s="8"/>
      <c r="Q59" s="56" cm="1">
        <f t="array" ref="Q59">IF(P59="X",(_xlfn.XLOOKUP($B59,Tabla1[SERVICIO],Tabla1[VALOR])*1),IF(P59&gt;=1,_xlfn.XLOOKUP($B59,Tabla1[SERVICIO],Tabla1[VALOR]*P59),0))</f>
        <v>0</v>
      </c>
      <c r="R59" s="8"/>
      <c r="S59" s="56" cm="1">
        <f t="array" ref="S59">IF(R59="X",(_xlfn.XLOOKUP($B59,Tabla1[SERVICIO],Tabla1[VALOR])*1),IF(R59&gt;=1,_xlfn.XLOOKUP($B59,Tabla1[SERVICIO],Tabla1[VALOR]*R59),0))</f>
        <v>0</v>
      </c>
      <c r="T59" s="8"/>
      <c r="U59" s="56" cm="1">
        <f t="array" ref="U59">IF(T59="X",(_xlfn.XLOOKUP($B59,Tabla1[SERVICIO],Tabla1[VALOR])*1),IF(T59&gt;=1,_xlfn.XLOOKUP($B59,Tabla1[SERVICIO],Tabla1[VALOR]*T59),0))</f>
        <v>0</v>
      </c>
      <c r="V59" s="8"/>
      <c r="W59" s="56" cm="1">
        <f t="array" ref="W59">IF(V59="X",(_xlfn.XLOOKUP($B59,Tabla1[SERVICIO],Tabla1[VALOR])*1),IF(V59&gt;=1,_xlfn.XLOOKUP($B59,Tabla1[SERVICIO],Tabla1[VALOR]*V59),0))</f>
        <v>0</v>
      </c>
      <c r="X59" s="8"/>
      <c r="Y59" s="56" cm="1">
        <f t="array" ref="Y59">IF(X59="X",(_xlfn.XLOOKUP($B59,Tabla1[SERVICIO],Tabla1[VALOR])*1),IF(X59&gt;=1,_xlfn.XLOOKUP($B59,Tabla1[SERVICIO],Tabla1[VALOR]*X59),0))</f>
        <v>0</v>
      </c>
      <c r="Z59" s="8"/>
      <c r="AA59" s="56">
        <v>0</v>
      </c>
      <c r="AB59" s="8"/>
      <c r="AC59" s="56">
        <v>0</v>
      </c>
      <c r="AD59" s="8"/>
      <c r="AE59" s="56">
        <v>0</v>
      </c>
      <c r="AF59" s="8"/>
      <c r="AG59" s="56">
        <v>0</v>
      </c>
      <c r="AH59" s="8"/>
      <c r="AI59" s="56">
        <v>0</v>
      </c>
      <c r="AJ59" s="8"/>
      <c r="AK59" s="56">
        <v>0</v>
      </c>
      <c r="AL59" s="8"/>
      <c r="AM59" s="56" cm="1">
        <f t="array" ref="AM59">IF(AL59="X",(_xlfn.XLOOKUP($B59,Tabla1[SERVICIO],Tabla1[VALOR])*1),IF(AL59&gt;=1,_xlfn.XLOOKUP($B59,Tabla1[SERVICIO],Tabla1[VALOR]*AL59),0))</f>
        <v>0</v>
      </c>
      <c r="AN59" s="81">
        <f t="shared" si="1"/>
        <v>17887.388810409495</v>
      </c>
      <c r="AO59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9" s="122" t="s">
        <v>318</v>
      </c>
      <c r="AQ59" s="127">
        <v>1</v>
      </c>
      <c r="AR59" s="121">
        <f>+Tabla4615[[#This Row],[% de las personas que lo usaron]]*Tabla4615[[#This Row],[COSTO19]]</f>
        <v>17887.388810409495</v>
      </c>
      <c r="AS59" s="82" t="s">
        <v>350</v>
      </c>
      <c r="AT59" s="335">
        <v>18</v>
      </c>
    </row>
    <row r="60" spans="1:46" x14ac:dyDescent="0.25">
      <c r="A60" s="7" t="s">
        <v>104</v>
      </c>
      <c r="B60" s="8" t="s">
        <v>105</v>
      </c>
      <c r="C60" s="96" t="str">
        <f>_xlfn.XLOOKUP(Tabla4615[[#This Row],[Servicios del Programa:]],Tabla151[CODIGO],Tabla151[VALOR])</f>
        <v>Consultas</v>
      </c>
      <c r="D60" s="14"/>
      <c r="E60" s="56" t="str" cm="1">
        <f t="array" ref="E60">IF(D60="X",_xlfn.XLOOKUP(Tabla4615[[#This Row],[Programa Rehabilitacion Pulmonar / Hipertensiòn]],Tabla1[SERVICIO],Tabla1[VALOR]*1),IF(D60&gt;=1,_xlfn.XLOOKUP(Tabla4615[[#This Row],[Programa Rehabilitacion Pulmonar / Hipertensiòn]],Tabla1[SERVICIO],Tabla1[VALOR]*D60),""))</f>
        <v/>
      </c>
      <c r="F60" s="8"/>
      <c r="G60" s="56" cm="1">
        <f t="array" ref="G60">IF(F60="X",(_xlfn.XLOOKUP($B60,Tabla1[SERVICIO],Tabla1[VALOR])*1),IF(F60&gt;=1,_xlfn.XLOOKUP($B60,Tabla1[SERVICIO],Tabla1[VALOR]*F60),0))</f>
        <v>0</v>
      </c>
      <c r="H60" s="8"/>
      <c r="I60" s="56" cm="1">
        <f t="array" ref="I60">IF(H60="X",(_xlfn.XLOOKUP($B60,Tabla1[SERVICIO],Tabla1[VALOR])*1),IF(H60&gt;=1,_xlfn.XLOOKUP($B60,Tabla1[SERVICIO],Tabla1[VALOR]*H60),0))</f>
        <v>0</v>
      </c>
      <c r="J60" s="8"/>
      <c r="K60" s="56" cm="1">
        <f t="array" ref="K60">IF(J60="X",(_xlfn.XLOOKUP($B60,Tabla1[SERVICIO],Tabla1[VALOR])*1),IF(J60&gt;=1,_xlfn.XLOOKUP($B60,Tabla1[SERVICIO],Tabla1[VALOR]*J60),0))</f>
        <v>0</v>
      </c>
      <c r="L60" s="8"/>
      <c r="M60" s="56" cm="1">
        <f t="array" ref="M60">IF(L60="X",(_xlfn.XLOOKUP($B60,Tabla1[SERVICIO],Tabla1[VALOR])*1),IF(L60&gt;=1,_xlfn.XLOOKUP($B60,Tabla1[SERVICIO],Tabla1[VALOR]*L60),0))</f>
        <v>0</v>
      </c>
      <c r="N60" s="8"/>
      <c r="O60" s="56" cm="1">
        <f t="array" ref="O60">IF(N60="X",(_xlfn.XLOOKUP($B60,Tabla1[SERVICIO],Tabla1[VALOR])*1),IF(N60&gt;=1,_xlfn.XLOOKUP($B60,Tabla1[SERVICIO],Tabla1[VALOR]*N60),0))</f>
        <v>0</v>
      </c>
      <c r="P60" s="8"/>
      <c r="Q60" s="56" cm="1">
        <f t="array" ref="Q60">IF(P60="X",(_xlfn.XLOOKUP($B60,Tabla1[SERVICIO],Tabla1[VALOR])*1),IF(P60&gt;=1,_xlfn.XLOOKUP($B60,Tabla1[SERVICIO],Tabla1[VALOR]*P60),0))</f>
        <v>0</v>
      </c>
      <c r="R60" s="8"/>
      <c r="S60" s="56" cm="1">
        <f t="array" ref="S60">IF(R60="X",(_xlfn.XLOOKUP($B60,Tabla1[SERVICIO],Tabla1[VALOR])*1),IF(R60&gt;=1,_xlfn.XLOOKUP($B60,Tabla1[SERVICIO],Tabla1[VALOR]*R60),0))</f>
        <v>0</v>
      </c>
      <c r="T60" s="8"/>
      <c r="U60" s="56" cm="1">
        <f t="array" ref="U60">IF(T60="X",(_xlfn.XLOOKUP($B60,Tabla1[SERVICIO],Tabla1[VALOR])*1),IF(T60&gt;=1,_xlfn.XLOOKUP($B60,Tabla1[SERVICIO],Tabla1[VALOR]*T60),0))</f>
        <v>0</v>
      </c>
      <c r="V60" s="8"/>
      <c r="W60" s="56" cm="1">
        <f t="array" ref="W60">IF(V60="X",(_xlfn.XLOOKUP($B60,Tabla1[SERVICIO],Tabla1[VALOR])*1),IF(V60&gt;=1,_xlfn.XLOOKUP($B60,Tabla1[SERVICIO],Tabla1[VALOR]*V60),0))</f>
        <v>0</v>
      </c>
      <c r="X60" s="8"/>
      <c r="Y60" s="56" cm="1">
        <f t="array" ref="Y60">IF(X60="X",(_xlfn.XLOOKUP($B60,Tabla1[SERVICIO],Tabla1[VALOR])*1),IF(X60&gt;=1,_xlfn.XLOOKUP($B60,Tabla1[SERVICIO],Tabla1[VALOR]*X60),0))</f>
        <v>0</v>
      </c>
      <c r="Z60" s="15"/>
      <c r="AA60" s="56">
        <v>0</v>
      </c>
      <c r="AB60" s="8"/>
      <c r="AC60" s="56">
        <v>0</v>
      </c>
      <c r="AD60" s="8"/>
      <c r="AE60" s="56">
        <v>0</v>
      </c>
      <c r="AF60" s="8"/>
      <c r="AG60" s="56">
        <v>0</v>
      </c>
      <c r="AH60" s="8"/>
      <c r="AI60" s="56">
        <v>0</v>
      </c>
      <c r="AJ60" s="8"/>
      <c r="AK60" s="56">
        <v>0</v>
      </c>
      <c r="AL60" s="15">
        <v>1</v>
      </c>
      <c r="AM60" s="56" cm="1">
        <f t="array" ref="AM60">IF(AL60="X",(_xlfn.XLOOKUP($B60,Tabla1[SERVICIO],Tabla1[VALOR])*1),IF(AL60&gt;=1,_xlfn.XLOOKUP($B60,Tabla1[SERVICIO],Tabla1[VALOR]*AL60),0))</f>
        <v>17887.388810409495</v>
      </c>
      <c r="AN60" s="81">
        <f t="shared" si="1"/>
        <v>17887.388810409495</v>
      </c>
      <c r="AO60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60" s="122" t="s">
        <v>319</v>
      </c>
      <c r="AQ60" s="127">
        <v>4.1095890410958902E-2</v>
      </c>
      <c r="AR60" s="121">
        <f>+Tabla4615[[#This Row],[% de las personas que lo usaron]]*Tabla4615[[#This Row],[COSTO19]]</f>
        <v>735.09817029080114</v>
      </c>
      <c r="AS60" s="82" t="s">
        <v>350</v>
      </c>
      <c r="AT60" s="335">
        <v>18</v>
      </c>
    </row>
    <row r="61" spans="1:46" x14ac:dyDescent="0.25">
      <c r="A61" s="7" t="s">
        <v>50</v>
      </c>
      <c r="B61" s="8" t="s">
        <v>101</v>
      </c>
      <c r="C61" s="96" t="str">
        <f>_xlfn.XLOOKUP(Tabla4615[[#This Row],[Servicios del Programa:]],Tabla151[CODIGO],Tabla151[VALOR])</f>
        <v>Diagnosticos</v>
      </c>
      <c r="D61" s="14">
        <v>1</v>
      </c>
      <c r="E61" s="56" cm="1">
        <f t="array" ref="E61">IF(D61="X",_xlfn.XLOOKUP(Tabla4615[[#This Row],[Programa Rehabilitacion Pulmonar / Hipertensiòn]],Tabla1[SERVICIO],Tabla1[VALOR]*1),IF(D61&gt;=1,_xlfn.XLOOKUP(Tabla4615[[#This Row],[Programa Rehabilitacion Pulmonar / Hipertensiòn]],Tabla1[SERVICIO],Tabla1[VALOR]*D61),""))</f>
        <v>67391.281653480837</v>
      </c>
      <c r="F61" s="8"/>
      <c r="G61" s="56" cm="1">
        <f t="array" ref="G61">IF(F61="X",(_xlfn.XLOOKUP($B61,Tabla1[SERVICIO],Tabla1[VALOR])*1),IF(F61&gt;=1,_xlfn.XLOOKUP($B61,Tabla1[SERVICIO],Tabla1[VALOR]*F61),0))</f>
        <v>0</v>
      </c>
      <c r="H61" s="8"/>
      <c r="I61" s="56" cm="1">
        <f t="array" ref="I61">IF(H61="X",(_xlfn.XLOOKUP($B61,Tabla1[SERVICIO],Tabla1[VALOR])*1),IF(H61&gt;=1,_xlfn.XLOOKUP($B61,Tabla1[SERVICIO],Tabla1[VALOR]*H61),0))</f>
        <v>0</v>
      </c>
      <c r="J61" s="8"/>
      <c r="K61" s="56" cm="1">
        <f t="array" ref="K61">IF(J61="X",(_xlfn.XLOOKUP($B61,Tabla1[SERVICIO],Tabla1[VALOR])*1),IF(J61&gt;=1,_xlfn.XLOOKUP($B61,Tabla1[SERVICIO],Tabla1[VALOR]*J61),0))</f>
        <v>0</v>
      </c>
      <c r="L61" s="8"/>
      <c r="M61" s="56" cm="1">
        <f t="array" ref="M61">IF(L61="X",(_xlfn.XLOOKUP($B61,Tabla1[SERVICIO],Tabla1[VALOR])*1),IF(L61&gt;=1,_xlfn.XLOOKUP($B61,Tabla1[SERVICIO],Tabla1[VALOR]*L61),0))</f>
        <v>0</v>
      </c>
      <c r="N61" s="8"/>
      <c r="O61" s="56" cm="1">
        <f t="array" ref="O61">IF(N61="X",(_xlfn.XLOOKUP($B61,Tabla1[SERVICIO],Tabla1[VALOR])*1),IF(N61&gt;=1,_xlfn.XLOOKUP($B61,Tabla1[SERVICIO],Tabla1[VALOR]*N61),0))</f>
        <v>0</v>
      </c>
      <c r="P61" s="8"/>
      <c r="Q61" s="56" cm="1">
        <f t="array" ref="Q61">IF(P61="X",(_xlfn.XLOOKUP($B61,Tabla1[SERVICIO],Tabla1[VALOR])*1),IF(P61&gt;=1,_xlfn.XLOOKUP($B61,Tabla1[SERVICIO],Tabla1[VALOR]*P61),0))</f>
        <v>0</v>
      </c>
      <c r="R61" s="8"/>
      <c r="S61" s="56" cm="1">
        <f t="array" ref="S61">IF(R61="X",(_xlfn.XLOOKUP($B61,Tabla1[SERVICIO],Tabla1[VALOR])*1),IF(R61&gt;=1,_xlfn.XLOOKUP($B61,Tabla1[SERVICIO],Tabla1[VALOR]*R61),0))</f>
        <v>0</v>
      </c>
      <c r="T61" s="8"/>
      <c r="U61" s="56" cm="1">
        <f t="array" ref="U61">IF(T61="X",(_xlfn.XLOOKUP($B61,Tabla1[SERVICIO],Tabla1[VALOR])*1),IF(T61&gt;=1,_xlfn.XLOOKUP($B61,Tabla1[SERVICIO],Tabla1[VALOR]*T61),0))</f>
        <v>0</v>
      </c>
      <c r="V61" s="8"/>
      <c r="W61" s="56" cm="1">
        <f t="array" ref="W61">IF(V61="X",(_xlfn.XLOOKUP($B61,Tabla1[SERVICIO],Tabla1[VALOR])*1),IF(V61&gt;=1,_xlfn.XLOOKUP($B61,Tabla1[SERVICIO],Tabla1[VALOR]*V61),0))</f>
        <v>0</v>
      </c>
      <c r="X61" s="8"/>
      <c r="Y61" s="56" cm="1">
        <f t="array" ref="Y61">IF(X61="X",(_xlfn.XLOOKUP($B61,Tabla1[SERVICIO],Tabla1[VALOR])*1),IF(X61&gt;=1,_xlfn.XLOOKUP($B61,Tabla1[SERVICIO],Tabla1[VALOR]*X61),0))</f>
        <v>0</v>
      </c>
      <c r="Z61" s="14"/>
      <c r="AA61" s="56">
        <v>0</v>
      </c>
      <c r="AB61" s="8"/>
      <c r="AC61" s="56">
        <v>0</v>
      </c>
      <c r="AD61" s="8"/>
      <c r="AE61" s="56">
        <v>0</v>
      </c>
      <c r="AF61" s="8"/>
      <c r="AG61" s="56">
        <v>0</v>
      </c>
      <c r="AH61" s="8"/>
      <c r="AI61" s="56">
        <v>0</v>
      </c>
      <c r="AJ61" s="8"/>
      <c r="AK61" s="56">
        <v>0</v>
      </c>
      <c r="AL61" s="14">
        <v>1</v>
      </c>
      <c r="AM61" s="56" cm="1">
        <f t="array" ref="AM61">IF(AL61="X",(_xlfn.XLOOKUP($B61,Tabla1[SERVICIO],Tabla1[VALOR])*1),IF(AL61&gt;=1,_xlfn.XLOOKUP($B61,Tabla1[SERVICIO],Tabla1[VALOR]*AL61),0))</f>
        <v>67391.281653480837</v>
      </c>
      <c r="AN61" s="81">
        <f t="shared" si="1"/>
        <v>134782.56330696167</v>
      </c>
      <c r="AO61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61" s="122" t="s">
        <v>319</v>
      </c>
      <c r="AQ61" s="127">
        <v>4.5662100456621002E-3</v>
      </c>
      <c r="AR61" s="121">
        <f>+Tabla4615[[#This Row],[% de las personas que lo usaron]]*Tabla4615[[#This Row],[COSTO19]]</f>
        <v>615.44549455233641</v>
      </c>
      <c r="AS61" s="82" t="s">
        <v>350</v>
      </c>
      <c r="AT61" s="335">
        <v>18</v>
      </c>
    </row>
    <row r="62" spans="1:46" x14ac:dyDescent="0.25">
      <c r="A62" s="9" t="s">
        <v>1</v>
      </c>
      <c r="B62" s="10" t="s">
        <v>2</v>
      </c>
      <c r="C62" s="96" t="str">
        <f>_xlfn.XLOOKUP(Tabla4615[[#This Row],[Servicios del Programa:]],Tabla151[CODIGO],Tabla151[VALOR])</f>
        <v>Consultas</v>
      </c>
      <c r="D62" s="10"/>
      <c r="E62" s="56" t="str" cm="1">
        <f t="array" ref="E62">IF(D62="X",_xlfn.XLOOKUP(Tabla4615[[#This Row],[Programa Rehabilitacion Pulmonar / Hipertensiòn]],Tabla1[SERVICIO],Tabla1[VALOR]*1),IF(D62&gt;=1,_xlfn.XLOOKUP(Tabla4615[[#This Row],[Programa Rehabilitacion Pulmonar / Hipertensiòn]],Tabla1[SERVICIO],Tabla1[VALOR]*D62),""))</f>
        <v/>
      </c>
      <c r="F62" s="10"/>
      <c r="G62" s="56" cm="1">
        <f t="array" ref="G62">IF(F62="X",(_xlfn.XLOOKUP($B62,Tabla1[SERVICIO],Tabla1[VALOR])*1),IF(F62&gt;=1,_xlfn.XLOOKUP($B62,Tabla1[SERVICIO],Tabla1[VALOR]*F62),0))</f>
        <v>0</v>
      </c>
      <c r="H62" s="10"/>
      <c r="I62" s="56" cm="1">
        <f t="array" ref="I62">IF(H62="X",(_xlfn.XLOOKUP($B62,Tabla1[SERVICIO],Tabla1[VALOR])*1),IF(H62&gt;=1,_xlfn.XLOOKUP($B62,Tabla1[SERVICIO],Tabla1[VALOR]*H62),0))</f>
        <v>0</v>
      </c>
      <c r="J62" s="10"/>
      <c r="K62" s="56" cm="1">
        <f t="array" ref="K62">IF(J62="X",(_xlfn.XLOOKUP($B62,Tabla1[SERVICIO],Tabla1[VALOR])*1),IF(J62&gt;=1,_xlfn.XLOOKUP($B62,Tabla1[SERVICIO],Tabla1[VALOR]*J62),0))</f>
        <v>0</v>
      </c>
      <c r="L62" s="10"/>
      <c r="M62" s="56" cm="1">
        <f t="array" ref="M62">IF(L62="X",(_xlfn.XLOOKUP($B62,Tabla1[SERVICIO],Tabla1[VALOR])*1),IF(L62&gt;=1,_xlfn.XLOOKUP($B62,Tabla1[SERVICIO],Tabla1[VALOR]*L62),0))</f>
        <v>0</v>
      </c>
      <c r="N62" s="10"/>
      <c r="O62" s="56" cm="1">
        <f t="array" ref="O62">IF(N62="X",(_xlfn.XLOOKUP($B62,Tabla1[SERVICIO],Tabla1[VALOR])*1),IF(N62&gt;=1,_xlfn.XLOOKUP($B62,Tabla1[SERVICIO],Tabla1[VALOR]*N62),0))</f>
        <v>0</v>
      </c>
      <c r="P62" s="10"/>
      <c r="Q62" s="56" cm="1">
        <f t="array" ref="Q62">IF(P62="X",(_xlfn.XLOOKUP($B62,Tabla1[SERVICIO],Tabla1[VALOR])*1),IF(P62&gt;=1,_xlfn.XLOOKUP($B62,Tabla1[SERVICIO],Tabla1[VALOR]*P62),0))</f>
        <v>0</v>
      </c>
      <c r="R62" s="10"/>
      <c r="S62" s="56" cm="1">
        <f t="array" ref="S62">IF(R62="X",(_xlfn.XLOOKUP($B62,Tabla1[SERVICIO],Tabla1[VALOR])*1),IF(R62&gt;=1,_xlfn.XLOOKUP($B62,Tabla1[SERVICIO],Tabla1[VALOR]*R62),0))</f>
        <v>0</v>
      </c>
      <c r="T62" s="10"/>
      <c r="U62" s="56" cm="1">
        <f t="array" ref="U62">IF(T62="X",(_xlfn.XLOOKUP($B62,Tabla1[SERVICIO],Tabla1[VALOR])*1),IF(T62&gt;=1,_xlfn.XLOOKUP($B62,Tabla1[SERVICIO],Tabla1[VALOR]*T62),0))</f>
        <v>0</v>
      </c>
      <c r="V62" s="10"/>
      <c r="W62" s="56" cm="1">
        <f t="array" ref="W62">IF(V62="X",(_xlfn.XLOOKUP($B62,Tabla1[SERVICIO],Tabla1[VALOR])*1),IF(V62&gt;=1,_xlfn.XLOOKUP($B62,Tabla1[SERVICIO],Tabla1[VALOR]*V62),0))</f>
        <v>0</v>
      </c>
      <c r="X62" s="10"/>
      <c r="Y62" s="56" cm="1">
        <f t="array" ref="Y62">IF(X62="X",(_xlfn.XLOOKUP($B62,Tabla1[SERVICIO],Tabla1[VALOR])*1),IF(X62&gt;=1,_xlfn.XLOOKUP($B62,Tabla1[SERVICIO],Tabla1[VALOR]*X62),0))</f>
        <v>0</v>
      </c>
      <c r="Z62" s="16"/>
      <c r="AA62" s="56">
        <v>0</v>
      </c>
      <c r="AB62" s="10"/>
      <c r="AC62" s="56">
        <v>0</v>
      </c>
      <c r="AD62" s="10"/>
      <c r="AE62" s="56">
        <v>0</v>
      </c>
      <c r="AF62" s="10"/>
      <c r="AG62" s="56">
        <v>0</v>
      </c>
      <c r="AH62" s="10"/>
      <c r="AI62" s="56">
        <v>0</v>
      </c>
      <c r="AJ62" s="10"/>
      <c r="AK62" s="56">
        <v>0</v>
      </c>
      <c r="AL62" s="16">
        <v>1</v>
      </c>
      <c r="AM62" s="56" cm="1">
        <f t="array" ref="AM62">IF(AL62="X",(_xlfn.XLOOKUP($B62,Tabla1[SERVICIO],Tabla1[VALOR])*1),IF(AL62&gt;=1,_xlfn.XLOOKUP($B62,Tabla1[SERVICIO],Tabla1[VALOR]*AL62),0))</f>
        <v>21014.39667403782</v>
      </c>
      <c r="AN62" s="81">
        <f t="shared" si="1"/>
        <v>21014.39667403782</v>
      </c>
      <c r="AO62" s="106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62" s="122" t="s">
        <v>318</v>
      </c>
      <c r="AQ62" s="127">
        <v>1</v>
      </c>
      <c r="AR62" s="121">
        <f>+Tabla4615[[#This Row],[% de las personas que lo usaron]]*Tabla4615[[#This Row],[COSTO19]]</f>
        <v>21014.39667403782</v>
      </c>
      <c r="AS62" s="82" t="s">
        <v>350</v>
      </c>
      <c r="AT62" s="335">
        <v>18</v>
      </c>
    </row>
    <row r="63" spans="1:46" x14ac:dyDescent="0.25">
      <c r="A63" s="264" t="s">
        <v>327</v>
      </c>
      <c r="B63" s="265"/>
      <c r="C63" s="265"/>
      <c r="D63" s="266">
        <f>SUBTOTAL(109,Tabla4615[MES 1])</f>
        <v>19</v>
      </c>
      <c r="E63" s="266">
        <f>SUBTOTAL(109,Tabla4615[COSTO])</f>
        <v>788224.0334748649</v>
      </c>
      <c r="F63" s="266">
        <f>SUBTOTAL(109,Tabla4615[MES 2])</f>
        <v>2</v>
      </c>
      <c r="G63" s="266">
        <f>SUBTOTAL(109,Tabla4615[COSTO2])</f>
        <v>28378.274667939098</v>
      </c>
      <c r="H63" s="266">
        <f>SUBTOTAL(109,Tabla4615[MES 3])</f>
        <v>12</v>
      </c>
      <c r="I63" s="266">
        <f>SUBTOTAL(109,Tabla4615[COSTO3])</f>
        <v>149893.31267053686</v>
      </c>
      <c r="J63" s="266">
        <f>SUBTOTAL(109,Tabla4615[MES 4])</f>
        <v>10</v>
      </c>
      <c r="K63" s="266">
        <f>SUBTOTAL(109,Tabla4615[COSTO4])</f>
        <v>98619.233601270695</v>
      </c>
      <c r="L63" s="266">
        <f>SUBTOTAL(109,Tabla4615[MES 5])</f>
        <v>10</v>
      </c>
      <c r="M63" s="266">
        <f>SUBTOTAL(109,Tabla4615[COSTO5])</f>
        <v>98619.233601270695</v>
      </c>
      <c r="N63" s="266">
        <f>SUBTOTAL(109,Tabla4615[MES 6])</f>
        <v>13</v>
      </c>
      <c r="O63" s="266">
        <f>SUBTOTAL(109,Tabla4615[COSTO6])</f>
        <v>286345.70263691409</v>
      </c>
      <c r="P63" s="266">
        <f>SUBTOTAL(109,Tabla4615[MES 7])</f>
        <v>10</v>
      </c>
      <c r="Q63" s="266">
        <f>SUBTOTAL(109,Tabla4615[COSTO7])</f>
        <v>98619.233601270695</v>
      </c>
      <c r="R63" s="266">
        <f>SUBTOTAL(109,Tabla4615[MES 8])</f>
        <v>10</v>
      </c>
      <c r="S63" s="266">
        <f>SUBTOTAL(109,Tabla4615[COSTO8])</f>
        <v>98619.233601270695</v>
      </c>
      <c r="T63" s="266">
        <f>SUBTOTAL(109,Tabla4615[MES 9])</f>
        <v>10</v>
      </c>
      <c r="U63" s="266">
        <f>SUBTOTAL(109,Tabla4615[COSTO9])</f>
        <v>98619.233601270695</v>
      </c>
      <c r="V63" s="266">
        <f>SUBTOTAL(109,Tabla4615[MES 10])</f>
        <v>10</v>
      </c>
      <c r="W63" s="266">
        <f>SUBTOTAL(109,Tabla4615[COSTO10])</f>
        <v>98619.233601270695</v>
      </c>
      <c r="X63" s="266">
        <f>SUBTOTAL(109,Tabla4615[MES 11])</f>
        <v>10</v>
      </c>
      <c r="Y63" s="266">
        <f>SUBTOTAL(109,Tabla4615[COSTO11])</f>
        <v>98619.233601270695</v>
      </c>
      <c r="Z63" s="266">
        <f>SUBTOTAL(109,Tabla4615[MES 12])</f>
        <v>10</v>
      </c>
      <c r="AA63" s="266">
        <f>SUBTOTAL(109,Tabla4615[COSTO12])</f>
        <v>98619.233601270695</v>
      </c>
      <c r="AB63" s="266">
        <f>SUBTOTAL(109,Tabla4615[MES 13])</f>
        <v>10</v>
      </c>
      <c r="AC63" s="266">
        <f>SUBTOTAL(109,Tabla4615[COSTO13])</f>
        <v>98619.233601270695</v>
      </c>
      <c r="AD63" s="266">
        <f>SUBTOTAL(109,Tabla4615[MES 14])</f>
        <v>10</v>
      </c>
      <c r="AE63" s="266">
        <f>SUBTOTAL(109,Tabla4615[COSTO14])</f>
        <v>98619.233601270695</v>
      </c>
      <c r="AF63" s="266">
        <f>SUBTOTAL(109,Tabla4615[MES 15])</f>
        <v>10</v>
      </c>
      <c r="AG63" s="266">
        <f>SUBTOTAL(109,Tabla4615[COSTO15])</f>
        <v>98619.233601270695</v>
      </c>
      <c r="AH63" s="266">
        <f>SUBTOTAL(109,Tabla4615[MES 16])</f>
        <v>10</v>
      </c>
      <c r="AI63" s="266">
        <f>SUBTOTAL(109,Tabla4615[COSTO16])</f>
        <v>98619.233601270695</v>
      </c>
      <c r="AJ63" s="266">
        <f>SUBTOTAL(109,Tabla4615[MES 17])</f>
        <v>10</v>
      </c>
      <c r="AK63" s="266">
        <f>SUBTOTAL(109,Tabla4615[COSTO17])</f>
        <v>98619.233601270695</v>
      </c>
      <c r="AL63" s="266">
        <f>SUBTOTAL(109,Tabla4615[MES 18])</f>
        <v>18</v>
      </c>
      <c r="AM63" s="151">
        <f>SUBTOTAL(109,Tabla4615[COSTO18])</f>
        <v>342134.47335704946</v>
      </c>
      <c r="AN63" s="151">
        <f>SUBTOTAL(109,Tabla4615[COSTO19])</f>
        <v>2877025.8336238223</v>
      </c>
      <c r="AO63" s="266">
        <f>SUBTOTAL(109,Tabla4615[TOTAL SERVICIOS])</f>
        <v>194</v>
      </c>
      <c r="AP63" s="266"/>
      <c r="AQ63" s="266"/>
      <c r="AR63" s="151">
        <f>SUBTOTAL(109,Tabla4615[VALOR COSTO])</f>
        <v>2453177.7767722346</v>
      </c>
      <c r="AS63" s="266"/>
      <c r="AT63" s="266"/>
    </row>
    <row r="65" spans="2:2" x14ac:dyDescent="0.25">
      <c r="B65" s="4" t="b">
        <f t="shared" ref="B65:B92" si="2">B3=B35</f>
        <v>1</v>
      </c>
    </row>
    <row r="66" spans="2:2" x14ac:dyDescent="0.25">
      <c r="B66" s="4" t="b">
        <f t="shared" si="2"/>
        <v>1</v>
      </c>
    </row>
    <row r="67" spans="2:2" x14ac:dyDescent="0.25">
      <c r="B67" s="4" t="b">
        <f t="shared" si="2"/>
        <v>1</v>
      </c>
    </row>
    <row r="68" spans="2:2" x14ac:dyDescent="0.25">
      <c r="B68" s="4" t="b">
        <f t="shared" si="2"/>
        <v>1</v>
      </c>
    </row>
    <row r="69" spans="2:2" x14ac:dyDescent="0.25">
      <c r="B69" s="4" t="b">
        <f t="shared" si="2"/>
        <v>1</v>
      </c>
    </row>
    <row r="70" spans="2:2" x14ac:dyDescent="0.25">
      <c r="B70" s="4" t="b">
        <f t="shared" si="2"/>
        <v>1</v>
      </c>
    </row>
    <row r="71" spans="2:2" x14ac:dyDescent="0.25">
      <c r="B71" s="4" t="b">
        <f t="shared" si="2"/>
        <v>1</v>
      </c>
    </row>
    <row r="72" spans="2:2" x14ac:dyDescent="0.25">
      <c r="B72" s="4" t="b">
        <f t="shared" si="2"/>
        <v>1</v>
      </c>
    </row>
    <row r="73" spans="2:2" x14ac:dyDescent="0.25">
      <c r="B73" s="4" t="b">
        <f t="shared" si="2"/>
        <v>1</v>
      </c>
    </row>
    <row r="74" spans="2:2" x14ac:dyDescent="0.25">
      <c r="B74" s="4" t="b">
        <f t="shared" si="2"/>
        <v>1</v>
      </c>
    </row>
    <row r="75" spans="2:2" x14ac:dyDescent="0.25">
      <c r="B75" s="4" t="b">
        <f t="shared" si="2"/>
        <v>1</v>
      </c>
    </row>
    <row r="76" spans="2:2" x14ac:dyDescent="0.25">
      <c r="B76" s="4" t="b">
        <f t="shared" si="2"/>
        <v>1</v>
      </c>
    </row>
    <row r="77" spans="2:2" x14ac:dyDescent="0.25">
      <c r="B77" s="4" t="b">
        <f t="shared" si="2"/>
        <v>1</v>
      </c>
    </row>
    <row r="78" spans="2:2" x14ac:dyDescent="0.25">
      <c r="B78" s="4" t="b">
        <f t="shared" si="2"/>
        <v>1</v>
      </c>
    </row>
    <row r="79" spans="2:2" x14ac:dyDescent="0.25">
      <c r="B79" s="4" t="b">
        <f t="shared" si="2"/>
        <v>1</v>
      </c>
    </row>
    <row r="80" spans="2:2" x14ac:dyDescent="0.25">
      <c r="B80" s="4" t="b">
        <f t="shared" si="2"/>
        <v>1</v>
      </c>
    </row>
    <row r="81" spans="2:2" x14ac:dyDescent="0.25">
      <c r="B81" s="4" t="b">
        <f t="shared" si="2"/>
        <v>1</v>
      </c>
    </row>
    <row r="82" spans="2:2" x14ac:dyDescent="0.25">
      <c r="B82" s="4" t="b">
        <f t="shared" si="2"/>
        <v>1</v>
      </c>
    </row>
    <row r="83" spans="2:2" x14ac:dyDescent="0.25">
      <c r="B83" s="4" t="b">
        <f t="shared" si="2"/>
        <v>1</v>
      </c>
    </row>
    <row r="84" spans="2:2" x14ac:dyDescent="0.25">
      <c r="B84" s="4" t="b">
        <f t="shared" si="2"/>
        <v>1</v>
      </c>
    </row>
    <row r="85" spans="2:2" x14ac:dyDescent="0.25">
      <c r="B85" s="4" t="b">
        <f t="shared" si="2"/>
        <v>1</v>
      </c>
    </row>
    <row r="86" spans="2:2" x14ac:dyDescent="0.25">
      <c r="B86" s="4" t="b">
        <f t="shared" si="2"/>
        <v>1</v>
      </c>
    </row>
    <row r="87" spans="2:2" x14ac:dyDescent="0.25">
      <c r="B87" s="4" t="b">
        <f t="shared" si="2"/>
        <v>1</v>
      </c>
    </row>
    <row r="88" spans="2:2" x14ac:dyDescent="0.25">
      <c r="B88" s="4" t="b">
        <f t="shared" si="2"/>
        <v>1</v>
      </c>
    </row>
    <row r="89" spans="2:2" x14ac:dyDescent="0.25">
      <c r="B89" s="4" t="b">
        <f t="shared" si="2"/>
        <v>1</v>
      </c>
    </row>
    <row r="90" spans="2:2" x14ac:dyDescent="0.25">
      <c r="B90" s="4" t="b">
        <f t="shared" si="2"/>
        <v>1</v>
      </c>
    </row>
    <row r="91" spans="2:2" x14ac:dyDescent="0.25">
      <c r="B91" s="4" t="b">
        <f t="shared" si="2"/>
        <v>1</v>
      </c>
    </row>
    <row r="92" spans="2:2" x14ac:dyDescent="0.25">
      <c r="B92" s="4" t="b">
        <f t="shared" si="2"/>
        <v>1</v>
      </c>
    </row>
  </sheetData>
  <conditionalFormatting sqref="A28">
    <cfRule type="duplicateValues" dxfId="60" priority="7"/>
  </conditionalFormatting>
  <conditionalFormatting sqref="A29 A3:A27">
    <cfRule type="duplicateValues" dxfId="59" priority="8"/>
  </conditionalFormatting>
  <conditionalFormatting sqref="A30">
    <cfRule type="duplicateValues" dxfId="58" priority="51"/>
  </conditionalFormatting>
  <conditionalFormatting sqref="A60">
    <cfRule type="duplicateValues" dxfId="57" priority="4"/>
  </conditionalFormatting>
  <conditionalFormatting sqref="A61 A35:A59">
    <cfRule type="duplicateValues" dxfId="56" priority="5"/>
  </conditionalFormatting>
  <conditionalFormatting sqref="A62">
    <cfRule type="duplicateValues" dxfId="55" priority="3"/>
  </conditionalFormatting>
  <conditionalFormatting sqref="AF3:AF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5:AR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G36:AP36 G35:AM35 AP35 G38:AP54 G37 I37 K37 M37 O37 Q37 S37 U37 W37 Y37 AA37 AC37 AE37 AG37 AI37 AK37 AM37:AP37 G56:AP62 G55:AO55" calculatedColumn="1"/>
  </ignoredErrors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987-0FA4-486B-BF41-51F2E337CD2A}">
  <sheetPr codeName="Hoja9">
    <tabColor theme="7" tint="0.39997558519241921"/>
  </sheetPr>
  <dimension ref="A1:AT65"/>
  <sheetViews>
    <sheetView zoomScale="40" zoomScaleNormal="40" workbookViewId="0">
      <selection activeCell="A3" sqref="A3:AH31"/>
    </sheetView>
    <sheetView workbookViewId="1">
      <selection activeCell="B12" sqref="B12"/>
    </sheetView>
  </sheetViews>
  <sheetFormatPr baseColWidth="10" defaultRowHeight="12.75" x14ac:dyDescent="0.2"/>
  <cols>
    <col min="1" max="1" width="12.42578125" style="3" customWidth="1"/>
    <col min="2" max="2" width="69" style="3" customWidth="1"/>
    <col min="3" max="3" width="19" style="3" bestFit="1" customWidth="1"/>
    <col min="4" max="4" width="5.85546875" style="3" bestFit="1" customWidth="1"/>
    <col min="5" max="5" width="10" style="3" bestFit="1" customWidth="1"/>
    <col min="6" max="6" width="5.85546875" style="3" bestFit="1" customWidth="1"/>
    <col min="7" max="7" width="10" style="3" bestFit="1" customWidth="1"/>
    <col min="8" max="8" width="5.85546875" style="3" bestFit="1" customWidth="1"/>
    <col min="9" max="9" width="10" style="3" bestFit="1" customWidth="1"/>
    <col min="10" max="10" width="5.85546875" style="3" bestFit="1" customWidth="1"/>
    <col min="11" max="11" width="10" style="3" bestFit="1" customWidth="1"/>
    <col min="12" max="12" width="5.85546875" style="3" bestFit="1" customWidth="1"/>
    <col min="13" max="13" width="10" style="3" bestFit="1" customWidth="1"/>
    <col min="14" max="14" width="5.85546875" style="3" bestFit="1" customWidth="1"/>
    <col min="15" max="15" width="10" style="3" bestFit="1" customWidth="1"/>
    <col min="16" max="16" width="5.85546875" style="3" bestFit="1" customWidth="1"/>
    <col min="17" max="17" width="10" style="3" bestFit="1" customWidth="1"/>
    <col min="18" max="18" width="5.85546875" style="3" bestFit="1" customWidth="1"/>
    <col min="19" max="19" width="10" style="3" bestFit="1" customWidth="1"/>
    <col min="20" max="20" width="5.85546875" style="3" bestFit="1" customWidth="1"/>
    <col min="21" max="21" width="10" style="3" bestFit="1" customWidth="1"/>
    <col min="22" max="22" width="6.85546875" style="3" bestFit="1" customWidth="1"/>
    <col min="23" max="23" width="10" style="3" bestFit="1" customWidth="1"/>
    <col min="24" max="24" width="6.85546875" style="3" bestFit="1" customWidth="1"/>
    <col min="25" max="25" width="12.5703125" style="3" bestFit="1" customWidth="1"/>
    <col min="26" max="26" width="6.85546875" style="3" bestFit="1" customWidth="1"/>
    <col min="27" max="27" width="12.5703125" style="3" bestFit="1" customWidth="1"/>
    <col min="28" max="28" width="11.5703125" style="3" bestFit="1" customWidth="1"/>
    <col min="29" max="29" width="12.5703125" style="3" customWidth="1"/>
    <col min="30" max="30" width="15.42578125" style="3" bestFit="1" customWidth="1"/>
    <col min="31" max="31" width="12.5703125" style="3" bestFit="1" customWidth="1"/>
    <col min="32" max="32" width="15.7109375" style="3" bestFit="1" customWidth="1"/>
    <col min="33" max="33" width="16" style="3" bestFit="1" customWidth="1"/>
    <col min="34" max="34" width="6.85546875" style="3" bestFit="1" customWidth="1"/>
    <col min="35" max="36" width="12.5703125" style="3" bestFit="1" customWidth="1"/>
    <col min="37" max="37" width="4.140625" style="3" customWidth="1"/>
    <col min="38" max="38" width="12.5703125" style="3" bestFit="1" customWidth="1"/>
    <col min="39" max="39" width="14.85546875" style="3" customWidth="1"/>
    <col min="40" max="42" width="11.42578125" style="3"/>
    <col min="43" max="43" width="14.5703125" style="3" bestFit="1" customWidth="1"/>
    <col min="44" max="16384" width="11.42578125" style="3"/>
  </cols>
  <sheetData>
    <row r="1" spans="1:34" ht="38.25" customHeight="1" x14ac:dyDescent="0.2">
      <c r="A1" s="43" t="s">
        <v>314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" customFormat="1" ht="38.25" x14ac:dyDescent="0.2">
      <c r="A2" s="21" t="s">
        <v>0</v>
      </c>
      <c r="B2" s="6" t="s">
        <v>55</v>
      </c>
      <c r="C2" s="183" t="s">
        <v>347</v>
      </c>
      <c r="D2" s="94" t="s">
        <v>56</v>
      </c>
      <c r="E2" s="94" t="s">
        <v>235</v>
      </c>
      <c r="F2" s="94" t="s">
        <v>57</v>
      </c>
      <c r="G2" s="94" t="s">
        <v>236</v>
      </c>
      <c r="H2" s="94" t="s">
        <v>58</v>
      </c>
      <c r="I2" s="94" t="s">
        <v>237</v>
      </c>
      <c r="J2" s="94" t="s">
        <v>59</v>
      </c>
      <c r="K2" s="94" t="s">
        <v>238</v>
      </c>
      <c r="L2" s="94" t="s">
        <v>60</v>
      </c>
      <c r="M2" s="94" t="s">
        <v>239</v>
      </c>
      <c r="N2" s="94" t="s">
        <v>61</v>
      </c>
      <c r="O2" s="94" t="s">
        <v>240</v>
      </c>
      <c r="P2" s="94" t="s">
        <v>62</v>
      </c>
      <c r="Q2" s="94" t="s">
        <v>241</v>
      </c>
      <c r="R2" s="94" t="s">
        <v>63</v>
      </c>
      <c r="S2" s="94" t="s">
        <v>242</v>
      </c>
      <c r="T2" s="94" t="s">
        <v>64</v>
      </c>
      <c r="U2" s="94" t="s">
        <v>243</v>
      </c>
      <c r="V2" s="94" t="s">
        <v>65</v>
      </c>
      <c r="W2" s="94" t="s">
        <v>244</v>
      </c>
      <c r="X2" s="94" t="s">
        <v>66</v>
      </c>
      <c r="Y2" s="94" t="s">
        <v>245</v>
      </c>
      <c r="Z2" s="94" t="s">
        <v>67</v>
      </c>
      <c r="AA2" s="94" t="s">
        <v>246</v>
      </c>
      <c r="AB2" s="137" t="s">
        <v>247</v>
      </c>
      <c r="AC2" s="138" t="s">
        <v>313</v>
      </c>
      <c r="AD2" s="139" t="s">
        <v>187</v>
      </c>
      <c r="AE2" s="140" t="s">
        <v>316</v>
      </c>
      <c r="AF2" s="137" t="s">
        <v>317</v>
      </c>
      <c r="AG2" s="241" t="s">
        <v>348</v>
      </c>
      <c r="AH2" s="241" t="s">
        <v>406</v>
      </c>
    </row>
    <row r="3" spans="1:34" ht="15" x14ac:dyDescent="0.25">
      <c r="A3" s="7" t="s">
        <v>13</v>
      </c>
      <c r="B3" s="96" t="s">
        <v>14</v>
      </c>
      <c r="C3" s="96" t="str">
        <f>_xlfn.XLOOKUP(Tabla12332[[#This Row],[Servicios del Programa:]],Tabla151[CODIGO],Tabla151[VALOR])</f>
        <v>Gestion y seguimiento</v>
      </c>
      <c r="D3" s="77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78"/>
      <c r="G3" s="56" cm="1">
        <f t="array" ref="G3">IF(F3="X",(_xlfn.XLOOKUP($B3,Tabla1[SERVICIO],Tabla1[VALOR])*1),IF(F3&gt;=1,_xlfn.XLOOKUP($B3,Tabla1[SERVICIO],Tabla1[VALOR]*F3),0))</f>
        <v>0</v>
      </c>
      <c r="H3" s="78"/>
      <c r="I3" s="56" cm="1">
        <f t="array" ref="I3">IF(H3="X",(_xlfn.XLOOKUP($B3,Tabla1[SERVICIO],Tabla1[VALOR])*1),IF(H3&gt;=1,_xlfn.XLOOKUP($B3,Tabla1[SERVICIO],Tabla1[VALOR]*H3),0))</f>
        <v>0</v>
      </c>
      <c r="J3" s="78"/>
      <c r="K3" s="56" cm="1">
        <f t="array" ref="K3">IF(J3="X",(_xlfn.XLOOKUP($B3,Tabla1[SERVICIO],Tabla1[VALOR])*1),IF(J3&gt;=1,_xlfn.XLOOKUP($B3,Tabla1[SERVICIO],Tabla1[VALOR]*J3),0))</f>
        <v>0</v>
      </c>
      <c r="L3" s="78"/>
      <c r="M3" s="56" cm="1">
        <f t="array" ref="M3">IF(L3="X",(_xlfn.XLOOKUP($B3,Tabla1[SERVICIO],Tabla1[VALOR])*1),IF(L3&gt;=1,_xlfn.XLOOKUP($B3,Tabla1[SERVICIO],Tabla1[VALOR]*L3),0))</f>
        <v>0</v>
      </c>
      <c r="N3" s="78"/>
      <c r="O3" s="56" cm="1">
        <f t="array" ref="O3">IF(N3="X",(_xlfn.XLOOKUP($B3,Tabla1[SERVICIO],Tabla1[VALOR])*1),IF(N3&gt;=1,_xlfn.XLOOKUP($B3,Tabla1[SERVICIO],Tabla1[VALOR]*N3),0))</f>
        <v>0</v>
      </c>
      <c r="P3" s="78"/>
      <c r="Q3" s="56" cm="1">
        <f t="array" ref="Q3">IF(P3="X",(_xlfn.XLOOKUP($B3,Tabla1[SERVICIO],Tabla1[VALOR])*1),IF(P3&gt;=1,_xlfn.XLOOKUP($B3,Tabla1[SERVICIO],Tabla1[VALOR]*P3),0))</f>
        <v>0</v>
      </c>
      <c r="R3" s="78"/>
      <c r="S3" s="56" cm="1">
        <f t="array" ref="S3">IF(R3="X",(_xlfn.XLOOKUP($B3,Tabla1[SERVICIO],Tabla1[VALOR])*1),IF(R3&gt;=1,_xlfn.XLOOKUP($B3,Tabla1[SERVICIO],Tabla1[VALOR]*R3),0))</f>
        <v>0</v>
      </c>
      <c r="T3" s="78"/>
      <c r="U3" s="56" cm="1">
        <f t="array" ref="U3">IF(T3="X",(_xlfn.XLOOKUP($B3,Tabla1[SERVICIO],Tabla1[VALOR])*1),IF(T3&gt;=1,_xlfn.XLOOKUP($B3,Tabla1[SERVICIO],Tabla1[VALOR]*T3),0))</f>
        <v>0</v>
      </c>
      <c r="V3" s="79"/>
      <c r="W3" s="56" cm="1">
        <f t="array" ref="W3">IF(V3="X",(_xlfn.XLOOKUP($B3,Tabla1[SERVICIO],Tabla1[VALOR])*1),IF(V3&gt;=1,_xlfn.XLOOKUP($B3,Tabla1[SERVICIO],Tabla1[VALOR]*V3),0))</f>
        <v>0</v>
      </c>
      <c r="X3" s="79"/>
      <c r="Y3" s="56" cm="1">
        <f t="array" ref="Y3">IF(X3="X",(_xlfn.XLOOKUP($B3,Tabla1[SERVICIO],Tabla1[VALOR])*1),IF(X3&gt;=1,_xlfn.XLOOKUP($B3,Tabla1[SERVICIO],Tabla1[VALOR]*X3),0))</f>
        <v>0</v>
      </c>
      <c r="Z3" s="79"/>
      <c r="AA3" s="56" cm="1">
        <f t="array" ref="AA3">IF(Z3="X",(_xlfn.XLOOKUP($B3,Tabla1[SERVICIO],Tabla1[VALOR])*1),IF(Z3&gt;=1,_xlfn.XLOOKUP($B3,Tabla1[SERVICIO],Tabla1[VALOR]*Z3),0))</f>
        <v>0</v>
      </c>
      <c r="AB3" s="81">
        <f>SUM(E3,G3,I3,K3+M3,O3,Q3,S3,U3,W3,Tabla12332[[#This Row],[COSTO11]],Tabla12332[[#This Row],[COSTO12]])</f>
        <v>20552.755657371155</v>
      </c>
      <c r="AC3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" s="104" t="s">
        <v>318</v>
      </c>
      <c r="AE3" s="134">
        <v>1</v>
      </c>
      <c r="AF3" s="121">
        <f>+Tabla12332[[#This Row],[TOTAL]]*Tabla12332[[#This Row],[% de las personas que lo usaron]]</f>
        <v>20552.755657371155</v>
      </c>
      <c r="AG3" s="82" t="s">
        <v>351</v>
      </c>
      <c r="AH3" s="335">
        <v>12</v>
      </c>
    </row>
    <row r="4" spans="1:34" s="4" customFormat="1" ht="15" x14ac:dyDescent="0.25">
      <c r="A4" s="7" t="s">
        <v>98</v>
      </c>
      <c r="B4" s="96" t="s">
        <v>99</v>
      </c>
      <c r="C4" s="96" t="str">
        <f>_xlfn.XLOOKUP(Tabla12332[[#This Row],[Servicios del Programa:]],Tabla151[CODIGO],Tabla151[VALOR])</f>
        <v>Consultas</v>
      </c>
      <c r="D4" s="77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78"/>
      <c r="G4" s="56" cm="1">
        <f t="array" ref="G4">IF(F4="X",(_xlfn.XLOOKUP($B4,Tabla1[SERVICIO],Tabla1[VALOR])*1),IF(F4&gt;=1,_xlfn.XLOOKUP($B4,Tabla1[SERVICIO],Tabla1[VALOR]*F4),0))</f>
        <v>0</v>
      </c>
      <c r="H4" s="78"/>
      <c r="I4" s="56" cm="1">
        <f t="array" ref="I4">IF(H4="X",(_xlfn.XLOOKUP($B4,Tabla1[SERVICIO],Tabla1[VALOR])*1),IF(H4&gt;=1,_xlfn.XLOOKUP($B4,Tabla1[SERVICIO],Tabla1[VALOR]*H4),0))</f>
        <v>0</v>
      </c>
      <c r="J4" s="78"/>
      <c r="K4" s="56" cm="1">
        <f t="array" ref="K4">IF(J4="X",(_xlfn.XLOOKUP($B4,Tabla1[SERVICIO],Tabla1[VALOR])*1),IF(J4&gt;=1,_xlfn.XLOOKUP($B4,Tabla1[SERVICIO],Tabla1[VALOR]*J4),0))</f>
        <v>0</v>
      </c>
      <c r="L4" s="78"/>
      <c r="M4" s="56" cm="1">
        <f t="array" ref="M4">IF(L4="X",(_xlfn.XLOOKUP($B4,Tabla1[SERVICIO],Tabla1[VALOR])*1),IF(L4&gt;=1,_xlfn.XLOOKUP($B4,Tabla1[SERVICIO],Tabla1[VALOR]*L4),0))</f>
        <v>0</v>
      </c>
      <c r="N4" s="78"/>
      <c r="O4" s="56" cm="1">
        <f t="array" ref="O4">IF(N4="X",(_xlfn.XLOOKUP($B4,Tabla1[SERVICIO],Tabla1[VALOR])*1),IF(N4&gt;=1,_xlfn.XLOOKUP($B4,Tabla1[SERVICIO],Tabla1[VALOR]*N4),0))</f>
        <v>0</v>
      </c>
      <c r="P4" s="78"/>
      <c r="Q4" s="56" cm="1">
        <f t="array" ref="Q4">IF(P4="X",(_xlfn.XLOOKUP($B4,Tabla1[SERVICIO],Tabla1[VALOR])*1),IF(P4&gt;=1,_xlfn.XLOOKUP($B4,Tabla1[SERVICIO],Tabla1[VALOR]*P4),0))</f>
        <v>0</v>
      </c>
      <c r="R4" s="78"/>
      <c r="S4" s="56" cm="1">
        <f t="array" ref="S4">IF(R4="X",(_xlfn.XLOOKUP($B4,Tabla1[SERVICIO],Tabla1[VALOR])*1),IF(R4&gt;=1,_xlfn.XLOOKUP($B4,Tabla1[SERVICIO],Tabla1[VALOR]*R4),0))</f>
        <v>0</v>
      </c>
      <c r="T4" s="78"/>
      <c r="U4" s="56" cm="1">
        <f t="array" ref="U4">IF(T4="X",(_xlfn.XLOOKUP($B4,Tabla1[SERVICIO],Tabla1[VALOR])*1),IF(T4&gt;=1,_xlfn.XLOOKUP($B4,Tabla1[SERVICIO],Tabla1[VALOR]*T4),0))</f>
        <v>0</v>
      </c>
      <c r="V4" s="79"/>
      <c r="W4" s="56" cm="1">
        <f t="array" ref="W4">IF(V4="X",(_xlfn.XLOOKUP($B4,Tabla1[SERVICIO],Tabla1[VALOR])*1),IF(V4&gt;=1,_xlfn.XLOOKUP($B4,Tabla1[SERVICIO],Tabla1[VALOR]*V4),0))</f>
        <v>0</v>
      </c>
      <c r="X4" s="79"/>
      <c r="Y4" s="56" cm="1">
        <f t="array" ref="Y4">IF(X4="X",(_xlfn.XLOOKUP($B4,Tabla1[SERVICIO],Tabla1[VALOR])*1),IF(X4&gt;=1,_xlfn.XLOOKUP($B4,Tabla1[SERVICIO],Tabla1[VALOR]*X4),0))</f>
        <v>0</v>
      </c>
      <c r="Z4" s="79"/>
      <c r="AA4" s="56" cm="1">
        <f t="array" ref="AA4">IF(Z4="X",(_xlfn.XLOOKUP($B4,Tabla1[SERVICIO],Tabla1[VALOR])*1),IF(Z4&gt;=1,_xlfn.XLOOKUP($B4,Tabla1[SERVICIO],Tabla1[VALOR]*Z4),0))</f>
        <v>0</v>
      </c>
      <c r="AB4" s="81">
        <f>SUM(E4,G4,I4,K4+M4,O4,Q4,S4,U4,W4,Tabla12332[[#This Row],[COSTO11]],Tabla12332[[#This Row],[COSTO12]])</f>
        <v>17887.388810409495</v>
      </c>
      <c r="AC4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4" s="104" t="s">
        <v>318</v>
      </c>
      <c r="AE4" s="134">
        <v>1</v>
      </c>
      <c r="AF4" s="121">
        <f>+Tabla12332[[#This Row],[TOTAL]]*Tabla12332[[#This Row],[% de las personas que lo usaron]]</f>
        <v>17887.388810409495</v>
      </c>
      <c r="AG4" s="82" t="s">
        <v>351</v>
      </c>
      <c r="AH4" s="335">
        <v>12</v>
      </c>
    </row>
    <row r="5" spans="1:34" s="4" customFormat="1" ht="15" x14ac:dyDescent="0.25">
      <c r="A5" s="7" t="s">
        <v>104</v>
      </c>
      <c r="B5" s="96" t="s">
        <v>105</v>
      </c>
      <c r="C5" s="96" t="str">
        <f>_xlfn.XLOOKUP(Tabla12332[[#This Row],[Servicios del Programa:]],Tabla151[CODIGO],Tabla151[VALOR])</f>
        <v>Consultas</v>
      </c>
      <c r="D5" s="77">
        <v>1</v>
      </c>
      <c r="E5" s="56" cm="1">
        <f t="array" ref="E5">IF(D5="X",(_xlfn.XLOOKUP($B5,Tabla1[SERVICIO],Tabla1[VALOR])*1),IF(D5&gt;=1,_xlfn.XLOOKUP($B5,Tabla1[SERVICIO],Tabla1[VALOR]*D5),0))</f>
        <v>17887.388810409495</v>
      </c>
      <c r="F5" s="78"/>
      <c r="G5" s="56" cm="1">
        <f t="array" ref="G5">IF(F5="X",(_xlfn.XLOOKUP($B5,Tabla1[SERVICIO],Tabla1[VALOR])*1),IF(F5&gt;=1,_xlfn.XLOOKUP($B5,Tabla1[SERVICIO],Tabla1[VALOR]*F5),0))</f>
        <v>0</v>
      </c>
      <c r="H5" s="78"/>
      <c r="I5" s="56" cm="1">
        <f t="array" ref="I5">IF(H5="X",(_xlfn.XLOOKUP($B5,Tabla1[SERVICIO],Tabla1[VALOR])*1),IF(H5&gt;=1,_xlfn.XLOOKUP($B5,Tabla1[SERVICIO],Tabla1[VALOR]*H5),0))</f>
        <v>0</v>
      </c>
      <c r="J5" s="78"/>
      <c r="K5" s="56" cm="1">
        <f t="array" ref="K5">IF(J5="X",(_xlfn.XLOOKUP($B5,Tabla1[SERVICIO],Tabla1[VALOR])*1),IF(J5&gt;=1,_xlfn.XLOOKUP($B5,Tabla1[SERVICIO],Tabla1[VALOR]*J5),0))</f>
        <v>0</v>
      </c>
      <c r="L5" s="78"/>
      <c r="M5" s="56" cm="1">
        <f t="array" ref="M5">IF(L5="X",(_xlfn.XLOOKUP($B5,Tabla1[SERVICIO],Tabla1[VALOR])*1),IF(L5&gt;=1,_xlfn.XLOOKUP($B5,Tabla1[SERVICIO],Tabla1[VALOR]*L5),0))</f>
        <v>0</v>
      </c>
      <c r="N5" s="78"/>
      <c r="O5" s="56" cm="1">
        <f t="array" ref="O5">IF(N5="X",(_xlfn.XLOOKUP($B5,Tabla1[SERVICIO],Tabla1[VALOR])*1),IF(N5&gt;=1,_xlfn.XLOOKUP($B5,Tabla1[SERVICIO],Tabla1[VALOR]*N5),0))</f>
        <v>0</v>
      </c>
      <c r="P5" s="78"/>
      <c r="Q5" s="56" cm="1">
        <f t="array" ref="Q5">IF(P5="X",(_xlfn.XLOOKUP($B5,Tabla1[SERVICIO],Tabla1[VALOR])*1),IF(P5&gt;=1,_xlfn.XLOOKUP($B5,Tabla1[SERVICIO],Tabla1[VALOR]*P5),0))</f>
        <v>0</v>
      </c>
      <c r="R5" s="78"/>
      <c r="S5" s="56" cm="1">
        <f t="array" ref="S5">IF(R5="X",(_xlfn.XLOOKUP($B5,Tabla1[SERVICIO],Tabla1[VALOR])*1),IF(R5&gt;=1,_xlfn.XLOOKUP($B5,Tabla1[SERVICIO],Tabla1[VALOR]*R5),0))</f>
        <v>0</v>
      </c>
      <c r="T5" s="78"/>
      <c r="U5" s="56" cm="1">
        <f t="array" ref="U5">IF(T5="X",(_xlfn.XLOOKUP($B5,Tabla1[SERVICIO],Tabla1[VALOR])*1),IF(T5&gt;=1,_xlfn.XLOOKUP($B5,Tabla1[SERVICIO],Tabla1[VALOR]*T5),0))</f>
        <v>0</v>
      </c>
      <c r="V5" s="80"/>
      <c r="W5" s="56" cm="1">
        <f t="array" ref="W5">IF(V5="X",(_xlfn.XLOOKUP($B5,Tabla1[SERVICIO],Tabla1[VALOR])*1),IF(V5&gt;=1,_xlfn.XLOOKUP($B5,Tabla1[SERVICIO],Tabla1[VALOR]*V5),0))</f>
        <v>0</v>
      </c>
      <c r="X5" s="80"/>
      <c r="Y5" s="56" cm="1">
        <f t="array" ref="Y5">IF(X5="X",(_xlfn.XLOOKUP($B5,Tabla1[SERVICIO],Tabla1[VALOR])*1),IF(X5&gt;=1,_xlfn.XLOOKUP($B5,Tabla1[SERVICIO],Tabla1[VALOR]*X5),0))</f>
        <v>0</v>
      </c>
      <c r="Z5" s="80"/>
      <c r="AA5" s="56" cm="1">
        <f t="array" ref="AA5">IF(Z5="X",(_xlfn.XLOOKUP($B5,Tabla1[SERVICIO],Tabla1[VALOR])*1),IF(Z5&gt;=1,_xlfn.XLOOKUP($B5,Tabla1[SERVICIO],Tabla1[VALOR]*Z5),0))</f>
        <v>0</v>
      </c>
      <c r="AB5" s="81">
        <f>SUM(E5,G5,I5,K5+M5,O5,Q5,S5,U5,W5,Tabla12332[[#This Row],[COSTO11]],Tabla12332[[#This Row],[COSTO12]])</f>
        <v>17887.388810409495</v>
      </c>
      <c r="AC5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5" s="104" t="s">
        <v>319</v>
      </c>
      <c r="AE5" s="134">
        <v>0.29583875162548767</v>
      </c>
      <c r="AF5" s="121">
        <f>+Tabla12332[[#This Row],[TOTAL]]*Tabla12332[[#This Row],[% de las personas que lo usaron]]</f>
        <v>5291.7827755112621</v>
      </c>
      <c r="AG5" s="82" t="s">
        <v>351</v>
      </c>
      <c r="AH5" s="335">
        <v>12</v>
      </c>
    </row>
    <row r="6" spans="1:34" ht="15" x14ac:dyDescent="0.25">
      <c r="A6" s="7" t="s">
        <v>25</v>
      </c>
      <c r="B6" s="96" t="s">
        <v>26</v>
      </c>
      <c r="C6" s="96" t="str">
        <f>_xlfn.XLOOKUP(Tabla12332[[#This Row],[Servicios del Programa:]],Tabla151[CODIGO],Tabla151[VALOR])</f>
        <v>Diagnosticos</v>
      </c>
      <c r="D6" s="77">
        <v>1</v>
      </c>
      <c r="E6" s="56" cm="1">
        <f t="array" ref="E6">IF(D6="X",(_xlfn.XLOOKUP($B6,Tabla1[SERVICIO],Tabla1[VALOR])*1),IF(D6&gt;=1,_xlfn.XLOOKUP($B6,Tabla1[SERVICIO],Tabla1[VALOR]*D6),0))</f>
        <v>19392.627189167735</v>
      </c>
      <c r="F6" s="78"/>
      <c r="G6" s="56" cm="1">
        <f t="array" ref="G6">IF(F6="X",(_xlfn.XLOOKUP($B6,Tabla1[SERVICIO],Tabla1[VALOR])*1),IF(F6&gt;=1,_xlfn.XLOOKUP($B6,Tabla1[SERVICIO],Tabla1[VALOR]*F6),0))</f>
        <v>0</v>
      </c>
      <c r="H6" s="78"/>
      <c r="I6" s="56" cm="1">
        <f t="array" ref="I6">IF(H6="X",(_xlfn.XLOOKUP($B6,Tabla1[SERVICIO],Tabla1[VALOR])*1),IF(H6&gt;=1,_xlfn.XLOOKUP($B6,Tabla1[SERVICIO],Tabla1[VALOR]*H6),0))</f>
        <v>0</v>
      </c>
      <c r="J6" s="78"/>
      <c r="K6" s="56" cm="1">
        <f t="array" ref="K6">IF(J6="X",(_xlfn.XLOOKUP($B6,Tabla1[SERVICIO],Tabla1[VALOR])*1),IF(J6&gt;=1,_xlfn.XLOOKUP($B6,Tabla1[SERVICIO],Tabla1[VALOR]*J6),0))</f>
        <v>0</v>
      </c>
      <c r="L6" s="78"/>
      <c r="M6" s="56" cm="1">
        <f t="array" ref="M6">IF(L6="X",(_xlfn.XLOOKUP($B6,Tabla1[SERVICIO],Tabla1[VALOR])*1),IF(L6&gt;=1,_xlfn.XLOOKUP($B6,Tabla1[SERVICIO],Tabla1[VALOR]*L6),0))</f>
        <v>0</v>
      </c>
      <c r="N6" s="80"/>
      <c r="O6" s="56" cm="1">
        <f t="array" ref="O6">IF(N6="X",(_xlfn.XLOOKUP($B6,Tabla1[SERVICIO],Tabla1[VALOR])*1),IF(N6&gt;=1,_xlfn.XLOOKUP($B6,Tabla1[SERVICIO],Tabla1[VALOR]*N6),0))</f>
        <v>0</v>
      </c>
      <c r="P6" s="78"/>
      <c r="Q6" s="56" cm="1">
        <f t="array" ref="Q6">IF(P6="X",(_xlfn.XLOOKUP($B6,Tabla1[SERVICIO],Tabla1[VALOR])*1),IF(P6&gt;=1,_xlfn.XLOOKUP($B6,Tabla1[SERVICIO],Tabla1[VALOR]*P6),0))</f>
        <v>0</v>
      </c>
      <c r="R6" s="78"/>
      <c r="S6" s="56" cm="1">
        <f t="array" ref="S6">IF(R6="X",(_xlfn.XLOOKUP($B6,Tabla1[SERVICIO],Tabla1[VALOR])*1),IF(R6&gt;=1,_xlfn.XLOOKUP($B6,Tabla1[SERVICIO],Tabla1[VALOR]*R6),0))</f>
        <v>0</v>
      </c>
      <c r="T6" s="78"/>
      <c r="U6" s="56" cm="1">
        <f t="array" ref="U6">IF(T6="X",(_xlfn.XLOOKUP($B6,Tabla1[SERVICIO],Tabla1[VALOR])*1),IF(T6&gt;=1,_xlfn.XLOOKUP($B6,Tabla1[SERVICIO],Tabla1[VALOR]*T6),0))</f>
        <v>0</v>
      </c>
      <c r="V6" s="80"/>
      <c r="W6" s="56" cm="1">
        <f t="array" ref="W6">IF(V6="X",(_xlfn.XLOOKUP($B6,Tabla1[SERVICIO],Tabla1[VALOR])*1),IF(V6&gt;=1,_xlfn.XLOOKUP($B6,Tabla1[SERVICIO],Tabla1[VALOR]*V6),0))</f>
        <v>0</v>
      </c>
      <c r="X6" s="80"/>
      <c r="Y6" s="56" cm="1">
        <f t="array" ref="Y6">IF(X6="X",(_xlfn.XLOOKUP($B6,Tabla1[SERVICIO],Tabla1[VALOR])*1),IF(X6&gt;=1,_xlfn.XLOOKUP($B6,Tabla1[SERVICIO],Tabla1[VALOR]*X6),0))</f>
        <v>0</v>
      </c>
      <c r="Z6" s="80"/>
      <c r="AA6" s="56" cm="1">
        <f t="array" ref="AA6">IF(Z6="X",(_xlfn.XLOOKUP($B6,Tabla1[SERVICIO],Tabla1[VALOR])*1),IF(Z6&gt;=1,_xlfn.XLOOKUP($B6,Tabla1[SERVICIO],Tabla1[VALOR]*Z6),0))</f>
        <v>0</v>
      </c>
      <c r="AB6" s="81">
        <f>SUM(E6,G6,I6,K6+M6,O6,Q6,S6,U6,W6,Tabla12332[[#This Row],[COSTO11]],Tabla12332[[#This Row],[COSTO12]])</f>
        <v>19392.627189167735</v>
      </c>
      <c r="AC6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6" s="104" t="s">
        <v>318</v>
      </c>
      <c r="AE6" s="134">
        <v>1</v>
      </c>
      <c r="AF6" s="121">
        <f>+Tabla12332[[#This Row],[TOTAL]]*Tabla12332[[#This Row],[% de las personas que lo usaron]]</f>
        <v>19392.627189167735</v>
      </c>
      <c r="AG6" s="82" t="s">
        <v>351</v>
      </c>
      <c r="AH6" s="335">
        <v>12</v>
      </c>
    </row>
    <row r="7" spans="1:34" ht="15" x14ac:dyDescent="0.25">
      <c r="A7" s="7" t="s">
        <v>27</v>
      </c>
      <c r="B7" s="96" t="s">
        <v>28</v>
      </c>
      <c r="C7" s="96" t="str">
        <f>_xlfn.XLOOKUP(Tabla12332[[#This Row],[Servicios del Programa:]],Tabla151[CODIGO],Tabla151[VALOR])</f>
        <v>Diagnosticos</v>
      </c>
      <c r="D7" s="77">
        <v>1</v>
      </c>
      <c r="E7" s="56" cm="1">
        <f t="array" ref="E7">IF(D7="X",(_xlfn.XLOOKUP($B7,Tabla1[SERVICIO],Tabla1[VALOR])*1),IF(D7&gt;=1,_xlfn.XLOOKUP($B7,Tabla1[SERVICIO],Tabla1[VALOR]*D7),0))</f>
        <v>43480.816890660324</v>
      </c>
      <c r="F7" s="78"/>
      <c r="G7" s="56" cm="1">
        <f t="array" ref="G7">IF(F7="X",(_xlfn.XLOOKUP($B7,Tabla1[SERVICIO],Tabla1[VALOR])*1),IF(F7&gt;=1,_xlfn.XLOOKUP($B7,Tabla1[SERVICIO],Tabla1[VALOR]*F7),0))</f>
        <v>0</v>
      </c>
      <c r="H7" s="78"/>
      <c r="I7" s="56" cm="1">
        <f t="array" ref="I7">IF(H7="X",(_xlfn.XLOOKUP($B7,Tabla1[SERVICIO],Tabla1[VALOR])*1),IF(H7&gt;=1,_xlfn.XLOOKUP($B7,Tabla1[SERVICIO],Tabla1[VALOR]*H7),0))</f>
        <v>0</v>
      </c>
      <c r="J7" s="78"/>
      <c r="K7" s="56" cm="1">
        <f t="array" ref="K7">IF(J7="X",(_xlfn.XLOOKUP($B7,Tabla1[SERVICIO],Tabla1[VALOR])*1),IF(J7&gt;=1,_xlfn.XLOOKUP($B7,Tabla1[SERVICIO],Tabla1[VALOR]*J7),0))</f>
        <v>0</v>
      </c>
      <c r="L7" s="78"/>
      <c r="M7" s="56" cm="1">
        <f t="array" ref="M7">IF(L7="X",(_xlfn.XLOOKUP($B7,Tabla1[SERVICIO],Tabla1[VALOR])*1),IF(L7&gt;=1,_xlfn.XLOOKUP($B7,Tabla1[SERVICIO],Tabla1[VALOR]*L7),0))</f>
        <v>0</v>
      </c>
      <c r="N7" s="80"/>
      <c r="O7" s="56" cm="1">
        <f t="array" ref="O7">IF(N7="X",(_xlfn.XLOOKUP($B7,Tabla1[SERVICIO],Tabla1[VALOR])*1),IF(N7&gt;=1,_xlfn.XLOOKUP($B7,Tabla1[SERVICIO],Tabla1[VALOR]*N7),0))</f>
        <v>0</v>
      </c>
      <c r="P7" s="78"/>
      <c r="Q7" s="56" cm="1">
        <f t="array" ref="Q7">IF(P7="X",(_xlfn.XLOOKUP($B7,Tabla1[SERVICIO],Tabla1[VALOR])*1),IF(P7&gt;=1,_xlfn.XLOOKUP($B7,Tabla1[SERVICIO],Tabla1[VALOR]*P7),0))</f>
        <v>0</v>
      </c>
      <c r="R7" s="78"/>
      <c r="S7" s="56" cm="1">
        <f t="array" ref="S7">IF(R7="X",(_xlfn.XLOOKUP($B7,Tabla1[SERVICIO],Tabla1[VALOR])*1),IF(R7&gt;=1,_xlfn.XLOOKUP($B7,Tabla1[SERVICIO],Tabla1[VALOR]*R7),0))</f>
        <v>0</v>
      </c>
      <c r="T7" s="78"/>
      <c r="U7" s="56" cm="1">
        <f t="array" ref="U7">IF(T7="X",(_xlfn.XLOOKUP($B7,Tabla1[SERVICIO],Tabla1[VALOR])*1),IF(T7&gt;=1,_xlfn.XLOOKUP($B7,Tabla1[SERVICIO],Tabla1[VALOR]*T7),0))</f>
        <v>0</v>
      </c>
      <c r="V7" s="80"/>
      <c r="W7" s="56" cm="1">
        <f t="array" ref="W7">IF(V7="X",(_xlfn.XLOOKUP($B7,Tabla1[SERVICIO],Tabla1[VALOR])*1),IF(V7&gt;=1,_xlfn.XLOOKUP($B7,Tabla1[SERVICIO],Tabla1[VALOR]*V7),0))</f>
        <v>0</v>
      </c>
      <c r="X7" s="80"/>
      <c r="Y7" s="56" cm="1">
        <f t="array" ref="Y7">IF(X7="X",(_xlfn.XLOOKUP($B7,Tabla1[SERVICIO],Tabla1[VALOR])*1),IF(X7&gt;=1,_xlfn.XLOOKUP($B7,Tabla1[SERVICIO],Tabla1[VALOR]*X7),0))</f>
        <v>0</v>
      </c>
      <c r="Z7" s="80"/>
      <c r="AA7" s="56" cm="1">
        <f t="array" ref="AA7">IF(Z7="X",(_xlfn.XLOOKUP($B7,Tabla1[SERVICIO],Tabla1[VALOR])*1),IF(Z7&gt;=1,_xlfn.XLOOKUP($B7,Tabla1[SERVICIO],Tabla1[VALOR]*Z7),0))</f>
        <v>0</v>
      </c>
      <c r="AB7" s="81">
        <f>SUM(E7,G7,I7,K7+M7,O7,Q7,S7,U7,W7,Tabla12332[[#This Row],[COSTO11]],Tabla12332[[#This Row],[COSTO12]])</f>
        <v>43480.816890660324</v>
      </c>
      <c r="AC7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7" s="104" t="s">
        <v>318</v>
      </c>
      <c r="AE7" s="134">
        <v>1</v>
      </c>
      <c r="AF7" s="121">
        <f>+Tabla12332[[#This Row],[TOTAL]]*Tabla12332[[#This Row],[% de las personas que lo usaron]]</f>
        <v>43480.816890660324</v>
      </c>
      <c r="AG7" s="82" t="s">
        <v>351</v>
      </c>
      <c r="AH7" s="335">
        <v>12</v>
      </c>
    </row>
    <row r="8" spans="1:34" ht="15" x14ac:dyDescent="0.25">
      <c r="A8" s="7" t="s">
        <v>1</v>
      </c>
      <c r="B8" s="96" t="s">
        <v>2</v>
      </c>
      <c r="C8" s="96" t="str">
        <f>_xlfn.XLOOKUP(Tabla12332[[#This Row],[Servicios del Programa:]],Tabla151[CODIGO],Tabla151[VALOR])</f>
        <v>Consultas</v>
      </c>
      <c r="D8" s="77">
        <v>1</v>
      </c>
      <c r="E8" s="56" cm="1">
        <f t="array" ref="E8">IF(D8="X",(_xlfn.XLOOKUP($B8,Tabla1[SERVICIO],Tabla1[VALOR])*1),IF(D8&gt;=1,_xlfn.XLOOKUP($B8,Tabla1[SERVICIO],Tabla1[VALOR]*D8),0))</f>
        <v>21014.39667403782</v>
      </c>
      <c r="F8" s="78"/>
      <c r="G8" s="56" cm="1">
        <f t="array" ref="G8">IF(F8="X",(_xlfn.XLOOKUP($B8,Tabla1[SERVICIO],Tabla1[VALOR])*1),IF(F8&gt;=1,_xlfn.XLOOKUP($B8,Tabla1[SERVICIO],Tabla1[VALOR]*F8),0))</f>
        <v>0</v>
      </c>
      <c r="H8" s="78"/>
      <c r="I8" s="56" cm="1">
        <f t="array" ref="I8">IF(H8="X",(_xlfn.XLOOKUP($B8,Tabla1[SERVICIO],Tabla1[VALOR])*1),IF(H8&gt;=1,_xlfn.XLOOKUP($B8,Tabla1[SERVICIO],Tabla1[VALOR]*H8),0))</f>
        <v>0</v>
      </c>
      <c r="J8" s="78"/>
      <c r="K8" s="56" cm="1">
        <f t="array" ref="K8">IF(J8="X",(_xlfn.XLOOKUP($B8,Tabla1[SERVICIO],Tabla1[VALOR])*1),IF(J8&gt;=1,_xlfn.XLOOKUP($B8,Tabla1[SERVICIO],Tabla1[VALOR]*J8),0))</f>
        <v>0</v>
      </c>
      <c r="L8" s="78"/>
      <c r="M8" s="56" cm="1">
        <f t="array" ref="M8">IF(L8="X",(_xlfn.XLOOKUP($B8,Tabla1[SERVICIO],Tabla1[VALOR])*1),IF(L8&gt;=1,_xlfn.XLOOKUP($B8,Tabla1[SERVICIO],Tabla1[VALOR]*L8),0))</f>
        <v>0</v>
      </c>
      <c r="N8" s="78"/>
      <c r="O8" s="56" cm="1">
        <f t="array" ref="O8">IF(N8="X",(_xlfn.XLOOKUP($B8,Tabla1[SERVICIO],Tabla1[VALOR])*1),IF(N8&gt;=1,_xlfn.XLOOKUP($B8,Tabla1[SERVICIO],Tabla1[VALOR]*N8),0))</f>
        <v>0</v>
      </c>
      <c r="P8" s="78"/>
      <c r="Q8" s="56" cm="1">
        <f t="array" ref="Q8">IF(P8="X",(_xlfn.XLOOKUP($B8,Tabla1[SERVICIO],Tabla1[VALOR])*1),IF(P8&gt;=1,_xlfn.XLOOKUP($B8,Tabla1[SERVICIO],Tabla1[VALOR]*P8),0))</f>
        <v>0</v>
      </c>
      <c r="R8" s="78"/>
      <c r="S8" s="56" cm="1">
        <f t="array" ref="S8">IF(R8="X",(_xlfn.XLOOKUP($B8,Tabla1[SERVICIO],Tabla1[VALOR])*1),IF(R8&gt;=1,_xlfn.XLOOKUP($B8,Tabla1[SERVICIO],Tabla1[VALOR]*R8),0))</f>
        <v>0</v>
      </c>
      <c r="T8" s="78"/>
      <c r="U8" s="56" cm="1">
        <f t="array" ref="U8">IF(T8="X",(_xlfn.XLOOKUP($B8,Tabla1[SERVICIO],Tabla1[VALOR])*1),IF(T8&gt;=1,_xlfn.XLOOKUP($B8,Tabla1[SERVICIO],Tabla1[VALOR]*T8),0))</f>
        <v>0</v>
      </c>
      <c r="V8" s="80"/>
      <c r="W8" s="56" cm="1">
        <f t="array" ref="W8">IF(V8="X",(_xlfn.XLOOKUP($B8,Tabla1[SERVICIO],Tabla1[VALOR])*1),IF(V8&gt;=1,_xlfn.XLOOKUP($B8,Tabla1[SERVICIO],Tabla1[VALOR]*V8),0))</f>
        <v>0</v>
      </c>
      <c r="X8" s="80"/>
      <c r="Y8" s="56" cm="1">
        <f t="array" ref="Y8">IF(X8="X",(_xlfn.XLOOKUP($B8,Tabla1[SERVICIO],Tabla1[VALOR])*1),IF(X8&gt;=1,_xlfn.XLOOKUP($B8,Tabla1[SERVICIO],Tabla1[VALOR]*X8),0))</f>
        <v>0</v>
      </c>
      <c r="Z8" s="80"/>
      <c r="AA8" s="56" cm="1">
        <f t="array" ref="AA8">IF(Z8="X",(_xlfn.XLOOKUP($B8,Tabla1[SERVICIO],Tabla1[VALOR])*1),IF(Z8&gt;=1,_xlfn.XLOOKUP($B8,Tabla1[SERVICIO],Tabla1[VALOR]*Z8),0))</f>
        <v>0</v>
      </c>
      <c r="AB8" s="81">
        <f>SUM(E8,G8,I8,K8+M8,O8,Q8,S8,U8,W8,Tabla12332[[#This Row],[COSTO11]],Tabla12332[[#This Row],[COSTO12]])</f>
        <v>21014.39667403782</v>
      </c>
      <c r="AC8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8" s="104" t="s">
        <v>318</v>
      </c>
      <c r="AE8" s="134">
        <v>0.3550065019505852</v>
      </c>
      <c r="AF8" s="121">
        <f>+Tabla12332[[#This Row],[TOTAL]]*Tabla12332[[#This Row],[% de las personas que lo usaron]]</f>
        <v>7460.2474538521783</v>
      </c>
      <c r="AG8" s="82" t="s">
        <v>351</v>
      </c>
      <c r="AH8" s="335">
        <v>12</v>
      </c>
    </row>
    <row r="9" spans="1:34" ht="15" x14ac:dyDescent="0.25">
      <c r="A9" s="7" t="s">
        <v>3</v>
      </c>
      <c r="B9" s="96" t="s">
        <v>4</v>
      </c>
      <c r="C9" s="96" t="str">
        <f>_xlfn.XLOOKUP(Tabla12332[[#This Row],[Servicios del Programa:]],Tabla151[CODIGO],Tabla151[VALOR])</f>
        <v>Consultas</v>
      </c>
      <c r="D9" s="77">
        <v>1</v>
      </c>
      <c r="E9" s="56" cm="1">
        <f t="array" ref="E9">IF(D9="X",(_xlfn.XLOOKUP($B9,Tabla1[SERVICIO],Tabla1[VALOR])*1),IF(D9&gt;=1,_xlfn.XLOOKUP($B9,Tabla1[SERVICIO],Tabla1[VALOR]*D9),0))</f>
        <v>20406.13276336317</v>
      </c>
      <c r="F9" s="78"/>
      <c r="G9" s="56" cm="1">
        <f t="array" ref="G9">IF(F9="X",(_xlfn.XLOOKUP($B9,Tabla1[SERVICIO],Tabla1[VALOR])*1),IF(F9&gt;=1,_xlfn.XLOOKUP($B9,Tabla1[SERVICIO],Tabla1[VALOR]*F9),0))</f>
        <v>0</v>
      </c>
      <c r="H9" s="78"/>
      <c r="I9" s="56" cm="1">
        <f t="array" ref="I9">IF(H9="X",(_xlfn.XLOOKUP($B9,Tabla1[SERVICIO],Tabla1[VALOR])*1),IF(H9&gt;=1,_xlfn.XLOOKUP($B9,Tabla1[SERVICIO],Tabla1[VALOR]*H9),0))</f>
        <v>0</v>
      </c>
      <c r="J9" s="78"/>
      <c r="K9" s="56" cm="1">
        <f t="array" ref="K9">IF(J9="X",(_xlfn.XLOOKUP($B9,Tabla1[SERVICIO],Tabla1[VALOR])*1),IF(J9&gt;=1,_xlfn.XLOOKUP($B9,Tabla1[SERVICIO],Tabla1[VALOR]*J9),0))</f>
        <v>0</v>
      </c>
      <c r="L9" s="78"/>
      <c r="M9" s="56" cm="1">
        <f t="array" ref="M9">IF(L9="X",(_xlfn.XLOOKUP($B9,Tabla1[SERVICIO],Tabla1[VALOR])*1),IF(L9&gt;=1,_xlfn.XLOOKUP($B9,Tabla1[SERVICIO],Tabla1[VALOR]*L9),0))</f>
        <v>0</v>
      </c>
      <c r="N9" s="78"/>
      <c r="O9" s="56" cm="1">
        <f t="array" ref="O9">IF(N9="X",(_xlfn.XLOOKUP($B9,Tabla1[SERVICIO],Tabla1[VALOR])*1),IF(N9&gt;=1,_xlfn.XLOOKUP($B9,Tabla1[SERVICIO],Tabla1[VALOR]*N9),0))</f>
        <v>0</v>
      </c>
      <c r="P9" s="78"/>
      <c r="Q9" s="56" cm="1">
        <f t="array" ref="Q9">IF(P9="X",(_xlfn.XLOOKUP($B9,Tabla1[SERVICIO],Tabla1[VALOR])*1),IF(P9&gt;=1,_xlfn.XLOOKUP($B9,Tabla1[SERVICIO],Tabla1[VALOR]*P9),0))</f>
        <v>0</v>
      </c>
      <c r="R9" s="78"/>
      <c r="S9" s="56" cm="1">
        <f t="array" ref="S9">IF(R9="X",(_xlfn.XLOOKUP($B9,Tabla1[SERVICIO],Tabla1[VALOR])*1),IF(R9&gt;=1,_xlfn.XLOOKUP($B9,Tabla1[SERVICIO],Tabla1[VALOR]*R9),0))</f>
        <v>0</v>
      </c>
      <c r="T9" s="78"/>
      <c r="U9" s="56" cm="1">
        <f t="array" ref="U9">IF(T9="X",(_xlfn.XLOOKUP($B9,Tabla1[SERVICIO],Tabla1[VALOR])*1),IF(T9&gt;=1,_xlfn.XLOOKUP($B9,Tabla1[SERVICIO],Tabla1[VALOR]*T9),0))</f>
        <v>0</v>
      </c>
      <c r="V9" s="79"/>
      <c r="W9" s="56" cm="1">
        <f t="array" ref="W9">IF(V9="X",(_xlfn.XLOOKUP($B9,Tabla1[SERVICIO],Tabla1[VALOR])*1),IF(V9&gt;=1,_xlfn.XLOOKUP($B9,Tabla1[SERVICIO],Tabla1[VALOR]*V9),0))</f>
        <v>0</v>
      </c>
      <c r="X9" s="79"/>
      <c r="Y9" s="56" cm="1">
        <f t="array" ref="Y9">IF(X9="X",(_xlfn.XLOOKUP($B9,Tabla1[SERVICIO],Tabla1[VALOR])*1),IF(X9&gt;=1,_xlfn.XLOOKUP($B9,Tabla1[SERVICIO],Tabla1[VALOR]*X9),0))</f>
        <v>0</v>
      </c>
      <c r="Z9" s="79"/>
      <c r="AA9" s="56" cm="1">
        <f t="array" ref="AA9">IF(Z9="X",(_xlfn.XLOOKUP($B9,Tabla1[SERVICIO],Tabla1[VALOR])*1),IF(Z9&gt;=1,_xlfn.XLOOKUP($B9,Tabla1[SERVICIO],Tabla1[VALOR]*Z9),0))</f>
        <v>0</v>
      </c>
      <c r="AB9" s="81">
        <f>SUM(E9,G9,I9,K9+M9,O9,Q9,S9,U9,W9,Tabla12332[[#This Row],[COSTO11]],Tabla12332[[#This Row],[COSTO12]])</f>
        <v>20406.13276336317</v>
      </c>
      <c r="AC9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9" s="104" t="s">
        <v>318</v>
      </c>
      <c r="AE9" s="134">
        <v>1</v>
      </c>
      <c r="AF9" s="121">
        <f>+Tabla12332[[#This Row],[TOTAL]]*Tabla12332[[#This Row],[% de las personas que lo usaron]]</f>
        <v>20406.13276336317</v>
      </c>
      <c r="AG9" s="82" t="s">
        <v>351</v>
      </c>
      <c r="AH9" s="335">
        <v>12</v>
      </c>
    </row>
    <row r="10" spans="1:34" ht="15" x14ac:dyDescent="0.25">
      <c r="A10" s="7" t="s">
        <v>5</v>
      </c>
      <c r="B10" s="96" t="s">
        <v>6</v>
      </c>
      <c r="C10" s="96" t="str">
        <f>_xlfn.XLOOKUP(Tabla12332[[#This Row],[Servicios del Programa:]],Tabla151[CODIGO],Tabla151[VALOR])</f>
        <v>Consultas</v>
      </c>
      <c r="D10" s="77">
        <v>1</v>
      </c>
      <c r="E10" s="56" cm="1">
        <f t="array" ref="E10">IF(D10="X",(_xlfn.XLOOKUP($B10,Tabla1[SERVICIO],Tabla1[VALOR])*1),IF(D10&gt;=1,_xlfn.XLOOKUP($B10,Tabla1[SERVICIO],Tabla1[VALOR]*D10),0))</f>
        <v>18768.367820181349</v>
      </c>
      <c r="F10" s="78"/>
      <c r="G10" s="56" cm="1">
        <f t="array" ref="G10">IF(F10="X",(_xlfn.XLOOKUP($B10,Tabla1[SERVICIO],Tabla1[VALOR])*1),IF(F10&gt;=1,_xlfn.XLOOKUP($B10,Tabla1[SERVICIO],Tabla1[VALOR]*F10),0))</f>
        <v>0</v>
      </c>
      <c r="H10" s="78"/>
      <c r="I10" s="56" cm="1">
        <f t="array" ref="I10">IF(H10="X",(_xlfn.XLOOKUP($B10,Tabla1[SERVICIO],Tabla1[VALOR])*1),IF(H10&gt;=1,_xlfn.XLOOKUP($B10,Tabla1[SERVICIO],Tabla1[VALOR]*H10),0))</f>
        <v>0</v>
      </c>
      <c r="J10" s="78"/>
      <c r="K10" s="56" cm="1">
        <f t="array" ref="K10">IF(J10="X",(_xlfn.XLOOKUP($B10,Tabla1[SERVICIO],Tabla1[VALOR])*1),IF(J10&gt;=1,_xlfn.XLOOKUP($B10,Tabla1[SERVICIO],Tabla1[VALOR]*J10),0))</f>
        <v>0</v>
      </c>
      <c r="L10" s="78"/>
      <c r="M10" s="56" cm="1">
        <f t="array" ref="M10">IF(L10="X",(_xlfn.XLOOKUP($B10,Tabla1[SERVICIO],Tabla1[VALOR])*1),IF(L10&gt;=1,_xlfn.XLOOKUP($B10,Tabla1[SERVICIO],Tabla1[VALOR]*L10),0))</f>
        <v>0</v>
      </c>
      <c r="N10" s="78"/>
      <c r="O10" s="56" cm="1">
        <f t="array" ref="O10">IF(N10="X",(_xlfn.XLOOKUP($B10,Tabla1[SERVICIO],Tabla1[VALOR])*1),IF(N10&gt;=1,_xlfn.XLOOKUP($B10,Tabla1[SERVICIO],Tabla1[VALOR]*N10),0))</f>
        <v>0</v>
      </c>
      <c r="P10" s="78"/>
      <c r="Q10" s="56" cm="1">
        <f t="array" ref="Q10">IF(P10="X",(_xlfn.XLOOKUP($B10,Tabla1[SERVICIO],Tabla1[VALOR])*1),IF(P10&gt;=1,_xlfn.XLOOKUP($B10,Tabla1[SERVICIO],Tabla1[VALOR]*P10),0))</f>
        <v>0</v>
      </c>
      <c r="R10" s="78"/>
      <c r="S10" s="56" cm="1">
        <f t="array" ref="S10">IF(R10="X",(_xlfn.XLOOKUP($B10,Tabla1[SERVICIO],Tabla1[VALOR])*1),IF(R10&gt;=1,_xlfn.XLOOKUP($B10,Tabla1[SERVICIO],Tabla1[VALOR]*R10),0))</f>
        <v>0</v>
      </c>
      <c r="T10" s="78"/>
      <c r="U10" s="56" cm="1">
        <f t="array" ref="U10">IF(T10="X",(_xlfn.XLOOKUP($B10,Tabla1[SERVICIO],Tabla1[VALOR])*1),IF(T10&gt;=1,_xlfn.XLOOKUP($B10,Tabla1[SERVICIO],Tabla1[VALOR]*T10),0))</f>
        <v>0</v>
      </c>
      <c r="V10" s="79"/>
      <c r="W10" s="56" cm="1">
        <f t="array" ref="W10">IF(V10="X",(_xlfn.XLOOKUP($B10,Tabla1[SERVICIO],Tabla1[VALOR])*1),IF(V10&gt;=1,_xlfn.XLOOKUP($B10,Tabla1[SERVICIO],Tabla1[VALOR]*V10),0))</f>
        <v>0</v>
      </c>
      <c r="X10" s="79"/>
      <c r="Y10" s="56" cm="1">
        <f t="array" ref="Y10">IF(X10="X",(_xlfn.XLOOKUP($B10,Tabla1[SERVICIO],Tabla1[VALOR])*1),IF(X10&gt;=1,_xlfn.XLOOKUP($B10,Tabla1[SERVICIO],Tabla1[VALOR]*X10),0))</f>
        <v>0</v>
      </c>
      <c r="Z10" s="79"/>
      <c r="AA10" s="56" cm="1">
        <f t="array" ref="AA10">IF(Z10="X",(_xlfn.XLOOKUP($B10,Tabla1[SERVICIO],Tabla1[VALOR])*1),IF(Z10&gt;=1,_xlfn.XLOOKUP($B10,Tabla1[SERVICIO],Tabla1[VALOR]*Z10),0))</f>
        <v>0</v>
      </c>
      <c r="AB10" s="81">
        <f>SUM(E10,G10,I10,K10+M10,O10,Q10,S10,U10,W10,Tabla12332[[#This Row],[COSTO11]],Tabla12332[[#This Row],[COSTO12]])</f>
        <v>18768.367820181349</v>
      </c>
      <c r="AC10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0" s="104" t="s">
        <v>318</v>
      </c>
      <c r="AE10" s="134">
        <v>0.30593607305936071</v>
      </c>
      <c r="AF10" s="121">
        <f>+Tabla12332[[#This Row],[TOTAL]]*Tabla12332[[#This Row],[% de las personas que lo usaron]]</f>
        <v>5741.9207486399555</v>
      </c>
      <c r="AG10" s="82" t="s">
        <v>351</v>
      </c>
      <c r="AH10" s="335">
        <v>12</v>
      </c>
    </row>
    <row r="11" spans="1:34" ht="15" x14ac:dyDescent="0.25">
      <c r="A11" s="7" t="s">
        <v>23</v>
      </c>
      <c r="B11" s="96" t="s">
        <v>24</v>
      </c>
      <c r="C11" s="96" t="str">
        <f>_xlfn.XLOOKUP(Tabla12332[[#This Row],[Servicios del Programa:]],Tabla151[CODIGO],Tabla151[VALOR])</f>
        <v>Terapias</v>
      </c>
      <c r="D11" s="77">
        <v>1</v>
      </c>
      <c r="E11" s="56" cm="1">
        <f t="array" ref="E11">IF(D11="X",(_xlfn.XLOOKUP($B11,Tabla1[SERVICIO],Tabla1[VALOR])*1),IF(D11&gt;=1,_xlfn.XLOOKUP($B11,Tabla1[SERVICIO],Tabla1[VALOR]*D11),0))</f>
        <v>31881.451880098426</v>
      </c>
      <c r="F11" s="78"/>
      <c r="G11" s="56" cm="1">
        <f t="array" ref="G11">IF(F11="X",(_xlfn.XLOOKUP($B11,Tabla1[SERVICIO],Tabla1[VALOR])*1),IF(F11&gt;=1,_xlfn.XLOOKUP($B11,Tabla1[SERVICIO],Tabla1[VALOR]*F11),0))</f>
        <v>0</v>
      </c>
      <c r="H11" s="78"/>
      <c r="I11" s="56" cm="1">
        <f t="array" ref="I11">IF(H11="X",(_xlfn.XLOOKUP($B11,Tabla1[SERVICIO],Tabla1[VALOR])*1),IF(H11&gt;=1,_xlfn.XLOOKUP($B11,Tabla1[SERVICIO],Tabla1[VALOR]*H11),0))</f>
        <v>0</v>
      </c>
      <c r="J11" s="78"/>
      <c r="K11" s="56" cm="1">
        <f t="array" ref="K11">IF(J11="X",(_xlfn.XLOOKUP($B11,Tabla1[SERVICIO],Tabla1[VALOR])*1),IF(J11&gt;=1,_xlfn.XLOOKUP($B11,Tabla1[SERVICIO],Tabla1[VALOR]*J11),0))</f>
        <v>0</v>
      </c>
      <c r="L11" s="78"/>
      <c r="M11" s="56" cm="1">
        <f t="array" ref="M11">IF(L11="X",(_xlfn.XLOOKUP($B11,Tabla1[SERVICIO],Tabla1[VALOR])*1),IF(L11&gt;=1,_xlfn.XLOOKUP($B11,Tabla1[SERVICIO],Tabla1[VALOR]*L11),0))</f>
        <v>0</v>
      </c>
      <c r="N11" s="78"/>
      <c r="O11" s="56" cm="1">
        <f t="array" ref="O11">IF(N11="X",(_xlfn.XLOOKUP($B11,Tabla1[SERVICIO],Tabla1[VALOR])*1),IF(N11&gt;=1,_xlfn.XLOOKUP($B11,Tabla1[SERVICIO],Tabla1[VALOR]*N11),0))</f>
        <v>0</v>
      </c>
      <c r="P11" s="78"/>
      <c r="Q11" s="56" cm="1">
        <f t="array" ref="Q11">IF(P11="X",(_xlfn.XLOOKUP($B11,Tabla1[SERVICIO],Tabla1[VALOR])*1),IF(P11&gt;=1,_xlfn.XLOOKUP($B11,Tabla1[SERVICIO],Tabla1[VALOR]*P11),0))</f>
        <v>0</v>
      </c>
      <c r="R11" s="78"/>
      <c r="S11" s="56" cm="1">
        <f t="array" ref="S11">IF(R11="X",(_xlfn.XLOOKUP($B11,Tabla1[SERVICIO],Tabla1[VALOR])*1),IF(R11&gt;=1,_xlfn.XLOOKUP($B11,Tabla1[SERVICIO],Tabla1[VALOR]*R11),0))</f>
        <v>0</v>
      </c>
      <c r="T11" s="78"/>
      <c r="U11" s="56" cm="1">
        <f t="array" ref="U11">IF(T11="X",(_xlfn.XLOOKUP($B11,Tabla1[SERVICIO],Tabla1[VALOR])*1),IF(T11&gt;=1,_xlfn.XLOOKUP($B11,Tabla1[SERVICIO],Tabla1[VALOR]*T11),0))</f>
        <v>0</v>
      </c>
      <c r="V11" s="79"/>
      <c r="W11" s="56" cm="1">
        <f t="array" ref="W11">IF(V11="X",(_xlfn.XLOOKUP($B11,Tabla1[SERVICIO],Tabla1[VALOR])*1),IF(V11&gt;=1,_xlfn.XLOOKUP($B11,Tabla1[SERVICIO],Tabla1[VALOR]*V11),0))</f>
        <v>0</v>
      </c>
      <c r="X11" s="79"/>
      <c r="Y11" s="56" cm="1">
        <f t="array" ref="Y11">IF(X11="X",(_xlfn.XLOOKUP($B11,Tabla1[SERVICIO],Tabla1[VALOR])*1),IF(X11&gt;=1,_xlfn.XLOOKUP($B11,Tabla1[SERVICIO],Tabla1[VALOR]*X11),0))</f>
        <v>0</v>
      </c>
      <c r="Z11" s="79"/>
      <c r="AA11" s="56" cm="1">
        <f t="array" ref="AA11">IF(Z11="X",(_xlfn.XLOOKUP($B11,Tabla1[SERVICIO],Tabla1[VALOR])*1),IF(Z11&gt;=1,_xlfn.XLOOKUP($B11,Tabla1[SERVICIO],Tabla1[VALOR]*Z11),0))</f>
        <v>0</v>
      </c>
      <c r="AB11" s="81">
        <f>SUM(E11,G11,I11,K11+M11,O11,Q11,S11,U11,W11,Tabla12332[[#This Row],[COSTO11]],Tabla12332[[#This Row],[COSTO12]])</f>
        <v>31881.451880098426</v>
      </c>
      <c r="AC11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1" s="104" t="s">
        <v>318</v>
      </c>
      <c r="AE11" s="134">
        <v>0.15068493150684931</v>
      </c>
      <c r="AF11" s="121">
        <f>+Tabla12332[[#This Row],[TOTAL]]*Tabla12332[[#This Row],[% de las personas que lo usaron]]</f>
        <v>4804.0543928915431</v>
      </c>
      <c r="AG11" s="82" t="s">
        <v>351</v>
      </c>
      <c r="AH11" s="335">
        <v>12</v>
      </c>
    </row>
    <row r="12" spans="1:34" ht="15" x14ac:dyDescent="0.25">
      <c r="A12" s="7" t="s">
        <v>36</v>
      </c>
      <c r="B12" s="96" t="s">
        <v>100</v>
      </c>
      <c r="C12" s="96" t="str">
        <f>_xlfn.XLOOKUP(Tabla12332[[#This Row],[Servicios del Programa:]],Tabla151[CODIGO],Tabla151[VALOR])</f>
        <v>Terapias</v>
      </c>
      <c r="D12" s="77"/>
      <c r="E12" s="56" cm="1">
        <f t="array" ref="E12">IF(D12="X",(_xlfn.XLOOKUP($B12,Tabla1[SERVICIO],Tabla1[VALOR])*1),IF(D12&gt;=1,_xlfn.XLOOKUP($B12,Tabla1[SERVICIO],Tabla1[VALOR]*D12),0))</f>
        <v>0</v>
      </c>
      <c r="F12" s="77">
        <v>8</v>
      </c>
      <c r="G12" s="56" cm="1">
        <f t="array" ref="G12">IF(F12="X",(_xlfn.XLOOKUP($B12,Tabla1[SERVICIO],Tabla1[VALOR])*1),IF(F12&gt;=1,_xlfn.XLOOKUP($B12,Tabla1[SERVICIO],Tabla1[VALOR]*F12),0))</f>
        <v>70240.958933331596</v>
      </c>
      <c r="H12" s="77">
        <v>8</v>
      </c>
      <c r="I12" s="56" cm="1">
        <f t="array" ref="I12">IF(H12="X",(_xlfn.XLOOKUP($B12,Tabla1[SERVICIO],Tabla1[VALOR])*1),IF(H12&gt;=1,_xlfn.XLOOKUP($B12,Tabla1[SERVICIO],Tabla1[VALOR]*H12),0))</f>
        <v>70240.958933331596</v>
      </c>
      <c r="J12" s="77">
        <v>8</v>
      </c>
      <c r="K12" s="56" cm="1">
        <f t="array" ref="K12">IF(J12="X",(_xlfn.XLOOKUP($B12,Tabla1[SERVICIO],Tabla1[VALOR])*1),IF(J12&gt;=1,_xlfn.XLOOKUP($B12,Tabla1[SERVICIO],Tabla1[VALOR]*J12),0))</f>
        <v>70240.958933331596</v>
      </c>
      <c r="L12" s="77">
        <v>8</v>
      </c>
      <c r="M12" s="56" cm="1">
        <f t="array" ref="M12">IF(L12="X",(_xlfn.XLOOKUP($B12,Tabla1[SERVICIO],Tabla1[VALOR])*1),IF(L12&gt;=1,_xlfn.XLOOKUP($B12,Tabla1[SERVICIO],Tabla1[VALOR]*L12),0))</f>
        <v>70240.958933331596</v>
      </c>
      <c r="N12" s="77">
        <v>8</v>
      </c>
      <c r="O12" s="56" cm="1">
        <f t="array" ref="O12">IF(N12="X",(_xlfn.XLOOKUP($B12,Tabla1[SERVICIO],Tabla1[VALOR])*1),IF(N12&gt;=1,_xlfn.XLOOKUP($B12,Tabla1[SERVICIO],Tabla1[VALOR]*N12),0))</f>
        <v>70240.958933331596</v>
      </c>
      <c r="P12" s="77">
        <v>8</v>
      </c>
      <c r="Q12" s="56" cm="1">
        <f t="array" ref="Q12">IF(P12="X",(_xlfn.XLOOKUP($B12,Tabla1[SERVICIO],Tabla1[VALOR])*1),IF(P12&gt;=1,_xlfn.XLOOKUP($B12,Tabla1[SERVICIO],Tabla1[VALOR]*P12),0))</f>
        <v>70240.958933331596</v>
      </c>
      <c r="R12" s="77">
        <v>8</v>
      </c>
      <c r="S12" s="56" cm="1">
        <f t="array" ref="S12">IF(R12="X",(_xlfn.XLOOKUP($B12,Tabla1[SERVICIO],Tabla1[VALOR])*1),IF(R12&gt;=1,_xlfn.XLOOKUP($B12,Tabla1[SERVICIO],Tabla1[VALOR]*R12),0))</f>
        <v>70240.958933331596</v>
      </c>
      <c r="T12" s="77">
        <v>8</v>
      </c>
      <c r="U12" s="56" cm="1">
        <f t="array" ref="U12">IF(T12="X",(_xlfn.XLOOKUP($B12,Tabla1[SERVICIO],Tabla1[VALOR])*1),IF(T12&gt;=1,_xlfn.XLOOKUP($B12,Tabla1[SERVICIO],Tabla1[VALOR]*T12),0))</f>
        <v>70240.958933331596</v>
      </c>
      <c r="V12" s="77">
        <v>8</v>
      </c>
      <c r="W12" s="56" cm="1">
        <f t="array" ref="W12">IF(V12="X",(_xlfn.XLOOKUP($B12,Tabla1[SERVICIO],Tabla1[VALOR])*1),IF(V12&gt;=1,_xlfn.XLOOKUP($B12,Tabla1[SERVICIO],Tabla1[VALOR]*V12),0))</f>
        <v>70240.958933331596</v>
      </c>
      <c r="X12" s="77">
        <v>8</v>
      </c>
      <c r="Y12" s="56" cm="1">
        <f t="array" ref="Y12">IF(X12="X",(_xlfn.XLOOKUP($B12,Tabla1[SERVICIO],Tabla1[VALOR])*1),IF(X12&gt;=1,_xlfn.XLOOKUP($B12,Tabla1[SERVICIO],Tabla1[VALOR]*X12),0))</f>
        <v>70240.958933331596</v>
      </c>
      <c r="Z12" s="77">
        <v>8</v>
      </c>
      <c r="AA12" s="56" cm="1">
        <f t="array" ref="AA12">IF(Z12="X",(_xlfn.XLOOKUP($B12,Tabla1[SERVICIO],Tabla1[VALOR])*1),IF(Z12&gt;=1,_xlfn.XLOOKUP($B12,Tabla1[SERVICIO],Tabla1[VALOR]*Z12),0))</f>
        <v>70240.958933331596</v>
      </c>
      <c r="AB12" s="81">
        <f>SUM(E12,G12,I12,K12+M12,O12,Q12,S12,U12,W12,Tabla12332[[#This Row],[COSTO11]],Tabla12332[[#This Row],[COSTO12]])</f>
        <v>772650.54826664738</v>
      </c>
      <c r="AC12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88</v>
      </c>
      <c r="AD12" s="104" t="s">
        <v>318</v>
      </c>
      <c r="AE12" s="134">
        <v>1</v>
      </c>
      <c r="AF12" s="121">
        <f>+Tabla12332[[#This Row],[TOTAL]]*Tabla12332[[#This Row],[% de las personas que lo usaron]]</f>
        <v>772650.54826664738</v>
      </c>
      <c r="AG12" s="82" t="s">
        <v>351</v>
      </c>
      <c r="AH12" s="335">
        <v>12</v>
      </c>
    </row>
    <row r="13" spans="1:34" ht="15" x14ac:dyDescent="0.25">
      <c r="A13" s="7" t="s">
        <v>15</v>
      </c>
      <c r="B13" s="96" t="s">
        <v>16</v>
      </c>
      <c r="C13" s="96" t="str">
        <f>_xlfn.XLOOKUP(Tabla12332[[#This Row],[Servicios del Programa:]],Tabla151[CODIGO],Tabla151[VALOR])</f>
        <v>Consultas</v>
      </c>
      <c r="D13" s="78">
        <v>1</v>
      </c>
      <c r="E13" s="56" cm="1">
        <f t="array" ref="E13">IF(D13="X",(_xlfn.XLOOKUP($B13,Tabla1[SERVICIO],Tabla1[VALOR])*1),IF(D13&gt;=1,_xlfn.XLOOKUP($B13,Tabla1[SERVICIO],Tabla1[VALOR]*D13),0))</f>
        <v>22052.520800552971</v>
      </c>
      <c r="F13" s="78"/>
      <c r="G13" s="56" cm="1">
        <f t="array" ref="G13">IF(F13="X",(_xlfn.XLOOKUP($B13,Tabla1[SERVICIO],Tabla1[VALOR])*1),IF(F13&gt;=1,_xlfn.XLOOKUP($B13,Tabla1[SERVICIO],Tabla1[VALOR]*F13),0))</f>
        <v>0</v>
      </c>
      <c r="H13" s="78"/>
      <c r="I13" s="56" cm="1">
        <f t="array" ref="I13">IF(H13="X",(_xlfn.XLOOKUP($B13,Tabla1[SERVICIO],Tabla1[VALOR])*1),IF(H13&gt;=1,_xlfn.XLOOKUP($B13,Tabla1[SERVICIO],Tabla1[VALOR]*H13),0))</f>
        <v>0</v>
      </c>
      <c r="J13" s="78"/>
      <c r="K13" s="56" cm="1">
        <f t="array" ref="K13">IF(J13="X",(_xlfn.XLOOKUP($B13,Tabla1[SERVICIO],Tabla1[VALOR])*1),IF(J13&gt;=1,_xlfn.XLOOKUP($B13,Tabla1[SERVICIO],Tabla1[VALOR]*J13),0))</f>
        <v>0</v>
      </c>
      <c r="L13" s="78"/>
      <c r="M13" s="56" cm="1">
        <f t="array" ref="M13">IF(L13="X",(_xlfn.XLOOKUP($B13,Tabla1[SERVICIO],Tabla1[VALOR])*1),IF(L13&gt;=1,_xlfn.XLOOKUP($B13,Tabla1[SERVICIO],Tabla1[VALOR]*L13),0))</f>
        <v>0</v>
      </c>
      <c r="N13" s="78"/>
      <c r="O13" s="56" cm="1">
        <f t="array" ref="O13">IF(N13="X",(_xlfn.XLOOKUP($B13,Tabla1[SERVICIO],Tabla1[VALOR])*1),IF(N13&gt;=1,_xlfn.XLOOKUP($B13,Tabla1[SERVICIO],Tabla1[VALOR]*N13),0))</f>
        <v>0</v>
      </c>
      <c r="P13" s="78"/>
      <c r="Q13" s="56" cm="1">
        <f t="array" ref="Q13">IF(P13="X",(_xlfn.XLOOKUP($B13,Tabla1[SERVICIO],Tabla1[VALOR])*1),IF(P13&gt;=1,_xlfn.XLOOKUP($B13,Tabla1[SERVICIO],Tabla1[VALOR]*P13),0))</f>
        <v>0</v>
      </c>
      <c r="R13" s="78"/>
      <c r="S13" s="56" cm="1">
        <f t="array" ref="S13">IF(R13="X",(_xlfn.XLOOKUP($B13,Tabla1[SERVICIO],Tabla1[VALOR])*1),IF(R13&gt;=1,_xlfn.XLOOKUP($B13,Tabla1[SERVICIO],Tabla1[VALOR]*R13),0))</f>
        <v>0</v>
      </c>
      <c r="T13" s="78"/>
      <c r="U13" s="56" cm="1">
        <f t="array" ref="U13">IF(T13="X",(_xlfn.XLOOKUP($B13,Tabla1[SERVICIO],Tabla1[VALOR])*1),IF(T13&gt;=1,_xlfn.XLOOKUP($B13,Tabla1[SERVICIO],Tabla1[VALOR]*T13),0))</f>
        <v>0</v>
      </c>
      <c r="V13" s="78"/>
      <c r="W13" s="56" cm="1">
        <f t="array" ref="W13">IF(V13="X",(_xlfn.XLOOKUP($B13,Tabla1[SERVICIO],Tabla1[VALOR])*1),IF(V13&gt;=1,_xlfn.XLOOKUP($B13,Tabla1[SERVICIO],Tabla1[VALOR]*V13),0))</f>
        <v>0</v>
      </c>
      <c r="X13" s="78"/>
      <c r="Y13" s="56" cm="1">
        <f t="array" ref="Y13">IF(X13="X",(_xlfn.XLOOKUP($B13,Tabla1[SERVICIO],Tabla1[VALOR])*1),IF(X13&gt;=1,_xlfn.XLOOKUP($B13,Tabla1[SERVICIO],Tabla1[VALOR]*X13),0))</f>
        <v>0</v>
      </c>
      <c r="Z13" s="78"/>
      <c r="AA13" s="56" cm="1">
        <f t="array" ref="AA13">IF(Z13="X",(_xlfn.XLOOKUP($B13,Tabla1[SERVICIO],Tabla1[VALOR])*1),IF(Z13&gt;=1,_xlfn.XLOOKUP($B13,Tabla1[SERVICIO],Tabla1[VALOR]*Z13),0))</f>
        <v>0</v>
      </c>
      <c r="AB13" s="81">
        <f>SUM(E13,G13,I13,K13+M13,O13,Q13,S13,U13,W13,Tabla12332[[#This Row],[COSTO11]],Tabla12332[[#This Row],[COSTO12]])</f>
        <v>22052.520800552971</v>
      </c>
      <c r="AC13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3" s="104" t="s">
        <v>318</v>
      </c>
      <c r="AE13" s="134">
        <v>0.27828348504551365</v>
      </c>
      <c r="AF13" s="121">
        <f>+Tabla12332[[#This Row],[TOTAL]]*Tabla12332[[#This Row],[% de las personas que lo usaron]]</f>
        <v>6136.8523424165614</v>
      </c>
      <c r="AG13" s="82" t="s">
        <v>351</v>
      </c>
      <c r="AH13" s="335">
        <v>12</v>
      </c>
    </row>
    <row r="14" spans="1:34" ht="15" x14ac:dyDescent="0.25">
      <c r="A14" s="7" t="s">
        <v>17</v>
      </c>
      <c r="B14" s="96" t="s">
        <v>18</v>
      </c>
      <c r="C14" s="96" t="str">
        <f>_xlfn.XLOOKUP(Tabla12332[[#This Row],[Servicios del Programa:]],Tabla151[CODIGO],Tabla151[VALOR])</f>
        <v>Consultas</v>
      </c>
      <c r="D14" s="78">
        <v>1</v>
      </c>
      <c r="E14" s="56" cm="1">
        <f t="array" ref="E14">IF(D14="X",(_xlfn.XLOOKUP($B14,Tabla1[SERVICIO],Tabla1[VALOR])*1),IF(D14&gt;=1,_xlfn.XLOOKUP($B14,Tabla1[SERVICIO],Tabla1[VALOR]*D14),0))</f>
        <v>20414.75585737115</v>
      </c>
      <c r="F14" s="78"/>
      <c r="G14" s="56" cm="1">
        <f t="array" ref="G14">IF(F14="X",(_xlfn.XLOOKUP($B14,Tabla1[SERVICIO],Tabla1[VALOR])*1),IF(F14&gt;=1,_xlfn.XLOOKUP($B14,Tabla1[SERVICIO],Tabla1[VALOR]*F14),0))</f>
        <v>0</v>
      </c>
      <c r="H14" s="78"/>
      <c r="I14" s="56" cm="1">
        <f t="array" ref="I14">IF(H14="X",(_xlfn.XLOOKUP($B14,Tabla1[SERVICIO],Tabla1[VALOR])*1),IF(H14&gt;=1,_xlfn.XLOOKUP($B14,Tabla1[SERVICIO],Tabla1[VALOR]*H14),0))</f>
        <v>0</v>
      </c>
      <c r="J14" s="78"/>
      <c r="K14" s="56" cm="1">
        <f t="array" ref="K14">IF(J14="X",(_xlfn.XLOOKUP($B14,Tabla1[SERVICIO],Tabla1[VALOR])*1),IF(J14&gt;=1,_xlfn.XLOOKUP($B14,Tabla1[SERVICIO],Tabla1[VALOR]*J14),0))</f>
        <v>0</v>
      </c>
      <c r="L14" s="78"/>
      <c r="M14" s="56" cm="1">
        <f t="array" ref="M14">IF(L14="X",(_xlfn.XLOOKUP($B14,Tabla1[SERVICIO],Tabla1[VALOR])*1),IF(L14&gt;=1,_xlfn.XLOOKUP($B14,Tabla1[SERVICIO],Tabla1[VALOR]*L14),0))</f>
        <v>0</v>
      </c>
      <c r="N14" s="78"/>
      <c r="O14" s="56" cm="1">
        <f t="array" ref="O14">IF(N14="X",(_xlfn.XLOOKUP($B14,Tabla1[SERVICIO],Tabla1[VALOR])*1),IF(N14&gt;=1,_xlfn.XLOOKUP($B14,Tabla1[SERVICIO],Tabla1[VALOR]*N14),0))</f>
        <v>0</v>
      </c>
      <c r="P14" s="78"/>
      <c r="Q14" s="56" cm="1">
        <f t="array" ref="Q14">IF(P14="X",(_xlfn.XLOOKUP($B14,Tabla1[SERVICIO],Tabla1[VALOR])*1),IF(P14&gt;=1,_xlfn.XLOOKUP($B14,Tabla1[SERVICIO],Tabla1[VALOR]*P14),0))</f>
        <v>0</v>
      </c>
      <c r="R14" s="78"/>
      <c r="S14" s="56" cm="1">
        <f t="array" ref="S14">IF(R14="X",(_xlfn.XLOOKUP($B14,Tabla1[SERVICIO],Tabla1[VALOR])*1),IF(R14&gt;=1,_xlfn.XLOOKUP($B14,Tabla1[SERVICIO],Tabla1[VALOR]*R14),0))</f>
        <v>0</v>
      </c>
      <c r="T14" s="78"/>
      <c r="U14" s="56" cm="1">
        <f t="array" ref="U14">IF(T14="X",(_xlfn.XLOOKUP($B14,Tabla1[SERVICIO],Tabla1[VALOR])*1),IF(T14&gt;=1,_xlfn.XLOOKUP($B14,Tabla1[SERVICIO],Tabla1[VALOR]*T14),0))</f>
        <v>0</v>
      </c>
      <c r="V14" s="78"/>
      <c r="W14" s="56" cm="1">
        <f t="array" ref="W14">IF(V14="X",(_xlfn.XLOOKUP($B14,Tabla1[SERVICIO],Tabla1[VALOR])*1),IF(V14&gt;=1,_xlfn.XLOOKUP($B14,Tabla1[SERVICIO],Tabla1[VALOR]*V14),0))</f>
        <v>0</v>
      </c>
      <c r="X14" s="78"/>
      <c r="Y14" s="56" cm="1">
        <f t="array" ref="Y14">IF(X14="X",(_xlfn.XLOOKUP($B14,Tabla1[SERVICIO],Tabla1[VALOR])*1),IF(X14&gt;=1,_xlfn.XLOOKUP($B14,Tabla1[SERVICIO],Tabla1[VALOR]*X14),0))</f>
        <v>0</v>
      </c>
      <c r="Z14" s="78"/>
      <c r="AA14" s="56" cm="1">
        <f t="array" ref="AA14">IF(Z14="X",(_xlfn.XLOOKUP($B14,Tabla1[SERVICIO],Tabla1[VALOR])*1),IF(Z14&gt;=1,_xlfn.XLOOKUP($B14,Tabla1[SERVICIO],Tabla1[VALOR]*Z14),0))</f>
        <v>0</v>
      </c>
      <c r="AB14" s="81">
        <f>SUM(E14,G14,I14,K14+M14,O14,Q14,S14,U14,W14,Tabla12332[[#This Row],[COSTO11]],Tabla12332[[#This Row],[COSTO12]])</f>
        <v>20414.75585737115</v>
      </c>
      <c r="AC14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4" s="104" t="s">
        <v>318</v>
      </c>
      <c r="AE14" s="134">
        <v>0.2503250975292588</v>
      </c>
      <c r="AF14" s="121">
        <f>+Tabla12332[[#This Row],[TOTAL]]*Tabla12332[[#This Row],[% de las personas que lo usaron]]</f>
        <v>5110.3257510324402</v>
      </c>
      <c r="AG14" s="82" t="s">
        <v>351</v>
      </c>
      <c r="AH14" s="335">
        <v>12</v>
      </c>
    </row>
    <row r="15" spans="1:34" ht="15" x14ac:dyDescent="0.25">
      <c r="A15" s="7" t="s">
        <v>19</v>
      </c>
      <c r="B15" s="96" t="s">
        <v>20</v>
      </c>
      <c r="C15" s="96" t="str">
        <f>_xlfn.XLOOKUP(Tabla12332[[#This Row],[Servicios del Programa:]],Tabla151[CODIGO],Tabla151[VALOR])</f>
        <v>Consultas</v>
      </c>
      <c r="D15" s="77">
        <v>1</v>
      </c>
      <c r="E15" s="56" cm="1">
        <f t="array" ref="E15">IF(D15="X",(_xlfn.XLOOKUP($B15,Tabla1[SERVICIO],Tabla1[VALOR])*1),IF(D15&gt;=1,_xlfn.XLOOKUP($B15,Tabla1[SERVICIO],Tabla1[VALOR]*D15),0))</f>
        <v>67398.098568534639</v>
      </c>
      <c r="F15" s="77"/>
      <c r="G15" s="56" cm="1">
        <f t="array" ref="G15">IF(F15="X",(_xlfn.XLOOKUP($B15,Tabla1[SERVICIO],Tabla1[VALOR])*1),IF(F15&gt;=1,_xlfn.XLOOKUP($B15,Tabla1[SERVICIO],Tabla1[VALOR]*F15),0))</f>
        <v>0</v>
      </c>
      <c r="H15" s="77"/>
      <c r="I15" s="56" cm="1">
        <f t="array" ref="I15">IF(H15="X",(_xlfn.XLOOKUP($B15,Tabla1[SERVICIO],Tabla1[VALOR])*1),IF(H15&gt;=1,_xlfn.XLOOKUP($B15,Tabla1[SERVICIO],Tabla1[VALOR]*H15),0))</f>
        <v>0</v>
      </c>
      <c r="J15" s="77"/>
      <c r="K15" s="56" cm="1">
        <f t="array" ref="K15">IF(J15="X",(_xlfn.XLOOKUP($B15,Tabla1[SERVICIO],Tabla1[VALOR])*1),IF(J15&gt;=1,_xlfn.XLOOKUP($B15,Tabla1[SERVICIO],Tabla1[VALOR]*J15),0))</f>
        <v>0</v>
      </c>
      <c r="L15" s="77"/>
      <c r="M15" s="56" cm="1">
        <f t="array" ref="M15">IF(L15="X",(_xlfn.XLOOKUP($B15,Tabla1[SERVICIO],Tabla1[VALOR])*1),IF(L15&gt;=1,_xlfn.XLOOKUP($B15,Tabla1[SERVICIO],Tabla1[VALOR]*L15),0))</f>
        <v>0</v>
      </c>
      <c r="N15" s="77"/>
      <c r="O15" s="56" cm="1">
        <f t="array" ref="O15">IF(N15="X",(_xlfn.XLOOKUP($B15,Tabla1[SERVICIO],Tabla1[VALOR])*1),IF(N15&gt;=1,_xlfn.XLOOKUP($B15,Tabla1[SERVICIO],Tabla1[VALOR]*N15),0))</f>
        <v>0</v>
      </c>
      <c r="P15" s="77"/>
      <c r="Q15" s="56" cm="1">
        <f t="array" ref="Q15">IF(P15="X",(_xlfn.XLOOKUP($B15,Tabla1[SERVICIO],Tabla1[VALOR])*1),IF(P15&gt;=1,_xlfn.XLOOKUP($B15,Tabla1[SERVICIO],Tabla1[VALOR]*P15),0))</f>
        <v>0</v>
      </c>
      <c r="R15" s="77"/>
      <c r="S15" s="56" cm="1">
        <f t="array" ref="S15">IF(R15="X",(_xlfn.XLOOKUP($B15,Tabla1[SERVICIO],Tabla1[VALOR])*1),IF(R15&gt;=1,_xlfn.XLOOKUP($B15,Tabla1[SERVICIO],Tabla1[VALOR]*R15),0))</f>
        <v>0</v>
      </c>
      <c r="T15" s="77"/>
      <c r="U15" s="56" cm="1">
        <f t="array" ref="U15">IF(T15="X",(_xlfn.XLOOKUP($B15,Tabla1[SERVICIO],Tabla1[VALOR])*1),IF(T15&gt;=1,_xlfn.XLOOKUP($B15,Tabla1[SERVICIO],Tabla1[VALOR]*T15),0))</f>
        <v>0</v>
      </c>
      <c r="V15" s="77"/>
      <c r="W15" s="56" cm="1">
        <f t="array" ref="W15">IF(V15="X",(_xlfn.XLOOKUP($B15,Tabla1[SERVICIO],Tabla1[VALOR])*1),IF(V15&gt;=1,_xlfn.XLOOKUP($B15,Tabla1[SERVICIO],Tabla1[VALOR]*V15),0))</f>
        <v>0</v>
      </c>
      <c r="X15" s="77"/>
      <c r="Y15" s="56" cm="1">
        <f t="array" ref="Y15">IF(X15="X",(_xlfn.XLOOKUP($B15,Tabla1[SERVICIO],Tabla1[VALOR])*1),IF(X15&gt;=1,_xlfn.XLOOKUP($B15,Tabla1[SERVICIO],Tabla1[VALOR]*X15),0))</f>
        <v>0</v>
      </c>
      <c r="Z15" s="77"/>
      <c r="AA15" s="56" cm="1">
        <f t="array" ref="AA15">IF(Z15="X",(_xlfn.XLOOKUP($B15,Tabla1[SERVICIO],Tabla1[VALOR])*1),IF(Z15&gt;=1,_xlfn.XLOOKUP($B15,Tabla1[SERVICIO],Tabla1[VALOR]*Z15),0))</f>
        <v>0</v>
      </c>
      <c r="AB15" s="81">
        <f>SUM(E15,G15,I15,K15+M15,O15,Q15,S15,U15,W15,Tabla12332[[#This Row],[COSTO11]],Tabla12332[[#This Row],[COSTO12]])</f>
        <v>67398.098568534639</v>
      </c>
      <c r="AC15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5" s="104" t="s">
        <v>319</v>
      </c>
      <c r="AE15" s="136">
        <v>0.10858257477243173</v>
      </c>
      <c r="AF15" s="135">
        <f>+Tabla12332[[#This Row],[TOTAL]]*Tabla12332[[#This Row],[% de las personas que lo usaron]]</f>
        <v>7318.259077337636</v>
      </c>
      <c r="AG15" s="82" t="s">
        <v>351</v>
      </c>
      <c r="AH15" s="335">
        <v>12</v>
      </c>
    </row>
    <row r="16" spans="1:34" ht="15" x14ac:dyDescent="0.25">
      <c r="A16" s="7" t="s">
        <v>21</v>
      </c>
      <c r="B16" s="96" t="s">
        <v>221</v>
      </c>
      <c r="C16" s="96" t="str">
        <f>_xlfn.XLOOKUP(Tabla12332[[#This Row],[Servicios del Programa:]],Tabla151[CODIGO],Tabla151[VALOR])</f>
        <v>Consultas</v>
      </c>
      <c r="D16" s="77">
        <v>1</v>
      </c>
      <c r="E16" s="56" cm="1">
        <f t="array" ref="E16">IF(D16="X",(_xlfn.XLOOKUP($B16,Tabla1[SERVICIO],Tabla1[VALOR])*1),IF(D16&gt;=1,_xlfn.XLOOKUP($B16,Tabla1[SERVICIO],Tabla1[VALOR]*D16),0))</f>
        <v>67398.098568534639</v>
      </c>
      <c r="F16" s="77"/>
      <c r="G16" s="56" cm="1">
        <f t="array" ref="G16">IF(F16="X",(_xlfn.XLOOKUP($B16,Tabla1[SERVICIO],Tabla1[VALOR])*1),IF(F16&gt;=1,_xlfn.XLOOKUP($B16,Tabla1[SERVICIO],Tabla1[VALOR]*F16),0))</f>
        <v>0</v>
      </c>
      <c r="H16" s="77"/>
      <c r="I16" s="56" cm="1">
        <f t="array" ref="I16">IF(H16="X",(_xlfn.XLOOKUP($B16,Tabla1[SERVICIO],Tabla1[VALOR])*1),IF(H16&gt;=1,_xlfn.XLOOKUP($B16,Tabla1[SERVICIO],Tabla1[VALOR]*H16),0))</f>
        <v>0</v>
      </c>
      <c r="J16" s="77"/>
      <c r="K16" s="56" cm="1">
        <f t="array" ref="K16">IF(J16="X",(_xlfn.XLOOKUP($B16,Tabla1[SERVICIO],Tabla1[VALOR])*1),IF(J16&gt;=1,_xlfn.XLOOKUP($B16,Tabla1[SERVICIO],Tabla1[VALOR]*J16),0))</f>
        <v>0</v>
      </c>
      <c r="L16" s="77"/>
      <c r="M16" s="56" cm="1">
        <f t="array" ref="M16">IF(L16="X",(_xlfn.XLOOKUP($B16,Tabla1[SERVICIO],Tabla1[VALOR])*1),IF(L16&gt;=1,_xlfn.XLOOKUP($B16,Tabla1[SERVICIO],Tabla1[VALOR]*L16),0))</f>
        <v>0</v>
      </c>
      <c r="N16" s="77"/>
      <c r="O16" s="56" cm="1">
        <f t="array" ref="O16">IF(N16="X",(_xlfn.XLOOKUP($B16,Tabla1[SERVICIO],Tabla1[VALOR])*1),IF(N16&gt;=1,_xlfn.XLOOKUP($B16,Tabla1[SERVICIO],Tabla1[VALOR]*N16),0))</f>
        <v>0</v>
      </c>
      <c r="P16" s="77"/>
      <c r="Q16" s="56" cm="1">
        <f t="array" ref="Q16">IF(P16="X",(_xlfn.XLOOKUP($B16,Tabla1[SERVICIO],Tabla1[VALOR])*1),IF(P16&gt;=1,_xlfn.XLOOKUP($B16,Tabla1[SERVICIO],Tabla1[VALOR]*P16),0))</f>
        <v>0</v>
      </c>
      <c r="R16" s="77"/>
      <c r="S16" s="56" cm="1">
        <f t="array" ref="S16">IF(R16="X",(_xlfn.XLOOKUP($B16,Tabla1[SERVICIO],Tabla1[VALOR])*1),IF(R16&gt;=1,_xlfn.XLOOKUP($B16,Tabla1[SERVICIO],Tabla1[VALOR]*R16),0))</f>
        <v>0</v>
      </c>
      <c r="T16" s="77"/>
      <c r="U16" s="56" cm="1">
        <f t="array" ref="U16">IF(T16="X",(_xlfn.XLOOKUP($B16,Tabla1[SERVICIO],Tabla1[VALOR])*1),IF(T16&gt;=1,_xlfn.XLOOKUP($B16,Tabla1[SERVICIO],Tabla1[VALOR]*T16),0))</f>
        <v>0</v>
      </c>
      <c r="V16" s="77"/>
      <c r="W16" s="56" cm="1">
        <f t="array" ref="W16">IF(V16="X",(_xlfn.XLOOKUP($B16,Tabla1[SERVICIO],Tabla1[VALOR])*1),IF(V16&gt;=1,_xlfn.XLOOKUP($B16,Tabla1[SERVICIO],Tabla1[VALOR]*V16),0))</f>
        <v>0</v>
      </c>
      <c r="X16" s="77"/>
      <c r="Y16" s="56" cm="1">
        <f t="array" ref="Y16">IF(X16="X",(_xlfn.XLOOKUP($B16,Tabla1[SERVICIO],Tabla1[VALOR])*1),IF(X16&gt;=1,_xlfn.XLOOKUP($B16,Tabla1[SERVICIO],Tabla1[VALOR]*X16),0))</f>
        <v>0</v>
      </c>
      <c r="Z16" s="77"/>
      <c r="AA16" s="56" cm="1">
        <f t="array" ref="AA16">IF(Z16="X",(_xlfn.XLOOKUP($B16,Tabla1[SERVICIO],Tabla1[VALOR])*1),IF(Z16&gt;=1,_xlfn.XLOOKUP($B16,Tabla1[SERVICIO],Tabla1[VALOR]*Z16),0))</f>
        <v>0</v>
      </c>
      <c r="AB16" s="81">
        <f>SUM(E16,G16,I16,K16+M16,O16,Q16,S16,U16,W16,Tabla12332[[#This Row],[COSTO11]],Tabla12332[[#This Row],[COSTO12]])</f>
        <v>67398.098568534639</v>
      </c>
      <c r="AC16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6" s="104" t="s">
        <v>319</v>
      </c>
      <c r="AE16" s="136">
        <v>1.0461638491547465</v>
      </c>
      <c r="AF16" s="135">
        <f>+Tabla12332[[#This Row],[TOTAL]]*Tabla12332[[#This Row],[% de las personas que lo usaron]]</f>
        <v>70509.454224169211</v>
      </c>
      <c r="AG16" s="82" t="s">
        <v>351</v>
      </c>
      <c r="AH16" s="335">
        <v>12</v>
      </c>
    </row>
    <row r="17" spans="1:34" ht="15" x14ac:dyDescent="0.25">
      <c r="A17" s="7" t="s">
        <v>32</v>
      </c>
      <c r="B17" s="96" t="s">
        <v>103</v>
      </c>
      <c r="C17" s="96" t="str">
        <f>_xlfn.XLOOKUP(Tabla12332[[#This Row],[Servicios del Programa:]],Tabla151[CODIGO],Tabla151[VALOR])</f>
        <v>Consultas</v>
      </c>
      <c r="D17" s="77">
        <v>1</v>
      </c>
      <c r="E17" s="56" cm="1">
        <f t="array" ref="E17">IF(D17="X",(_xlfn.XLOOKUP($B17,Tabla1[SERVICIO],Tabla1[VALOR])*1),IF(D17&gt;=1,_xlfn.XLOOKUP($B17,Tabla1[SERVICIO],Tabla1[VALOR]*D17),0))</f>
        <v>24009.730401318589</v>
      </c>
      <c r="F17" s="77"/>
      <c r="G17" s="56" cm="1">
        <f t="array" ref="G17">IF(F17="X",(_xlfn.XLOOKUP($B17,Tabla1[SERVICIO],Tabla1[VALOR])*1),IF(F17&gt;=1,_xlfn.XLOOKUP($B17,Tabla1[SERVICIO],Tabla1[VALOR]*F17),0))</f>
        <v>0</v>
      </c>
      <c r="H17" s="77"/>
      <c r="I17" s="56" cm="1">
        <f t="array" ref="I17">IF(H17="X",(_xlfn.XLOOKUP($B17,Tabla1[SERVICIO],Tabla1[VALOR])*1),IF(H17&gt;=1,_xlfn.XLOOKUP($B17,Tabla1[SERVICIO],Tabla1[VALOR]*H17),0))</f>
        <v>0</v>
      </c>
      <c r="J17" s="77"/>
      <c r="K17" s="56" cm="1">
        <f t="array" ref="K17">IF(J17="X",(_xlfn.XLOOKUP($B17,Tabla1[SERVICIO],Tabla1[VALOR])*1),IF(J17&gt;=1,_xlfn.XLOOKUP($B17,Tabla1[SERVICIO],Tabla1[VALOR]*J17),0))</f>
        <v>0</v>
      </c>
      <c r="L17" s="77"/>
      <c r="M17" s="56" cm="1">
        <f t="array" ref="M17">IF(L17="X",(_xlfn.XLOOKUP($B17,Tabla1[SERVICIO],Tabla1[VALOR])*1),IF(L17&gt;=1,_xlfn.XLOOKUP($B17,Tabla1[SERVICIO],Tabla1[VALOR]*L17),0))</f>
        <v>0</v>
      </c>
      <c r="N17" s="77"/>
      <c r="O17" s="56" cm="1">
        <f t="array" ref="O17">IF(N17="X",(_xlfn.XLOOKUP($B17,Tabla1[SERVICIO],Tabla1[VALOR])*1),IF(N17&gt;=1,_xlfn.XLOOKUP($B17,Tabla1[SERVICIO],Tabla1[VALOR]*N17),0))</f>
        <v>0</v>
      </c>
      <c r="P17" s="77"/>
      <c r="Q17" s="56" cm="1">
        <f t="array" ref="Q17">IF(P17="X",(_xlfn.XLOOKUP($B17,Tabla1[SERVICIO],Tabla1[VALOR])*1),IF(P17&gt;=1,_xlfn.XLOOKUP($B17,Tabla1[SERVICIO],Tabla1[VALOR]*P17),0))</f>
        <v>0</v>
      </c>
      <c r="R17" s="77"/>
      <c r="S17" s="56" cm="1">
        <f t="array" ref="S17">IF(R17="X",(_xlfn.XLOOKUP($B17,Tabla1[SERVICIO],Tabla1[VALOR])*1),IF(R17&gt;=1,_xlfn.XLOOKUP($B17,Tabla1[SERVICIO],Tabla1[VALOR]*R17),0))</f>
        <v>0</v>
      </c>
      <c r="T17" s="77"/>
      <c r="U17" s="56" cm="1">
        <f t="array" ref="U17">IF(T17="X",(_xlfn.XLOOKUP($B17,Tabla1[SERVICIO],Tabla1[VALOR])*1),IF(T17&gt;=1,_xlfn.XLOOKUP($B17,Tabla1[SERVICIO],Tabla1[VALOR]*T17),0))</f>
        <v>0</v>
      </c>
      <c r="V17" s="77"/>
      <c r="W17" s="56" cm="1">
        <f t="array" ref="W17">IF(V17="X",(_xlfn.XLOOKUP($B17,Tabla1[SERVICIO],Tabla1[VALOR])*1),IF(V17&gt;=1,_xlfn.XLOOKUP($B17,Tabla1[SERVICIO],Tabla1[VALOR]*V17),0))</f>
        <v>0</v>
      </c>
      <c r="X17" s="77"/>
      <c r="Y17" s="56" cm="1">
        <f t="array" ref="Y17">IF(X17="X",(_xlfn.XLOOKUP($B17,Tabla1[SERVICIO],Tabla1[VALOR])*1),IF(X17&gt;=1,_xlfn.XLOOKUP($B17,Tabla1[SERVICIO],Tabla1[VALOR]*X17),0))</f>
        <v>0</v>
      </c>
      <c r="Z17" s="77"/>
      <c r="AA17" s="56" cm="1">
        <f t="array" ref="AA17">IF(Z17="X",(_xlfn.XLOOKUP($B17,Tabla1[SERVICIO],Tabla1[VALOR])*1),IF(Z17&gt;=1,_xlfn.XLOOKUP($B17,Tabla1[SERVICIO],Tabla1[VALOR]*Z17),0))</f>
        <v>0</v>
      </c>
      <c r="AB17" s="81">
        <f>SUM(E17,G17,I17,K17+M17,O17,Q17,S17,U17,W17,Tabla12332[[#This Row],[COSTO11]],Tabla12332[[#This Row],[COSTO12]])</f>
        <v>24009.730401318589</v>
      </c>
      <c r="AC17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7" s="104" t="s">
        <v>319</v>
      </c>
      <c r="AE17" s="136">
        <v>6.5019505851755528E-4</v>
      </c>
      <c r="AF17" s="135">
        <f>+Tabla12332[[#This Row],[TOTAL]]*Tabla12332[[#This Row],[% de las personas que lo usaron]]</f>
        <v>15.611008063276067</v>
      </c>
      <c r="AG17" s="82" t="s">
        <v>351</v>
      </c>
      <c r="AH17" s="335">
        <v>12</v>
      </c>
    </row>
    <row r="18" spans="1:34" ht="15" x14ac:dyDescent="0.25">
      <c r="A18" s="7" t="s">
        <v>34</v>
      </c>
      <c r="B18" s="96" t="s">
        <v>35</v>
      </c>
      <c r="C18" s="96" t="str">
        <f>_xlfn.XLOOKUP(Tabla12332[[#This Row],[Servicios del Programa:]],Tabla151[CODIGO],Tabla151[VALOR])</f>
        <v>Consultas</v>
      </c>
      <c r="D18" s="77">
        <v>1</v>
      </c>
      <c r="E18" s="56" cm="1">
        <f t="array" ref="E18">IF(D18="X",(_xlfn.XLOOKUP($B18,Tabla1[SERVICIO],Tabla1[VALOR])*1),IF(D18&gt;=1,_xlfn.XLOOKUP($B18,Tabla1[SERVICIO],Tabla1[VALOR]*D18),0))</f>
        <v>24009.730401318589</v>
      </c>
      <c r="F18" s="78"/>
      <c r="G18" s="56" cm="1">
        <f t="array" ref="G18">IF(F18="X",(_xlfn.XLOOKUP($B18,Tabla1[SERVICIO],Tabla1[VALOR])*1),IF(F18&gt;=1,_xlfn.XLOOKUP($B18,Tabla1[SERVICIO],Tabla1[VALOR]*F18),0))</f>
        <v>0</v>
      </c>
      <c r="H18" s="78"/>
      <c r="I18" s="56" cm="1">
        <f t="array" ref="I18">IF(H18="X",(_xlfn.XLOOKUP($B18,Tabla1[SERVICIO],Tabla1[VALOR])*1),IF(H18&gt;=1,_xlfn.XLOOKUP($B18,Tabla1[SERVICIO],Tabla1[VALOR]*H18),0))</f>
        <v>0</v>
      </c>
      <c r="J18" s="78"/>
      <c r="K18" s="56" cm="1">
        <f t="array" ref="K18">IF(J18="X",(_xlfn.XLOOKUP($B18,Tabla1[SERVICIO],Tabla1[VALOR])*1),IF(J18&gt;=1,_xlfn.XLOOKUP($B18,Tabla1[SERVICIO],Tabla1[VALOR]*J18),0))</f>
        <v>0</v>
      </c>
      <c r="L18" s="78"/>
      <c r="M18" s="56" cm="1">
        <f t="array" ref="M18">IF(L18="X",(_xlfn.XLOOKUP($B18,Tabla1[SERVICIO],Tabla1[VALOR])*1),IF(L18&gt;=1,_xlfn.XLOOKUP($B18,Tabla1[SERVICIO],Tabla1[VALOR]*L18),0))</f>
        <v>0</v>
      </c>
      <c r="N18" s="78"/>
      <c r="O18" s="56" cm="1">
        <f t="array" ref="O18">IF(N18="X",(_xlfn.XLOOKUP($B18,Tabla1[SERVICIO],Tabla1[VALOR])*1),IF(N18&gt;=1,_xlfn.XLOOKUP($B18,Tabla1[SERVICIO],Tabla1[VALOR]*N18),0))</f>
        <v>0</v>
      </c>
      <c r="P18" s="78"/>
      <c r="Q18" s="56" cm="1">
        <f t="array" ref="Q18">IF(P18="X",(_xlfn.XLOOKUP($B18,Tabla1[SERVICIO],Tabla1[VALOR])*1),IF(P18&gt;=1,_xlfn.XLOOKUP($B18,Tabla1[SERVICIO],Tabla1[VALOR]*P18),0))</f>
        <v>0</v>
      </c>
      <c r="R18" s="78"/>
      <c r="S18" s="56" cm="1">
        <f t="array" ref="S18">IF(R18="X",(_xlfn.XLOOKUP($B18,Tabla1[SERVICIO],Tabla1[VALOR])*1),IF(R18&gt;=1,_xlfn.XLOOKUP($B18,Tabla1[SERVICIO],Tabla1[VALOR]*R18),0))</f>
        <v>0</v>
      </c>
      <c r="T18" s="78"/>
      <c r="U18" s="56" cm="1">
        <f t="array" ref="U18">IF(T18="X",(_xlfn.XLOOKUP($B18,Tabla1[SERVICIO],Tabla1[VALOR])*1),IF(T18&gt;=1,_xlfn.XLOOKUP($B18,Tabla1[SERVICIO],Tabla1[VALOR]*T18),0))</f>
        <v>0</v>
      </c>
      <c r="V18" s="78"/>
      <c r="W18" s="56" cm="1">
        <f t="array" ref="W18">IF(V18="X",(_xlfn.XLOOKUP($B18,Tabla1[SERVICIO],Tabla1[VALOR])*1),IF(V18&gt;=1,_xlfn.XLOOKUP($B18,Tabla1[SERVICIO],Tabla1[VALOR]*V18),0))</f>
        <v>0</v>
      </c>
      <c r="X18" s="78"/>
      <c r="Y18" s="56" cm="1">
        <f t="array" ref="Y18">IF(X18="X",(_xlfn.XLOOKUP($B18,Tabla1[SERVICIO],Tabla1[VALOR])*1),IF(X18&gt;=1,_xlfn.XLOOKUP($B18,Tabla1[SERVICIO],Tabla1[VALOR]*X18),0))</f>
        <v>0</v>
      </c>
      <c r="Z18" s="78"/>
      <c r="AA18" s="56" cm="1">
        <f t="array" ref="AA18">IF(Z18="X",(_xlfn.XLOOKUP($B18,Tabla1[SERVICIO],Tabla1[VALOR])*1),IF(Z18&gt;=1,_xlfn.XLOOKUP($B18,Tabla1[SERVICIO],Tabla1[VALOR]*Z18),0))</f>
        <v>0</v>
      </c>
      <c r="AB18" s="81">
        <f>SUM(E18,G18,I18,K18+M18,O18,Q18,S18,U18,W18,Tabla12332[[#This Row],[COSTO11]],Tabla12332[[#This Row],[COSTO12]])</f>
        <v>24009.730401318589</v>
      </c>
      <c r="AC18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8" s="104" t="s">
        <v>318</v>
      </c>
      <c r="AE18" s="136">
        <v>1</v>
      </c>
      <c r="AF18" s="135">
        <f>+Tabla12332[[#This Row],[TOTAL]]*Tabla12332[[#This Row],[% de las personas que lo usaron]]</f>
        <v>24009.730401318589</v>
      </c>
      <c r="AG18" s="82" t="s">
        <v>351</v>
      </c>
      <c r="AH18" s="335">
        <v>12</v>
      </c>
    </row>
    <row r="19" spans="1:34" ht="15" x14ac:dyDescent="0.25">
      <c r="A19" s="7" t="s">
        <v>38</v>
      </c>
      <c r="B19" s="96" t="s">
        <v>102</v>
      </c>
      <c r="C19" s="96" t="str">
        <f>_xlfn.XLOOKUP(Tabla12332[[#This Row],[Servicios del Programa:]],Tabla151[CODIGO],Tabla151[VALOR])</f>
        <v>Consultas</v>
      </c>
      <c r="D19" s="77">
        <v>1</v>
      </c>
      <c r="E19" s="56" cm="1">
        <f t="array" ref="E19">IF(D19="X",(_xlfn.XLOOKUP($B19,Tabla1[SERVICIO],Tabla1[VALOR])*1),IF(D19&gt;=1,_xlfn.XLOOKUP($B19,Tabla1[SERVICIO],Tabla1[VALOR]*D19),0))</f>
        <v>56420.692787682223</v>
      </c>
      <c r="F19" s="77"/>
      <c r="G19" s="56" cm="1">
        <f t="array" ref="G19">IF(F19="X",(_xlfn.XLOOKUP($B19,Tabla1[SERVICIO],Tabla1[VALOR])*1),IF(F19&gt;=1,_xlfn.XLOOKUP($B19,Tabla1[SERVICIO],Tabla1[VALOR]*F19),0))</f>
        <v>0</v>
      </c>
      <c r="H19" s="77"/>
      <c r="I19" s="56" cm="1">
        <f t="array" ref="I19">IF(H19="X",(_xlfn.XLOOKUP($B19,Tabla1[SERVICIO],Tabla1[VALOR])*1),IF(H19&gt;=1,_xlfn.XLOOKUP($B19,Tabla1[SERVICIO],Tabla1[VALOR]*H19),0))</f>
        <v>0</v>
      </c>
      <c r="J19" s="77"/>
      <c r="K19" s="56" cm="1">
        <f t="array" ref="K19">IF(J19="X",(_xlfn.XLOOKUP($B19,Tabla1[SERVICIO],Tabla1[VALOR])*1),IF(J19&gt;=1,_xlfn.XLOOKUP($B19,Tabla1[SERVICIO],Tabla1[VALOR]*J19),0))</f>
        <v>0</v>
      </c>
      <c r="L19" s="77"/>
      <c r="M19" s="56" cm="1">
        <f t="array" ref="M19">IF(L19="X",(_xlfn.XLOOKUP($B19,Tabla1[SERVICIO],Tabla1[VALOR])*1),IF(L19&gt;=1,_xlfn.XLOOKUP($B19,Tabla1[SERVICIO],Tabla1[VALOR]*L19),0))</f>
        <v>0</v>
      </c>
      <c r="N19" s="77"/>
      <c r="O19" s="56" cm="1">
        <f t="array" ref="O19">IF(N19="X",(_xlfn.XLOOKUP($B19,Tabla1[SERVICIO],Tabla1[VALOR])*1),IF(N19&gt;=1,_xlfn.XLOOKUP($B19,Tabla1[SERVICIO],Tabla1[VALOR]*N19),0))</f>
        <v>0</v>
      </c>
      <c r="P19" s="77"/>
      <c r="Q19" s="56" cm="1">
        <f t="array" ref="Q19">IF(P19="X",(_xlfn.XLOOKUP($B19,Tabla1[SERVICIO],Tabla1[VALOR])*1),IF(P19&gt;=1,_xlfn.XLOOKUP($B19,Tabla1[SERVICIO],Tabla1[VALOR]*P19),0))</f>
        <v>0</v>
      </c>
      <c r="R19" s="77"/>
      <c r="S19" s="56" cm="1">
        <f t="array" ref="S19">IF(R19="X",(_xlfn.XLOOKUP($B19,Tabla1[SERVICIO],Tabla1[VALOR])*1),IF(R19&gt;=1,_xlfn.XLOOKUP($B19,Tabla1[SERVICIO],Tabla1[VALOR]*R19),0))</f>
        <v>0</v>
      </c>
      <c r="T19" s="77"/>
      <c r="U19" s="56" cm="1">
        <f t="array" ref="U19">IF(T19="X",(_xlfn.XLOOKUP($B19,Tabla1[SERVICIO],Tabla1[VALOR])*1),IF(T19&gt;=1,_xlfn.XLOOKUP($B19,Tabla1[SERVICIO],Tabla1[VALOR]*T19),0))</f>
        <v>0</v>
      </c>
      <c r="V19" s="77"/>
      <c r="W19" s="56" cm="1">
        <f t="array" ref="W19">IF(V19="X",(_xlfn.XLOOKUP($B19,Tabla1[SERVICIO],Tabla1[VALOR])*1),IF(V19&gt;=1,_xlfn.XLOOKUP($B19,Tabla1[SERVICIO],Tabla1[VALOR]*V19),0))</f>
        <v>0</v>
      </c>
      <c r="X19" s="77"/>
      <c r="Y19" s="56" cm="1">
        <f t="array" ref="Y19">IF(X19="X",(_xlfn.XLOOKUP($B19,Tabla1[SERVICIO],Tabla1[VALOR])*1),IF(X19&gt;=1,_xlfn.XLOOKUP($B19,Tabla1[SERVICIO],Tabla1[VALOR]*X19),0))</f>
        <v>0</v>
      </c>
      <c r="Z19" s="77"/>
      <c r="AA19" s="56" cm="1">
        <f t="array" ref="AA19">IF(Z19="X",(_xlfn.XLOOKUP($B19,Tabla1[SERVICIO],Tabla1[VALOR])*1),IF(Z19&gt;=1,_xlfn.XLOOKUP($B19,Tabla1[SERVICIO],Tabla1[VALOR]*Z19),0))</f>
        <v>0</v>
      </c>
      <c r="AB19" s="81">
        <f>SUM(E19,G19,I19,K19+M19,O19,Q19,S19,U19,W19,Tabla12332[[#This Row],[COSTO11]],Tabla12332[[#This Row],[COSTO12]])</f>
        <v>56420.692787682223</v>
      </c>
      <c r="AC19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9" s="104" t="s">
        <v>319</v>
      </c>
      <c r="AE19" s="136">
        <v>0.22886866059817945</v>
      </c>
      <c r="AF19" s="135">
        <f>+Tabla12332[[#This Row],[TOTAL]]*Tabla12332[[#This Row],[% de las personas que lo usaron]]</f>
        <v>12912.928388338194</v>
      </c>
      <c r="AG19" s="82" t="s">
        <v>351</v>
      </c>
      <c r="AH19" s="335">
        <v>12</v>
      </c>
    </row>
    <row r="20" spans="1:34" ht="15" x14ac:dyDescent="0.25">
      <c r="A20" s="7" t="s">
        <v>113</v>
      </c>
      <c r="B20" s="98" t="s">
        <v>116</v>
      </c>
      <c r="C20" s="96" t="str">
        <f>_xlfn.XLOOKUP(Tabla12332[[#This Row],[Servicios del Programa:]],Tabla151[CODIGO],Tabla151[VALOR])</f>
        <v>Consultas</v>
      </c>
      <c r="D20" s="77">
        <v>1</v>
      </c>
      <c r="E20" s="56" cm="1">
        <f t="array" ref="E20">IF(D20="X",(_xlfn.XLOOKUP($B20,Tabla1[SERVICIO],Tabla1[VALOR])*1),IF(D20&gt;=1,_xlfn.XLOOKUP($B20,Tabla1[SERVICIO],Tabla1[VALOR]*D20),0))</f>
        <v>60236.092716419647</v>
      </c>
      <c r="F20" s="77"/>
      <c r="G20" s="56" cm="1">
        <f t="array" ref="G20">IF(F20="X",(_xlfn.XLOOKUP($B20,Tabla1[SERVICIO],Tabla1[VALOR])*1),IF(F20&gt;=1,_xlfn.XLOOKUP($B20,Tabla1[SERVICIO],Tabla1[VALOR]*F20),0))</f>
        <v>0</v>
      </c>
      <c r="H20" s="77"/>
      <c r="I20" s="56" cm="1">
        <f t="array" ref="I20">IF(H20="X",(_xlfn.XLOOKUP($B20,Tabla1[SERVICIO],Tabla1[VALOR])*1),IF(H20&gt;=1,_xlfn.XLOOKUP($B20,Tabla1[SERVICIO],Tabla1[VALOR]*H20),0))</f>
        <v>0</v>
      </c>
      <c r="J20" s="77"/>
      <c r="K20" s="56" cm="1">
        <f t="array" ref="K20">IF(J20="X",(_xlfn.XLOOKUP($B20,Tabla1[SERVICIO],Tabla1[VALOR])*1),IF(J20&gt;=1,_xlfn.XLOOKUP($B20,Tabla1[SERVICIO],Tabla1[VALOR]*J20),0))</f>
        <v>0</v>
      </c>
      <c r="L20" s="77"/>
      <c r="M20" s="56" cm="1">
        <f t="array" ref="M20">IF(L20="X",(_xlfn.XLOOKUP($B20,Tabla1[SERVICIO],Tabla1[VALOR])*1),IF(L20&gt;=1,_xlfn.XLOOKUP($B20,Tabla1[SERVICIO],Tabla1[VALOR]*L20),0))</f>
        <v>0</v>
      </c>
      <c r="N20" s="77"/>
      <c r="O20" s="56" cm="1">
        <f t="array" ref="O20">IF(N20="X",(_xlfn.XLOOKUP($B20,Tabla1[SERVICIO],Tabla1[VALOR])*1),IF(N20&gt;=1,_xlfn.XLOOKUP($B20,Tabla1[SERVICIO],Tabla1[VALOR]*N20),0))</f>
        <v>0</v>
      </c>
      <c r="P20" s="77"/>
      <c r="Q20" s="56" cm="1">
        <f t="array" ref="Q20">IF(P20="X",(_xlfn.XLOOKUP($B20,Tabla1[SERVICIO],Tabla1[VALOR])*1),IF(P20&gt;=1,_xlfn.XLOOKUP($B20,Tabla1[SERVICIO],Tabla1[VALOR]*P20),0))</f>
        <v>0</v>
      </c>
      <c r="R20" s="77"/>
      <c r="S20" s="56" cm="1">
        <f t="array" ref="S20">IF(R20="X",(_xlfn.XLOOKUP($B20,Tabla1[SERVICIO],Tabla1[VALOR])*1),IF(R20&gt;=1,_xlfn.XLOOKUP($B20,Tabla1[SERVICIO],Tabla1[VALOR]*R20),0))</f>
        <v>0</v>
      </c>
      <c r="T20" s="77"/>
      <c r="U20" s="56" cm="1">
        <f t="array" ref="U20">IF(T20="X",(_xlfn.XLOOKUP($B20,Tabla1[SERVICIO],Tabla1[VALOR])*1),IF(T20&gt;=1,_xlfn.XLOOKUP($B20,Tabla1[SERVICIO],Tabla1[VALOR]*T20),0))</f>
        <v>0</v>
      </c>
      <c r="V20" s="77"/>
      <c r="W20" s="56" cm="1">
        <f t="array" ref="W20">IF(V20="X",(_xlfn.XLOOKUP($B20,Tabla1[SERVICIO],Tabla1[VALOR])*1),IF(V20&gt;=1,_xlfn.XLOOKUP($B20,Tabla1[SERVICIO],Tabla1[VALOR]*V20),0))</f>
        <v>0</v>
      </c>
      <c r="X20" s="77"/>
      <c r="Y20" s="56" cm="1">
        <f t="array" ref="Y20">IF(X20="X",(_xlfn.XLOOKUP($B20,Tabla1[SERVICIO],Tabla1[VALOR])*1),IF(X20&gt;=1,_xlfn.XLOOKUP($B20,Tabla1[SERVICIO],Tabla1[VALOR]*X20),0))</f>
        <v>0</v>
      </c>
      <c r="Z20" s="77"/>
      <c r="AA20" s="56" cm="1">
        <f t="array" ref="AA20">IF(Z20="X",(_xlfn.XLOOKUP($B20,Tabla1[SERVICIO],Tabla1[VALOR])*1),IF(Z20&gt;=1,_xlfn.XLOOKUP($B20,Tabla1[SERVICIO],Tabla1[VALOR]*Z20),0))</f>
        <v>0</v>
      </c>
      <c r="AB20" s="81">
        <f>SUM(E20,G20,I20,K20+M20,O20,Q20,S20,U20,W20,Tabla12332[[#This Row],[COSTO11]],Tabla12332[[#This Row],[COSTO12]])</f>
        <v>60236.092716419647</v>
      </c>
      <c r="AC20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0" s="104" t="s">
        <v>319</v>
      </c>
      <c r="AE20" s="136">
        <v>3.3159947984395317E-2</v>
      </c>
      <c r="AF20" s="135">
        <f>+Tabla12332[[#This Row],[TOTAL]]*Tabla12332[[#This Row],[% de las personas que lo usaron]]</f>
        <v>1997.425701259689</v>
      </c>
      <c r="AG20" s="82" t="s">
        <v>351</v>
      </c>
      <c r="AH20" s="335">
        <v>12</v>
      </c>
    </row>
    <row r="21" spans="1:34" ht="15" x14ac:dyDescent="0.25">
      <c r="A21" s="7" t="s">
        <v>114</v>
      </c>
      <c r="B21" s="96" t="s">
        <v>117</v>
      </c>
      <c r="C21" s="96" t="str">
        <f>_xlfn.XLOOKUP(Tabla12332[[#This Row],[Servicios del Programa:]],Tabla151[CODIGO],Tabla151[VALOR])</f>
        <v>Consultas</v>
      </c>
      <c r="D21" s="77"/>
      <c r="E21" s="56" cm="1">
        <f t="array" ref="E21">IF(D21="X",(_xlfn.XLOOKUP($B21,Tabla1[SERVICIO],Tabla1[VALOR])*1),IF(D21&gt;=1,_xlfn.XLOOKUP($B21,Tabla1[SERVICIO],Tabla1[VALOR]*D21),0))</f>
        <v>0</v>
      </c>
      <c r="F21" s="77"/>
      <c r="G21" s="56" cm="1">
        <f t="array" ref="G21">IF(F21="X",(_xlfn.XLOOKUP($B21,Tabla1[SERVICIO],Tabla1[VALOR])*1),IF(F21&gt;=1,_xlfn.XLOOKUP($B21,Tabla1[SERVICIO],Tabla1[VALOR]*F21),0))</f>
        <v>0</v>
      </c>
      <c r="H21" s="77"/>
      <c r="I21" s="56" cm="1">
        <f t="array" ref="I21">IF(H21="X",(_xlfn.XLOOKUP($B21,Tabla1[SERVICIO],Tabla1[VALOR])*1),IF(H21&gt;=1,_xlfn.XLOOKUP($B21,Tabla1[SERVICIO],Tabla1[VALOR]*H21),0))</f>
        <v>0</v>
      </c>
      <c r="J21" s="77">
        <v>1</v>
      </c>
      <c r="K21" s="56" cm="1">
        <f t="array" ref="K21">IF(J21="X",(_xlfn.XLOOKUP($B21,Tabla1[SERVICIO],Tabla1[VALOR])*1),IF(J21&gt;=1,_xlfn.XLOOKUP($B21,Tabla1[SERVICIO],Tabla1[VALOR]*J21),0))</f>
        <v>62748.232282880919</v>
      </c>
      <c r="L21" s="77"/>
      <c r="M21" s="56" cm="1">
        <f t="array" ref="M21">IF(L21="X",(_xlfn.XLOOKUP($B21,Tabla1[SERVICIO],Tabla1[VALOR])*1),IF(L21&gt;=1,_xlfn.XLOOKUP($B21,Tabla1[SERVICIO],Tabla1[VALOR]*L21),0))</f>
        <v>0</v>
      </c>
      <c r="N21" s="77"/>
      <c r="O21" s="56" cm="1">
        <f t="array" ref="O21">IF(N21="X",(_xlfn.XLOOKUP($B21,Tabla1[SERVICIO],Tabla1[VALOR])*1),IF(N21&gt;=1,_xlfn.XLOOKUP($B21,Tabla1[SERVICIO],Tabla1[VALOR]*N21),0))</f>
        <v>0</v>
      </c>
      <c r="P21" s="77"/>
      <c r="Q21" s="56" cm="1">
        <f t="array" ref="Q21">IF(P21="X",(_xlfn.XLOOKUP($B21,Tabla1[SERVICIO],Tabla1[VALOR])*1),IF(P21&gt;=1,_xlfn.XLOOKUP($B21,Tabla1[SERVICIO],Tabla1[VALOR]*P21),0))</f>
        <v>0</v>
      </c>
      <c r="R21" s="77"/>
      <c r="S21" s="56" cm="1">
        <f t="array" ref="S21">IF(R21="X",(_xlfn.XLOOKUP($B21,Tabla1[SERVICIO],Tabla1[VALOR])*1),IF(R21&gt;=1,_xlfn.XLOOKUP($B21,Tabla1[SERVICIO],Tabla1[VALOR]*R21),0))</f>
        <v>0</v>
      </c>
      <c r="T21" s="77"/>
      <c r="U21" s="56" cm="1">
        <f t="array" ref="U21">IF(T21="X",(_xlfn.XLOOKUP($B21,Tabla1[SERVICIO],Tabla1[VALOR])*1),IF(T21&gt;=1,_xlfn.XLOOKUP($B21,Tabla1[SERVICIO],Tabla1[VALOR]*T21),0))</f>
        <v>0</v>
      </c>
      <c r="V21" s="77"/>
      <c r="W21" s="56" cm="1">
        <f t="array" ref="W21">IF(V21="X",(_xlfn.XLOOKUP($B21,Tabla1[SERVICIO],Tabla1[VALOR])*1),IF(V21&gt;=1,_xlfn.XLOOKUP($B21,Tabla1[SERVICIO],Tabla1[VALOR]*V21),0))</f>
        <v>0</v>
      </c>
      <c r="X21" s="77"/>
      <c r="Y21" s="56" cm="1">
        <f t="array" ref="Y21">IF(X21="X",(_xlfn.XLOOKUP($B21,Tabla1[SERVICIO],Tabla1[VALOR])*1),IF(X21&gt;=1,_xlfn.XLOOKUP($B21,Tabla1[SERVICIO],Tabla1[VALOR]*X21),0))</f>
        <v>0</v>
      </c>
      <c r="Z21" s="77"/>
      <c r="AA21" s="56" cm="1">
        <f t="array" ref="AA21">IF(Z21="X",(_xlfn.XLOOKUP($B21,Tabla1[SERVICIO],Tabla1[VALOR])*1),IF(Z21&gt;=1,_xlfn.XLOOKUP($B21,Tabla1[SERVICIO],Tabla1[VALOR]*Z21),0))</f>
        <v>0</v>
      </c>
      <c r="AB21" s="81">
        <f>SUM(E21,G21,I21,K21+M21,O21,Q21,S21,U21,W21,Tabla12332[[#This Row],[COSTO11]],Tabla12332[[#This Row],[COSTO12]])</f>
        <v>62748.232282880919</v>
      </c>
      <c r="AC21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1" s="104" t="s">
        <v>319</v>
      </c>
      <c r="AE21" s="136">
        <v>1.5604681404421327E-2</v>
      </c>
      <c r="AF21" s="135">
        <f>+Tabla12332[[#This Row],[TOTAL]]*Tabla12332[[#This Row],[% de las personas que lo usaron]]</f>
        <v>979.16617346498185</v>
      </c>
      <c r="AG21" s="82" t="s">
        <v>351</v>
      </c>
      <c r="AH21" s="335">
        <v>12</v>
      </c>
    </row>
    <row r="22" spans="1:34" ht="15" x14ac:dyDescent="0.25">
      <c r="A22" s="7" t="s">
        <v>115</v>
      </c>
      <c r="B22" s="96" t="s">
        <v>118</v>
      </c>
      <c r="C22" s="96" t="str">
        <f>_xlfn.XLOOKUP(Tabla12332[[#This Row],[Servicios del Programa:]],Tabla151[CODIGO],Tabla151[VALOR])</f>
        <v>Consultas</v>
      </c>
      <c r="D22" s="77"/>
      <c r="E22" s="56" cm="1">
        <f t="array" ref="E22">IF(D22="X",(_xlfn.XLOOKUP($B22,Tabla1[SERVICIO],Tabla1[VALOR])*1),IF(D22&gt;=1,_xlfn.XLOOKUP($B22,Tabla1[SERVICIO],Tabla1[VALOR]*D22),0))</f>
        <v>0</v>
      </c>
      <c r="F22" s="77"/>
      <c r="G22" s="56" cm="1">
        <f t="array" ref="G22">IF(F22="X",(_xlfn.XLOOKUP($B22,Tabla1[SERVICIO],Tabla1[VALOR])*1),IF(F22&gt;=1,_xlfn.XLOOKUP($B22,Tabla1[SERVICIO],Tabla1[VALOR]*F22),0))</f>
        <v>0</v>
      </c>
      <c r="H22" s="77"/>
      <c r="I22" s="56" cm="1">
        <f t="array" ref="I22">IF(H22="X",(_xlfn.XLOOKUP($B22,Tabla1[SERVICIO],Tabla1[VALOR])*1),IF(H22&gt;=1,_xlfn.XLOOKUP($B22,Tabla1[SERVICIO],Tabla1[VALOR]*H22),0))</f>
        <v>0</v>
      </c>
      <c r="J22" s="77"/>
      <c r="K22" s="56" cm="1">
        <f t="array" ref="K22">IF(J22="X",(_xlfn.XLOOKUP($B22,Tabla1[SERVICIO],Tabla1[VALOR])*1),IF(J22&gt;=1,_xlfn.XLOOKUP($B22,Tabla1[SERVICIO],Tabla1[VALOR]*J22),0))</f>
        <v>0</v>
      </c>
      <c r="L22" s="77"/>
      <c r="M22" s="56" cm="1">
        <f t="array" ref="M22">IF(L22="X",(_xlfn.XLOOKUP($B22,Tabla1[SERVICIO],Tabla1[VALOR])*1),IF(L22&gt;=1,_xlfn.XLOOKUP($B22,Tabla1[SERVICIO],Tabla1[VALOR]*L22),0))</f>
        <v>0</v>
      </c>
      <c r="N22" s="77"/>
      <c r="O22" s="56" cm="1">
        <f t="array" ref="O22">IF(N22="X",(_xlfn.XLOOKUP($B22,Tabla1[SERVICIO],Tabla1[VALOR])*1),IF(N22&gt;=1,_xlfn.XLOOKUP($B22,Tabla1[SERVICIO],Tabla1[VALOR]*N22),0))</f>
        <v>0</v>
      </c>
      <c r="P22" s="77"/>
      <c r="Q22" s="56" cm="1">
        <f t="array" ref="Q22">IF(P22="X",(_xlfn.XLOOKUP($B22,Tabla1[SERVICIO],Tabla1[VALOR])*1),IF(P22&gt;=1,_xlfn.XLOOKUP($B22,Tabla1[SERVICIO],Tabla1[VALOR]*P22),0))</f>
        <v>0</v>
      </c>
      <c r="R22" s="77"/>
      <c r="S22" s="56" cm="1">
        <f t="array" ref="S22">IF(R22="X",(_xlfn.XLOOKUP($B22,Tabla1[SERVICIO],Tabla1[VALOR])*1),IF(R22&gt;=1,_xlfn.XLOOKUP($B22,Tabla1[SERVICIO],Tabla1[VALOR]*R22),0))</f>
        <v>0</v>
      </c>
      <c r="T22" s="77"/>
      <c r="U22" s="56" cm="1">
        <f t="array" ref="U22">IF(T22="X",(_xlfn.XLOOKUP($B22,Tabla1[SERVICIO],Tabla1[VALOR])*1),IF(T22&gt;=1,_xlfn.XLOOKUP($B22,Tabla1[SERVICIO],Tabla1[VALOR]*T22),0))</f>
        <v>0</v>
      </c>
      <c r="V22" s="77"/>
      <c r="W22" s="56" cm="1">
        <f t="array" ref="W22">IF(V22="X",(_xlfn.XLOOKUP($B22,Tabla1[SERVICIO],Tabla1[VALOR])*1),IF(V22&gt;=1,_xlfn.XLOOKUP($B22,Tabla1[SERVICIO],Tabla1[VALOR]*V22),0))</f>
        <v>0</v>
      </c>
      <c r="X22" s="77"/>
      <c r="Y22" s="56" cm="1">
        <f t="array" ref="Y22">IF(X22="X",(_xlfn.XLOOKUP($B22,Tabla1[SERVICIO],Tabla1[VALOR])*1),IF(X22&gt;=1,_xlfn.XLOOKUP($B22,Tabla1[SERVICIO],Tabla1[VALOR]*X22),0))</f>
        <v>0</v>
      </c>
      <c r="Z22" s="77">
        <v>1</v>
      </c>
      <c r="AA22" s="56" cm="1">
        <f t="array" ref="AA22">IF(Z22="X",(_xlfn.XLOOKUP($B22,Tabla1[SERVICIO],Tabla1[VALOR])*1),IF(Z22&gt;=1,_xlfn.XLOOKUP($B22,Tabla1[SERVICIO],Tabla1[VALOR]*Z22),0))</f>
        <v>62748.232282880919</v>
      </c>
      <c r="AB22" s="81">
        <f>SUM(E22,G22,I22,K22+M22,O22,Q22,S22,U22,W22,Tabla12332[[#This Row],[COSTO11]],Tabla12332[[#This Row],[COSTO12]])</f>
        <v>62748.232282880919</v>
      </c>
      <c r="AC22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2" s="104" t="s">
        <v>318</v>
      </c>
      <c r="AE22" s="136">
        <v>1</v>
      </c>
      <c r="AF22" s="135">
        <f>+Tabla12332[[#This Row],[TOTAL]]*Tabla12332[[#This Row],[% de las personas que lo usaron]]</f>
        <v>62748.232282880919</v>
      </c>
      <c r="AG22" s="82" t="s">
        <v>351</v>
      </c>
      <c r="AH22" s="335">
        <v>12</v>
      </c>
    </row>
    <row r="23" spans="1:34" ht="15" x14ac:dyDescent="0.25">
      <c r="A23" s="7" t="s">
        <v>42</v>
      </c>
      <c r="B23" s="96" t="s">
        <v>228</v>
      </c>
      <c r="C23" s="96" t="str">
        <f>_xlfn.XLOOKUP(Tabla12332[[#This Row],[Servicios del Programa:]],Tabla151[CODIGO],Tabla151[VALOR])</f>
        <v>Terapias</v>
      </c>
      <c r="D23" s="77">
        <v>1</v>
      </c>
      <c r="E23" s="56" cm="1">
        <f t="array" ref="E23">IF(D23="X",(_xlfn.XLOOKUP($B23,Tabla1[SERVICIO],Tabla1[VALOR])*1),IF(D23&gt;=1,_xlfn.XLOOKUP($B23,Tabla1[SERVICIO],Tabla1[VALOR]*D23),0))</f>
        <v>31714.220952863223</v>
      </c>
      <c r="F23" s="77"/>
      <c r="G23" s="56" cm="1">
        <f t="array" ref="G23">IF(F23="X",(_xlfn.XLOOKUP($B23,Tabla1[SERVICIO],Tabla1[VALOR])*1),IF(F23&gt;=1,_xlfn.XLOOKUP($B23,Tabla1[SERVICIO],Tabla1[VALOR]*F23),0))</f>
        <v>0</v>
      </c>
      <c r="H23" s="77"/>
      <c r="I23" s="56" cm="1">
        <f t="array" ref="I23">IF(H23="X",(_xlfn.XLOOKUP($B23,Tabla1[SERVICIO],Tabla1[VALOR])*1),IF(H23&gt;=1,_xlfn.XLOOKUP($B23,Tabla1[SERVICIO],Tabla1[VALOR]*H23),0))</f>
        <v>0</v>
      </c>
      <c r="J23" s="77"/>
      <c r="K23" s="56" cm="1">
        <f t="array" ref="K23">IF(J23="X",(_xlfn.XLOOKUP($B23,Tabla1[SERVICIO],Tabla1[VALOR])*1),IF(J23&gt;=1,_xlfn.XLOOKUP($B23,Tabla1[SERVICIO],Tabla1[VALOR]*J23),0))</f>
        <v>0</v>
      </c>
      <c r="L23" s="77"/>
      <c r="M23" s="56" cm="1">
        <f t="array" ref="M23">IF(L23="X",(_xlfn.XLOOKUP($B23,Tabla1[SERVICIO],Tabla1[VALOR])*1),IF(L23&gt;=1,_xlfn.XLOOKUP($B23,Tabla1[SERVICIO],Tabla1[VALOR]*L23),0))</f>
        <v>0</v>
      </c>
      <c r="N23" s="77"/>
      <c r="O23" s="56" cm="1">
        <f t="array" ref="O23">IF(N23="X",(_xlfn.XLOOKUP($B23,Tabla1[SERVICIO],Tabla1[VALOR])*1),IF(N23&gt;=1,_xlfn.XLOOKUP($B23,Tabla1[SERVICIO],Tabla1[VALOR]*N23),0))</f>
        <v>0</v>
      </c>
      <c r="P23" s="77"/>
      <c r="Q23" s="56" cm="1">
        <f t="array" ref="Q23">IF(P23="X",(_xlfn.XLOOKUP($B23,Tabla1[SERVICIO],Tabla1[VALOR])*1),IF(P23&gt;=1,_xlfn.XLOOKUP($B23,Tabla1[SERVICIO],Tabla1[VALOR]*P23),0))</f>
        <v>0</v>
      </c>
      <c r="R23" s="77"/>
      <c r="S23" s="56" cm="1">
        <f t="array" ref="S23">IF(R23="X",(_xlfn.XLOOKUP($B23,Tabla1[SERVICIO],Tabla1[VALOR])*1),IF(R23&gt;=1,_xlfn.XLOOKUP($B23,Tabla1[SERVICIO],Tabla1[VALOR]*R23),0))</f>
        <v>0</v>
      </c>
      <c r="T23" s="77"/>
      <c r="U23" s="56" cm="1">
        <f t="array" ref="U23">IF(T23="X",(_xlfn.XLOOKUP($B23,Tabla1[SERVICIO],Tabla1[VALOR])*1),IF(T23&gt;=1,_xlfn.XLOOKUP($B23,Tabla1[SERVICIO],Tabla1[VALOR]*T23),0))</f>
        <v>0</v>
      </c>
      <c r="V23" s="77"/>
      <c r="W23" s="56" cm="1">
        <f t="array" ref="W23">IF(V23="X",(_xlfn.XLOOKUP($B23,Tabla1[SERVICIO],Tabla1[VALOR])*1),IF(V23&gt;=1,_xlfn.XLOOKUP($B23,Tabla1[SERVICIO],Tabla1[VALOR]*V23),0))</f>
        <v>0</v>
      </c>
      <c r="X23" s="77"/>
      <c r="Y23" s="56" cm="1">
        <f t="array" ref="Y23">IF(X23="X",(_xlfn.XLOOKUP($B23,Tabla1[SERVICIO],Tabla1[VALOR])*1),IF(X23&gt;=1,_xlfn.XLOOKUP($B23,Tabla1[SERVICIO],Tabla1[VALOR]*X23),0))</f>
        <v>0</v>
      </c>
      <c r="Z23" s="77"/>
      <c r="AA23" s="56" cm="1">
        <f t="array" ref="AA23">IF(Z23="X",(_xlfn.XLOOKUP($B23,Tabla1[SERVICIO],Tabla1[VALOR])*1),IF(Z23&gt;=1,_xlfn.XLOOKUP($B23,Tabla1[SERVICIO],Tabla1[VALOR]*Z23),0))</f>
        <v>0</v>
      </c>
      <c r="AB23" s="81">
        <f>SUM(E23,G23,I23,K23+M23,O23,Q23,S23,U23,W23,Tabla12332[[#This Row],[COSTO11]],Tabla12332[[#This Row],[COSTO12]])</f>
        <v>31714.220952863223</v>
      </c>
      <c r="AC23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3" s="104" t="s">
        <v>319</v>
      </c>
      <c r="AE23" s="136">
        <v>5.5266579973992196E-2</v>
      </c>
      <c r="AF23" s="135">
        <f>+Tabla12332[[#This Row],[TOTAL]]*Tabla12332[[#This Row],[% de las personas que lo usaron]]</f>
        <v>1752.7365286042743</v>
      </c>
      <c r="AG23" s="82" t="s">
        <v>351</v>
      </c>
      <c r="AH23" s="335">
        <v>12</v>
      </c>
    </row>
    <row r="24" spans="1:34" ht="15" x14ac:dyDescent="0.25">
      <c r="A24" s="7" t="s">
        <v>44</v>
      </c>
      <c r="B24" s="96" t="s">
        <v>229</v>
      </c>
      <c r="C24" s="96" t="str">
        <f>_xlfn.XLOOKUP(Tabla12332[[#This Row],[Servicios del Programa:]],Tabla151[CODIGO],Tabla151[VALOR])</f>
        <v>Terapias</v>
      </c>
      <c r="D24" s="77">
        <v>1</v>
      </c>
      <c r="E24" s="56" cm="1">
        <f t="array" ref="E24">IF(D24="X",(_xlfn.XLOOKUP($B24,Tabla1[SERVICIO],Tabla1[VALOR])*1),IF(D24&gt;=1,_xlfn.XLOOKUP($B24,Tabla1[SERVICIO],Tabla1[VALOR]*D24),0))</f>
        <v>31714.220952863223</v>
      </c>
      <c r="F24" s="77"/>
      <c r="G24" s="56" cm="1">
        <f t="array" ref="G24">IF(F24="X",(_xlfn.XLOOKUP($B24,Tabla1[SERVICIO],Tabla1[VALOR])*1),IF(F24&gt;=1,_xlfn.XLOOKUP($B24,Tabla1[SERVICIO],Tabla1[VALOR]*F24),0))</f>
        <v>0</v>
      </c>
      <c r="H24" s="77"/>
      <c r="I24" s="56" cm="1">
        <f t="array" ref="I24">IF(H24="X",(_xlfn.XLOOKUP($B24,Tabla1[SERVICIO],Tabla1[VALOR])*1),IF(H24&gt;=1,_xlfn.XLOOKUP($B24,Tabla1[SERVICIO],Tabla1[VALOR]*H24),0))</f>
        <v>0</v>
      </c>
      <c r="J24" s="77"/>
      <c r="K24" s="56" cm="1">
        <f t="array" ref="K24">IF(J24="X",(_xlfn.XLOOKUP($B24,Tabla1[SERVICIO],Tabla1[VALOR])*1),IF(J24&gt;=1,_xlfn.XLOOKUP($B24,Tabla1[SERVICIO],Tabla1[VALOR]*J24),0))</f>
        <v>0</v>
      </c>
      <c r="L24" s="77"/>
      <c r="M24" s="56" cm="1">
        <f t="array" ref="M24">IF(L24="X",(_xlfn.XLOOKUP($B24,Tabla1[SERVICIO],Tabla1[VALOR])*1),IF(L24&gt;=1,_xlfn.XLOOKUP($B24,Tabla1[SERVICIO],Tabla1[VALOR]*L24),0))</f>
        <v>0</v>
      </c>
      <c r="N24" s="77"/>
      <c r="O24" s="56" cm="1">
        <f t="array" ref="O24">IF(N24="X",(_xlfn.XLOOKUP($B24,Tabla1[SERVICIO],Tabla1[VALOR])*1),IF(N24&gt;=1,_xlfn.XLOOKUP($B24,Tabla1[SERVICIO],Tabla1[VALOR]*N24),0))</f>
        <v>0</v>
      </c>
      <c r="P24" s="77"/>
      <c r="Q24" s="56" cm="1">
        <f t="array" ref="Q24">IF(P24="X",(_xlfn.XLOOKUP($B24,Tabla1[SERVICIO],Tabla1[VALOR])*1),IF(P24&gt;=1,_xlfn.XLOOKUP($B24,Tabla1[SERVICIO],Tabla1[VALOR]*P24),0))</f>
        <v>0</v>
      </c>
      <c r="R24" s="77"/>
      <c r="S24" s="56" cm="1">
        <f t="array" ref="S24">IF(R24="X",(_xlfn.XLOOKUP($B24,Tabla1[SERVICIO],Tabla1[VALOR])*1),IF(R24&gt;=1,_xlfn.XLOOKUP($B24,Tabla1[SERVICIO],Tabla1[VALOR]*R24),0))</f>
        <v>0</v>
      </c>
      <c r="T24" s="77"/>
      <c r="U24" s="56" cm="1">
        <f t="array" ref="U24">IF(T24="X",(_xlfn.XLOOKUP($B24,Tabla1[SERVICIO],Tabla1[VALOR])*1),IF(T24&gt;=1,_xlfn.XLOOKUP($B24,Tabla1[SERVICIO],Tabla1[VALOR]*T24),0))</f>
        <v>0</v>
      </c>
      <c r="V24" s="77"/>
      <c r="W24" s="56" cm="1">
        <f t="array" ref="W24">IF(V24="X",(_xlfn.XLOOKUP($B24,Tabla1[SERVICIO],Tabla1[VALOR])*1),IF(V24&gt;=1,_xlfn.XLOOKUP($B24,Tabla1[SERVICIO],Tabla1[VALOR]*V24),0))</f>
        <v>0</v>
      </c>
      <c r="X24" s="77"/>
      <c r="Y24" s="56" cm="1">
        <f t="array" ref="Y24">IF(X24="X",(_xlfn.XLOOKUP($B24,Tabla1[SERVICIO],Tabla1[VALOR])*1),IF(X24&gt;=1,_xlfn.XLOOKUP($B24,Tabla1[SERVICIO],Tabla1[VALOR]*X24),0))</f>
        <v>0</v>
      </c>
      <c r="Z24" s="77"/>
      <c r="AA24" s="56" cm="1">
        <f t="array" ref="AA24">IF(Z24="X",(_xlfn.XLOOKUP($B24,Tabla1[SERVICIO],Tabla1[VALOR])*1),IF(Z24&gt;=1,_xlfn.XLOOKUP($B24,Tabla1[SERVICIO],Tabla1[VALOR]*Z24),0))</f>
        <v>0</v>
      </c>
      <c r="AB24" s="81">
        <f>SUM(E24,G24,I24,K24+M24,O24,Q24,S24,U24,W24,Tabla12332[[#This Row],[COSTO11]],Tabla12332[[#This Row],[COSTO12]])</f>
        <v>31714.220952863223</v>
      </c>
      <c r="AC24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4" s="104" t="s">
        <v>319</v>
      </c>
      <c r="AE24" s="136">
        <v>0.26007802340702213</v>
      </c>
      <c r="AF24" s="135">
        <f>+Tabla12332[[#This Row],[TOTAL]]*Tabla12332[[#This Row],[% de las personas que lo usaron]]</f>
        <v>8248.1718993142331</v>
      </c>
      <c r="AG24" s="82" t="s">
        <v>351</v>
      </c>
      <c r="AH24" s="335">
        <v>12</v>
      </c>
    </row>
    <row r="25" spans="1:34" ht="15" x14ac:dyDescent="0.25">
      <c r="A25" s="7" t="s">
        <v>46</v>
      </c>
      <c r="B25" s="96" t="s">
        <v>47</v>
      </c>
      <c r="C25" s="96" t="str">
        <f>_xlfn.XLOOKUP(Tabla12332[[#This Row],[Servicios del Programa:]],Tabla151[CODIGO],Tabla151[VALOR])</f>
        <v>Consultas</v>
      </c>
      <c r="D25" s="77">
        <v>1</v>
      </c>
      <c r="E25" s="56" cm="1">
        <f t="array" ref="E25">IF(D25="X",(_xlfn.XLOOKUP($B25,Tabla1[SERVICIO],Tabla1[VALOR])*1),IF(D25&gt;=1,_xlfn.XLOOKUP($B25,Tabla1[SERVICIO],Tabla1[VALOR]*D25),0))</f>
        <v>83398.098568534639</v>
      </c>
      <c r="F25" s="77"/>
      <c r="G25" s="56" cm="1">
        <f t="array" ref="G25">IF(F25="X",(_xlfn.XLOOKUP($B25,Tabla1[SERVICIO],Tabla1[VALOR])*1),IF(F25&gt;=1,_xlfn.XLOOKUP($B25,Tabla1[SERVICIO],Tabla1[VALOR]*F25),0))</f>
        <v>0</v>
      </c>
      <c r="H25" s="77"/>
      <c r="I25" s="56" cm="1">
        <f t="array" ref="I25">IF(H25="X",(_xlfn.XLOOKUP($B25,Tabla1[SERVICIO],Tabla1[VALOR])*1),IF(H25&gt;=1,_xlfn.XLOOKUP($B25,Tabla1[SERVICIO],Tabla1[VALOR]*H25),0))</f>
        <v>0</v>
      </c>
      <c r="J25" s="77"/>
      <c r="K25" s="56" cm="1">
        <f t="array" ref="K25">IF(J25="X",(_xlfn.XLOOKUP($B25,Tabla1[SERVICIO],Tabla1[VALOR])*1),IF(J25&gt;=1,_xlfn.XLOOKUP($B25,Tabla1[SERVICIO],Tabla1[VALOR]*J25),0))</f>
        <v>0</v>
      </c>
      <c r="L25" s="77"/>
      <c r="M25" s="56" cm="1">
        <f t="array" ref="M25">IF(L25="X",(_xlfn.XLOOKUP($B25,Tabla1[SERVICIO],Tabla1[VALOR])*1),IF(L25&gt;=1,_xlfn.XLOOKUP($B25,Tabla1[SERVICIO],Tabla1[VALOR]*L25),0))</f>
        <v>0</v>
      </c>
      <c r="N25" s="77"/>
      <c r="O25" s="56" cm="1">
        <f t="array" ref="O25">IF(N25="X",(_xlfn.XLOOKUP($B25,Tabla1[SERVICIO],Tabla1[VALOR])*1),IF(N25&gt;=1,_xlfn.XLOOKUP($B25,Tabla1[SERVICIO],Tabla1[VALOR]*N25),0))</f>
        <v>0</v>
      </c>
      <c r="P25" s="77"/>
      <c r="Q25" s="56" cm="1">
        <f t="array" ref="Q25">IF(P25="X",(_xlfn.XLOOKUP($B25,Tabla1[SERVICIO],Tabla1[VALOR])*1),IF(P25&gt;=1,_xlfn.XLOOKUP($B25,Tabla1[SERVICIO],Tabla1[VALOR]*P25),0))</f>
        <v>0</v>
      </c>
      <c r="R25" s="77"/>
      <c r="S25" s="56" cm="1">
        <f t="array" ref="S25">IF(R25="X",(_xlfn.XLOOKUP($B25,Tabla1[SERVICIO],Tabla1[VALOR])*1),IF(R25&gt;=1,_xlfn.XLOOKUP($B25,Tabla1[SERVICIO],Tabla1[VALOR]*R25),0))</f>
        <v>0</v>
      </c>
      <c r="T25" s="77"/>
      <c r="U25" s="56" cm="1">
        <f t="array" ref="U25">IF(T25="X",(_xlfn.XLOOKUP($B25,Tabla1[SERVICIO],Tabla1[VALOR])*1),IF(T25&gt;=1,_xlfn.XLOOKUP($B25,Tabla1[SERVICIO],Tabla1[VALOR]*T25),0))</f>
        <v>0</v>
      </c>
      <c r="V25" s="77"/>
      <c r="W25" s="56" cm="1">
        <f t="array" ref="W25">IF(V25="X",(_xlfn.XLOOKUP($B25,Tabla1[SERVICIO],Tabla1[VALOR])*1),IF(V25&gt;=1,_xlfn.XLOOKUP($B25,Tabla1[SERVICIO],Tabla1[VALOR]*V25),0))</f>
        <v>0</v>
      </c>
      <c r="X25" s="77"/>
      <c r="Y25" s="56" cm="1">
        <f t="array" ref="Y25">IF(X25="X",(_xlfn.XLOOKUP($B25,Tabla1[SERVICIO],Tabla1[VALOR])*1),IF(X25&gt;=1,_xlfn.XLOOKUP($B25,Tabla1[SERVICIO],Tabla1[VALOR]*X25),0))</f>
        <v>0</v>
      </c>
      <c r="Z25" s="77"/>
      <c r="AA25" s="56" cm="1">
        <f t="array" ref="AA25">IF(Z25="X",(_xlfn.XLOOKUP($B25,Tabla1[SERVICIO],Tabla1[VALOR])*1),IF(Z25&gt;=1,_xlfn.XLOOKUP($B25,Tabla1[SERVICIO],Tabla1[VALOR]*Z25),0))</f>
        <v>0</v>
      </c>
      <c r="AB25" s="81">
        <f>SUM(E25,G25,I25,K25+M25,O25,Q25,S25,U25,W25,Tabla12332[[#This Row],[COSTO11]],Tabla12332[[#This Row],[COSTO12]])</f>
        <v>83398.098568534639</v>
      </c>
      <c r="AC25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5" s="104" t="s">
        <v>319</v>
      </c>
      <c r="AE25" s="136">
        <v>2.6007802340702211E-3</v>
      </c>
      <c r="AF25" s="135">
        <f>+Tabla12332[[#This Row],[TOTAL]]*Tabla12332[[#This Row],[% de las personas que lo usaron]]</f>
        <v>216.90012631608488</v>
      </c>
      <c r="AG25" s="82" t="s">
        <v>351</v>
      </c>
      <c r="AH25" s="335">
        <v>12</v>
      </c>
    </row>
    <row r="26" spans="1:34" ht="15" x14ac:dyDescent="0.25">
      <c r="A26" s="7" t="s">
        <v>48</v>
      </c>
      <c r="B26" s="96" t="s">
        <v>222</v>
      </c>
      <c r="C26" s="96" t="str">
        <f>_xlfn.XLOOKUP(Tabla12332[[#This Row],[Servicios del Programa:]],Tabla151[CODIGO],Tabla151[VALOR])</f>
        <v>Consultas</v>
      </c>
      <c r="D26" s="77">
        <v>1</v>
      </c>
      <c r="E26" s="56" cm="1">
        <f t="array" ref="E26">IF(D26="X",(_xlfn.XLOOKUP($B26,Tabla1[SERVICIO],Tabla1[VALOR])*1),IF(D26&gt;=1,_xlfn.XLOOKUP($B26,Tabla1[SERVICIO],Tabla1[VALOR]*D26),0))</f>
        <v>77398.098568534639</v>
      </c>
      <c r="F26" s="77"/>
      <c r="G26" s="56" cm="1">
        <f t="array" ref="G26">IF(F26="X",(_xlfn.XLOOKUP($B26,Tabla1[SERVICIO],Tabla1[VALOR])*1),IF(F26&gt;=1,_xlfn.XLOOKUP($B26,Tabla1[SERVICIO],Tabla1[VALOR]*F26),0))</f>
        <v>0</v>
      </c>
      <c r="H26" s="77"/>
      <c r="I26" s="56" cm="1">
        <f t="array" ref="I26">IF(H26="X",(_xlfn.XLOOKUP($B26,Tabla1[SERVICIO],Tabla1[VALOR])*1),IF(H26&gt;=1,_xlfn.XLOOKUP($B26,Tabla1[SERVICIO],Tabla1[VALOR]*H26),0))</f>
        <v>0</v>
      </c>
      <c r="J26" s="77"/>
      <c r="K26" s="56" cm="1">
        <f t="array" ref="K26">IF(J26="X",(_xlfn.XLOOKUP($B26,Tabla1[SERVICIO],Tabla1[VALOR])*1),IF(J26&gt;=1,_xlfn.XLOOKUP($B26,Tabla1[SERVICIO],Tabla1[VALOR]*J26),0))</f>
        <v>0</v>
      </c>
      <c r="L26" s="77"/>
      <c r="M26" s="56" cm="1">
        <f t="array" ref="M26">IF(L26="X",(_xlfn.XLOOKUP($B26,Tabla1[SERVICIO],Tabla1[VALOR])*1),IF(L26&gt;=1,_xlfn.XLOOKUP($B26,Tabla1[SERVICIO],Tabla1[VALOR]*L26),0))</f>
        <v>0</v>
      </c>
      <c r="N26" s="77"/>
      <c r="O26" s="56" cm="1">
        <f t="array" ref="O26">IF(N26="X",(_xlfn.XLOOKUP($B26,Tabla1[SERVICIO],Tabla1[VALOR])*1),IF(N26&gt;=1,_xlfn.XLOOKUP($B26,Tabla1[SERVICIO],Tabla1[VALOR]*N26),0))</f>
        <v>0</v>
      </c>
      <c r="P26" s="77"/>
      <c r="Q26" s="56" cm="1">
        <f t="array" ref="Q26">IF(P26="X",(_xlfn.XLOOKUP($B26,Tabla1[SERVICIO],Tabla1[VALOR])*1),IF(P26&gt;=1,_xlfn.XLOOKUP($B26,Tabla1[SERVICIO],Tabla1[VALOR]*P26),0))</f>
        <v>0</v>
      </c>
      <c r="R26" s="77"/>
      <c r="S26" s="56" cm="1">
        <f t="array" ref="S26">IF(R26="X",(_xlfn.XLOOKUP($B26,Tabla1[SERVICIO],Tabla1[VALOR])*1),IF(R26&gt;=1,_xlfn.XLOOKUP($B26,Tabla1[SERVICIO],Tabla1[VALOR]*R26),0))</f>
        <v>0</v>
      </c>
      <c r="T26" s="77"/>
      <c r="U26" s="56" cm="1">
        <f t="array" ref="U26">IF(T26="X",(_xlfn.XLOOKUP($B26,Tabla1[SERVICIO],Tabla1[VALOR])*1),IF(T26&gt;=1,_xlfn.XLOOKUP($B26,Tabla1[SERVICIO],Tabla1[VALOR]*T26),0))</f>
        <v>0</v>
      </c>
      <c r="V26" s="77"/>
      <c r="W26" s="56" cm="1">
        <f t="array" ref="W26">IF(V26="X",(_xlfn.XLOOKUP($B26,Tabla1[SERVICIO],Tabla1[VALOR])*1),IF(V26&gt;=1,_xlfn.XLOOKUP($B26,Tabla1[SERVICIO],Tabla1[VALOR]*V26),0))</f>
        <v>0</v>
      </c>
      <c r="X26" s="77"/>
      <c r="Y26" s="56" cm="1">
        <f t="array" ref="Y26">IF(X26="X",(_xlfn.XLOOKUP($B26,Tabla1[SERVICIO],Tabla1[VALOR])*1),IF(X26&gt;=1,_xlfn.XLOOKUP($B26,Tabla1[SERVICIO],Tabla1[VALOR]*X26),0))</f>
        <v>0</v>
      </c>
      <c r="Z26" s="77"/>
      <c r="AA26" s="56" cm="1">
        <f t="array" ref="AA26">IF(Z26="X",(_xlfn.XLOOKUP($B26,Tabla1[SERVICIO],Tabla1[VALOR])*1),IF(Z26&gt;=1,_xlfn.XLOOKUP($B26,Tabla1[SERVICIO],Tabla1[VALOR]*Z26),0))</f>
        <v>0</v>
      </c>
      <c r="AB26" s="81">
        <f>SUM(E26,G26,I26,K26+M26,O26,Q26,S26,U26,W26,Tabla12332[[#This Row],[COSTO11]],Tabla12332[[#This Row],[COSTO12]])</f>
        <v>77398.098568534639</v>
      </c>
      <c r="AC26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6" s="104" t="s">
        <v>319</v>
      </c>
      <c r="AE26" s="136">
        <v>3.0559167750325099E-2</v>
      </c>
      <c r="AF26" s="135">
        <f>+Tabla12332[[#This Row],[TOTAL]]*Tabla12332[[#This Row],[% de las personas que lo usaron]]</f>
        <v>2365.2214777120471</v>
      </c>
      <c r="AG26" s="82" t="s">
        <v>351</v>
      </c>
      <c r="AH26" s="335">
        <v>12</v>
      </c>
    </row>
    <row r="27" spans="1:34" ht="15" x14ac:dyDescent="0.25">
      <c r="A27" s="7" t="s">
        <v>50</v>
      </c>
      <c r="B27" s="98" t="s">
        <v>101</v>
      </c>
      <c r="C27" s="96" t="str">
        <f>_xlfn.XLOOKUP(Tabla12332[[#This Row],[Servicios del Programa:]],Tabla151[CODIGO],Tabla151[VALOR])</f>
        <v>Diagnosticos</v>
      </c>
      <c r="D27" s="77">
        <v>1</v>
      </c>
      <c r="E27" s="56" cm="1">
        <f t="array" ref="E27">IF(D27="X",(_xlfn.XLOOKUP($B27,Tabla1[SERVICIO],Tabla1[VALOR])*1),IF(D27&gt;=1,_xlfn.XLOOKUP($B27,Tabla1[SERVICIO],Tabla1[VALOR]*D27),0))</f>
        <v>67391.281653480837</v>
      </c>
      <c r="F27" s="77"/>
      <c r="G27" s="56" cm="1">
        <f t="array" ref="G27">IF(F27="X",(_xlfn.XLOOKUP($B27,Tabla1[SERVICIO],Tabla1[VALOR])*1),IF(F27&gt;=1,_xlfn.XLOOKUP($B27,Tabla1[SERVICIO],Tabla1[VALOR]*F27),0))</f>
        <v>0</v>
      </c>
      <c r="H27" s="77"/>
      <c r="I27" s="56" cm="1">
        <f t="array" ref="I27">IF(H27="X",(_xlfn.XLOOKUP($B27,Tabla1[SERVICIO],Tabla1[VALOR])*1),IF(H27&gt;=1,_xlfn.XLOOKUP($B27,Tabla1[SERVICIO],Tabla1[VALOR]*H27),0))</f>
        <v>0</v>
      </c>
      <c r="J27" s="77"/>
      <c r="K27" s="56" cm="1">
        <f t="array" ref="K27">IF(J27="X",(_xlfn.XLOOKUP($B27,Tabla1[SERVICIO],Tabla1[VALOR])*1),IF(J27&gt;=1,_xlfn.XLOOKUP($B27,Tabla1[SERVICIO],Tabla1[VALOR]*J27),0))</f>
        <v>0</v>
      </c>
      <c r="L27" s="77"/>
      <c r="M27" s="56" cm="1">
        <f t="array" ref="M27">IF(L27="X",(_xlfn.XLOOKUP($B27,Tabla1[SERVICIO],Tabla1[VALOR])*1),IF(L27&gt;=1,_xlfn.XLOOKUP($B27,Tabla1[SERVICIO],Tabla1[VALOR]*L27),0))</f>
        <v>0</v>
      </c>
      <c r="N27" s="77"/>
      <c r="O27" s="56" cm="1">
        <f t="array" ref="O27">IF(N27="X",(_xlfn.XLOOKUP($B27,Tabla1[SERVICIO],Tabla1[VALOR])*1),IF(N27&gt;=1,_xlfn.XLOOKUP($B27,Tabla1[SERVICIO],Tabla1[VALOR]*N27),0))</f>
        <v>0</v>
      </c>
      <c r="P27" s="77"/>
      <c r="Q27" s="56" cm="1">
        <f t="array" ref="Q27">IF(P27="X",(_xlfn.XLOOKUP($B27,Tabla1[SERVICIO],Tabla1[VALOR])*1),IF(P27&gt;=1,_xlfn.XLOOKUP($B27,Tabla1[SERVICIO],Tabla1[VALOR]*P27),0))</f>
        <v>0</v>
      </c>
      <c r="R27" s="77"/>
      <c r="S27" s="56" cm="1">
        <f t="array" ref="S27">IF(R27="X",(_xlfn.XLOOKUP($B27,Tabla1[SERVICIO],Tabla1[VALOR])*1),IF(R27&gt;=1,_xlfn.XLOOKUP($B27,Tabla1[SERVICIO],Tabla1[VALOR]*R27),0))</f>
        <v>0</v>
      </c>
      <c r="T27" s="77"/>
      <c r="U27" s="56" cm="1">
        <f t="array" ref="U27">IF(T27="X",(_xlfn.XLOOKUP($B27,Tabla1[SERVICIO],Tabla1[VALOR])*1),IF(T27&gt;=1,_xlfn.XLOOKUP($B27,Tabla1[SERVICIO],Tabla1[VALOR]*T27),0))</f>
        <v>0</v>
      </c>
      <c r="V27" s="77"/>
      <c r="W27" s="56" cm="1">
        <f t="array" ref="W27">IF(V27="X",(_xlfn.XLOOKUP($B27,Tabla1[SERVICIO],Tabla1[VALOR])*1),IF(V27&gt;=1,_xlfn.XLOOKUP($B27,Tabla1[SERVICIO],Tabla1[VALOR]*V27),0))</f>
        <v>0</v>
      </c>
      <c r="X27" s="77"/>
      <c r="Y27" s="56" cm="1">
        <f t="array" ref="Y27">IF(X27="X",(_xlfn.XLOOKUP($B27,Tabla1[SERVICIO],Tabla1[VALOR])*1),IF(X27&gt;=1,_xlfn.XLOOKUP($B27,Tabla1[SERVICIO],Tabla1[VALOR]*X27),0))</f>
        <v>0</v>
      </c>
      <c r="Z27" s="77"/>
      <c r="AA27" s="56" cm="1">
        <f t="array" ref="AA27">IF(Z27="X",(_xlfn.XLOOKUP($B27,Tabla1[SERVICIO],Tabla1[VALOR])*1),IF(Z27&gt;=1,_xlfn.XLOOKUP($B27,Tabla1[SERVICIO],Tabla1[VALOR]*Z27),0))</f>
        <v>0</v>
      </c>
      <c r="AB27" s="81">
        <f>SUM(E27,G27,I27,K27+M27,O27,Q27,S27,U27,W27,Tabla12332[[#This Row],[COSTO11]],Tabla12332[[#This Row],[COSTO12]])</f>
        <v>67391.281653480837</v>
      </c>
      <c r="AC27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7" s="104" t="s">
        <v>319</v>
      </c>
      <c r="AE27" s="136">
        <v>1.3003901170351106E-3</v>
      </c>
      <c r="AF27" s="135">
        <f>+Tabla12332[[#This Row],[TOTAL]]*Tabla12332[[#This Row],[% de las personas que lo usaron]]</f>
        <v>87.634956636516051</v>
      </c>
      <c r="AG27" s="82" t="s">
        <v>351</v>
      </c>
      <c r="AH27" s="335">
        <v>12</v>
      </c>
    </row>
    <row r="28" spans="1:34" ht="15" x14ac:dyDescent="0.25">
      <c r="A28" s="7" t="s">
        <v>52</v>
      </c>
      <c r="B28" s="96" t="s">
        <v>191</v>
      </c>
      <c r="C28" s="96" t="str">
        <f>_xlfn.XLOOKUP(Tabla12332[[#This Row],[Servicios del Programa:]],Tabla151[CODIGO],Tabla151[VALOR])</f>
        <v>Consultas</v>
      </c>
      <c r="D28" s="77">
        <v>1</v>
      </c>
      <c r="E28" s="56" cm="1">
        <f t="array" ref="E28">IF(D28="X",(_xlfn.XLOOKUP($B28,Tabla1[SERVICIO],Tabla1[VALOR])*1),IF(D28&gt;=1,_xlfn.XLOOKUP($B28,Tabla1[SERVICIO],Tabla1[VALOR]*D28),0))</f>
        <v>26897.079640267821</v>
      </c>
      <c r="F28" s="78"/>
      <c r="G28" s="56" cm="1">
        <f t="array" ref="G28">IF(F28="X",(_xlfn.XLOOKUP($B28,Tabla1[SERVICIO],Tabla1[VALOR])*1),IF(F28&gt;=1,_xlfn.XLOOKUP($B28,Tabla1[SERVICIO],Tabla1[VALOR]*F28),0))</f>
        <v>0</v>
      </c>
      <c r="H28" s="78"/>
      <c r="I28" s="56" cm="1">
        <f t="array" ref="I28">IF(H28="X",(_xlfn.XLOOKUP($B28,Tabla1[SERVICIO],Tabla1[VALOR])*1),IF(H28&gt;=1,_xlfn.XLOOKUP($B28,Tabla1[SERVICIO],Tabla1[VALOR]*H28),0))</f>
        <v>0</v>
      </c>
      <c r="J28" s="78"/>
      <c r="K28" s="56" cm="1">
        <f t="array" ref="K28">IF(J28="X",(_xlfn.XLOOKUP($B28,Tabla1[SERVICIO],Tabla1[VALOR])*1),IF(J28&gt;=1,_xlfn.XLOOKUP($B28,Tabla1[SERVICIO],Tabla1[VALOR]*J28),0))</f>
        <v>0</v>
      </c>
      <c r="L28" s="78"/>
      <c r="M28" s="56" cm="1">
        <f t="array" ref="M28">IF(L28="X",(_xlfn.XLOOKUP($B28,Tabla1[SERVICIO],Tabla1[VALOR])*1),IF(L28&gt;=1,_xlfn.XLOOKUP($B28,Tabla1[SERVICIO],Tabla1[VALOR]*L28),0))</f>
        <v>0</v>
      </c>
      <c r="N28" s="78"/>
      <c r="O28" s="56" cm="1">
        <f t="array" ref="O28">IF(N28="X",(_xlfn.XLOOKUP($B28,Tabla1[SERVICIO],Tabla1[VALOR])*1),IF(N28&gt;=1,_xlfn.XLOOKUP($B28,Tabla1[SERVICIO],Tabla1[VALOR]*N28),0))</f>
        <v>0</v>
      </c>
      <c r="P28" s="78"/>
      <c r="Q28" s="56" cm="1">
        <f t="array" ref="Q28">IF(P28="X",(_xlfn.XLOOKUP($B28,Tabla1[SERVICIO],Tabla1[VALOR])*1),IF(P28&gt;=1,_xlfn.XLOOKUP($B28,Tabla1[SERVICIO],Tabla1[VALOR]*P28),0))</f>
        <v>0</v>
      </c>
      <c r="R28" s="78"/>
      <c r="S28" s="56" cm="1">
        <f t="array" ref="S28">IF(R28="X",(_xlfn.XLOOKUP($B28,Tabla1[SERVICIO],Tabla1[VALOR])*1),IF(R28&gt;=1,_xlfn.XLOOKUP($B28,Tabla1[SERVICIO],Tabla1[VALOR]*R28),0))</f>
        <v>0</v>
      </c>
      <c r="T28" s="78"/>
      <c r="U28" s="56" cm="1">
        <f t="array" ref="U28">IF(T28="X",(_xlfn.XLOOKUP($B28,Tabla1[SERVICIO],Tabla1[VALOR])*1),IF(T28&gt;=1,_xlfn.XLOOKUP($B28,Tabla1[SERVICIO],Tabla1[VALOR]*T28),0))</f>
        <v>0</v>
      </c>
      <c r="V28" s="78"/>
      <c r="W28" s="56" cm="1">
        <f t="array" ref="W28">IF(V28="X",(_xlfn.XLOOKUP($B28,Tabla1[SERVICIO],Tabla1[VALOR])*1),IF(V28&gt;=1,_xlfn.XLOOKUP($B28,Tabla1[SERVICIO],Tabla1[VALOR]*V28),0))</f>
        <v>0</v>
      </c>
      <c r="X28" s="78"/>
      <c r="Y28" s="56" cm="1">
        <f t="array" ref="Y28">IF(X28="X",(_xlfn.XLOOKUP($B28,Tabla1[SERVICIO],Tabla1[VALOR])*1),IF(X28&gt;=1,_xlfn.XLOOKUP($B28,Tabla1[SERVICIO],Tabla1[VALOR]*X28),0))</f>
        <v>0</v>
      </c>
      <c r="Z28" s="78"/>
      <c r="AA28" s="56" cm="1">
        <f t="array" ref="AA28">IF(Z28="X",(_xlfn.XLOOKUP($B28,Tabla1[SERVICIO],Tabla1[VALOR])*1),IF(Z28&gt;=1,_xlfn.XLOOKUP($B28,Tabla1[SERVICIO],Tabla1[VALOR]*Z28),0))</f>
        <v>0</v>
      </c>
      <c r="AB28" s="81">
        <f>SUM(E28,G28,I28,K28+M28,O28,Q28,S28,U28,W28,Tabla12332[[#This Row],[COSTO11]],Tabla12332[[#This Row],[COSTO12]])</f>
        <v>26897.079640267821</v>
      </c>
      <c r="AC28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8" s="104" t="s">
        <v>319</v>
      </c>
      <c r="AE28" s="136">
        <v>3.2509752925877762E-3</v>
      </c>
      <c r="AF28" s="135">
        <f>+Tabla12332[[#This Row],[TOTAL]]*Tabla12332[[#This Row],[% de las personas que lo usaron]]</f>
        <v>87.441741353276399</v>
      </c>
      <c r="AG28" s="82" t="s">
        <v>351</v>
      </c>
      <c r="AH28" s="335">
        <v>12</v>
      </c>
    </row>
    <row r="29" spans="1:34" ht="15" x14ac:dyDescent="0.25">
      <c r="A29" s="7" t="s">
        <v>53</v>
      </c>
      <c r="B29" s="96" t="s">
        <v>230</v>
      </c>
      <c r="C29" s="96" t="str">
        <f>_xlfn.XLOOKUP(Tabla12332[[#This Row],[Servicios del Programa:]],Tabla151[CODIGO],Tabla151[VALOR])</f>
        <v>Consultas</v>
      </c>
      <c r="D29" s="77">
        <v>1</v>
      </c>
      <c r="E29" s="56" cm="1">
        <f t="array" ref="E29">IF(D29="X",(_xlfn.XLOOKUP($B29,Tabla1[SERVICIO],Tabla1[VALOR])*1),IF(D29&gt;=1,_xlfn.XLOOKUP($B29,Tabla1[SERVICIO],Tabla1[VALOR]*D29),0))</f>
        <v>26897.079640267817</v>
      </c>
      <c r="F29" s="77"/>
      <c r="G29" s="56" cm="1">
        <f t="array" ref="G29">IF(F29="X",(_xlfn.XLOOKUP($B29,Tabla1[SERVICIO],Tabla1[VALOR])*1),IF(F29&gt;=1,_xlfn.XLOOKUP($B29,Tabla1[SERVICIO],Tabla1[VALOR]*F29),0))</f>
        <v>0</v>
      </c>
      <c r="H29" s="77"/>
      <c r="I29" s="56" cm="1">
        <f t="array" ref="I29">IF(H29="X",(_xlfn.XLOOKUP($B29,Tabla1[SERVICIO],Tabla1[VALOR])*1),IF(H29&gt;=1,_xlfn.XLOOKUP($B29,Tabla1[SERVICIO],Tabla1[VALOR]*H29),0))</f>
        <v>0</v>
      </c>
      <c r="J29" s="77"/>
      <c r="K29" s="56" cm="1">
        <f t="array" ref="K29">IF(J29="X",(_xlfn.XLOOKUP($B29,Tabla1[SERVICIO],Tabla1[VALOR])*1),IF(J29&gt;=1,_xlfn.XLOOKUP($B29,Tabla1[SERVICIO],Tabla1[VALOR]*J29),0))</f>
        <v>0</v>
      </c>
      <c r="L29" s="77"/>
      <c r="M29" s="56" cm="1">
        <f t="array" ref="M29">IF(L29="X",(_xlfn.XLOOKUP($B29,Tabla1[SERVICIO],Tabla1[VALOR])*1),IF(L29&gt;=1,_xlfn.XLOOKUP($B29,Tabla1[SERVICIO],Tabla1[VALOR]*L29),0))</f>
        <v>0</v>
      </c>
      <c r="N29" s="77"/>
      <c r="O29" s="56" cm="1">
        <f t="array" ref="O29">IF(N29="X",(_xlfn.XLOOKUP($B29,Tabla1[SERVICIO],Tabla1[VALOR])*1),IF(N29&gt;=1,_xlfn.XLOOKUP($B29,Tabla1[SERVICIO],Tabla1[VALOR]*N29),0))</f>
        <v>0</v>
      </c>
      <c r="P29" s="77"/>
      <c r="Q29" s="56" cm="1">
        <f t="array" ref="Q29">IF(P29="X",(_xlfn.XLOOKUP($B29,Tabla1[SERVICIO],Tabla1[VALOR])*1),IF(P29&gt;=1,_xlfn.XLOOKUP($B29,Tabla1[SERVICIO],Tabla1[VALOR]*P29),0))</f>
        <v>0</v>
      </c>
      <c r="R29" s="77"/>
      <c r="S29" s="56" cm="1">
        <f t="array" ref="S29">IF(R29="X",(_xlfn.XLOOKUP($B29,Tabla1[SERVICIO],Tabla1[VALOR])*1),IF(R29&gt;=1,_xlfn.XLOOKUP($B29,Tabla1[SERVICIO],Tabla1[VALOR]*R29),0))</f>
        <v>0</v>
      </c>
      <c r="T29" s="77"/>
      <c r="U29" s="56" cm="1">
        <f t="array" ref="U29">IF(T29="X",(_xlfn.XLOOKUP($B29,Tabla1[SERVICIO],Tabla1[VALOR])*1),IF(T29&gt;=1,_xlfn.XLOOKUP($B29,Tabla1[SERVICIO],Tabla1[VALOR]*T29),0))</f>
        <v>0</v>
      </c>
      <c r="V29" s="77"/>
      <c r="W29" s="56" cm="1">
        <f t="array" ref="W29">IF(V29="X",(_xlfn.XLOOKUP($B29,Tabla1[SERVICIO],Tabla1[VALOR])*1),IF(V29&gt;=1,_xlfn.XLOOKUP($B29,Tabla1[SERVICIO],Tabla1[VALOR]*V29),0))</f>
        <v>0</v>
      </c>
      <c r="X29" s="77"/>
      <c r="Y29" s="56" cm="1">
        <f t="array" ref="Y29">IF(X29="X",(_xlfn.XLOOKUP($B29,Tabla1[SERVICIO],Tabla1[VALOR])*1),IF(X29&gt;=1,_xlfn.XLOOKUP($B29,Tabla1[SERVICIO],Tabla1[VALOR]*X29),0))</f>
        <v>0</v>
      </c>
      <c r="Z29" s="77"/>
      <c r="AA29" s="56" cm="1">
        <f t="array" ref="AA29">IF(Z29="X",(_xlfn.XLOOKUP($B29,Tabla1[SERVICIO],Tabla1[VALOR])*1),IF(Z29&gt;=1,_xlfn.XLOOKUP($B29,Tabla1[SERVICIO],Tabla1[VALOR]*Z29),0))</f>
        <v>0</v>
      </c>
      <c r="AB29" s="81">
        <f>SUM(E29,G29,I29,K29+M29,O29,Q29,S29,U29,W29,Tabla12332[[#This Row],[COSTO11]],Tabla12332[[#This Row],[COSTO12]])</f>
        <v>26897.079640267817</v>
      </c>
      <c r="AC29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9" s="104" t="s">
        <v>319</v>
      </c>
      <c r="AE29" s="136">
        <v>3.9011703511053317E-3</v>
      </c>
      <c r="AF29" s="135">
        <f>+Tabla12332[[#This Row],[TOTAL]]*Tabla12332[[#This Row],[% de las personas que lo usaron]]</f>
        <v>104.93008962393166</v>
      </c>
      <c r="AG29" s="82" t="s">
        <v>351</v>
      </c>
      <c r="AH29" s="335">
        <v>12</v>
      </c>
    </row>
    <row r="30" spans="1:34" ht="15" x14ac:dyDescent="0.25">
      <c r="A30" s="7" t="s">
        <v>54</v>
      </c>
      <c r="B30" s="96" t="s">
        <v>227</v>
      </c>
      <c r="C30" s="96" t="str">
        <f>_xlfn.XLOOKUP(Tabla12332[[#This Row],[Servicios del Programa:]],Tabla151[CODIGO],Tabla151[VALOR])</f>
        <v>Gestion y seguimiento</v>
      </c>
      <c r="D30" s="77"/>
      <c r="E30" s="56" cm="1">
        <f t="array" ref="E30">IF(D30="X",(_xlfn.XLOOKUP($B30,Tabla1[SERVICIO],Tabla1[VALOR])*1),IF(D30&gt;=1,_xlfn.XLOOKUP($B30,Tabla1[SERVICIO],Tabla1[VALOR]*D30),0))</f>
        <v>0</v>
      </c>
      <c r="F30" s="77"/>
      <c r="G30" s="56" cm="1">
        <f t="array" ref="G30">IF(F30="X",(_xlfn.XLOOKUP($B30,Tabla1[SERVICIO],Tabla1[VALOR])*1),IF(F30&gt;=1,_xlfn.XLOOKUP($B30,Tabla1[SERVICIO],Tabla1[VALOR]*F30),0))</f>
        <v>0</v>
      </c>
      <c r="H30" s="77"/>
      <c r="I30" s="56" cm="1">
        <f t="array" ref="I30">IF(H30="X",(_xlfn.XLOOKUP($B30,Tabla1[SERVICIO],Tabla1[VALOR])*1),IF(H30&gt;=1,_xlfn.XLOOKUP($B30,Tabla1[SERVICIO],Tabla1[VALOR]*H30),0))</f>
        <v>0</v>
      </c>
      <c r="J30" s="77"/>
      <c r="K30" s="56" cm="1">
        <f t="array" ref="K30">IF(J30="X",(_xlfn.XLOOKUP($B30,Tabla1[SERVICIO],Tabla1[VALOR])*1),IF(J30&gt;=1,_xlfn.XLOOKUP($B30,Tabla1[SERVICIO],Tabla1[VALOR]*J30),0))</f>
        <v>0</v>
      </c>
      <c r="L30" s="77"/>
      <c r="M30" s="56" cm="1">
        <f t="array" ref="M30">IF(L30="X",(_xlfn.XLOOKUP($B30,Tabla1[SERVICIO],Tabla1[VALOR])*1),IF(L30&gt;=1,_xlfn.XLOOKUP($B30,Tabla1[SERVICIO],Tabla1[VALOR]*L30),0))</f>
        <v>0</v>
      </c>
      <c r="N30" s="77">
        <v>1</v>
      </c>
      <c r="O30" s="56" cm="1">
        <f t="array" ref="O30">IF(N30="X",(_xlfn.XLOOKUP($B30,Tabla1[SERVICIO],Tabla1[VALOR])*1),IF(N30&gt;=1,_xlfn.XLOOKUP($B30,Tabla1[SERVICIO],Tabla1[VALOR]*N30),0))</f>
        <v>145259.19237771924</v>
      </c>
      <c r="P30" s="77"/>
      <c r="Q30" s="56" cm="1">
        <f t="array" ref="Q30">IF(P30="X",(_xlfn.XLOOKUP($B30,Tabla1[SERVICIO],Tabla1[VALOR])*1),IF(P30&gt;=1,_xlfn.XLOOKUP($B30,Tabla1[SERVICIO],Tabla1[VALOR]*P30),0))</f>
        <v>0</v>
      </c>
      <c r="R30" s="77"/>
      <c r="S30" s="56" cm="1">
        <f t="array" ref="S30">IF(R30="X",(_xlfn.XLOOKUP($B30,Tabla1[SERVICIO],Tabla1[VALOR])*1),IF(R30&gt;=1,_xlfn.XLOOKUP($B30,Tabla1[SERVICIO],Tabla1[VALOR]*R30),0))</f>
        <v>0</v>
      </c>
      <c r="T30" s="77"/>
      <c r="U30" s="56" cm="1">
        <f t="array" ref="U30">IF(T30="X",(_xlfn.XLOOKUP($B30,Tabla1[SERVICIO],Tabla1[VALOR])*1),IF(T30&gt;=1,_xlfn.XLOOKUP($B30,Tabla1[SERVICIO],Tabla1[VALOR]*T30),0))</f>
        <v>0</v>
      </c>
      <c r="V30" s="77"/>
      <c r="W30" s="56" cm="1">
        <f t="array" ref="W30">IF(V30="X",(_xlfn.XLOOKUP($B30,Tabla1[SERVICIO],Tabla1[VALOR])*1),IF(V30&gt;=1,_xlfn.XLOOKUP($B30,Tabla1[SERVICIO],Tabla1[VALOR]*V30),0))</f>
        <v>0</v>
      </c>
      <c r="X30" s="77"/>
      <c r="Y30" s="56" cm="1">
        <f t="array" ref="Y30">IF(X30="X",(_xlfn.XLOOKUP($B30,Tabla1[SERVICIO],Tabla1[VALOR])*1),IF(X30&gt;=1,_xlfn.XLOOKUP($B30,Tabla1[SERVICIO],Tabla1[VALOR]*X30),0))</f>
        <v>0</v>
      </c>
      <c r="Z30" s="77"/>
      <c r="AA30" s="56" cm="1">
        <f t="array" ref="AA30">IF(Z30="X",(_xlfn.XLOOKUP($B30,Tabla1[SERVICIO],Tabla1[VALOR])*1),IF(Z30&gt;=1,_xlfn.XLOOKUP($B30,Tabla1[SERVICIO],Tabla1[VALOR]*Z30),0))</f>
        <v>0</v>
      </c>
      <c r="AB30" s="81">
        <f>SUM(E30,G30,I30,K30+M30,O30,Q30,S30,U30,W30,Tabla12332[[#This Row],[COSTO11]],Tabla12332[[#This Row],[COSTO12]])</f>
        <v>145259.19237771924</v>
      </c>
      <c r="AC30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0" s="104" t="s">
        <v>319</v>
      </c>
      <c r="AE30" s="136">
        <v>7.8023407022106634E-3</v>
      </c>
      <c r="AF30" s="135">
        <f>+Tabla12332[[#This Row],[TOTAL]]*Tabla12332[[#This Row],[% de las personas que lo usaron]]</f>
        <v>1133.3617090589278</v>
      </c>
      <c r="AG30" s="82" t="s">
        <v>351</v>
      </c>
      <c r="AH30" s="335">
        <v>12</v>
      </c>
    </row>
    <row r="31" spans="1:34" ht="15" x14ac:dyDescent="0.25">
      <c r="A31" s="7" t="s">
        <v>29</v>
      </c>
      <c r="B31" s="96" t="s">
        <v>196</v>
      </c>
      <c r="C31" s="96" t="str">
        <f>_xlfn.XLOOKUP(Tabla12332[[#This Row],[Servicios del Programa:]],Tabla151[CODIGO],Tabla151[VALOR])</f>
        <v>Terapias</v>
      </c>
      <c r="D31" s="78"/>
      <c r="E31" s="56" cm="1">
        <f t="array" ref="E31">IF(D31="X",(_xlfn.XLOOKUP($B31,Tabla1[SERVICIO],Tabla1[VALOR])*1),IF(D31&gt;=1,_xlfn.XLOOKUP($B31,Tabla1[SERVICIO],Tabla1[VALOR]*D31),0))</f>
        <v>0</v>
      </c>
      <c r="F31" s="78"/>
      <c r="G31" s="56" cm="1">
        <f t="array" ref="G31">IF(F31="X",(_xlfn.XLOOKUP($B31,Tabla1[SERVICIO],Tabla1[VALOR])*1),IF(F31&gt;=1,_xlfn.XLOOKUP($B31,Tabla1[SERVICIO],Tabla1[VALOR]*F31),0))</f>
        <v>0</v>
      </c>
      <c r="H31" s="78"/>
      <c r="I31" s="56" cm="1">
        <f t="array" ref="I31">IF(H31="X",(_xlfn.XLOOKUP($B31,Tabla1[SERVICIO],Tabla1[VALOR])*1),IF(H31&gt;=1,_xlfn.XLOOKUP($B31,Tabla1[SERVICIO],Tabla1[VALOR]*H31),0))</f>
        <v>0</v>
      </c>
      <c r="J31" s="78"/>
      <c r="K31" s="56" cm="1">
        <f t="array" ref="K31">IF(J31="X",(_xlfn.XLOOKUP($B31,Tabla1[SERVICIO],Tabla1[VALOR])*1),IF(J31&gt;=1,_xlfn.XLOOKUP($B31,Tabla1[SERVICIO],Tabla1[VALOR]*J31),0))</f>
        <v>0</v>
      </c>
      <c r="L31" s="78"/>
      <c r="M31" s="56" cm="1">
        <f t="array" ref="M31">IF(L31="X",(_xlfn.XLOOKUP($B31,Tabla1[SERVICIO],Tabla1[VALOR])*1),IF(L31&gt;=1,_xlfn.XLOOKUP($B31,Tabla1[SERVICIO],Tabla1[VALOR]*L31),0))</f>
        <v>0</v>
      </c>
      <c r="N31" s="78"/>
      <c r="O31" s="56" cm="1">
        <f t="array" ref="O31">IF(N31="X",(_xlfn.XLOOKUP($B31,Tabla1[SERVICIO],Tabla1[VALOR])*1),IF(N31&gt;=1,_xlfn.XLOOKUP($B31,Tabla1[SERVICIO],Tabla1[VALOR]*N31),0))</f>
        <v>0</v>
      </c>
      <c r="P31" s="78"/>
      <c r="Q31" s="56" cm="1">
        <f t="array" ref="Q31">IF(P31="X",(_xlfn.XLOOKUP($B31,Tabla1[SERVICIO],Tabla1[VALOR])*1),IF(P31&gt;=1,_xlfn.XLOOKUP($B31,Tabla1[SERVICIO],Tabla1[VALOR]*P31),0))</f>
        <v>0</v>
      </c>
      <c r="R31" s="78"/>
      <c r="S31" s="56" cm="1">
        <f t="array" ref="S31">IF(R31="X",(_xlfn.XLOOKUP($B31,Tabla1[SERVICIO],Tabla1[VALOR])*1),IF(R31&gt;=1,_xlfn.XLOOKUP($B31,Tabla1[SERVICIO],Tabla1[VALOR]*R31),0))</f>
        <v>0</v>
      </c>
      <c r="T31" s="78"/>
      <c r="U31" s="56" cm="1">
        <f t="array" ref="U31">IF(T31="X",(_xlfn.XLOOKUP($B31,Tabla1[SERVICIO],Tabla1[VALOR])*1),IF(T31&gt;=1,_xlfn.XLOOKUP($B31,Tabla1[SERVICIO],Tabla1[VALOR]*T31),0))</f>
        <v>0</v>
      </c>
      <c r="V31" s="78"/>
      <c r="W31" s="56" cm="1">
        <f t="array" ref="W31">IF(V31="X",(_xlfn.XLOOKUP($B31,Tabla1[SERVICIO],Tabla1[VALOR])*1),IF(V31&gt;=1,_xlfn.XLOOKUP($B31,Tabla1[SERVICIO],Tabla1[VALOR]*V31),0))</f>
        <v>0</v>
      </c>
      <c r="X31" s="78"/>
      <c r="Y31" s="56" cm="1">
        <f t="array" ref="Y31">IF(X31="X",(_xlfn.XLOOKUP($B31,Tabla1[SERVICIO],Tabla1[VALOR])*1),IF(X31&gt;=1,_xlfn.XLOOKUP($B31,Tabla1[SERVICIO],Tabla1[VALOR]*X31),0))</f>
        <v>0</v>
      </c>
      <c r="Z31" s="78">
        <v>1</v>
      </c>
      <c r="AA31" s="56" cm="1">
        <f t="array" ref="AA31">IF(Z31="X",(_xlfn.XLOOKUP($B31,Tabla1[SERVICIO],Tabla1[VALOR])*1),IF(Z31&gt;=1,_xlfn.XLOOKUP($B31,Tabla1[SERVICIO],Tabla1[VALOR]*Z31),0))</f>
        <v>31881.451880098426</v>
      </c>
      <c r="AB31" s="81">
        <f>SUM(E31,G31,I31,K31+M31,O31,Q31,S31,U31,W31,Tabla12332[[#This Row],[COSTO11]],Tabla12332[[#This Row],[COSTO12]])</f>
        <v>31881.451880098426</v>
      </c>
      <c r="AC31" s="141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1" s="104" t="s">
        <v>318</v>
      </c>
      <c r="AE31" s="136">
        <v>1</v>
      </c>
      <c r="AF31" s="135">
        <f>+Tabla12332[[#This Row],[TOTAL]]*Tabla12332[[#This Row],[% de las personas que lo usaron]]</f>
        <v>31881.451880098426</v>
      </c>
      <c r="AG31" s="82" t="s">
        <v>351</v>
      </c>
      <c r="AH31" s="335">
        <v>12</v>
      </c>
    </row>
    <row r="32" spans="1:34" ht="15" x14ac:dyDescent="0.25">
      <c r="A32" s="9"/>
      <c r="B32" s="10"/>
      <c r="C32" s="10"/>
      <c r="D32" s="16">
        <f>SUBTOTAL(109,Tabla1122433[MES 1])</f>
        <v>24</v>
      </c>
      <c r="E32" s="128">
        <f>SUBTOTAL(109,Tabla12332[COSTO])</f>
        <v>898621.12657424342</v>
      </c>
      <c r="F32" s="16">
        <f>SUBTOTAL(109,Tabla1122433[MES 1])</f>
        <v>24</v>
      </c>
      <c r="G32" s="129">
        <f>SUBTOTAL(109,Tabla12332[COSTO2])</f>
        <v>70240.958933331596</v>
      </c>
      <c r="H32" s="16">
        <f>SUBTOTAL(109,Tabla1122433[MES 1])</f>
        <v>24</v>
      </c>
      <c r="I32" s="129">
        <f>SUBTOTAL(109,Tabla12332[COSTO3])</f>
        <v>70240.958933331596</v>
      </c>
      <c r="J32" s="16">
        <f>SUBTOTAL(109,Tabla1122433[MES 1])</f>
        <v>24</v>
      </c>
      <c r="K32" s="129">
        <f>SUBTOTAL(109,Tabla12332[COSTO4])</f>
        <v>132989.19121621252</v>
      </c>
      <c r="L32" s="16">
        <f>SUBTOTAL(109,Tabla1122433[MES 1])</f>
        <v>24</v>
      </c>
      <c r="M32" s="129">
        <f>SUBTOTAL(109,Tabla12332[COSTO5])</f>
        <v>70240.958933331596</v>
      </c>
      <c r="N32" s="16">
        <f>SUBTOTAL(109,Tabla1122433[MES 1])</f>
        <v>24</v>
      </c>
      <c r="O32" s="129">
        <f>SUBTOTAL(109,Tabla12332[COSTO6])</f>
        <v>215500.15131105084</v>
      </c>
      <c r="P32" s="16">
        <f>SUBTOTAL(109,Tabla1122433[MES 1])</f>
        <v>24</v>
      </c>
      <c r="Q32" s="129">
        <f>SUBTOTAL(109,Tabla12332[COSTO7])</f>
        <v>70240.958933331596</v>
      </c>
      <c r="R32" s="16">
        <f>SUBTOTAL(109,Tabla1122433[MES 1])</f>
        <v>24</v>
      </c>
      <c r="S32" s="129">
        <f>SUBTOTAL(109,Tabla12332[COSTO8])</f>
        <v>70240.958933331596</v>
      </c>
      <c r="T32" s="16">
        <f>SUBTOTAL(109,Tabla1122433[MES 1])</f>
        <v>24</v>
      </c>
      <c r="U32" s="129">
        <f>SUBTOTAL(109,Tabla12332[COSTO9])</f>
        <v>70240.958933331596</v>
      </c>
      <c r="V32" s="16">
        <f>SUBTOTAL(109,Tabla1122433[MES 1])</f>
        <v>24</v>
      </c>
      <c r="W32" s="130">
        <f>SUBTOTAL(109,Tabla12332[COSTO10])</f>
        <v>70240.958933331596</v>
      </c>
      <c r="X32" s="16">
        <f>SUBTOTAL(109,Tabla1122433[MES 1])</f>
        <v>24</v>
      </c>
      <c r="Y32" s="130">
        <f>SUBTOTAL(109,Tabla12332[COSTO10])</f>
        <v>70240.958933331596</v>
      </c>
      <c r="Z32" s="16">
        <f>SUBTOTAL(109,Tabla1122433[MES 1])</f>
        <v>24</v>
      </c>
      <c r="AA32" s="130">
        <f>SUBTOTAL(109,Tabla12332[COSTO10])</f>
        <v>70240.958933331596</v>
      </c>
      <c r="AB32" s="131">
        <f>SUBTOTAL(109,Tabla12332[TOTAL])</f>
        <v>1973908.7836644705</v>
      </c>
      <c r="AC32" s="131">
        <f>SUBTOTAL(109,Tabla12332[TOTAL SERVICIOS])</f>
        <v>116</v>
      </c>
      <c r="AD32" s="132"/>
      <c r="AE32" s="132"/>
      <c r="AF32" s="133">
        <f>SUBTOTAL(109,Tabla12332[VALOR COSTO])</f>
        <v>1155284.1107075135</v>
      </c>
      <c r="AG32" s="236">
        <f>+Tabla12332[[#Totals],[VALOR COSTO]]/12</f>
        <v>96273.675892292798</v>
      </c>
      <c r="AH32" s="95"/>
    </row>
    <row r="34" spans="1:46" ht="40.5" customHeight="1" x14ac:dyDescent="0.2">
      <c r="A34" s="44" t="s">
        <v>315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6"/>
    </row>
    <row r="35" spans="1:46" s="148" customFormat="1" ht="38.25" x14ac:dyDescent="0.2">
      <c r="A35" s="21" t="s">
        <v>0</v>
      </c>
      <c r="B35" s="183" t="s">
        <v>55</v>
      </c>
      <c r="C35" s="183" t="s">
        <v>347</v>
      </c>
      <c r="D35" s="163" t="s">
        <v>56</v>
      </c>
      <c r="E35" s="163" t="s">
        <v>303</v>
      </c>
      <c r="F35" s="163" t="s">
        <v>57</v>
      </c>
      <c r="G35" s="163" t="s">
        <v>293</v>
      </c>
      <c r="H35" s="163" t="s">
        <v>58</v>
      </c>
      <c r="I35" s="163" t="s">
        <v>294</v>
      </c>
      <c r="J35" s="163" t="s">
        <v>59</v>
      </c>
      <c r="K35" s="163" t="s">
        <v>295</v>
      </c>
      <c r="L35" s="163" t="s">
        <v>60</v>
      </c>
      <c r="M35" s="163" t="s">
        <v>296</v>
      </c>
      <c r="N35" s="163" t="s">
        <v>61</v>
      </c>
      <c r="O35" s="163" t="s">
        <v>297</v>
      </c>
      <c r="P35" s="163" t="s">
        <v>62</v>
      </c>
      <c r="Q35" s="163" t="s">
        <v>298</v>
      </c>
      <c r="R35" s="163" t="s">
        <v>63</v>
      </c>
      <c r="S35" s="163" t="s">
        <v>299</v>
      </c>
      <c r="T35" s="163" t="s">
        <v>64</v>
      </c>
      <c r="U35" s="163" t="s">
        <v>300</v>
      </c>
      <c r="V35" s="163" t="s">
        <v>65</v>
      </c>
      <c r="W35" s="163" t="s">
        <v>301</v>
      </c>
      <c r="X35" s="163" t="s">
        <v>66</v>
      </c>
      <c r="Y35" s="163" t="s">
        <v>302</v>
      </c>
      <c r="Z35" s="163" t="s">
        <v>67</v>
      </c>
      <c r="AA35" s="163" t="s">
        <v>304</v>
      </c>
      <c r="AB35" s="163" t="s">
        <v>68</v>
      </c>
      <c r="AC35" s="163" t="s">
        <v>305</v>
      </c>
      <c r="AD35" s="163" t="s">
        <v>69</v>
      </c>
      <c r="AE35" s="163" t="s">
        <v>306</v>
      </c>
      <c r="AF35" s="163" t="s">
        <v>70</v>
      </c>
      <c r="AG35" s="163" t="s">
        <v>307</v>
      </c>
      <c r="AH35" s="163" t="s">
        <v>71</v>
      </c>
      <c r="AI35" s="163" t="s">
        <v>308</v>
      </c>
      <c r="AJ35" s="163" t="s">
        <v>72</v>
      </c>
      <c r="AK35" s="184" t="s">
        <v>309</v>
      </c>
      <c r="AL35" s="184" t="s">
        <v>73</v>
      </c>
      <c r="AM35" s="137" t="s">
        <v>310</v>
      </c>
      <c r="AN35" s="137" t="s">
        <v>247</v>
      </c>
      <c r="AO35" s="137" t="s">
        <v>313</v>
      </c>
      <c r="AP35" s="137" t="s">
        <v>187</v>
      </c>
      <c r="AQ35" s="137" t="s">
        <v>316</v>
      </c>
      <c r="AR35" s="137" t="s">
        <v>317</v>
      </c>
      <c r="AS35" s="137" t="s">
        <v>348</v>
      </c>
      <c r="AT35" s="137" t="s">
        <v>406</v>
      </c>
    </row>
    <row r="36" spans="1:46" x14ac:dyDescent="0.2">
      <c r="A36" s="7" t="s">
        <v>13</v>
      </c>
      <c r="B36" s="8" t="s">
        <v>14</v>
      </c>
      <c r="C36" s="96" t="str">
        <f>_xlfn.XLOOKUP(Tabla1122433[[#This Row],[Servicios del Programa:]],Tabla151[CODIGO],Tabla151[VALOR])</f>
        <v>Gestion y seguimiento</v>
      </c>
      <c r="D36" s="77">
        <v>1</v>
      </c>
      <c r="E36" s="56" cm="1">
        <f t="array" ref="E36">IF(D36="X",(_xlfn.XLOOKUP($B36,Tabla1[SERVICIO],Tabla1[VALOR])*1),IF(D36&gt;=1,_xlfn.XLOOKUP($B36,Tabla1[SERVICIO],Tabla1[VALOR]*D36),0))</f>
        <v>20552.755657371155</v>
      </c>
      <c r="F36" s="78"/>
      <c r="G36" s="56" cm="1">
        <f t="array" ref="G36">IF(F36="X",(_xlfn.XLOOKUP($B36,Tabla1[SERVICIO],Tabla1[VALOR])*1),IF(F36&gt;=1,_xlfn.XLOOKUP($B36,Tabla1[SERVICIO],Tabla1[VALOR]*F36),0))</f>
        <v>0</v>
      </c>
      <c r="H36" s="78"/>
      <c r="I36" s="56" cm="1">
        <f t="array" ref="I36">IF(H36="X",(_xlfn.XLOOKUP($B36,Tabla1[SERVICIO],Tabla1[VALOR])*1),IF(H36&gt;=1,_xlfn.XLOOKUP($B36,Tabla1[SERVICIO],Tabla1[VALOR]*H36),0))</f>
        <v>0</v>
      </c>
      <c r="J36" s="78"/>
      <c r="K36" s="56" cm="1">
        <f t="array" ref="K36">IF(J36="X",(_xlfn.XLOOKUP($B36,Tabla1[SERVICIO],Tabla1[VALOR])*1),IF(J36&gt;=1,_xlfn.XLOOKUP($B36,Tabla1[SERVICIO],Tabla1[VALOR]*J36),0))</f>
        <v>0</v>
      </c>
      <c r="L36" s="78"/>
      <c r="M36" s="56" cm="1">
        <f t="array" ref="M36">IF(L36="X",(_xlfn.XLOOKUP($B36,Tabla1[SERVICIO],Tabla1[VALOR])*1),IF(L36&gt;=1,_xlfn.XLOOKUP($B36,Tabla1[SERVICIO],Tabla1[VALOR]*L36),0))</f>
        <v>0</v>
      </c>
      <c r="N36" s="78"/>
      <c r="O36" s="56" cm="1">
        <f t="array" ref="O36">IF(N36="X",(_xlfn.XLOOKUP($B36,Tabla1[SERVICIO],Tabla1[VALOR])*1),IF(N36&gt;=1,_xlfn.XLOOKUP($B36,Tabla1[SERVICIO],Tabla1[VALOR]*N36),0))</f>
        <v>0</v>
      </c>
      <c r="P36" s="78"/>
      <c r="Q36" s="56" cm="1">
        <f t="array" ref="Q36">IF(P36="X",(_xlfn.XLOOKUP($B36,Tabla1[SERVICIO],Tabla1[VALOR])*1),IF(P36&gt;=1,_xlfn.XLOOKUP($B36,Tabla1[SERVICIO],Tabla1[VALOR]*P36),0))</f>
        <v>0</v>
      </c>
      <c r="R36" s="78"/>
      <c r="S36" s="56" cm="1">
        <f t="array" ref="S36">IF(R36="X",(_xlfn.XLOOKUP($B36,Tabla1[SERVICIO],Tabla1[VALOR])*1),IF(R36&gt;=1,_xlfn.XLOOKUP($B36,Tabla1[SERVICIO],Tabla1[VALOR]*R36),0))</f>
        <v>0</v>
      </c>
      <c r="T36" s="78"/>
      <c r="U36" s="56" cm="1">
        <f t="array" ref="U36">IF(T36="X",(_xlfn.XLOOKUP($B36,Tabla1[SERVICIO],Tabla1[VALOR])*1),IF(T36&gt;=1,_xlfn.XLOOKUP($B36,Tabla1[SERVICIO],Tabla1[VALOR]*T36),0))</f>
        <v>0</v>
      </c>
      <c r="V36" s="79"/>
      <c r="W36" s="56" cm="1">
        <f t="array" ref="W36">IF(V36="X",(_xlfn.XLOOKUP($B36,Tabla1[SERVICIO],Tabla1[VALOR])*1),IF(V36&gt;=1,_xlfn.XLOOKUP($B36,Tabla1[SERVICIO],Tabla1[VALOR]*V36),0))</f>
        <v>0</v>
      </c>
      <c r="X36" s="79"/>
      <c r="Y36" s="56" cm="1">
        <f t="array" ref="Y36">IF(X36="X",(_xlfn.XLOOKUP($B36,Tabla1[SERVICIO],Tabla1[VALOR])*1),IF(X36&gt;=1,_xlfn.XLOOKUP($B36,Tabla1[SERVICIO],Tabla1[VALOR]*X36),0))</f>
        <v>0</v>
      </c>
      <c r="Z36" s="79"/>
      <c r="AA36" s="56" cm="1">
        <f t="array" ref="AA36">IF(Z36="X",(_xlfn.XLOOKUP($B36,Tabla1[SERVICIO],Tabla1[VALOR])*1),IF(Z36&gt;=1,_xlfn.XLOOKUP($B36,Tabla1[SERVICIO],Tabla1[VALOR]*Z36),0))</f>
        <v>0</v>
      </c>
      <c r="AB36" s="79"/>
      <c r="AC36" s="56" cm="1">
        <f t="array" ref="AC36">IF(AB36="X",(_xlfn.XLOOKUP($B36,Tabla1[SERVICIO],Tabla1[VALOR])*1),IF(AB36&gt;=1,_xlfn.XLOOKUP($B36,Tabla1[SERVICIO],Tabla1[VALOR]*AB36),0))</f>
        <v>0</v>
      </c>
      <c r="AD36" s="79"/>
      <c r="AE36" s="56" cm="1">
        <f t="array" ref="AE36">IF(AD36="X",(_xlfn.XLOOKUP($B36,Tabla1[SERVICIO],Tabla1[VALOR])*1),IF(AD36&gt;=1,_xlfn.XLOOKUP($B36,Tabla1[SERVICIO],Tabla1[VALOR]*AD36),0))</f>
        <v>0</v>
      </c>
      <c r="AF36" s="79"/>
      <c r="AG36" s="56" cm="1">
        <f t="array" ref="AG36">IF(AF36="X",(_xlfn.XLOOKUP($B36,Tabla1[SERVICIO],Tabla1[VALOR])*1),IF(AF36&gt;=1,_xlfn.XLOOKUP($B36,Tabla1[SERVICIO],Tabla1[VALOR]*AF36),0))</f>
        <v>0</v>
      </c>
      <c r="AH36" s="79"/>
      <c r="AI36" s="56" cm="1">
        <f t="array" ref="AI36">IF(AH36="X",(_xlfn.XLOOKUP($B36,Tabla1[SERVICIO],Tabla1[VALOR])*1),IF(AH36&gt;=1,_xlfn.XLOOKUP($B36,Tabla1[SERVICIO],Tabla1[VALOR]*AH36),0))</f>
        <v>0</v>
      </c>
      <c r="AJ36" s="79"/>
      <c r="AK36" s="56" cm="1">
        <f t="array" ref="AK36">IF(AJ36="X",(_xlfn.XLOOKUP($B36,Tabla1[SERVICIO],Tabla1[VALOR])*1),IF(AJ36&gt;=1,_xlfn.XLOOKUP($B36,Tabla1[SERVICIO],Tabla1[VALOR]*AJ36),0))</f>
        <v>0</v>
      </c>
      <c r="AL36" s="79"/>
      <c r="AM36" s="56" cm="1">
        <f t="array" ref="AM36">IF(AL36="X",(_xlfn.XLOOKUP($B36,Tabla1[SERVICIO],Tabla1[VALOR])*1),IF(AL36&gt;=1,_xlfn.XLOOKUP($B36,Tabla1[SERVICIO],Tabla1[VALOR]*AL36),0))</f>
        <v>0</v>
      </c>
      <c r="AN36" s="81">
        <f>SUM(E36,G36,I36,K36,M36,O36,Q36,S36,U36,W36+Y36,AA36,AC36,AE36,AG36,AI36,AK36,AM36)</f>
        <v>20552.755657371155</v>
      </c>
      <c r="AO36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6" s="122" t="s">
        <v>318</v>
      </c>
      <c r="AQ36" s="213">
        <v>1</v>
      </c>
      <c r="AR36" s="121">
        <f>+Tabla1122433[[#This Row],[TOTAL]]*Tabla1122433[[#This Row],[% de las personas que lo usaron]]</f>
        <v>20552.755657371155</v>
      </c>
      <c r="AS36" s="82" t="s">
        <v>351</v>
      </c>
      <c r="AT36" s="335">
        <v>18</v>
      </c>
    </row>
    <row r="37" spans="1:46" x14ac:dyDescent="0.2">
      <c r="A37" s="7" t="s">
        <v>98</v>
      </c>
      <c r="B37" s="8" t="s">
        <v>99</v>
      </c>
      <c r="C37" s="96" t="str">
        <f>_xlfn.XLOOKUP(Tabla1122433[[#This Row],[Servicios del Programa:]],Tabla151[CODIGO],Tabla151[VALOR])</f>
        <v>Consultas</v>
      </c>
      <c r="D37" s="77">
        <v>1</v>
      </c>
      <c r="E37" s="56" cm="1">
        <f t="array" ref="E37">IF(D37="X",(_xlfn.XLOOKUP($B37,Tabla1[SERVICIO],Tabla1[VALOR])*1),IF(D37&gt;=1,_xlfn.XLOOKUP($B37,Tabla1[SERVICIO],Tabla1[VALOR]*D37),0))</f>
        <v>17887.388810409495</v>
      </c>
      <c r="F37" s="78"/>
      <c r="G37" s="56" cm="1">
        <f t="array" ref="G37">IF(F37="X",(_xlfn.XLOOKUP($B37,Tabla1[SERVICIO],Tabla1[VALOR])*1),IF(F37&gt;=1,_xlfn.XLOOKUP($B37,Tabla1[SERVICIO],Tabla1[VALOR]*F37),0))</f>
        <v>0</v>
      </c>
      <c r="H37" s="78"/>
      <c r="I37" s="56" cm="1">
        <f t="array" ref="I37">IF(H37="X",(_xlfn.XLOOKUP($B37,Tabla1[SERVICIO],Tabla1[VALOR])*1),IF(H37&gt;=1,_xlfn.XLOOKUP($B37,Tabla1[SERVICIO],Tabla1[VALOR]*H37),0))</f>
        <v>0</v>
      </c>
      <c r="J37" s="78"/>
      <c r="K37" s="56" cm="1">
        <f t="array" ref="K37">IF(J37="X",(_xlfn.XLOOKUP($B37,Tabla1[SERVICIO],Tabla1[VALOR])*1),IF(J37&gt;=1,_xlfn.XLOOKUP($B37,Tabla1[SERVICIO],Tabla1[VALOR]*J37),0))</f>
        <v>0</v>
      </c>
      <c r="L37" s="78"/>
      <c r="M37" s="56" cm="1">
        <f t="array" ref="M37">IF(L37="X",(_xlfn.XLOOKUP($B37,Tabla1[SERVICIO],Tabla1[VALOR])*1),IF(L37&gt;=1,_xlfn.XLOOKUP($B37,Tabla1[SERVICIO],Tabla1[VALOR]*L37),0))</f>
        <v>0</v>
      </c>
      <c r="N37" s="78"/>
      <c r="O37" s="56" cm="1">
        <f t="array" ref="O37">IF(N37="X",(_xlfn.XLOOKUP($B37,Tabla1[SERVICIO],Tabla1[VALOR])*1),IF(N37&gt;=1,_xlfn.XLOOKUP($B37,Tabla1[SERVICIO],Tabla1[VALOR]*N37),0))</f>
        <v>0</v>
      </c>
      <c r="P37" s="78"/>
      <c r="Q37" s="56" cm="1">
        <f t="array" ref="Q37">IF(P37="X",(_xlfn.XLOOKUP($B37,Tabla1[SERVICIO],Tabla1[VALOR])*1),IF(P37&gt;=1,_xlfn.XLOOKUP($B37,Tabla1[SERVICIO],Tabla1[VALOR]*P37),0))</f>
        <v>0</v>
      </c>
      <c r="R37" s="78"/>
      <c r="S37" s="56" cm="1">
        <f t="array" ref="S37">IF(R37="X",(_xlfn.XLOOKUP($B37,Tabla1[SERVICIO],Tabla1[VALOR])*1),IF(R37&gt;=1,_xlfn.XLOOKUP($B37,Tabla1[SERVICIO],Tabla1[VALOR]*R37),0))</f>
        <v>0</v>
      </c>
      <c r="T37" s="78"/>
      <c r="U37" s="56" cm="1">
        <f t="array" ref="U37">IF(T37="X",(_xlfn.XLOOKUP($B37,Tabla1[SERVICIO],Tabla1[VALOR])*1),IF(T37&gt;=1,_xlfn.XLOOKUP($B37,Tabla1[SERVICIO],Tabla1[VALOR]*T37),0))</f>
        <v>0</v>
      </c>
      <c r="V37" s="79"/>
      <c r="W37" s="56" cm="1">
        <f t="array" ref="W37">IF(V37="X",(_xlfn.XLOOKUP($B37,Tabla1[SERVICIO],Tabla1[VALOR])*1),IF(V37&gt;=1,_xlfn.XLOOKUP($B37,Tabla1[SERVICIO],Tabla1[VALOR]*V37),0))</f>
        <v>0</v>
      </c>
      <c r="X37" s="79"/>
      <c r="Y37" s="56" cm="1">
        <f t="array" ref="Y37">IF(X37="X",(_xlfn.XLOOKUP($B37,Tabla1[SERVICIO],Tabla1[VALOR])*1),IF(X37&gt;=1,_xlfn.XLOOKUP($B37,Tabla1[SERVICIO],Tabla1[VALOR]*X37),0))</f>
        <v>0</v>
      </c>
      <c r="Z37" s="79"/>
      <c r="AA37" s="56" cm="1">
        <f t="array" ref="AA37">IF(Z37="X",(_xlfn.XLOOKUP($B37,Tabla1[SERVICIO],Tabla1[VALOR])*1),IF(Z37&gt;=1,_xlfn.XLOOKUP($B37,Tabla1[SERVICIO],Tabla1[VALOR]*Z37),0))</f>
        <v>0</v>
      </c>
      <c r="AB37" s="79"/>
      <c r="AC37" s="56" cm="1">
        <f t="array" ref="AC37">IF(AB37="X",(_xlfn.XLOOKUP($B37,Tabla1[SERVICIO],Tabla1[VALOR])*1),IF(AB37&gt;=1,_xlfn.XLOOKUP($B37,Tabla1[SERVICIO],Tabla1[VALOR]*AB37),0))</f>
        <v>0</v>
      </c>
      <c r="AD37" s="79"/>
      <c r="AE37" s="56" cm="1">
        <f t="array" ref="AE37">IF(AD37="X",(_xlfn.XLOOKUP($B37,Tabla1[SERVICIO],Tabla1[VALOR])*1),IF(AD37&gt;=1,_xlfn.XLOOKUP($B37,Tabla1[SERVICIO],Tabla1[VALOR]*AD37),0))</f>
        <v>0</v>
      </c>
      <c r="AF37" s="79"/>
      <c r="AG37" s="56" cm="1">
        <f t="array" ref="AG37">IF(AF37="X",(_xlfn.XLOOKUP($B37,Tabla1[SERVICIO],Tabla1[VALOR])*1),IF(AF37&gt;=1,_xlfn.XLOOKUP($B37,Tabla1[SERVICIO],Tabla1[VALOR]*AF37),0))</f>
        <v>0</v>
      </c>
      <c r="AH37" s="79"/>
      <c r="AI37" s="56" cm="1">
        <f t="array" ref="AI37">IF(AH37="X",(_xlfn.XLOOKUP($B37,Tabla1[SERVICIO],Tabla1[VALOR])*1),IF(AH37&gt;=1,_xlfn.XLOOKUP($B37,Tabla1[SERVICIO],Tabla1[VALOR]*AH37),0))</f>
        <v>0</v>
      </c>
      <c r="AJ37" s="79"/>
      <c r="AK37" s="56" cm="1">
        <f t="array" ref="AK37">IF(AJ37="X",(_xlfn.XLOOKUP($B37,Tabla1[SERVICIO],Tabla1[VALOR])*1),IF(AJ37&gt;=1,_xlfn.XLOOKUP($B37,Tabla1[SERVICIO],Tabla1[VALOR]*AJ37),0))</f>
        <v>0</v>
      </c>
      <c r="AL37" s="79"/>
      <c r="AM37" s="56" cm="1">
        <f t="array" ref="AM37">IF(AL37="X",(_xlfn.XLOOKUP($B37,Tabla1[SERVICIO],Tabla1[VALOR])*1),IF(AL37&gt;=1,_xlfn.XLOOKUP($B37,Tabla1[SERVICIO],Tabla1[VALOR]*AL37),0))</f>
        <v>0</v>
      </c>
      <c r="AN37" s="81">
        <f t="shared" ref="AN37:AN64" si="0">SUM(E37,G37,I37,K37,M37,O37,Q37,S37,U37,W37+Y37,AA37,AC37,AE37,AG37,AI37,AK37,AM37)</f>
        <v>17887.388810409495</v>
      </c>
      <c r="AO37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7" s="122" t="s">
        <v>318</v>
      </c>
      <c r="AQ37" s="213">
        <v>1</v>
      </c>
      <c r="AR37" s="121">
        <f>+Tabla1122433[[#This Row],[TOTAL]]*Tabla1122433[[#This Row],[% de las personas que lo usaron]]</f>
        <v>17887.388810409495</v>
      </c>
      <c r="AS37" s="82" t="s">
        <v>351</v>
      </c>
      <c r="AT37" s="335">
        <v>18</v>
      </c>
    </row>
    <row r="38" spans="1:46" x14ac:dyDescent="0.2">
      <c r="A38" s="7" t="s">
        <v>104</v>
      </c>
      <c r="B38" s="8" t="s">
        <v>105</v>
      </c>
      <c r="C38" s="96" t="str">
        <f>_xlfn.XLOOKUP(Tabla1122433[[#This Row],[Servicios del Programa:]],Tabla151[CODIGO],Tabla151[VALOR])</f>
        <v>Consultas</v>
      </c>
      <c r="D38" s="77">
        <v>1</v>
      </c>
      <c r="E38" s="56" cm="1">
        <f t="array" ref="E38">IF(D38="X",(_xlfn.XLOOKUP($B38,Tabla1[SERVICIO],Tabla1[VALOR])*1),IF(D38&gt;=1,_xlfn.XLOOKUP($B38,Tabla1[SERVICIO],Tabla1[VALOR]*D38),0))</f>
        <v>17887.388810409495</v>
      </c>
      <c r="F38" s="78"/>
      <c r="G38" s="56" cm="1">
        <f t="array" ref="G38">IF(F38="X",(_xlfn.XLOOKUP($B38,Tabla1[SERVICIO],Tabla1[VALOR])*1),IF(F38&gt;=1,_xlfn.XLOOKUP($B38,Tabla1[SERVICIO],Tabla1[VALOR]*F38),0))</f>
        <v>0</v>
      </c>
      <c r="H38" s="78"/>
      <c r="I38" s="56" cm="1">
        <f t="array" ref="I38">IF(H38="X",(_xlfn.XLOOKUP($B38,Tabla1[SERVICIO],Tabla1[VALOR])*1),IF(H38&gt;=1,_xlfn.XLOOKUP($B38,Tabla1[SERVICIO],Tabla1[VALOR]*H38),0))</f>
        <v>0</v>
      </c>
      <c r="J38" s="78"/>
      <c r="K38" s="56" cm="1">
        <f t="array" ref="K38">IF(J38="X",(_xlfn.XLOOKUP($B38,Tabla1[SERVICIO],Tabla1[VALOR])*1),IF(J38&gt;=1,_xlfn.XLOOKUP($B38,Tabla1[SERVICIO],Tabla1[VALOR]*J38),0))</f>
        <v>0</v>
      </c>
      <c r="L38" s="78"/>
      <c r="M38" s="56" cm="1">
        <f t="array" ref="M38">IF(L38="X",(_xlfn.XLOOKUP($B38,Tabla1[SERVICIO],Tabla1[VALOR])*1),IF(L38&gt;=1,_xlfn.XLOOKUP($B38,Tabla1[SERVICIO],Tabla1[VALOR]*L38),0))</f>
        <v>0</v>
      </c>
      <c r="N38" s="78"/>
      <c r="O38" s="56" cm="1">
        <f t="array" ref="O38">IF(N38="X",(_xlfn.XLOOKUP($B38,Tabla1[SERVICIO],Tabla1[VALOR])*1),IF(N38&gt;=1,_xlfn.XLOOKUP($B38,Tabla1[SERVICIO],Tabla1[VALOR]*N38),0))</f>
        <v>0</v>
      </c>
      <c r="P38" s="78"/>
      <c r="Q38" s="56" cm="1">
        <f t="array" ref="Q38">IF(P38="X",(_xlfn.XLOOKUP($B38,Tabla1[SERVICIO],Tabla1[VALOR])*1),IF(P38&gt;=1,_xlfn.XLOOKUP($B38,Tabla1[SERVICIO],Tabla1[VALOR]*P38),0))</f>
        <v>0</v>
      </c>
      <c r="R38" s="78"/>
      <c r="S38" s="56" cm="1">
        <f t="array" ref="S38">IF(R38="X",(_xlfn.XLOOKUP($B38,Tabla1[SERVICIO],Tabla1[VALOR])*1),IF(R38&gt;=1,_xlfn.XLOOKUP($B38,Tabla1[SERVICIO],Tabla1[VALOR]*R38),0))</f>
        <v>0</v>
      </c>
      <c r="T38" s="78"/>
      <c r="U38" s="56" cm="1">
        <f t="array" ref="U38">IF(T38="X",(_xlfn.XLOOKUP($B38,Tabla1[SERVICIO],Tabla1[VALOR])*1),IF(T38&gt;=1,_xlfn.XLOOKUP($B38,Tabla1[SERVICIO],Tabla1[VALOR]*T38),0))</f>
        <v>0</v>
      </c>
      <c r="V38" s="80"/>
      <c r="W38" s="56" cm="1">
        <f t="array" ref="W38">IF(V38="X",(_xlfn.XLOOKUP($B38,Tabla1[SERVICIO],Tabla1[VALOR])*1),IF(V38&gt;=1,_xlfn.XLOOKUP($B38,Tabla1[SERVICIO],Tabla1[VALOR]*V38),0))</f>
        <v>0</v>
      </c>
      <c r="X38" s="80"/>
      <c r="Y38" s="56" cm="1">
        <f t="array" ref="Y38">IF(X38="X",(_xlfn.XLOOKUP($B38,Tabla1[SERVICIO],Tabla1[VALOR])*1),IF(X38&gt;=1,_xlfn.XLOOKUP($B38,Tabla1[SERVICIO],Tabla1[VALOR]*X38),0))</f>
        <v>0</v>
      </c>
      <c r="Z38" s="80"/>
      <c r="AA38" s="56" cm="1">
        <f t="array" ref="AA38">IF(Z38="X",(_xlfn.XLOOKUP($B38,Tabla1[SERVICIO],Tabla1[VALOR])*1),IF(Z38&gt;=1,_xlfn.XLOOKUP($B38,Tabla1[SERVICIO],Tabla1[VALOR]*Z38),0))</f>
        <v>0</v>
      </c>
      <c r="AB38" s="80"/>
      <c r="AC38" s="56" cm="1">
        <f t="array" ref="AC38">IF(AB38="X",(_xlfn.XLOOKUP($B38,Tabla1[SERVICIO],Tabla1[VALOR])*1),IF(AB38&gt;=1,_xlfn.XLOOKUP($B38,Tabla1[SERVICIO],Tabla1[VALOR]*AB38),0))</f>
        <v>0</v>
      </c>
      <c r="AD38" s="80"/>
      <c r="AE38" s="56" cm="1">
        <f t="array" ref="AE38">IF(AD38="X",(_xlfn.XLOOKUP($B38,Tabla1[SERVICIO],Tabla1[VALOR])*1),IF(AD38&gt;=1,_xlfn.XLOOKUP($B38,Tabla1[SERVICIO],Tabla1[VALOR]*AD38),0))</f>
        <v>0</v>
      </c>
      <c r="AF38" s="80"/>
      <c r="AG38" s="56" cm="1">
        <f t="array" ref="AG38">IF(AF38="X",(_xlfn.XLOOKUP($B38,Tabla1[SERVICIO],Tabla1[VALOR])*1),IF(AF38&gt;=1,_xlfn.XLOOKUP($B38,Tabla1[SERVICIO],Tabla1[VALOR]*AF38),0))</f>
        <v>0</v>
      </c>
      <c r="AH38" s="80"/>
      <c r="AI38" s="56" cm="1">
        <f t="array" ref="AI38">IF(AH38="X",(_xlfn.XLOOKUP($B38,Tabla1[SERVICIO],Tabla1[VALOR])*1),IF(AH38&gt;=1,_xlfn.XLOOKUP($B38,Tabla1[SERVICIO],Tabla1[VALOR]*AH38),0))</f>
        <v>0</v>
      </c>
      <c r="AJ38" s="80"/>
      <c r="AK38" s="56" cm="1">
        <f t="array" ref="AK38">IF(AJ38="X",(_xlfn.XLOOKUP($B38,Tabla1[SERVICIO],Tabla1[VALOR])*1),IF(AJ38&gt;=1,_xlfn.XLOOKUP($B38,Tabla1[SERVICIO],Tabla1[VALOR]*AJ38),0))</f>
        <v>0</v>
      </c>
      <c r="AL38" s="80"/>
      <c r="AM38" s="56" cm="1">
        <f t="array" ref="AM38">IF(AL38="X",(_xlfn.XLOOKUP($B38,Tabla1[SERVICIO],Tabla1[VALOR])*1),IF(AL38&gt;=1,_xlfn.XLOOKUP($B38,Tabla1[SERVICIO],Tabla1[VALOR]*AL38),0))</f>
        <v>0</v>
      </c>
      <c r="AN38" s="81">
        <f t="shared" si="0"/>
        <v>17887.388810409495</v>
      </c>
      <c r="AO38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8" s="122" t="s">
        <v>319</v>
      </c>
      <c r="AQ38" s="213">
        <v>0.29583875162548767</v>
      </c>
      <c r="AR38" s="121">
        <f>+Tabla1122433[[#This Row],[TOTAL]]*Tabla1122433[[#This Row],[% de las personas que lo usaron]]</f>
        <v>5291.7827755112621</v>
      </c>
      <c r="AS38" s="82" t="s">
        <v>351</v>
      </c>
      <c r="AT38" s="335">
        <v>18</v>
      </c>
    </row>
    <row r="39" spans="1:46" x14ac:dyDescent="0.2">
      <c r="A39" s="7" t="s">
        <v>25</v>
      </c>
      <c r="B39" s="8" t="s">
        <v>26</v>
      </c>
      <c r="C39" s="96" t="str">
        <f>_xlfn.XLOOKUP(Tabla1122433[[#This Row],[Servicios del Programa:]],Tabla151[CODIGO],Tabla151[VALOR])</f>
        <v>Diagnosticos</v>
      </c>
      <c r="D39" s="77">
        <v>1</v>
      </c>
      <c r="E39" s="56" cm="1">
        <f t="array" ref="E39">IF(D39="X",(_xlfn.XLOOKUP($B39,Tabla1[SERVICIO],Tabla1[VALOR])*1),IF(D39&gt;=1,_xlfn.XLOOKUP($B39,Tabla1[SERVICIO],Tabla1[VALOR]*D39),0))</f>
        <v>19392.627189167735</v>
      </c>
      <c r="F39" s="78"/>
      <c r="G39" s="56" cm="1">
        <f t="array" ref="G39">IF(F39="X",(_xlfn.XLOOKUP($B39,Tabla1[SERVICIO],Tabla1[VALOR])*1),IF(F39&gt;=1,_xlfn.XLOOKUP($B39,Tabla1[SERVICIO],Tabla1[VALOR]*F39),0))</f>
        <v>0</v>
      </c>
      <c r="H39" s="78"/>
      <c r="I39" s="56" cm="1">
        <f t="array" ref="I39">IF(H39="X",(_xlfn.XLOOKUP($B39,Tabla1[SERVICIO],Tabla1[VALOR])*1),IF(H39&gt;=1,_xlfn.XLOOKUP($B39,Tabla1[SERVICIO],Tabla1[VALOR]*H39),0))</f>
        <v>0</v>
      </c>
      <c r="J39" s="78"/>
      <c r="K39" s="56" cm="1">
        <f t="array" ref="K39">IF(J39="X",(_xlfn.XLOOKUP($B39,Tabla1[SERVICIO],Tabla1[VALOR])*1),IF(J39&gt;=1,_xlfn.XLOOKUP($B39,Tabla1[SERVICIO],Tabla1[VALOR]*J39),0))</f>
        <v>0</v>
      </c>
      <c r="L39" s="78"/>
      <c r="M39" s="56" cm="1">
        <f t="array" ref="M39">IF(L39="X",(_xlfn.XLOOKUP($B39,Tabla1[SERVICIO],Tabla1[VALOR])*1),IF(L39&gt;=1,_xlfn.XLOOKUP($B39,Tabla1[SERVICIO],Tabla1[VALOR]*L39),0))</f>
        <v>0</v>
      </c>
      <c r="N39" s="80"/>
      <c r="O39" s="56" cm="1">
        <f t="array" ref="O39">IF(N39="X",(_xlfn.XLOOKUP($B39,Tabla1[SERVICIO],Tabla1[VALOR])*1),IF(N39&gt;=1,_xlfn.XLOOKUP($B39,Tabla1[SERVICIO],Tabla1[VALOR]*N39),0))</f>
        <v>0</v>
      </c>
      <c r="P39" s="78"/>
      <c r="Q39" s="56" cm="1">
        <f t="array" ref="Q39">IF(P39="X",(_xlfn.XLOOKUP($B39,Tabla1[SERVICIO],Tabla1[VALOR])*1),IF(P39&gt;=1,_xlfn.XLOOKUP($B39,Tabla1[SERVICIO],Tabla1[VALOR]*P39),0))</f>
        <v>0</v>
      </c>
      <c r="R39" s="78"/>
      <c r="S39" s="56" cm="1">
        <f t="array" ref="S39">IF(R39="X",(_xlfn.XLOOKUP($B39,Tabla1[SERVICIO],Tabla1[VALOR])*1),IF(R39&gt;=1,_xlfn.XLOOKUP($B39,Tabla1[SERVICIO],Tabla1[VALOR]*R39),0))</f>
        <v>0</v>
      </c>
      <c r="T39" s="78"/>
      <c r="U39" s="56" cm="1">
        <f t="array" ref="U39">IF(T39="X",(_xlfn.XLOOKUP($B39,Tabla1[SERVICIO],Tabla1[VALOR])*1),IF(T39&gt;=1,_xlfn.XLOOKUP($B39,Tabla1[SERVICIO],Tabla1[VALOR]*T39),0))</f>
        <v>0</v>
      </c>
      <c r="V39" s="80"/>
      <c r="W39" s="56" cm="1">
        <f t="array" ref="W39">IF(V39="X",(_xlfn.XLOOKUP($B39,Tabla1[SERVICIO],Tabla1[VALOR])*1),IF(V39&gt;=1,_xlfn.XLOOKUP($B39,Tabla1[SERVICIO],Tabla1[VALOR]*V39),0))</f>
        <v>0</v>
      </c>
      <c r="X39" s="80"/>
      <c r="Y39" s="56" cm="1">
        <f t="array" ref="Y39">IF(X39="X",(_xlfn.XLOOKUP($B39,Tabla1[SERVICIO],Tabla1[VALOR])*1),IF(X39&gt;=1,_xlfn.XLOOKUP($B39,Tabla1[SERVICIO],Tabla1[VALOR]*X39),0))</f>
        <v>0</v>
      </c>
      <c r="Z39" s="80"/>
      <c r="AA39" s="56" cm="1">
        <f t="array" ref="AA39">IF(Z39="X",(_xlfn.XLOOKUP($B39,Tabla1[SERVICIO],Tabla1[VALOR])*1),IF(Z39&gt;=1,_xlfn.XLOOKUP($B39,Tabla1[SERVICIO],Tabla1[VALOR]*Z39),0))</f>
        <v>0</v>
      </c>
      <c r="AB39" s="80"/>
      <c r="AC39" s="56" cm="1">
        <f t="array" ref="AC39">IF(AB39="X",(_xlfn.XLOOKUP($B39,Tabla1[SERVICIO],Tabla1[VALOR])*1),IF(AB39&gt;=1,_xlfn.XLOOKUP($B39,Tabla1[SERVICIO],Tabla1[VALOR]*AB39),0))</f>
        <v>0</v>
      </c>
      <c r="AD39" s="80"/>
      <c r="AE39" s="56" cm="1">
        <f t="array" ref="AE39">IF(AD39="X",(_xlfn.XLOOKUP($B39,Tabla1[SERVICIO],Tabla1[VALOR])*1),IF(AD39&gt;=1,_xlfn.XLOOKUP($B39,Tabla1[SERVICIO],Tabla1[VALOR]*AD39),0))</f>
        <v>0</v>
      </c>
      <c r="AF39" s="80"/>
      <c r="AG39" s="56" cm="1">
        <f t="array" ref="AG39">IF(AF39="X",(_xlfn.XLOOKUP($B39,Tabla1[SERVICIO],Tabla1[VALOR])*1),IF(AF39&gt;=1,_xlfn.XLOOKUP($B39,Tabla1[SERVICIO],Tabla1[VALOR]*AF39),0))</f>
        <v>0</v>
      </c>
      <c r="AH39" s="80"/>
      <c r="AI39" s="56" cm="1">
        <f t="array" ref="AI39">IF(AH39="X",(_xlfn.XLOOKUP($B39,Tabla1[SERVICIO],Tabla1[VALOR])*1),IF(AH39&gt;=1,_xlfn.XLOOKUP($B39,Tabla1[SERVICIO],Tabla1[VALOR]*AH39),0))</f>
        <v>0</v>
      </c>
      <c r="AJ39" s="80"/>
      <c r="AK39" s="56" cm="1">
        <f t="array" ref="AK39">IF(AJ39="X",(_xlfn.XLOOKUP($B39,Tabla1[SERVICIO],Tabla1[VALOR])*1),IF(AJ39&gt;=1,_xlfn.XLOOKUP($B39,Tabla1[SERVICIO],Tabla1[VALOR]*AJ39),0))</f>
        <v>0</v>
      </c>
      <c r="AL39" s="80"/>
      <c r="AM39" s="56" cm="1">
        <f t="array" ref="AM39">IF(AL39="X",(_xlfn.XLOOKUP($B39,Tabla1[SERVICIO],Tabla1[VALOR])*1),IF(AL39&gt;=1,_xlfn.XLOOKUP($B39,Tabla1[SERVICIO],Tabla1[VALOR]*AL39),0))</f>
        <v>0</v>
      </c>
      <c r="AN39" s="81">
        <f t="shared" si="0"/>
        <v>19392.627189167735</v>
      </c>
      <c r="AO39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9" s="122" t="s">
        <v>318</v>
      </c>
      <c r="AQ39" s="213">
        <v>1</v>
      </c>
      <c r="AR39" s="121">
        <f>+Tabla1122433[[#This Row],[TOTAL]]*Tabla1122433[[#This Row],[% de las personas que lo usaron]]</f>
        <v>19392.627189167735</v>
      </c>
      <c r="AS39" s="82" t="s">
        <v>351</v>
      </c>
      <c r="AT39" s="335">
        <v>18</v>
      </c>
    </row>
    <row r="40" spans="1:46" x14ac:dyDescent="0.2">
      <c r="A40" s="7" t="s">
        <v>27</v>
      </c>
      <c r="B40" s="8" t="s">
        <v>28</v>
      </c>
      <c r="C40" s="96" t="str">
        <f>_xlfn.XLOOKUP(Tabla1122433[[#This Row],[Servicios del Programa:]],Tabla151[CODIGO],Tabla151[VALOR])</f>
        <v>Diagnosticos</v>
      </c>
      <c r="D40" s="77">
        <v>1</v>
      </c>
      <c r="E40" s="56" cm="1">
        <f t="array" ref="E40">IF(D40="X",(_xlfn.XLOOKUP($B40,Tabla1[SERVICIO],Tabla1[VALOR])*1),IF(D40&gt;=1,_xlfn.XLOOKUP($B40,Tabla1[SERVICIO],Tabla1[VALOR]*D40),0))</f>
        <v>43480.816890660324</v>
      </c>
      <c r="F40" s="78"/>
      <c r="G40" s="56" cm="1">
        <f t="array" ref="G40">IF(F40="X",(_xlfn.XLOOKUP($B40,Tabla1[SERVICIO],Tabla1[VALOR])*1),IF(F40&gt;=1,_xlfn.XLOOKUP($B40,Tabla1[SERVICIO],Tabla1[VALOR]*F40),0))</f>
        <v>0</v>
      </c>
      <c r="H40" s="78"/>
      <c r="I40" s="56" cm="1">
        <f t="array" ref="I40">IF(H40="X",(_xlfn.XLOOKUP($B40,Tabla1[SERVICIO],Tabla1[VALOR])*1),IF(H40&gt;=1,_xlfn.XLOOKUP($B40,Tabla1[SERVICIO],Tabla1[VALOR]*H40),0))</f>
        <v>0</v>
      </c>
      <c r="J40" s="78"/>
      <c r="K40" s="56" cm="1">
        <f t="array" ref="K40">IF(J40="X",(_xlfn.XLOOKUP($B40,Tabla1[SERVICIO],Tabla1[VALOR])*1),IF(J40&gt;=1,_xlfn.XLOOKUP($B40,Tabla1[SERVICIO],Tabla1[VALOR]*J40),0))</f>
        <v>0</v>
      </c>
      <c r="L40" s="78"/>
      <c r="M40" s="56" cm="1">
        <f t="array" ref="M40">IF(L40="X",(_xlfn.XLOOKUP($B40,Tabla1[SERVICIO],Tabla1[VALOR])*1),IF(L40&gt;=1,_xlfn.XLOOKUP($B40,Tabla1[SERVICIO],Tabla1[VALOR]*L40),0))</f>
        <v>0</v>
      </c>
      <c r="N40" s="80"/>
      <c r="O40" s="56" cm="1">
        <f t="array" ref="O40">IF(N40="X",(_xlfn.XLOOKUP($B40,Tabla1[SERVICIO],Tabla1[VALOR])*1),IF(N40&gt;=1,_xlfn.XLOOKUP($B40,Tabla1[SERVICIO],Tabla1[VALOR]*N40),0))</f>
        <v>0</v>
      </c>
      <c r="P40" s="78"/>
      <c r="Q40" s="56" cm="1">
        <f t="array" ref="Q40">IF(P40="X",(_xlfn.XLOOKUP($B40,Tabla1[SERVICIO],Tabla1[VALOR])*1),IF(P40&gt;=1,_xlfn.XLOOKUP($B40,Tabla1[SERVICIO],Tabla1[VALOR]*P40),0))</f>
        <v>0</v>
      </c>
      <c r="R40" s="78"/>
      <c r="S40" s="56" cm="1">
        <f t="array" ref="S40">IF(R40="X",(_xlfn.XLOOKUP($B40,Tabla1[SERVICIO],Tabla1[VALOR])*1),IF(R40&gt;=1,_xlfn.XLOOKUP($B40,Tabla1[SERVICIO],Tabla1[VALOR]*R40),0))</f>
        <v>0</v>
      </c>
      <c r="T40" s="78"/>
      <c r="U40" s="56" cm="1">
        <f t="array" ref="U40">IF(T40="X",(_xlfn.XLOOKUP($B40,Tabla1[SERVICIO],Tabla1[VALOR])*1),IF(T40&gt;=1,_xlfn.XLOOKUP($B40,Tabla1[SERVICIO],Tabla1[VALOR]*T40),0))</f>
        <v>0</v>
      </c>
      <c r="V40" s="80"/>
      <c r="W40" s="56" cm="1">
        <f t="array" ref="W40">IF(V40="X",(_xlfn.XLOOKUP($B40,Tabla1[SERVICIO],Tabla1[VALOR])*1),IF(V40&gt;=1,_xlfn.XLOOKUP($B40,Tabla1[SERVICIO],Tabla1[VALOR]*V40),0))</f>
        <v>0</v>
      </c>
      <c r="X40" s="80"/>
      <c r="Y40" s="56" cm="1">
        <f t="array" ref="Y40">IF(X40="X",(_xlfn.XLOOKUP($B40,Tabla1[SERVICIO],Tabla1[VALOR])*1),IF(X40&gt;=1,_xlfn.XLOOKUP($B40,Tabla1[SERVICIO],Tabla1[VALOR]*X40),0))</f>
        <v>0</v>
      </c>
      <c r="Z40" s="80"/>
      <c r="AA40" s="56" cm="1">
        <f t="array" ref="AA40">IF(Z40="X",(_xlfn.XLOOKUP($B40,Tabla1[SERVICIO],Tabla1[VALOR])*1),IF(Z40&gt;=1,_xlfn.XLOOKUP($B40,Tabla1[SERVICIO],Tabla1[VALOR]*Z40),0))</f>
        <v>0</v>
      </c>
      <c r="AB40" s="80"/>
      <c r="AC40" s="56" cm="1">
        <f t="array" ref="AC40">IF(AB40="X",(_xlfn.XLOOKUP($B40,Tabla1[SERVICIO],Tabla1[VALOR])*1),IF(AB40&gt;=1,_xlfn.XLOOKUP($B40,Tabla1[SERVICIO],Tabla1[VALOR]*AB40),0))</f>
        <v>0</v>
      </c>
      <c r="AD40" s="80"/>
      <c r="AE40" s="56" cm="1">
        <f t="array" ref="AE40">IF(AD40="X",(_xlfn.XLOOKUP($B40,Tabla1[SERVICIO],Tabla1[VALOR])*1),IF(AD40&gt;=1,_xlfn.XLOOKUP($B40,Tabla1[SERVICIO],Tabla1[VALOR]*AD40),0))</f>
        <v>0</v>
      </c>
      <c r="AF40" s="80"/>
      <c r="AG40" s="56" cm="1">
        <f t="array" ref="AG40">IF(AF40="X",(_xlfn.XLOOKUP($B40,Tabla1[SERVICIO],Tabla1[VALOR])*1),IF(AF40&gt;=1,_xlfn.XLOOKUP($B40,Tabla1[SERVICIO],Tabla1[VALOR]*AF40),0))</f>
        <v>0</v>
      </c>
      <c r="AH40" s="80"/>
      <c r="AI40" s="56" cm="1">
        <f t="array" ref="AI40">IF(AH40="X",(_xlfn.XLOOKUP($B40,Tabla1[SERVICIO],Tabla1[VALOR])*1),IF(AH40&gt;=1,_xlfn.XLOOKUP($B40,Tabla1[SERVICIO],Tabla1[VALOR]*AH40),0))</f>
        <v>0</v>
      </c>
      <c r="AJ40" s="80"/>
      <c r="AK40" s="56" cm="1">
        <f t="array" ref="AK40">IF(AJ40="X",(_xlfn.XLOOKUP($B40,Tabla1[SERVICIO],Tabla1[VALOR])*1),IF(AJ40&gt;=1,_xlfn.XLOOKUP($B40,Tabla1[SERVICIO],Tabla1[VALOR]*AJ40),0))</f>
        <v>0</v>
      </c>
      <c r="AL40" s="80"/>
      <c r="AM40" s="56" cm="1">
        <f t="array" ref="AM40">IF(AL40="X",(_xlfn.XLOOKUP($B40,Tabla1[SERVICIO],Tabla1[VALOR])*1),IF(AL40&gt;=1,_xlfn.XLOOKUP($B40,Tabla1[SERVICIO],Tabla1[VALOR]*AL40),0))</f>
        <v>0</v>
      </c>
      <c r="AN40" s="81">
        <f t="shared" si="0"/>
        <v>43480.816890660324</v>
      </c>
      <c r="AO40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0" s="122" t="s">
        <v>318</v>
      </c>
      <c r="AQ40" s="213">
        <v>1</v>
      </c>
      <c r="AR40" s="121">
        <f>+Tabla1122433[[#This Row],[TOTAL]]*Tabla1122433[[#This Row],[% de las personas que lo usaron]]</f>
        <v>43480.816890660324</v>
      </c>
      <c r="AS40" s="82" t="s">
        <v>351</v>
      </c>
      <c r="AT40" s="335">
        <v>18</v>
      </c>
    </row>
    <row r="41" spans="1:46" x14ac:dyDescent="0.2">
      <c r="A41" s="7" t="s">
        <v>1</v>
      </c>
      <c r="B41" s="8" t="s">
        <v>2</v>
      </c>
      <c r="C41" s="96" t="str">
        <f>_xlfn.XLOOKUP(Tabla1122433[[#This Row],[Servicios del Programa:]],Tabla151[CODIGO],Tabla151[VALOR])</f>
        <v>Consultas</v>
      </c>
      <c r="D41" s="77">
        <v>1</v>
      </c>
      <c r="E41" s="56" cm="1">
        <f t="array" ref="E41">IF(D41="X",(_xlfn.XLOOKUP($B41,Tabla1[SERVICIO],Tabla1[VALOR])*1),IF(D41&gt;=1,_xlfn.XLOOKUP($B41,Tabla1[SERVICIO],Tabla1[VALOR]*D41),0))</f>
        <v>21014.39667403782</v>
      </c>
      <c r="F41" s="78"/>
      <c r="G41" s="56" cm="1">
        <f t="array" ref="G41">IF(F41="X",(_xlfn.XLOOKUP($B41,Tabla1[SERVICIO],Tabla1[VALOR])*1),IF(F41&gt;=1,_xlfn.XLOOKUP($B41,Tabla1[SERVICIO],Tabla1[VALOR]*F41),0))</f>
        <v>0</v>
      </c>
      <c r="H41" s="78"/>
      <c r="I41" s="56" cm="1">
        <f t="array" ref="I41">IF(H41="X",(_xlfn.XLOOKUP($B41,Tabla1[SERVICIO],Tabla1[VALOR])*1),IF(H41&gt;=1,_xlfn.XLOOKUP($B41,Tabla1[SERVICIO],Tabla1[VALOR]*H41),0))</f>
        <v>0</v>
      </c>
      <c r="J41" s="78"/>
      <c r="K41" s="56" cm="1">
        <f t="array" ref="K41">IF(J41="X",(_xlfn.XLOOKUP($B41,Tabla1[SERVICIO],Tabla1[VALOR])*1),IF(J41&gt;=1,_xlfn.XLOOKUP($B41,Tabla1[SERVICIO],Tabla1[VALOR]*J41),0))</f>
        <v>0</v>
      </c>
      <c r="L41" s="78"/>
      <c r="M41" s="56" cm="1">
        <f t="array" ref="M41">IF(L41="X",(_xlfn.XLOOKUP($B41,Tabla1[SERVICIO],Tabla1[VALOR])*1),IF(L41&gt;=1,_xlfn.XLOOKUP($B41,Tabla1[SERVICIO],Tabla1[VALOR]*L41),0))</f>
        <v>0</v>
      </c>
      <c r="N41" s="78"/>
      <c r="O41" s="56" cm="1">
        <f t="array" ref="O41">IF(N41="X",(_xlfn.XLOOKUP($B41,Tabla1[SERVICIO],Tabla1[VALOR])*1),IF(N41&gt;=1,_xlfn.XLOOKUP($B41,Tabla1[SERVICIO],Tabla1[VALOR]*N41),0))</f>
        <v>0</v>
      </c>
      <c r="P41" s="78"/>
      <c r="Q41" s="56" cm="1">
        <f t="array" ref="Q41">IF(P41="X",(_xlfn.XLOOKUP($B41,Tabla1[SERVICIO],Tabla1[VALOR])*1),IF(P41&gt;=1,_xlfn.XLOOKUP($B41,Tabla1[SERVICIO],Tabla1[VALOR]*P41),0))</f>
        <v>0</v>
      </c>
      <c r="R41" s="78"/>
      <c r="S41" s="56" cm="1">
        <f t="array" ref="S41">IF(R41="X",(_xlfn.XLOOKUP($B41,Tabla1[SERVICIO],Tabla1[VALOR])*1),IF(R41&gt;=1,_xlfn.XLOOKUP($B41,Tabla1[SERVICIO],Tabla1[VALOR]*R41),0))</f>
        <v>0</v>
      </c>
      <c r="T41" s="78"/>
      <c r="U41" s="56" cm="1">
        <f t="array" ref="U41">IF(T41="X",(_xlfn.XLOOKUP($B41,Tabla1[SERVICIO],Tabla1[VALOR])*1),IF(T41&gt;=1,_xlfn.XLOOKUP($B41,Tabla1[SERVICIO],Tabla1[VALOR]*T41),0))</f>
        <v>0</v>
      </c>
      <c r="V41" s="80"/>
      <c r="W41" s="56" cm="1">
        <f t="array" ref="W41">IF(V41="X",(_xlfn.XLOOKUP($B41,Tabla1[SERVICIO],Tabla1[VALOR])*1),IF(V41&gt;=1,_xlfn.XLOOKUP($B41,Tabla1[SERVICIO],Tabla1[VALOR]*V41),0))</f>
        <v>0</v>
      </c>
      <c r="X41" s="80"/>
      <c r="Y41" s="56" cm="1">
        <f t="array" ref="Y41">IF(X41="X",(_xlfn.XLOOKUP($B41,Tabla1[SERVICIO],Tabla1[VALOR])*1),IF(X41&gt;=1,_xlfn.XLOOKUP($B41,Tabla1[SERVICIO],Tabla1[VALOR]*X41),0))</f>
        <v>0</v>
      </c>
      <c r="Z41" s="80"/>
      <c r="AA41" s="56" cm="1">
        <f t="array" ref="AA41">IF(Z41="X",(_xlfn.XLOOKUP($B41,Tabla1[SERVICIO],Tabla1[VALOR])*1),IF(Z41&gt;=1,_xlfn.XLOOKUP($B41,Tabla1[SERVICIO],Tabla1[VALOR]*Z41),0))</f>
        <v>0</v>
      </c>
      <c r="AB41" s="80"/>
      <c r="AC41" s="56" cm="1">
        <f t="array" ref="AC41">IF(AB41="X",(_xlfn.XLOOKUP($B41,Tabla1[SERVICIO],Tabla1[VALOR])*1),IF(AB41&gt;=1,_xlfn.XLOOKUP($B41,Tabla1[SERVICIO],Tabla1[VALOR]*AB41),0))</f>
        <v>0</v>
      </c>
      <c r="AD41" s="80"/>
      <c r="AE41" s="56" cm="1">
        <f t="array" ref="AE41">IF(AD41="X",(_xlfn.XLOOKUP($B41,Tabla1[SERVICIO],Tabla1[VALOR])*1),IF(AD41&gt;=1,_xlfn.XLOOKUP($B41,Tabla1[SERVICIO],Tabla1[VALOR]*AD41),0))</f>
        <v>0</v>
      </c>
      <c r="AF41" s="80"/>
      <c r="AG41" s="56" cm="1">
        <f t="array" ref="AG41">IF(AF41="X",(_xlfn.XLOOKUP($B41,Tabla1[SERVICIO],Tabla1[VALOR])*1),IF(AF41&gt;=1,_xlfn.XLOOKUP($B41,Tabla1[SERVICIO],Tabla1[VALOR]*AF41),0))</f>
        <v>0</v>
      </c>
      <c r="AH41" s="80"/>
      <c r="AI41" s="56" cm="1">
        <f t="array" ref="AI41">IF(AH41="X",(_xlfn.XLOOKUP($B41,Tabla1[SERVICIO],Tabla1[VALOR])*1),IF(AH41&gt;=1,_xlfn.XLOOKUP($B41,Tabla1[SERVICIO],Tabla1[VALOR]*AH41),0))</f>
        <v>0</v>
      </c>
      <c r="AJ41" s="80"/>
      <c r="AK41" s="56" cm="1">
        <f t="array" ref="AK41">IF(AJ41="X",(_xlfn.XLOOKUP($B41,Tabla1[SERVICIO],Tabla1[VALOR])*1),IF(AJ41&gt;=1,_xlfn.XLOOKUP($B41,Tabla1[SERVICIO],Tabla1[VALOR]*AJ41),0))</f>
        <v>0</v>
      </c>
      <c r="AL41" s="80"/>
      <c r="AM41" s="56" cm="1">
        <f t="array" ref="AM41">IF(AL41="X",(_xlfn.XLOOKUP($B41,Tabla1[SERVICIO],Tabla1[VALOR])*1),IF(AL41&gt;=1,_xlfn.XLOOKUP($B41,Tabla1[SERVICIO],Tabla1[VALOR]*AL41),0))</f>
        <v>0</v>
      </c>
      <c r="AN41" s="81">
        <f t="shared" si="0"/>
        <v>21014.39667403782</v>
      </c>
      <c r="AO41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1" s="122" t="s">
        <v>318</v>
      </c>
      <c r="AQ41" s="213">
        <v>0.3550065019505852</v>
      </c>
      <c r="AR41" s="121">
        <f>+Tabla1122433[[#This Row],[TOTAL]]*Tabla1122433[[#This Row],[% de las personas que lo usaron]]</f>
        <v>7460.2474538521783</v>
      </c>
      <c r="AS41" s="82" t="s">
        <v>351</v>
      </c>
      <c r="AT41" s="335">
        <v>18</v>
      </c>
    </row>
    <row r="42" spans="1:46" x14ac:dyDescent="0.2">
      <c r="A42" s="7" t="s">
        <v>3</v>
      </c>
      <c r="B42" s="8" t="s">
        <v>4</v>
      </c>
      <c r="C42" s="96" t="str">
        <f>_xlfn.XLOOKUP(Tabla1122433[[#This Row],[Servicios del Programa:]],Tabla151[CODIGO],Tabla151[VALOR])</f>
        <v>Consultas</v>
      </c>
      <c r="D42" s="77">
        <v>1</v>
      </c>
      <c r="E42" s="56" cm="1">
        <f t="array" ref="E42">IF(D42="X",(_xlfn.XLOOKUP($B42,Tabla1[SERVICIO],Tabla1[VALOR])*1),IF(D42&gt;=1,_xlfn.XLOOKUP($B42,Tabla1[SERVICIO],Tabla1[VALOR]*D42),0))</f>
        <v>20406.13276336317</v>
      </c>
      <c r="F42" s="78"/>
      <c r="G42" s="56" cm="1">
        <f t="array" ref="G42">IF(F42="X",(_xlfn.XLOOKUP($B42,Tabla1[SERVICIO],Tabla1[VALOR])*1),IF(F42&gt;=1,_xlfn.XLOOKUP($B42,Tabla1[SERVICIO],Tabla1[VALOR]*F42),0))</f>
        <v>0</v>
      </c>
      <c r="H42" s="78"/>
      <c r="I42" s="56" cm="1">
        <f t="array" ref="I42">IF(H42="X",(_xlfn.XLOOKUP($B42,Tabla1[SERVICIO],Tabla1[VALOR])*1),IF(H42&gt;=1,_xlfn.XLOOKUP($B42,Tabla1[SERVICIO],Tabla1[VALOR]*H42),0))</f>
        <v>0</v>
      </c>
      <c r="J42" s="78"/>
      <c r="K42" s="56" cm="1">
        <f t="array" ref="K42">IF(J42="X",(_xlfn.XLOOKUP($B42,Tabla1[SERVICIO],Tabla1[VALOR])*1),IF(J42&gt;=1,_xlfn.XLOOKUP($B42,Tabla1[SERVICIO],Tabla1[VALOR]*J42),0))</f>
        <v>0</v>
      </c>
      <c r="L42" s="78"/>
      <c r="M42" s="56" cm="1">
        <f t="array" ref="M42">IF(L42="X",(_xlfn.XLOOKUP($B42,Tabla1[SERVICIO],Tabla1[VALOR])*1),IF(L42&gt;=1,_xlfn.XLOOKUP($B42,Tabla1[SERVICIO],Tabla1[VALOR]*L42),0))</f>
        <v>0</v>
      </c>
      <c r="N42" s="78"/>
      <c r="O42" s="56" cm="1">
        <f t="array" ref="O42">IF(N42="X",(_xlfn.XLOOKUP($B42,Tabla1[SERVICIO],Tabla1[VALOR])*1),IF(N42&gt;=1,_xlfn.XLOOKUP($B42,Tabla1[SERVICIO],Tabla1[VALOR]*N42),0))</f>
        <v>0</v>
      </c>
      <c r="P42" s="78"/>
      <c r="Q42" s="56" cm="1">
        <f t="array" ref="Q42">IF(P42="X",(_xlfn.XLOOKUP($B42,Tabla1[SERVICIO],Tabla1[VALOR])*1),IF(P42&gt;=1,_xlfn.XLOOKUP($B42,Tabla1[SERVICIO],Tabla1[VALOR]*P42),0))</f>
        <v>0</v>
      </c>
      <c r="R42" s="78"/>
      <c r="S42" s="56" cm="1">
        <f t="array" ref="S42">IF(R42="X",(_xlfn.XLOOKUP($B42,Tabla1[SERVICIO],Tabla1[VALOR])*1),IF(R42&gt;=1,_xlfn.XLOOKUP($B42,Tabla1[SERVICIO],Tabla1[VALOR]*R42),0))</f>
        <v>0</v>
      </c>
      <c r="T42" s="78"/>
      <c r="U42" s="56" cm="1">
        <f t="array" ref="U42">IF(T42="X",(_xlfn.XLOOKUP($B42,Tabla1[SERVICIO],Tabla1[VALOR])*1),IF(T42&gt;=1,_xlfn.XLOOKUP($B42,Tabla1[SERVICIO],Tabla1[VALOR]*T42),0))</f>
        <v>0</v>
      </c>
      <c r="V42" s="79"/>
      <c r="W42" s="56" cm="1">
        <f t="array" ref="W42">IF(V42="X",(_xlfn.XLOOKUP($B42,Tabla1[SERVICIO],Tabla1[VALOR])*1),IF(V42&gt;=1,_xlfn.XLOOKUP($B42,Tabla1[SERVICIO],Tabla1[VALOR]*V42),0))</f>
        <v>0</v>
      </c>
      <c r="X42" s="79"/>
      <c r="Y42" s="56" cm="1">
        <f t="array" ref="Y42">IF(X42="X",(_xlfn.XLOOKUP($B42,Tabla1[SERVICIO],Tabla1[VALOR])*1),IF(X42&gt;=1,_xlfn.XLOOKUP($B42,Tabla1[SERVICIO],Tabla1[VALOR]*X42),0))</f>
        <v>0</v>
      </c>
      <c r="Z42" s="79"/>
      <c r="AA42" s="56" cm="1">
        <f t="array" ref="AA42">IF(Z42="X",(_xlfn.XLOOKUP($B42,Tabla1[SERVICIO],Tabla1[VALOR])*1),IF(Z42&gt;=1,_xlfn.XLOOKUP($B42,Tabla1[SERVICIO],Tabla1[VALOR]*Z42),0))</f>
        <v>0</v>
      </c>
      <c r="AB42" s="79"/>
      <c r="AC42" s="56" cm="1">
        <f t="array" ref="AC42">IF(AB42="X",(_xlfn.XLOOKUP($B42,Tabla1[SERVICIO],Tabla1[VALOR])*1),IF(AB42&gt;=1,_xlfn.XLOOKUP($B42,Tabla1[SERVICIO],Tabla1[VALOR]*AB42),0))</f>
        <v>0</v>
      </c>
      <c r="AD42" s="79"/>
      <c r="AE42" s="56" cm="1">
        <f t="array" ref="AE42">IF(AD42="X",(_xlfn.XLOOKUP($B42,Tabla1[SERVICIO],Tabla1[VALOR])*1),IF(AD42&gt;=1,_xlfn.XLOOKUP($B42,Tabla1[SERVICIO],Tabla1[VALOR]*AD42),0))</f>
        <v>0</v>
      </c>
      <c r="AF42" s="79"/>
      <c r="AG42" s="56" cm="1">
        <f t="array" ref="AG42">IF(AF42="X",(_xlfn.XLOOKUP($B42,Tabla1[SERVICIO],Tabla1[VALOR])*1),IF(AF42&gt;=1,_xlfn.XLOOKUP($B42,Tabla1[SERVICIO],Tabla1[VALOR]*AF42),0))</f>
        <v>0</v>
      </c>
      <c r="AH42" s="79"/>
      <c r="AI42" s="56" cm="1">
        <f t="array" ref="AI42">IF(AH42="X",(_xlfn.XLOOKUP($B42,Tabla1[SERVICIO],Tabla1[VALOR])*1),IF(AH42&gt;=1,_xlfn.XLOOKUP($B42,Tabla1[SERVICIO],Tabla1[VALOR]*AH42),0))</f>
        <v>0</v>
      </c>
      <c r="AJ42" s="79"/>
      <c r="AK42" s="56" cm="1">
        <f t="array" ref="AK42">IF(AJ42="X",(_xlfn.XLOOKUP($B42,Tabla1[SERVICIO],Tabla1[VALOR])*1),IF(AJ42&gt;=1,_xlfn.XLOOKUP($B42,Tabla1[SERVICIO],Tabla1[VALOR]*AJ42),0))</f>
        <v>0</v>
      </c>
      <c r="AL42" s="79"/>
      <c r="AM42" s="56" cm="1">
        <f t="array" ref="AM42">IF(AL42="X",(_xlfn.XLOOKUP($B42,Tabla1[SERVICIO],Tabla1[VALOR])*1),IF(AL42&gt;=1,_xlfn.XLOOKUP($B42,Tabla1[SERVICIO],Tabla1[VALOR]*AL42),0))</f>
        <v>0</v>
      </c>
      <c r="AN42" s="81">
        <f t="shared" si="0"/>
        <v>20406.13276336317</v>
      </c>
      <c r="AO42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2" s="122" t="s">
        <v>318</v>
      </c>
      <c r="AQ42" s="213">
        <v>1</v>
      </c>
      <c r="AR42" s="121">
        <f>+Tabla1122433[[#This Row],[TOTAL]]*Tabla1122433[[#This Row],[% de las personas que lo usaron]]</f>
        <v>20406.13276336317</v>
      </c>
      <c r="AS42" s="82" t="s">
        <v>351</v>
      </c>
      <c r="AT42" s="335">
        <v>18</v>
      </c>
    </row>
    <row r="43" spans="1:46" x14ac:dyDescent="0.2">
      <c r="A43" s="7" t="s">
        <v>5</v>
      </c>
      <c r="B43" s="8" t="s">
        <v>6</v>
      </c>
      <c r="C43" s="96" t="str">
        <f>_xlfn.XLOOKUP(Tabla1122433[[#This Row],[Servicios del Programa:]],Tabla151[CODIGO],Tabla151[VALOR])</f>
        <v>Consultas</v>
      </c>
      <c r="D43" s="77">
        <v>1</v>
      </c>
      <c r="E43" s="56" cm="1">
        <f t="array" ref="E43">IF(D43="X",(_xlfn.XLOOKUP($B43,Tabla1[SERVICIO],Tabla1[VALOR])*1),IF(D43&gt;=1,_xlfn.XLOOKUP($B43,Tabla1[SERVICIO],Tabla1[VALOR]*D43),0))</f>
        <v>18768.367820181349</v>
      </c>
      <c r="F43" s="78"/>
      <c r="G43" s="56" cm="1">
        <f t="array" ref="G43">IF(F43="X",(_xlfn.XLOOKUP($B43,Tabla1[SERVICIO],Tabla1[VALOR])*1),IF(F43&gt;=1,_xlfn.XLOOKUP($B43,Tabla1[SERVICIO],Tabla1[VALOR]*F43),0))</f>
        <v>0</v>
      </c>
      <c r="H43" s="78"/>
      <c r="I43" s="56" cm="1">
        <f t="array" ref="I43">IF(H43="X",(_xlfn.XLOOKUP($B43,Tabla1[SERVICIO],Tabla1[VALOR])*1),IF(H43&gt;=1,_xlfn.XLOOKUP($B43,Tabla1[SERVICIO],Tabla1[VALOR]*H43),0))</f>
        <v>0</v>
      </c>
      <c r="J43" s="78"/>
      <c r="K43" s="56" cm="1">
        <f t="array" ref="K43">IF(J43="X",(_xlfn.XLOOKUP($B43,Tabla1[SERVICIO],Tabla1[VALOR])*1),IF(J43&gt;=1,_xlfn.XLOOKUP($B43,Tabla1[SERVICIO],Tabla1[VALOR]*J43),0))</f>
        <v>0</v>
      </c>
      <c r="L43" s="78"/>
      <c r="M43" s="56" cm="1">
        <f t="array" ref="M43">IF(L43="X",(_xlfn.XLOOKUP($B43,Tabla1[SERVICIO],Tabla1[VALOR])*1),IF(L43&gt;=1,_xlfn.XLOOKUP($B43,Tabla1[SERVICIO],Tabla1[VALOR]*L43),0))</f>
        <v>0</v>
      </c>
      <c r="N43" s="78"/>
      <c r="O43" s="56" cm="1">
        <f t="array" ref="O43">IF(N43="X",(_xlfn.XLOOKUP($B43,Tabla1[SERVICIO],Tabla1[VALOR])*1),IF(N43&gt;=1,_xlfn.XLOOKUP($B43,Tabla1[SERVICIO],Tabla1[VALOR]*N43),0))</f>
        <v>0</v>
      </c>
      <c r="P43" s="78"/>
      <c r="Q43" s="56" cm="1">
        <f t="array" ref="Q43">IF(P43="X",(_xlfn.XLOOKUP($B43,Tabla1[SERVICIO],Tabla1[VALOR])*1),IF(P43&gt;=1,_xlfn.XLOOKUP($B43,Tabla1[SERVICIO],Tabla1[VALOR]*P43),0))</f>
        <v>0</v>
      </c>
      <c r="R43" s="78"/>
      <c r="S43" s="56" cm="1">
        <f t="array" ref="S43">IF(R43="X",(_xlfn.XLOOKUP($B43,Tabla1[SERVICIO],Tabla1[VALOR])*1),IF(R43&gt;=1,_xlfn.XLOOKUP($B43,Tabla1[SERVICIO],Tabla1[VALOR]*R43),0))</f>
        <v>0</v>
      </c>
      <c r="T43" s="78"/>
      <c r="U43" s="56" cm="1">
        <f t="array" ref="U43">IF(T43="X",(_xlfn.XLOOKUP($B43,Tabla1[SERVICIO],Tabla1[VALOR])*1),IF(T43&gt;=1,_xlfn.XLOOKUP($B43,Tabla1[SERVICIO],Tabla1[VALOR]*T43),0))</f>
        <v>0</v>
      </c>
      <c r="V43" s="79"/>
      <c r="W43" s="56" cm="1">
        <f t="array" ref="W43">IF(V43="X",(_xlfn.XLOOKUP($B43,Tabla1[SERVICIO],Tabla1[VALOR])*1),IF(V43&gt;=1,_xlfn.XLOOKUP($B43,Tabla1[SERVICIO],Tabla1[VALOR]*V43),0))</f>
        <v>0</v>
      </c>
      <c r="X43" s="79"/>
      <c r="Y43" s="56" cm="1">
        <f t="array" ref="Y43">IF(X43="X",(_xlfn.XLOOKUP($B43,Tabla1[SERVICIO],Tabla1[VALOR])*1),IF(X43&gt;=1,_xlfn.XLOOKUP($B43,Tabla1[SERVICIO],Tabla1[VALOR]*X43),0))</f>
        <v>0</v>
      </c>
      <c r="Z43" s="79"/>
      <c r="AA43" s="56" cm="1">
        <f t="array" ref="AA43">IF(Z43="X",(_xlfn.XLOOKUP($B43,Tabla1[SERVICIO],Tabla1[VALOR])*1),IF(Z43&gt;=1,_xlfn.XLOOKUP($B43,Tabla1[SERVICIO],Tabla1[VALOR]*Z43),0))</f>
        <v>0</v>
      </c>
      <c r="AB43" s="79"/>
      <c r="AC43" s="56" cm="1">
        <f t="array" ref="AC43">IF(AB43="X",(_xlfn.XLOOKUP($B43,Tabla1[SERVICIO],Tabla1[VALOR])*1),IF(AB43&gt;=1,_xlfn.XLOOKUP($B43,Tabla1[SERVICIO],Tabla1[VALOR]*AB43),0))</f>
        <v>0</v>
      </c>
      <c r="AD43" s="79"/>
      <c r="AE43" s="56" cm="1">
        <f t="array" ref="AE43">IF(AD43="X",(_xlfn.XLOOKUP($B43,Tabla1[SERVICIO],Tabla1[VALOR])*1),IF(AD43&gt;=1,_xlfn.XLOOKUP($B43,Tabla1[SERVICIO],Tabla1[VALOR]*AD43),0))</f>
        <v>0</v>
      </c>
      <c r="AF43" s="79"/>
      <c r="AG43" s="56" cm="1">
        <f t="array" ref="AG43">IF(AF43="X",(_xlfn.XLOOKUP($B43,Tabla1[SERVICIO],Tabla1[VALOR])*1),IF(AF43&gt;=1,_xlfn.XLOOKUP($B43,Tabla1[SERVICIO],Tabla1[VALOR]*AF43),0))</f>
        <v>0</v>
      </c>
      <c r="AH43" s="79"/>
      <c r="AI43" s="56" cm="1">
        <f t="array" ref="AI43">IF(AH43="X",(_xlfn.XLOOKUP($B43,Tabla1[SERVICIO],Tabla1[VALOR])*1),IF(AH43&gt;=1,_xlfn.XLOOKUP($B43,Tabla1[SERVICIO],Tabla1[VALOR]*AH43),0))</f>
        <v>0</v>
      </c>
      <c r="AJ43" s="79"/>
      <c r="AK43" s="56" cm="1">
        <f t="array" ref="AK43">IF(AJ43="X",(_xlfn.XLOOKUP($B43,Tabla1[SERVICIO],Tabla1[VALOR])*1),IF(AJ43&gt;=1,_xlfn.XLOOKUP($B43,Tabla1[SERVICIO],Tabla1[VALOR]*AJ43),0))</f>
        <v>0</v>
      </c>
      <c r="AL43" s="79"/>
      <c r="AM43" s="56" cm="1">
        <f t="array" ref="AM43">IF(AL43="X",(_xlfn.XLOOKUP($B43,Tabla1[SERVICIO],Tabla1[VALOR])*1),IF(AL43&gt;=1,_xlfn.XLOOKUP($B43,Tabla1[SERVICIO],Tabla1[VALOR]*AL43),0))</f>
        <v>0</v>
      </c>
      <c r="AN43" s="81">
        <f t="shared" si="0"/>
        <v>18768.367820181349</v>
      </c>
      <c r="AO43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3" s="122" t="s">
        <v>318</v>
      </c>
      <c r="AQ43" s="213">
        <v>0.30593607305936071</v>
      </c>
      <c r="AR43" s="121">
        <f>+Tabla1122433[[#This Row],[TOTAL]]*Tabla1122433[[#This Row],[% de las personas que lo usaron]]</f>
        <v>5741.9207486399555</v>
      </c>
      <c r="AS43" s="82" t="s">
        <v>351</v>
      </c>
      <c r="AT43" s="335">
        <v>18</v>
      </c>
    </row>
    <row r="44" spans="1:46" x14ac:dyDescent="0.2">
      <c r="A44" s="7" t="s">
        <v>23</v>
      </c>
      <c r="B44" s="8" t="s">
        <v>24</v>
      </c>
      <c r="C44" s="96" t="str">
        <f>_xlfn.XLOOKUP(Tabla1122433[[#This Row],[Servicios del Programa:]],Tabla151[CODIGO],Tabla151[VALOR])</f>
        <v>Terapias</v>
      </c>
      <c r="D44" s="77">
        <v>1</v>
      </c>
      <c r="E44" s="56" cm="1">
        <f t="array" ref="E44">IF(D44="X",(_xlfn.XLOOKUP($B44,Tabla1[SERVICIO],Tabla1[VALOR])*1),IF(D44&gt;=1,_xlfn.XLOOKUP($B44,Tabla1[SERVICIO],Tabla1[VALOR]*D44),0))</f>
        <v>31881.451880098426</v>
      </c>
      <c r="F44" s="78"/>
      <c r="G44" s="56" cm="1">
        <f t="array" ref="G44">IF(F44="X",(_xlfn.XLOOKUP($B44,Tabla1[SERVICIO],Tabla1[VALOR])*1),IF(F44&gt;=1,_xlfn.XLOOKUP($B44,Tabla1[SERVICIO],Tabla1[VALOR]*F44),0))</f>
        <v>0</v>
      </c>
      <c r="H44" s="78"/>
      <c r="I44" s="56" cm="1">
        <f t="array" ref="I44">IF(H44="X",(_xlfn.XLOOKUP($B44,Tabla1[SERVICIO],Tabla1[VALOR])*1),IF(H44&gt;=1,_xlfn.XLOOKUP($B44,Tabla1[SERVICIO],Tabla1[VALOR]*H44),0))</f>
        <v>0</v>
      </c>
      <c r="J44" s="78"/>
      <c r="K44" s="56" cm="1">
        <f t="array" ref="K44">IF(J44="X",(_xlfn.XLOOKUP($B44,Tabla1[SERVICIO],Tabla1[VALOR])*1),IF(J44&gt;=1,_xlfn.XLOOKUP($B44,Tabla1[SERVICIO],Tabla1[VALOR]*J44),0))</f>
        <v>0</v>
      </c>
      <c r="L44" s="78"/>
      <c r="M44" s="56" cm="1">
        <f t="array" ref="M44">IF(L44="X",(_xlfn.XLOOKUP($B44,Tabla1[SERVICIO],Tabla1[VALOR])*1),IF(L44&gt;=1,_xlfn.XLOOKUP($B44,Tabla1[SERVICIO],Tabla1[VALOR]*L44),0))</f>
        <v>0</v>
      </c>
      <c r="N44" s="78"/>
      <c r="O44" s="56" cm="1">
        <f t="array" ref="O44">IF(N44="X",(_xlfn.XLOOKUP($B44,Tabla1[SERVICIO],Tabla1[VALOR])*1),IF(N44&gt;=1,_xlfn.XLOOKUP($B44,Tabla1[SERVICIO],Tabla1[VALOR]*N44),0))</f>
        <v>0</v>
      </c>
      <c r="P44" s="78"/>
      <c r="Q44" s="56" cm="1">
        <f t="array" ref="Q44">IF(P44="X",(_xlfn.XLOOKUP($B44,Tabla1[SERVICIO],Tabla1[VALOR])*1),IF(P44&gt;=1,_xlfn.XLOOKUP($B44,Tabla1[SERVICIO],Tabla1[VALOR]*P44),0))</f>
        <v>0</v>
      </c>
      <c r="R44" s="78"/>
      <c r="S44" s="56" cm="1">
        <f t="array" ref="S44">IF(R44="X",(_xlfn.XLOOKUP($B44,Tabla1[SERVICIO],Tabla1[VALOR])*1),IF(R44&gt;=1,_xlfn.XLOOKUP($B44,Tabla1[SERVICIO],Tabla1[VALOR]*R44),0))</f>
        <v>0</v>
      </c>
      <c r="T44" s="78"/>
      <c r="U44" s="56" cm="1">
        <f t="array" ref="U44">IF(T44="X",(_xlfn.XLOOKUP($B44,Tabla1[SERVICIO],Tabla1[VALOR])*1),IF(T44&gt;=1,_xlfn.XLOOKUP($B44,Tabla1[SERVICIO],Tabla1[VALOR]*T44),0))</f>
        <v>0</v>
      </c>
      <c r="V44" s="79"/>
      <c r="W44" s="56" cm="1">
        <f t="array" ref="W44">IF(V44="X",(_xlfn.XLOOKUP($B44,Tabla1[SERVICIO],Tabla1[VALOR])*1),IF(V44&gt;=1,_xlfn.XLOOKUP($B44,Tabla1[SERVICIO],Tabla1[VALOR]*V44),0))</f>
        <v>0</v>
      </c>
      <c r="X44" s="79"/>
      <c r="Y44" s="56" cm="1">
        <f t="array" ref="Y44">IF(X44="X",(_xlfn.XLOOKUP($B44,Tabla1[SERVICIO],Tabla1[VALOR])*1),IF(X44&gt;=1,_xlfn.XLOOKUP($B44,Tabla1[SERVICIO],Tabla1[VALOR]*X44),0))</f>
        <v>0</v>
      </c>
      <c r="Z44" s="79"/>
      <c r="AA44" s="56" cm="1">
        <f t="array" ref="AA44">IF(Z44="X",(_xlfn.XLOOKUP($B44,Tabla1[SERVICIO],Tabla1[VALOR])*1),IF(Z44&gt;=1,_xlfn.XLOOKUP($B44,Tabla1[SERVICIO],Tabla1[VALOR]*Z44),0))</f>
        <v>0</v>
      </c>
      <c r="AB44" s="79"/>
      <c r="AC44" s="56" cm="1">
        <f t="array" ref="AC44">IF(AB44="X",(_xlfn.XLOOKUP($B44,Tabla1[SERVICIO],Tabla1[VALOR])*1),IF(AB44&gt;=1,_xlfn.XLOOKUP($B44,Tabla1[SERVICIO],Tabla1[VALOR]*AB44),0))</f>
        <v>0</v>
      </c>
      <c r="AD44" s="79"/>
      <c r="AE44" s="56" cm="1">
        <f t="array" ref="AE44">IF(AD44="X",(_xlfn.XLOOKUP($B44,Tabla1[SERVICIO],Tabla1[VALOR])*1),IF(AD44&gt;=1,_xlfn.XLOOKUP($B44,Tabla1[SERVICIO],Tabla1[VALOR]*AD44),0))</f>
        <v>0</v>
      </c>
      <c r="AF44" s="79"/>
      <c r="AG44" s="56" cm="1">
        <f t="array" ref="AG44">IF(AF44="X",(_xlfn.XLOOKUP($B44,Tabla1[SERVICIO],Tabla1[VALOR])*1),IF(AF44&gt;=1,_xlfn.XLOOKUP($B44,Tabla1[SERVICIO],Tabla1[VALOR]*AF44),0))</f>
        <v>0</v>
      </c>
      <c r="AH44" s="79"/>
      <c r="AI44" s="56" cm="1">
        <f t="array" ref="AI44">IF(AH44="X",(_xlfn.XLOOKUP($B44,Tabla1[SERVICIO],Tabla1[VALOR])*1),IF(AH44&gt;=1,_xlfn.XLOOKUP($B44,Tabla1[SERVICIO],Tabla1[VALOR]*AH44),0))</f>
        <v>0</v>
      </c>
      <c r="AJ44" s="79"/>
      <c r="AK44" s="56" cm="1">
        <f t="array" ref="AK44">IF(AJ44="X",(_xlfn.XLOOKUP($B44,Tabla1[SERVICIO],Tabla1[VALOR])*1),IF(AJ44&gt;=1,_xlfn.XLOOKUP($B44,Tabla1[SERVICIO],Tabla1[VALOR]*AJ44),0))</f>
        <v>0</v>
      </c>
      <c r="AL44" s="79"/>
      <c r="AM44" s="56" cm="1">
        <f t="array" ref="AM44">IF(AL44="X",(_xlfn.XLOOKUP($B44,Tabla1[SERVICIO],Tabla1[VALOR])*1),IF(AL44&gt;=1,_xlfn.XLOOKUP($B44,Tabla1[SERVICIO],Tabla1[VALOR]*AL44),0))</f>
        <v>0</v>
      </c>
      <c r="AN44" s="81">
        <f t="shared" si="0"/>
        <v>31881.451880098426</v>
      </c>
      <c r="AO44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4" s="122" t="s">
        <v>318</v>
      </c>
      <c r="AQ44" s="213">
        <v>0.15068493150684931</v>
      </c>
      <c r="AR44" s="121">
        <f>+Tabla1122433[[#This Row],[TOTAL]]*Tabla1122433[[#This Row],[% de las personas que lo usaron]]</f>
        <v>4804.0543928915431</v>
      </c>
      <c r="AS44" s="82" t="s">
        <v>351</v>
      </c>
      <c r="AT44" s="335">
        <v>18</v>
      </c>
    </row>
    <row r="45" spans="1:46" x14ac:dyDescent="0.2">
      <c r="A45" s="7" t="s">
        <v>36</v>
      </c>
      <c r="B45" s="8" t="s">
        <v>100</v>
      </c>
      <c r="C45" s="96" t="str">
        <f>_xlfn.XLOOKUP(Tabla1122433[[#This Row],[Servicios del Programa:]],Tabla151[CODIGO],Tabla151[VALOR])</f>
        <v>Terapias</v>
      </c>
      <c r="D45" s="77"/>
      <c r="E45" s="56" cm="1">
        <f t="array" ref="E45">IF(D45="X",(_xlfn.XLOOKUP($B45,Tabla1[SERVICIO],Tabla1[VALOR])*1),IF(D45&gt;=1,_xlfn.XLOOKUP($B45,Tabla1[SERVICIO],Tabla1[VALOR]*D45),0))</f>
        <v>0</v>
      </c>
      <c r="F45" s="77">
        <v>8</v>
      </c>
      <c r="G45" s="56" cm="1">
        <f t="array" ref="G45">IF(F45="X",(_xlfn.XLOOKUP($B45,Tabla1[SERVICIO],Tabla1[VALOR])*1),IF(F45&gt;=1,_xlfn.XLOOKUP($B45,Tabla1[SERVICIO],Tabla1[VALOR]*F45),0))</f>
        <v>70240.958933331596</v>
      </c>
      <c r="H45" s="77">
        <v>8</v>
      </c>
      <c r="I45" s="56" cm="1">
        <f t="array" ref="I45">IF(H45="X",(_xlfn.XLOOKUP($B45,Tabla1[SERVICIO],Tabla1[VALOR])*1),IF(H45&gt;=1,_xlfn.XLOOKUP($B45,Tabla1[SERVICIO],Tabla1[VALOR]*H45),0))</f>
        <v>70240.958933331596</v>
      </c>
      <c r="J45" s="77">
        <v>8</v>
      </c>
      <c r="K45" s="56" cm="1">
        <f t="array" ref="K45">IF(J45="X",(_xlfn.XLOOKUP($B45,Tabla1[SERVICIO],Tabla1[VALOR])*1),IF(J45&gt;=1,_xlfn.XLOOKUP($B45,Tabla1[SERVICIO],Tabla1[VALOR]*J45),0))</f>
        <v>70240.958933331596</v>
      </c>
      <c r="L45" s="77">
        <v>8</v>
      </c>
      <c r="M45" s="56" cm="1">
        <f t="array" ref="M45">IF(L45="X",(_xlfn.XLOOKUP($B45,Tabla1[SERVICIO],Tabla1[VALOR])*1),IF(L45&gt;=1,_xlfn.XLOOKUP($B45,Tabla1[SERVICIO],Tabla1[VALOR]*L45),0))</f>
        <v>70240.958933331596</v>
      </c>
      <c r="N45" s="77">
        <v>8</v>
      </c>
      <c r="O45" s="56" cm="1">
        <f t="array" ref="O45">IF(N45="X",(_xlfn.XLOOKUP($B45,Tabla1[SERVICIO],Tabla1[VALOR])*1),IF(N45&gt;=1,_xlfn.XLOOKUP($B45,Tabla1[SERVICIO],Tabla1[VALOR]*N45),0))</f>
        <v>70240.958933331596</v>
      </c>
      <c r="P45" s="77">
        <v>8</v>
      </c>
      <c r="Q45" s="56" cm="1">
        <f t="array" ref="Q45">IF(P45="X",(_xlfn.XLOOKUP($B45,Tabla1[SERVICIO],Tabla1[VALOR])*1),IF(P45&gt;=1,_xlfn.XLOOKUP($B45,Tabla1[SERVICIO],Tabla1[VALOR]*P45),0))</f>
        <v>70240.958933331596</v>
      </c>
      <c r="R45" s="77">
        <v>8</v>
      </c>
      <c r="S45" s="56" cm="1">
        <f t="array" ref="S45">IF(R45="X",(_xlfn.XLOOKUP($B45,Tabla1[SERVICIO],Tabla1[VALOR])*1),IF(R45&gt;=1,_xlfn.XLOOKUP($B45,Tabla1[SERVICIO],Tabla1[VALOR]*R45),0))</f>
        <v>70240.958933331596</v>
      </c>
      <c r="T45" s="77">
        <v>8</v>
      </c>
      <c r="U45" s="56" cm="1">
        <f t="array" ref="U45">IF(T45="X",(_xlfn.XLOOKUP($B45,Tabla1[SERVICIO],Tabla1[VALOR])*1),IF(T45&gt;=1,_xlfn.XLOOKUP($B45,Tabla1[SERVICIO],Tabla1[VALOR]*T45),0))</f>
        <v>70240.958933331596</v>
      </c>
      <c r="V45" s="77">
        <v>8</v>
      </c>
      <c r="W45" s="56" cm="1">
        <f t="array" ref="W45">IF(V45="X",(_xlfn.XLOOKUP($B45,Tabla1[SERVICIO],Tabla1[VALOR])*1),IF(V45&gt;=1,_xlfn.XLOOKUP($B45,Tabla1[SERVICIO],Tabla1[VALOR]*V45),0))</f>
        <v>70240.958933331596</v>
      </c>
      <c r="X45" s="77">
        <v>8</v>
      </c>
      <c r="Y45" s="56" cm="1">
        <f t="array" ref="Y45">IF(X45="X",(_xlfn.XLOOKUP($B45,Tabla1[SERVICIO],Tabla1[VALOR])*1),IF(X45&gt;=1,_xlfn.XLOOKUP($B45,Tabla1[SERVICIO],Tabla1[VALOR]*X45),0))</f>
        <v>70240.958933331596</v>
      </c>
      <c r="Z45" s="77">
        <v>8</v>
      </c>
      <c r="AA45" s="56" cm="1">
        <f t="array" ref="AA45">IF(Z45="X",(_xlfn.XLOOKUP($B45,Tabla1[SERVICIO],Tabla1[VALOR])*1),IF(Z45&gt;=1,_xlfn.XLOOKUP($B45,Tabla1[SERVICIO],Tabla1[VALOR]*Z45),0))</f>
        <v>70240.958933331596</v>
      </c>
      <c r="AB45" s="77">
        <v>8</v>
      </c>
      <c r="AC45" s="56" cm="1">
        <f t="array" ref="AC45">IF(AB45="X",(_xlfn.XLOOKUP($B45,Tabla1[SERVICIO],Tabla1[VALOR])*1),IF(AB45&gt;=1,_xlfn.XLOOKUP($B45,Tabla1[SERVICIO],Tabla1[VALOR]*AB45),0))</f>
        <v>70240.958933331596</v>
      </c>
      <c r="AD45" s="77">
        <v>8</v>
      </c>
      <c r="AE45" s="56" cm="1">
        <f t="array" ref="AE45">IF(AD45="X",(_xlfn.XLOOKUP($B45,Tabla1[SERVICIO],Tabla1[VALOR])*1),IF(AD45&gt;=1,_xlfn.XLOOKUP($B45,Tabla1[SERVICIO],Tabla1[VALOR]*AD45),0))</f>
        <v>70240.958933331596</v>
      </c>
      <c r="AF45" s="77">
        <v>8</v>
      </c>
      <c r="AG45" s="56" cm="1">
        <f t="array" ref="AG45">IF(AF45="X",(_xlfn.XLOOKUP($B45,Tabla1[SERVICIO],Tabla1[VALOR])*1),IF(AF45&gt;=1,_xlfn.XLOOKUP($B45,Tabla1[SERVICIO],Tabla1[VALOR]*AF45),0))</f>
        <v>70240.958933331596</v>
      </c>
      <c r="AH45" s="77">
        <v>8</v>
      </c>
      <c r="AI45" s="56" cm="1">
        <f t="array" ref="AI45">IF(AH45="X",(_xlfn.XLOOKUP($B45,Tabla1[SERVICIO],Tabla1[VALOR])*1),IF(AH45&gt;=1,_xlfn.XLOOKUP($B45,Tabla1[SERVICIO],Tabla1[VALOR]*AH45),0))</f>
        <v>70240.958933331596</v>
      </c>
      <c r="AJ45" s="77">
        <v>8</v>
      </c>
      <c r="AK45" s="56" cm="1">
        <f t="array" ref="AK45">IF(AJ45="X",(_xlfn.XLOOKUP($B45,Tabla1[SERVICIO],Tabla1[VALOR])*1),IF(AJ45&gt;=1,_xlfn.XLOOKUP($B45,Tabla1[SERVICIO],Tabla1[VALOR]*AJ45),0))</f>
        <v>70240.958933331596</v>
      </c>
      <c r="AL45" s="77">
        <v>8</v>
      </c>
      <c r="AM45" s="56" cm="1">
        <f t="array" ref="AM45">IF(AL45="X",(_xlfn.XLOOKUP($B45,Tabla1[SERVICIO],Tabla1[VALOR])*1),IF(AL45&gt;=1,_xlfn.XLOOKUP($B45,Tabla1[SERVICIO],Tabla1[VALOR]*AL45),0))</f>
        <v>70240.958933331596</v>
      </c>
      <c r="AN45" s="81">
        <f t="shared" si="0"/>
        <v>1194096.3018666368</v>
      </c>
      <c r="AO45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136</v>
      </c>
      <c r="AP45" s="122" t="s">
        <v>318</v>
      </c>
      <c r="AQ45" s="213">
        <v>1</v>
      </c>
      <c r="AR45" s="121">
        <f>+Tabla1122433[[#This Row],[TOTAL]]*Tabla1122433[[#This Row],[% de las personas que lo usaron]]</f>
        <v>1194096.3018666368</v>
      </c>
      <c r="AS45" s="82" t="s">
        <v>351</v>
      </c>
      <c r="AT45" s="335">
        <v>18</v>
      </c>
    </row>
    <row r="46" spans="1:46" x14ac:dyDescent="0.2">
      <c r="A46" s="7" t="s">
        <v>15</v>
      </c>
      <c r="B46" s="8" t="s">
        <v>16</v>
      </c>
      <c r="C46" s="96" t="str">
        <f>_xlfn.XLOOKUP(Tabla1122433[[#This Row],[Servicios del Programa:]],Tabla151[CODIGO],Tabla151[VALOR])</f>
        <v>Consultas</v>
      </c>
      <c r="D46" s="78">
        <v>1</v>
      </c>
      <c r="E46" s="56" cm="1">
        <f t="array" ref="E46">IF(D46="X",(_xlfn.XLOOKUP($B46,Tabla1[SERVICIO],Tabla1[VALOR])*1),IF(D46&gt;=1,_xlfn.XLOOKUP($B46,Tabla1[SERVICIO],Tabla1[VALOR]*D46),0))</f>
        <v>22052.520800552971</v>
      </c>
      <c r="F46" s="78"/>
      <c r="G46" s="56" cm="1">
        <f t="array" ref="G46">IF(F46="X",(_xlfn.XLOOKUP($B46,Tabla1[SERVICIO],Tabla1[VALOR])*1),IF(F46&gt;=1,_xlfn.XLOOKUP($B46,Tabla1[SERVICIO],Tabla1[VALOR]*F46),0))</f>
        <v>0</v>
      </c>
      <c r="H46" s="78"/>
      <c r="I46" s="56" cm="1">
        <f t="array" ref="I46">IF(H46="X",(_xlfn.XLOOKUP($B46,Tabla1[SERVICIO],Tabla1[VALOR])*1),IF(H46&gt;=1,_xlfn.XLOOKUP($B46,Tabla1[SERVICIO],Tabla1[VALOR]*H46),0))</f>
        <v>0</v>
      </c>
      <c r="J46" s="78"/>
      <c r="K46" s="56" cm="1">
        <f t="array" ref="K46">IF(J46="X",(_xlfn.XLOOKUP($B46,Tabla1[SERVICIO],Tabla1[VALOR])*1),IF(J46&gt;=1,_xlfn.XLOOKUP($B46,Tabla1[SERVICIO],Tabla1[VALOR]*J46),0))</f>
        <v>0</v>
      </c>
      <c r="L46" s="78"/>
      <c r="M46" s="56" cm="1">
        <f t="array" ref="M46">IF(L46="X",(_xlfn.XLOOKUP($B46,Tabla1[SERVICIO],Tabla1[VALOR])*1),IF(L46&gt;=1,_xlfn.XLOOKUP($B46,Tabla1[SERVICIO],Tabla1[VALOR]*L46),0))</f>
        <v>0</v>
      </c>
      <c r="N46" s="78"/>
      <c r="O46" s="56" cm="1">
        <f t="array" ref="O46">IF(N46="X",(_xlfn.XLOOKUP($B46,Tabla1[SERVICIO],Tabla1[VALOR])*1),IF(N46&gt;=1,_xlfn.XLOOKUP($B46,Tabla1[SERVICIO],Tabla1[VALOR]*N46),0))</f>
        <v>0</v>
      </c>
      <c r="P46" s="78"/>
      <c r="Q46" s="56" cm="1">
        <f t="array" ref="Q46">IF(P46="X",(_xlfn.XLOOKUP($B46,Tabla1[SERVICIO],Tabla1[VALOR])*1),IF(P46&gt;=1,_xlfn.XLOOKUP($B46,Tabla1[SERVICIO],Tabla1[VALOR]*P46),0))</f>
        <v>0</v>
      </c>
      <c r="R46" s="78"/>
      <c r="S46" s="56" cm="1">
        <f t="array" ref="S46">IF(R46="X",(_xlfn.XLOOKUP($B46,Tabla1[SERVICIO],Tabla1[VALOR])*1),IF(R46&gt;=1,_xlfn.XLOOKUP($B46,Tabla1[SERVICIO],Tabla1[VALOR]*R46),0))</f>
        <v>0</v>
      </c>
      <c r="T46" s="78"/>
      <c r="U46" s="56" cm="1">
        <f t="array" ref="U46">IF(T46="X",(_xlfn.XLOOKUP($B46,Tabla1[SERVICIO],Tabla1[VALOR])*1),IF(T46&gt;=1,_xlfn.XLOOKUP($B46,Tabla1[SERVICIO],Tabla1[VALOR]*T46),0))</f>
        <v>0</v>
      </c>
      <c r="V46" s="78"/>
      <c r="W46" s="56" cm="1">
        <f t="array" ref="W46">IF(V46="X",(_xlfn.XLOOKUP($B46,Tabla1[SERVICIO],Tabla1[VALOR])*1),IF(V46&gt;=1,_xlfn.XLOOKUP($B46,Tabla1[SERVICIO],Tabla1[VALOR]*V46),0))</f>
        <v>0</v>
      </c>
      <c r="X46" s="78"/>
      <c r="Y46" s="56" cm="1">
        <f t="array" ref="Y46">IF(X46="X",(_xlfn.XLOOKUP($B46,Tabla1[SERVICIO],Tabla1[VALOR])*1),IF(X46&gt;=1,_xlfn.XLOOKUP($B46,Tabla1[SERVICIO],Tabla1[VALOR]*X46),0))</f>
        <v>0</v>
      </c>
      <c r="Z46" s="78"/>
      <c r="AA46" s="56" cm="1">
        <f t="array" ref="AA46">IF(Z46="X",(_xlfn.XLOOKUP($B46,Tabla1[SERVICIO],Tabla1[VALOR])*1),IF(Z46&gt;=1,_xlfn.XLOOKUP($B46,Tabla1[SERVICIO],Tabla1[VALOR]*Z46),0))</f>
        <v>0</v>
      </c>
      <c r="AB46" s="78"/>
      <c r="AC46" s="56" cm="1">
        <f t="array" ref="AC46">IF(AB46="X",(_xlfn.XLOOKUP($B46,Tabla1[SERVICIO],Tabla1[VALOR])*1),IF(AB46&gt;=1,_xlfn.XLOOKUP($B46,Tabla1[SERVICIO],Tabla1[VALOR]*AB46),0))</f>
        <v>0</v>
      </c>
      <c r="AD46" s="78"/>
      <c r="AE46" s="56" cm="1">
        <f t="array" ref="AE46">IF(AD46="X",(_xlfn.XLOOKUP($B46,Tabla1[SERVICIO],Tabla1[VALOR])*1),IF(AD46&gt;=1,_xlfn.XLOOKUP($B46,Tabla1[SERVICIO],Tabla1[VALOR]*AD46),0))</f>
        <v>0</v>
      </c>
      <c r="AF46" s="78"/>
      <c r="AG46" s="56" cm="1">
        <f t="array" ref="AG46">IF(AF46="X",(_xlfn.XLOOKUP($B46,Tabla1[SERVICIO],Tabla1[VALOR])*1),IF(AF46&gt;=1,_xlfn.XLOOKUP($B46,Tabla1[SERVICIO],Tabla1[VALOR]*AF46),0))</f>
        <v>0</v>
      </c>
      <c r="AH46" s="78"/>
      <c r="AI46" s="56" cm="1">
        <f t="array" ref="AI46">IF(AH46="X",(_xlfn.XLOOKUP($B46,Tabla1[SERVICIO],Tabla1[VALOR])*1),IF(AH46&gt;=1,_xlfn.XLOOKUP($B46,Tabla1[SERVICIO],Tabla1[VALOR]*AH46),0))</f>
        <v>0</v>
      </c>
      <c r="AJ46" s="78"/>
      <c r="AK46" s="56" cm="1">
        <f t="array" ref="AK46">IF(AJ46="X",(_xlfn.XLOOKUP($B46,Tabla1[SERVICIO],Tabla1[VALOR])*1),IF(AJ46&gt;=1,_xlfn.XLOOKUP($B46,Tabla1[SERVICIO],Tabla1[VALOR]*AJ46),0))</f>
        <v>0</v>
      </c>
      <c r="AL46" s="78"/>
      <c r="AM46" s="56" cm="1">
        <f t="array" ref="AM46">IF(AL46="X",(_xlfn.XLOOKUP($B46,Tabla1[SERVICIO],Tabla1[VALOR])*1),IF(AL46&gt;=1,_xlfn.XLOOKUP($B46,Tabla1[SERVICIO],Tabla1[VALOR]*AL46),0))</f>
        <v>0</v>
      </c>
      <c r="AN46" s="81">
        <f t="shared" si="0"/>
        <v>22052.520800552971</v>
      </c>
      <c r="AO46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6" s="122" t="s">
        <v>318</v>
      </c>
      <c r="AQ46" s="213">
        <v>0.27828348504551365</v>
      </c>
      <c r="AR46" s="121">
        <f>+Tabla1122433[[#This Row],[TOTAL]]*Tabla1122433[[#This Row],[% de las personas que lo usaron]]</f>
        <v>6136.8523424165614</v>
      </c>
      <c r="AS46" s="82" t="s">
        <v>351</v>
      </c>
      <c r="AT46" s="335">
        <v>18</v>
      </c>
    </row>
    <row r="47" spans="1:46" x14ac:dyDescent="0.2">
      <c r="A47" s="7" t="s">
        <v>17</v>
      </c>
      <c r="B47" s="8" t="s">
        <v>18</v>
      </c>
      <c r="C47" s="96" t="str">
        <f>_xlfn.XLOOKUP(Tabla1122433[[#This Row],[Servicios del Programa:]],Tabla151[CODIGO],Tabla151[VALOR])</f>
        <v>Consultas</v>
      </c>
      <c r="D47" s="78">
        <v>1</v>
      </c>
      <c r="E47" s="56" cm="1">
        <f t="array" ref="E47">IF(D47="X",(_xlfn.XLOOKUP($B47,Tabla1[SERVICIO],Tabla1[VALOR])*1),IF(D47&gt;=1,_xlfn.XLOOKUP($B47,Tabla1[SERVICIO],Tabla1[VALOR]*D47),0))</f>
        <v>20414.75585737115</v>
      </c>
      <c r="F47" s="78"/>
      <c r="G47" s="56" cm="1">
        <f t="array" ref="G47">IF(F47="X",(_xlfn.XLOOKUP($B47,Tabla1[SERVICIO],Tabla1[VALOR])*1),IF(F47&gt;=1,_xlfn.XLOOKUP($B47,Tabla1[SERVICIO],Tabla1[VALOR]*F47),0))</f>
        <v>0</v>
      </c>
      <c r="H47" s="78"/>
      <c r="I47" s="56" cm="1">
        <f t="array" ref="I47">IF(H47="X",(_xlfn.XLOOKUP($B47,Tabla1[SERVICIO],Tabla1[VALOR])*1),IF(H47&gt;=1,_xlfn.XLOOKUP($B47,Tabla1[SERVICIO],Tabla1[VALOR]*H47),0))</f>
        <v>0</v>
      </c>
      <c r="J47" s="78"/>
      <c r="K47" s="56" cm="1">
        <f t="array" ref="K47">IF(J47="X",(_xlfn.XLOOKUP($B47,Tabla1[SERVICIO],Tabla1[VALOR])*1),IF(J47&gt;=1,_xlfn.XLOOKUP($B47,Tabla1[SERVICIO],Tabla1[VALOR]*J47),0))</f>
        <v>0</v>
      </c>
      <c r="L47" s="78"/>
      <c r="M47" s="56" cm="1">
        <f t="array" ref="M47">IF(L47="X",(_xlfn.XLOOKUP($B47,Tabla1[SERVICIO],Tabla1[VALOR])*1),IF(L47&gt;=1,_xlfn.XLOOKUP($B47,Tabla1[SERVICIO],Tabla1[VALOR]*L47),0))</f>
        <v>0</v>
      </c>
      <c r="N47" s="78"/>
      <c r="O47" s="56" cm="1">
        <f t="array" ref="O47">IF(N47="X",(_xlfn.XLOOKUP($B47,Tabla1[SERVICIO],Tabla1[VALOR])*1),IF(N47&gt;=1,_xlfn.XLOOKUP($B47,Tabla1[SERVICIO],Tabla1[VALOR]*N47),0))</f>
        <v>0</v>
      </c>
      <c r="P47" s="78"/>
      <c r="Q47" s="56" cm="1">
        <f t="array" ref="Q47">IF(P47="X",(_xlfn.XLOOKUP($B47,Tabla1[SERVICIO],Tabla1[VALOR])*1),IF(P47&gt;=1,_xlfn.XLOOKUP($B47,Tabla1[SERVICIO],Tabla1[VALOR]*P47),0))</f>
        <v>0</v>
      </c>
      <c r="R47" s="78"/>
      <c r="S47" s="56" cm="1">
        <f t="array" ref="S47">IF(R47="X",(_xlfn.XLOOKUP($B47,Tabla1[SERVICIO],Tabla1[VALOR])*1),IF(R47&gt;=1,_xlfn.XLOOKUP($B47,Tabla1[SERVICIO],Tabla1[VALOR]*R47),0))</f>
        <v>0</v>
      </c>
      <c r="T47" s="78"/>
      <c r="U47" s="56" cm="1">
        <f t="array" ref="U47">IF(T47="X",(_xlfn.XLOOKUP($B47,Tabla1[SERVICIO],Tabla1[VALOR])*1),IF(T47&gt;=1,_xlfn.XLOOKUP($B47,Tabla1[SERVICIO],Tabla1[VALOR]*T47),0))</f>
        <v>0</v>
      </c>
      <c r="V47" s="78"/>
      <c r="W47" s="56" cm="1">
        <f t="array" ref="W47">IF(V47="X",(_xlfn.XLOOKUP($B47,Tabla1[SERVICIO],Tabla1[VALOR])*1),IF(V47&gt;=1,_xlfn.XLOOKUP($B47,Tabla1[SERVICIO],Tabla1[VALOR]*V47),0))</f>
        <v>0</v>
      </c>
      <c r="X47" s="78"/>
      <c r="Y47" s="56" cm="1">
        <f t="array" ref="Y47">IF(X47="X",(_xlfn.XLOOKUP($B47,Tabla1[SERVICIO],Tabla1[VALOR])*1),IF(X47&gt;=1,_xlfn.XLOOKUP($B47,Tabla1[SERVICIO],Tabla1[VALOR]*X47),0))</f>
        <v>0</v>
      </c>
      <c r="Z47" s="78"/>
      <c r="AA47" s="56" cm="1">
        <f t="array" ref="AA47">IF(Z47="X",(_xlfn.XLOOKUP($B47,Tabla1[SERVICIO],Tabla1[VALOR])*1),IF(Z47&gt;=1,_xlfn.XLOOKUP($B47,Tabla1[SERVICIO],Tabla1[VALOR]*Z47),0))</f>
        <v>0</v>
      </c>
      <c r="AB47" s="78"/>
      <c r="AC47" s="56" cm="1">
        <f t="array" ref="AC47">IF(AB47="X",(_xlfn.XLOOKUP($B47,Tabla1[SERVICIO],Tabla1[VALOR])*1),IF(AB47&gt;=1,_xlfn.XLOOKUP($B47,Tabla1[SERVICIO],Tabla1[VALOR]*AB47),0))</f>
        <v>0</v>
      </c>
      <c r="AD47" s="78"/>
      <c r="AE47" s="56" cm="1">
        <f t="array" ref="AE47">IF(AD47="X",(_xlfn.XLOOKUP($B47,Tabla1[SERVICIO],Tabla1[VALOR])*1),IF(AD47&gt;=1,_xlfn.XLOOKUP($B47,Tabla1[SERVICIO],Tabla1[VALOR]*AD47),0))</f>
        <v>0</v>
      </c>
      <c r="AF47" s="78"/>
      <c r="AG47" s="56" cm="1">
        <f t="array" ref="AG47">IF(AF47="X",(_xlfn.XLOOKUP($B47,Tabla1[SERVICIO],Tabla1[VALOR])*1),IF(AF47&gt;=1,_xlfn.XLOOKUP($B47,Tabla1[SERVICIO],Tabla1[VALOR]*AF47),0))</f>
        <v>0</v>
      </c>
      <c r="AH47" s="78"/>
      <c r="AI47" s="56" cm="1">
        <f t="array" ref="AI47">IF(AH47="X",(_xlfn.XLOOKUP($B47,Tabla1[SERVICIO],Tabla1[VALOR])*1),IF(AH47&gt;=1,_xlfn.XLOOKUP($B47,Tabla1[SERVICIO],Tabla1[VALOR]*AH47),0))</f>
        <v>0</v>
      </c>
      <c r="AJ47" s="78"/>
      <c r="AK47" s="56" cm="1">
        <f t="array" ref="AK47">IF(AJ47="X",(_xlfn.XLOOKUP($B47,Tabla1[SERVICIO],Tabla1[VALOR])*1),IF(AJ47&gt;=1,_xlfn.XLOOKUP($B47,Tabla1[SERVICIO],Tabla1[VALOR]*AJ47),0))</f>
        <v>0</v>
      </c>
      <c r="AL47" s="78"/>
      <c r="AM47" s="56" cm="1">
        <f t="array" ref="AM47">IF(AL47="X",(_xlfn.XLOOKUP($B47,Tabla1[SERVICIO],Tabla1[VALOR])*1),IF(AL47&gt;=1,_xlfn.XLOOKUP($B47,Tabla1[SERVICIO],Tabla1[VALOR]*AL47),0))</f>
        <v>0</v>
      </c>
      <c r="AN47" s="81">
        <f t="shared" si="0"/>
        <v>20414.75585737115</v>
      </c>
      <c r="AO47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7" s="122" t="s">
        <v>318</v>
      </c>
      <c r="AQ47" s="213">
        <v>0.2503250975292588</v>
      </c>
      <c r="AR47" s="121">
        <f>+Tabla1122433[[#This Row],[TOTAL]]*Tabla1122433[[#This Row],[% de las personas que lo usaron]]</f>
        <v>5110.3257510324402</v>
      </c>
      <c r="AS47" s="82" t="s">
        <v>351</v>
      </c>
      <c r="AT47" s="335">
        <v>18</v>
      </c>
    </row>
    <row r="48" spans="1:46" x14ac:dyDescent="0.2">
      <c r="A48" s="7" t="s">
        <v>19</v>
      </c>
      <c r="B48" s="8" t="s">
        <v>20</v>
      </c>
      <c r="C48" s="96" t="str">
        <f>_xlfn.XLOOKUP(Tabla1122433[[#This Row],[Servicios del Programa:]],Tabla151[CODIGO],Tabla151[VALOR])</f>
        <v>Consultas</v>
      </c>
      <c r="D48" s="77">
        <v>1</v>
      </c>
      <c r="E48" s="56" cm="1">
        <f t="array" ref="E48">IF(D48="X",(_xlfn.XLOOKUP($B48,Tabla1[SERVICIO],Tabla1[VALOR])*1),IF(D48&gt;=1,_xlfn.XLOOKUP($B48,Tabla1[SERVICIO],Tabla1[VALOR]*D48),0))</f>
        <v>67398.098568534639</v>
      </c>
      <c r="F48" s="77"/>
      <c r="G48" s="56" cm="1">
        <f t="array" ref="G48">IF(F48="X",(_xlfn.XLOOKUP($B48,Tabla1[SERVICIO],Tabla1[VALOR])*1),IF(F48&gt;=1,_xlfn.XLOOKUP($B48,Tabla1[SERVICIO],Tabla1[VALOR]*F48),0))</f>
        <v>0</v>
      </c>
      <c r="H48" s="77"/>
      <c r="I48" s="56" cm="1">
        <f t="array" ref="I48">IF(H48="X",(_xlfn.XLOOKUP($B48,Tabla1[SERVICIO],Tabla1[VALOR])*1),IF(H48&gt;=1,_xlfn.XLOOKUP($B48,Tabla1[SERVICIO],Tabla1[VALOR]*H48),0))</f>
        <v>0</v>
      </c>
      <c r="J48" s="77"/>
      <c r="K48" s="56" cm="1">
        <f t="array" ref="K48">IF(J48="X",(_xlfn.XLOOKUP($B48,Tabla1[SERVICIO],Tabla1[VALOR])*1),IF(J48&gt;=1,_xlfn.XLOOKUP($B48,Tabla1[SERVICIO],Tabla1[VALOR]*J48),0))</f>
        <v>0</v>
      </c>
      <c r="L48" s="77"/>
      <c r="M48" s="56" cm="1">
        <f t="array" ref="M48">IF(L48="X",(_xlfn.XLOOKUP($B48,Tabla1[SERVICIO],Tabla1[VALOR])*1),IF(L48&gt;=1,_xlfn.XLOOKUP($B48,Tabla1[SERVICIO],Tabla1[VALOR]*L48),0))</f>
        <v>0</v>
      </c>
      <c r="N48" s="77"/>
      <c r="O48" s="56" cm="1">
        <f t="array" ref="O48">IF(N48="X",(_xlfn.XLOOKUP($B48,Tabla1[SERVICIO],Tabla1[VALOR])*1),IF(N48&gt;=1,_xlfn.XLOOKUP($B48,Tabla1[SERVICIO],Tabla1[VALOR]*N48),0))</f>
        <v>0</v>
      </c>
      <c r="P48" s="77"/>
      <c r="Q48" s="56" cm="1">
        <f t="array" ref="Q48">IF(P48="X",(_xlfn.XLOOKUP($B48,Tabla1[SERVICIO],Tabla1[VALOR])*1),IF(P48&gt;=1,_xlfn.XLOOKUP($B48,Tabla1[SERVICIO],Tabla1[VALOR]*P48),0))</f>
        <v>0</v>
      </c>
      <c r="R48" s="77"/>
      <c r="S48" s="56" cm="1">
        <f t="array" ref="S48">IF(R48="X",(_xlfn.XLOOKUP($B48,Tabla1[SERVICIO],Tabla1[VALOR])*1),IF(R48&gt;=1,_xlfn.XLOOKUP($B48,Tabla1[SERVICIO],Tabla1[VALOR]*R48),0))</f>
        <v>0</v>
      </c>
      <c r="T48" s="77"/>
      <c r="U48" s="56" cm="1">
        <f t="array" ref="U48">IF(T48="X",(_xlfn.XLOOKUP($B48,Tabla1[SERVICIO],Tabla1[VALOR])*1),IF(T48&gt;=1,_xlfn.XLOOKUP($B48,Tabla1[SERVICIO],Tabla1[VALOR]*T48),0))</f>
        <v>0</v>
      </c>
      <c r="V48" s="77"/>
      <c r="W48" s="56" cm="1">
        <f t="array" ref="W48">IF(V48="X",(_xlfn.XLOOKUP($B48,Tabla1[SERVICIO],Tabla1[VALOR])*1),IF(V48&gt;=1,_xlfn.XLOOKUP($B48,Tabla1[SERVICIO],Tabla1[VALOR]*V48),0))</f>
        <v>0</v>
      </c>
      <c r="X48" s="77"/>
      <c r="Y48" s="56" cm="1">
        <f t="array" ref="Y48">IF(X48="X",(_xlfn.XLOOKUP($B48,Tabla1[SERVICIO],Tabla1[VALOR])*1),IF(X48&gt;=1,_xlfn.XLOOKUP($B48,Tabla1[SERVICIO],Tabla1[VALOR]*X48),0))</f>
        <v>0</v>
      </c>
      <c r="Z48" s="77"/>
      <c r="AA48" s="56" cm="1">
        <f t="array" ref="AA48">IF(Z48="X",(_xlfn.XLOOKUP($B48,Tabla1[SERVICIO],Tabla1[VALOR])*1),IF(Z48&gt;=1,_xlfn.XLOOKUP($B48,Tabla1[SERVICIO],Tabla1[VALOR]*Z48),0))</f>
        <v>0</v>
      </c>
      <c r="AB48" s="77"/>
      <c r="AC48" s="56" cm="1">
        <f t="array" ref="AC48">IF(AB48="X",(_xlfn.XLOOKUP($B48,Tabla1[SERVICIO],Tabla1[VALOR])*1),IF(AB48&gt;=1,_xlfn.XLOOKUP($B48,Tabla1[SERVICIO],Tabla1[VALOR]*AB48),0))</f>
        <v>0</v>
      </c>
      <c r="AD48" s="77"/>
      <c r="AE48" s="56" cm="1">
        <f t="array" ref="AE48">IF(AD48="X",(_xlfn.XLOOKUP($B48,Tabla1[SERVICIO],Tabla1[VALOR])*1),IF(AD48&gt;=1,_xlfn.XLOOKUP($B48,Tabla1[SERVICIO],Tabla1[VALOR]*AD48),0))</f>
        <v>0</v>
      </c>
      <c r="AF48" s="77"/>
      <c r="AG48" s="56" cm="1">
        <f t="array" ref="AG48">IF(AF48="X",(_xlfn.XLOOKUP($B48,Tabla1[SERVICIO],Tabla1[VALOR])*1),IF(AF48&gt;=1,_xlfn.XLOOKUP($B48,Tabla1[SERVICIO],Tabla1[VALOR]*AF48),0))</f>
        <v>0</v>
      </c>
      <c r="AH48" s="77"/>
      <c r="AI48" s="56" cm="1">
        <f t="array" ref="AI48">IF(AH48="X",(_xlfn.XLOOKUP($B48,Tabla1[SERVICIO],Tabla1[VALOR])*1),IF(AH48&gt;=1,_xlfn.XLOOKUP($B48,Tabla1[SERVICIO],Tabla1[VALOR]*AH48),0))</f>
        <v>0</v>
      </c>
      <c r="AJ48" s="77"/>
      <c r="AK48" s="56" cm="1">
        <f t="array" ref="AK48">IF(AJ48="X",(_xlfn.XLOOKUP($B48,Tabla1[SERVICIO],Tabla1[VALOR])*1),IF(AJ48&gt;=1,_xlfn.XLOOKUP($B48,Tabla1[SERVICIO],Tabla1[VALOR]*AJ48),0))</f>
        <v>0</v>
      </c>
      <c r="AL48" s="77"/>
      <c r="AM48" s="56" cm="1">
        <f t="array" ref="AM48">IF(AL48="X",(_xlfn.XLOOKUP($B48,Tabla1[SERVICIO],Tabla1[VALOR])*1),IF(AL48&gt;=1,_xlfn.XLOOKUP($B48,Tabla1[SERVICIO],Tabla1[VALOR]*AL48),0))</f>
        <v>0</v>
      </c>
      <c r="AN48" s="81">
        <f t="shared" si="0"/>
        <v>67398.098568534639</v>
      </c>
      <c r="AO48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8" s="122" t="s">
        <v>319</v>
      </c>
      <c r="AQ48" s="127">
        <v>0.10858257477243173</v>
      </c>
      <c r="AR48" s="121">
        <f>+Tabla1122433[[#This Row],[TOTAL]]*Tabla1122433[[#This Row],[% de las personas que lo usaron]]</f>
        <v>7318.259077337636</v>
      </c>
      <c r="AS48" s="82" t="s">
        <v>351</v>
      </c>
      <c r="AT48" s="335">
        <v>18</v>
      </c>
    </row>
    <row r="49" spans="1:46" x14ac:dyDescent="0.2">
      <c r="A49" s="7" t="s">
        <v>21</v>
      </c>
      <c r="B49" s="8" t="s">
        <v>221</v>
      </c>
      <c r="C49" s="96" t="str">
        <f>_xlfn.XLOOKUP(Tabla1122433[[#This Row],[Servicios del Programa:]],Tabla151[CODIGO],Tabla151[VALOR])</f>
        <v>Consultas</v>
      </c>
      <c r="D49" s="77">
        <v>1</v>
      </c>
      <c r="E49" s="56" cm="1">
        <f t="array" ref="E49">IF(D49="X",(_xlfn.XLOOKUP($B49,Tabla1[SERVICIO],Tabla1[VALOR])*1),IF(D49&gt;=1,_xlfn.XLOOKUP($B49,Tabla1[SERVICIO],Tabla1[VALOR]*D49),0))</f>
        <v>67398.098568534639</v>
      </c>
      <c r="F49" s="77"/>
      <c r="G49" s="56" cm="1">
        <f t="array" ref="G49">IF(F49="X",(_xlfn.XLOOKUP($B49,Tabla1[SERVICIO],Tabla1[VALOR])*1),IF(F49&gt;=1,_xlfn.XLOOKUP($B49,Tabla1[SERVICIO],Tabla1[VALOR]*F49),0))</f>
        <v>0</v>
      </c>
      <c r="H49" s="77"/>
      <c r="I49" s="56" cm="1">
        <f t="array" ref="I49">IF(H49="X",(_xlfn.XLOOKUP($B49,Tabla1[SERVICIO],Tabla1[VALOR])*1),IF(H49&gt;=1,_xlfn.XLOOKUP($B49,Tabla1[SERVICIO],Tabla1[VALOR]*H49),0))</f>
        <v>0</v>
      </c>
      <c r="J49" s="77"/>
      <c r="K49" s="56" cm="1">
        <f t="array" ref="K49">IF(J49="X",(_xlfn.XLOOKUP($B49,Tabla1[SERVICIO],Tabla1[VALOR])*1),IF(J49&gt;=1,_xlfn.XLOOKUP($B49,Tabla1[SERVICIO],Tabla1[VALOR]*J49),0))</f>
        <v>0</v>
      </c>
      <c r="L49" s="77"/>
      <c r="M49" s="56" cm="1">
        <f t="array" ref="M49">IF(L49="X",(_xlfn.XLOOKUP($B49,Tabla1[SERVICIO],Tabla1[VALOR])*1),IF(L49&gt;=1,_xlfn.XLOOKUP($B49,Tabla1[SERVICIO],Tabla1[VALOR]*L49),0))</f>
        <v>0</v>
      </c>
      <c r="N49" s="77"/>
      <c r="O49" s="56" cm="1">
        <f t="array" ref="O49">IF(N49="X",(_xlfn.XLOOKUP($B49,Tabla1[SERVICIO],Tabla1[VALOR])*1),IF(N49&gt;=1,_xlfn.XLOOKUP($B49,Tabla1[SERVICIO],Tabla1[VALOR]*N49),0))</f>
        <v>0</v>
      </c>
      <c r="P49" s="77"/>
      <c r="Q49" s="56" cm="1">
        <f t="array" ref="Q49">IF(P49="X",(_xlfn.XLOOKUP($B49,Tabla1[SERVICIO],Tabla1[VALOR])*1),IF(P49&gt;=1,_xlfn.XLOOKUP($B49,Tabla1[SERVICIO],Tabla1[VALOR]*P49),0))</f>
        <v>0</v>
      </c>
      <c r="R49" s="77"/>
      <c r="S49" s="56" cm="1">
        <f t="array" ref="S49">IF(R49="X",(_xlfn.XLOOKUP($B49,Tabla1[SERVICIO],Tabla1[VALOR])*1),IF(R49&gt;=1,_xlfn.XLOOKUP($B49,Tabla1[SERVICIO],Tabla1[VALOR]*R49),0))</f>
        <v>0</v>
      </c>
      <c r="T49" s="77"/>
      <c r="U49" s="56" cm="1">
        <f t="array" ref="U49">IF(T49="X",(_xlfn.XLOOKUP($B49,Tabla1[SERVICIO],Tabla1[VALOR])*1),IF(T49&gt;=1,_xlfn.XLOOKUP($B49,Tabla1[SERVICIO],Tabla1[VALOR]*T49),0))</f>
        <v>0</v>
      </c>
      <c r="V49" s="77"/>
      <c r="W49" s="56" cm="1">
        <f t="array" ref="W49">IF(V49="X",(_xlfn.XLOOKUP($B49,Tabla1[SERVICIO],Tabla1[VALOR])*1),IF(V49&gt;=1,_xlfn.XLOOKUP($B49,Tabla1[SERVICIO],Tabla1[VALOR]*V49),0))</f>
        <v>0</v>
      </c>
      <c r="X49" s="77"/>
      <c r="Y49" s="56" cm="1">
        <f t="array" ref="Y49">IF(X49="X",(_xlfn.XLOOKUP($B49,Tabla1[SERVICIO],Tabla1[VALOR])*1),IF(X49&gt;=1,_xlfn.XLOOKUP($B49,Tabla1[SERVICIO],Tabla1[VALOR]*X49),0))</f>
        <v>0</v>
      </c>
      <c r="Z49" s="77"/>
      <c r="AA49" s="56" cm="1">
        <f t="array" ref="AA49">IF(Z49="X",(_xlfn.XLOOKUP($B49,Tabla1[SERVICIO],Tabla1[VALOR])*1),IF(Z49&gt;=1,_xlfn.XLOOKUP($B49,Tabla1[SERVICIO],Tabla1[VALOR]*Z49),0))</f>
        <v>0</v>
      </c>
      <c r="AB49" s="77"/>
      <c r="AC49" s="56" cm="1">
        <f t="array" ref="AC49">IF(AB49="X",(_xlfn.XLOOKUP($B49,Tabla1[SERVICIO],Tabla1[VALOR])*1),IF(AB49&gt;=1,_xlfn.XLOOKUP($B49,Tabla1[SERVICIO],Tabla1[VALOR]*AB49),0))</f>
        <v>0</v>
      </c>
      <c r="AD49" s="77"/>
      <c r="AE49" s="56" cm="1">
        <f t="array" ref="AE49">IF(AD49="X",(_xlfn.XLOOKUP($B49,Tabla1[SERVICIO],Tabla1[VALOR])*1),IF(AD49&gt;=1,_xlfn.XLOOKUP($B49,Tabla1[SERVICIO],Tabla1[VALOR]*AD49),0))</f>
        <v>0</v>
      </c>
      <c r="AF49" s="77"/>
      <c r="AG49" s="56" cm="1">
        <f t="array" ref="AG49">IF(AF49="X",(_xlfn.XLOOKUP($B49,Tabla1[SERVICIO],Tabla1[VALOR])*1),IF(AF49&gt;=1,_xlfn.XLOOKUP($B49,Tabla1[SERVICIO],Tabla1[VALOR]*AF49),0))</f>
        <v>0</v>
      </c>
      <c r="AH49" s="77"/>
      <c r="AI49" s="56" cm="1">
        <f t="array" ref="AI49">IF(AH49="X",(_xlfn.XLOOKUP($B49,Tabla1[SERVICIO],Tabla1[VALOR])*1),IF(AH49&gt;=1,_xlfn.XLOOKUP($B49,Tabla1[SERVICIO],Tabla1[VALOR]*AH49),0))</f>
        <v>0</v>
      </c>
      <c r="AJ49" s="77"/>
      <c r="AK49" s="56" cm="1">
        <f t="array" ref="AK49">IF(AJ49="X",(_xlfn.XLOOKUP($B49,Tabla1[SERVICIO],Tabla1[VALOR])*1),IF(AJ49&gt;=1,_xlfn.XLOOKUP($B49,Tabla1[SERVICIO],Tabla1[VALOR]*AJ49),0))</f>
        <v>0</v>
      </c>
      <c r="AL49" s="77"/>
      <c r="AM49" s="56" cm="1">
        <f t="array" ref="AM49">IF(AL49="X",(_xlfn.XLOOKUP($B49,Tabla1[SERVICIO],Tabla1[VALOR])*1),IF(AL49&gt;=1,_xlfn.XLOOKUP($B49,Tabla1[SERVICIO],Tabla1[VALOR]*AL49),0))</f>
        <v>0</v>
      </c>
      <c r="AN49" s="81">
        <f t="shared" si="0"/>
        <v>67398.098568534639</v>
      </c>
      <c r="AO49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9" s="122" t="s">
        <v>319</v>
      </c>
      <c r="AQ49" s="127">
        <v>1.0461638491547465</v>
      </c>
      <c r="AR49" s="121">
        <f>+Tabla1122433[[#This Row],[TOTAL]]*Tabla1122433[[#This Row],[% de las personas que lo usaron]]</f>
        <v>70509.454224169211</v>
      </c>
      <c r="AS49" s="82" t="s">
        <v>351</v>
      </c>
      <c r="AT49" s="335">
        <v>18</v>
      </c>
    </row>
    <row r="50" spans="1:46" x14ac:dyDescent="0.2">
      <c r="A50" s="7" t="s">
        <v>32</v>
      </c>
      <c r="B50" s="8" t="s">
        <v>103</v>
      </c>
      <c r="C50" s="96" t="str">
        <f>_xlfn.XLOOKUP(Tabla1122433[[#This Row],[Servicios del Programa:]],Tabla151[CODIGO],Tabla151[VALOR])</f>
        <v>Consultas</v>
      </c>
      <c r="D50" s="77">
        <v>1</v>
      </c>
      <c r="E50" s="56" cm="1">
        <f t="array" ref="E50">IF(D50="X",(_xlfn.XLOOKUP($B50,Tabla1[SERVICIO],Tabla1[VALOR])*1),IF(D50&gt;=1,_xlfn.XLOOKUP($B50,Tabla1[SERVICIO],Tabla1[VALOR]*D50),0))</f>
        <v>24009.730401318589</v>
      </c>
      <c r="F50" s="77"/>
      <c r="G50" s="56" cm="1">
        <f t="array" ref="G50">IF(F50="X",(_xlfn.XLOOKUP($B50,Tabla1[SERVICIO],Tabla1[VALOR])*1),IF(F50&gt;=1,_xlfn.XLOOKUP($B50,Tabla1[SERVICIO],Tabla1[VALOR]*F50),0))</f>
        <v>0</v>
      </c>
      <c r="H50" s="77"/>
      <c r="I50" s="56" cm="1">
        <f t="array" ref="I50">IF(H50="X",(_xlfn.XLOOKUP($B50,Tabla1[SERVICIO],Tabla1[VALOR])*1),IF(H50&gt;=1,_xlfn.XLOOKUP($B50,Tabla1[SERVICIO],Tabla1[VALOR]*H50),0))</f>
        <v>0</v>
      </c>
      <c r="J50" s="77"/>
      <c r="K50" s="56" cm="1">
        <f t="array" ref="K50">IF(J50="X",(_xlfn.XLOOKUP($B50,Tabla1[SERVICIO],Tabla1[VALOR])*1),IF(J50&gt;=1,_xlfn.XLOOKUP($B50,Tabla1[SERVICIO],Tabla1[VALOR]*J50),0))</f>
        <v>0</v>
      </c>
      <c r="L50" s="77"/>
      <c r="M50" s="56" cm="1">
        <f t="array" ref="M50">IF(L50="X",(_xlfn.XLOOKUP($B50,Tabla1[SERVICIO],Tabla1[VALOR])*1),IF(L50&gt;=1,_xlfn.XLOOKUP($B50,Tabla1[SERVICIO],Tabla1[VALOR]*L50),0))</f>
        <v>0</v>
      </c>
      <c r="N50" s="77"/>
      <c r="O50" s="56" cm="1">
        <f t="array" ref="O50">IF(N50="X",(_xlfn.XLOOKUP($B50,Tabla1[SERVICIO],Tabla1[VALOR])*1),IF(N50&gt;=1,_xlfn.XLOOKUP($B50,Tabla1[SERVICIO],Tabla1[VALOR]*N50),0))</f>
        <v>0</v>
      </c>
      <c r="P50" s="77"/>
      <c r="Q50" s="56" cm="1">
        <f t="array" ref="Q50">IF(P50="X",(_xlfn.XLOOKUP($B50,Tabla1[SERVICIO],Tabla1[VALOR])*1),IF(P50&gt;=1,_xlfn.XLOOKUP($B50,Tabla1[SERVICIO],Tabla1[VALOR]*P50),0))</f>
        <v>0</v>
      </c>
      <c r="R50" s="77"/>
      <c r="S50" s="56" cm="1">
        <f t="array" ref="S50">IF(R50="X",(_xlfn.XLOOKUP($B50,Tabla1[SERVICIO],Tabla1[VALOR])*1),IF(R50&gt;=1,_xlfn.XLOOKUP($B50,Tabla1[SERVICIO],Tabla1[VALOR]*R50),0))</f>
        <v>0</v>
      </c>
      <c r="T50" s="77"/>
      <c r="U50" s="56" cm="1">
        <f t="array" ref="U50">IF(T50="X",(_xlfn.XLOOKUP($B50,Tabla1[SERVICIO],Tabla1[VALOR])*1),IF(T50&gt;=1,_xlfn.XLOOKUP($B50,Tabla1[SERVICIO],Tabla1[VALOR]*T50),0))</f>
        <v>0</v>
      </c>
      <c r="V50" s="77"/>
      <c r="W50" s="56" cm="1">
        <f t="array" ref="W50">IF(V50="X",(_xlfn.XLOOKUP($B50,Tabla1[SERVICIO],Tabla1[VALOR])*1),IF(V50&gt;=1,_xlfn.XLOOKUP($B50,Tabla1[SERVICIO],Tabla1[VALOR]*V50),0))</f>
        <v>0</v>
      </c>
      <c r="X50" s="77"/>
      <c r="Y50" s="56" cm="1">
        <f t="array" ref="Y50">IF(X50="X",(_xlfn.XLOOKUP($B50,Tabla1[SERVICIO],Tabla1[VALOR])*1),IF(X50&gt;=1,_xlfn.XLOOKUP($B50,Tabla1[SERVICIO],Tabla1[VALOR]*X50),0))</f>
        <v>0</v>
      </c>
      <c r="Z50" s="77"/>
      <c r="AA50" s="56" cm="1">
        <f t="array" ref="AA50">IF(Z50="X",(_xlfn.XLOOKUP($B50,Tabla1[SERVICIO],Tabla1[VALOR])*1),IF(Z50&gt;=1,_xlfn.XLOOKUP($B50,Tabla1[SERVICIO],Tabla1[VALOR]*Z50),0))</f>
        <v>0</v>
      </c>
      <c r="AB50" s="77"/>
      <c r="AC50" s="56" cm="1">
        <f t="array" ref="AC50">IF(AB50="X",(_xlfn.XLOOKUP($B50,Tabla1[SERVICIO],Tabla1[VALOR])*1),IF(AB50&gt;=1,_xlfn.XLOOKUP($B50,Tabla1[SERVICIO],Tabla1[VALOR]*AB50),0))</f>
        <v>0</v>
      </c>
      <c r="AD50" s="77"/>
      <c r="AE50" s="56" cm="1">
        <f t="array" ref="AE50">IF(AD50="X",(_xlfn.XLOOKUP($B50,Tabla1[SERVICIO],Tabla1[VALOR])*1),IF(AD50&gt;=1,_xlfn.XLOOKUP($B50,Tabla1[SERVICIO],Tabla1[VALOR]*AD50),0))</f>
        <v>0</v>
      </c>
      <c r="AF50" s="77"/>
      <c r="AG50" s="56" cm="1">
        <f t="array" ref="AG50">IF(AF50="X",(_xlfn.XLOOKUP($B50,Tabla1[SERVICIO],Tabla1[VALOR])*1),IF(AF50&gt;=1,_xlfn.XLOOKUP($B50,Tabla1[SERVICIO],Tabla1[VALOR]*AF50),0))</f>
        <v>0</v>
      </c>
      <c r="AH50" s="77"/>
      <c r="AI50" s="56" cm="1">
        <f t="array" ref="AI50">IF(AH50="X",(_xlfn.XLOOKUP($B50,Tabla1[SERVICIO],Tabla1[VALOR])*1),IF(AH50&gt;=1,_xlfn.XLOOKUP($B50,Tabla1[SERVICIO],Tabla1[VALOR]*AH50),0))</f>
        <v>0</v>
      </c>
      <c r="AJ50" s="77"/>
      <c r="AK50" s="56" cm="1">
        <f t="array" ref="AK50">IF(AJ50="X",(_xlfn.XLOOKUP($B50,Tabla1[SERVICIO],Tabla1[VALOR])*1),IF(AJ50&gt;=1,_xlfn.XLOOKUP($B50,Tabla1[SERVICIO],Tabla1[VALOR]*AJ50),0))</f>
        <v>0</v>
      </c>
      <c r="AL50" s="77"/>
      <c r="AM50" s="56" cm="1">
        <f t="array" ref="AM50">IF(AL50="X",(_xlfn.XLOOKUP($B50,Tabla1[SERVICIO],Tabla1[VALOR])*1),IF(AL50&gt;=1,_xlfn.XLOOKUP($B50,Tabla1[SERVICIO],Tabla1[VALOR]*AL50),0))</f>
        <v>0</v>
      </c>
      <c r="AN50" s="81">
        <f t="shared" si="0"/>
        <v>24009.730401318589</v>
      </c>
      <c r="AO50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0" s="122" t="s">
        <v>319</v>
      </c>
      <c r="AQ50" s="127">
        <v>6.5019505851755528E-4</v>
      </c>
      <c r="AR50" s="121">
        <f>+Tabla1122433[[#This Row],[TOTAL]]*Tabla1122433[[#This Row],[% de las personas que lo usaron]]</f>
        <v>15.611008063276067</v>
      </c>
      <c r="AS50" s="82" t="s">
        <v>351</v>
      </c>
      <c r="AT50" s="335">
        <v>18</v>
      </c>
    </row>
    <row r="51" spans="1:46" x14ac:dyDescent="0.2">
      <c r="A51" s="7" t="s">
        <v>34</v>
      </c>
      <c r="B51" s="8" t="s">
        <v>35</v>
      </c>
      <c r="C51" s="96" t="str">
        <f>_xlfn.XLOOKUP(Tabla1122433[[#This Row],[Servicios del Programa:]],Tabla151[CODIGO],Tabla151[VALOR])</f>
        <v>Consultas</v>
      </c>
      <c r="D51" s="77">
        <v>1</v>
      </c>
      <c r="E51" s="56" cm="1">
        <f t="array" ref="E51">IF(D51="X",(_xlfn.XLOOKUP($B51,Tabla1[SERVICIO],Tabla1[VALOR])*1),IF(D51&gt;=1,_xlfn.XLOOKUP($B51,Tabla1[SERVICIO],Tabla1[VALOR]*D51),0))</f>
        <v>24009.730401318589</v>
      </c>
      <c r="F51" s="78"/>
      <c r="G51" s="56" cm="1">
        <f t="array" ref="G51">IF(F51="X",(_xlfn.XLOOKUP($B51,Tabla1[SERVICIO],Tabla1[VALOR])*1),IF(F51&gt;=1,_xlfn.XLOOKUP($B51,Tabla1[SERVICIO],Tabla1[VALOR]*F51),0))</f>
        <v>0</v>
      </c>
      <c r="H51" s="78"/>
      <c r="I51" s="56" cm="1">
        <f t="array" ref="I51">IF(H51="X",(_xlfn.XLOOKUP($B51,Tabla1[SERVICIO],Tabla1[VALOR])*1),IF(H51&gt;=1,_xlfn.XLOOKUP($B51,Tabla1[SERVICIO],Tabla1[VALOR]*H51),0))</f>
        <v>0</v>
      </c>
      <c r="J51" s="78"/>
      <c r="K51" s="56" cm="1">
        <f t="array" ref="K51">IF(J51="X",(_xlfn.XLOOKUP($B51,Tabla1[SERVICIO],Tabla1[VALOR])*1),IF(J51&gt;=1,_xlfn.XLOOKUP($B51,Tabla1[SERVICIO],Tabla1[VALOR]*J51),0))</f>
        <v>0</v>
      </c>
      <c r="L51" s="78"/>
      <c r="M51" s="56" cm="1">
        <f t="array" ref="M51">IF(L51="X",(_xlfn.XLOOKUP($B51,Tabla1[SERVICIO],Tabla1[VALOR])*1),IF(L51&gt;=1,_xlfn.XLOOKUP($B51,Tabla1[SERVICIO],Tabla1[VALOR]*L51),0))</f>
        <v>0</v>
      </c>
      <c r="N51" s="78"/>
      <c r="O51" s="56" cm="1">
        <f t="array" ref="O51">IF(N51="X",(_xlfn.XLOOKUP($B51,Tabla1[SERVICIO],Tabla1[VALOR])*1),IF(N51&gt;=1,_xlfn.XLOOKUP($B51,Tabla1[SERVICIO],Tabla1[VALOR]*N51),0))</f>
        <v>0</v>
      </c>
      <c r="P51" s="78"/>
      <c r="Q51" s="56" cm="1">
        <f t="array" ref="Q51">IF(P51="X",(_xlfn.XLOOKUP($B51,Tabla1[SERVICIO],Tabla1[VALOR])*1),IF(P51&gt;=1,_xlfn.XLOOKUP($B51,Tabla1[SERVICIO],Tabla1[VALOR]*P51),0))</f>
        <v>0</v>
      </c>
      <c r="R51" s="78"/>
      <c r="S51" s="56" cm="1">
        <f t="array" ref="S51">IF(R51="X",(_xlfn.XLOOKUP($B51,Tabla1[SERVICIO],Tabla1[VALOR])*1),IF(R51&gt;=1,_xlfn.XLOOKUP($B51,Tabla1[SERVICIO],Tabla1[VALOR]*R51),0))</f>
        <v>0</v>
      </c>
      <c r="T51" s="78"/>
      <c r="U51" s="56" cm="1">
        <f t="array" ref="U51">IF(T51="X",(_xlfn.XLOOKUP($B51,Tabla1[SERVICIO],Tabla1[VALOR])*1),IF(T51&gt;=1,_xlfn.XLOOKUP($B51,Tabla1[SERVICIO],Tabla1[VALOR]*T51),0))</f>
        <v>0</v>
      </c>
      <c r="V51" s="78"/>
      <c r="W51" s="56" cm="1">
        <f t="array" ref="W51">IF(V51="X",(_xlfn.XLOOKUP($B51,Tabla1[SERVICIO],Tabla1[VALOR])*1),IF(V51&gt;=1,_xlfn.XLOOKUP($B51,Tabla1[SERVICIO],Tabla1[VALOR]*V51),0))</f>
        <v>0</v>
      </c>
      <c r="X51" s="78"/>
      <c r="Y51" s="56" cm="1">
        <f t="array" ref="Y51">IF(X51="X",(_xlfn.XLOOKUP($B51,Tabla1[SERVICIO],Tabla1[VALOR])*1),IF(X51&gt;=1,_xlfn.XLOOKUP($B51,Tabla1[SERVICIO],Tabla1[VALOR]*X51),0))</f>
        <v>0</v>
      </c>
      <c r="Z51" s="78"/>
      <c r="AA51" s="56" cm="1">
        <f t="array" ref="AA51">IF(Z51="X",(_xlfn.XLOOKUP($B51,Tabla1[SERVICIO],Tabla1[VALOR])*1),IF(Z51&gt;=1,_xlfn.XLOOKUP($B51,Tabla1[SERVICIO],Tabla1[VALOR]*Z51),0))</f>
        <v>0</v>
      </c>
      <c r="AB51" s="78"/>
      <c r="AC51" s="56" cm="1">
        <f t="array" ref="AC51">IF(AB51="X",(_xlfn.XLOOKUP($B51,Tabla1[SERVICIO],Tabla1[VALOR])*1),IF(AB51&gt;=1,_xlfn.XLOOKUP($B51,Tabla1[SERVICIO],Tabla1[VALOR]*AB51),0))</f>
        <v>0</v>
      </c>
      <c r="AD51" s="78"/>
      <c r="AE51" s="56" cm="1">
        <f t="array" ref="AE51">IF(AD51="X",(_xlfn.XLOOKUP($B51,Tabla1[SERVICIO],Tabla1[VALOR])*1),IF(AD51&gt;=1,_xlfn.XLOOKUP($B51,Tabla1[SERVICIO],Tabla1[VALOR]*AD51),0))</f>
        <v>0</v>
      </c>
      <c r="AF51" s="78"/>
      <c r="AG51" s="56" cm="1">
        <f t="array" ref="AG51">IF(AF51="X",(_xlfn.XLOOKUP($B51,Tabla1[SERVICIO],Tabla1[VALOR])*1),IF(AF51&gt;=1,_xlfn.XLOOKUP($B51,Tabla1[SERVICIO],Tabla1[VALOR]*AF51),0))</f>
        <v>0</v>
      </c>
      <c r="AH51" s="78"/>
      <c r="AI51" s="56" cm="1">
        <f t="array" ref="AI51">IF(AH51="X",(_xlfn.XLOOKUP($B51,Tabla1[SERVICIO],Tabla1[VALOR])*1),IF(AH51&gt;=1,_xlfn.XLOOKUP($B51,Tabla1[SERVICIO],Tabla1[VALOR]*AH51),0))</f>
        <v>0</v>
      </c>
      <c r="AJ51" s="78"/>
      <c r="AK51" s="56" cm="1">
        <f t="array" ref="AK51">IF(AJ51="X",(_xlfn.XLOOKUP($B51,Tabla1[SERVICIO],Tabla1[VALOR])*1),IF(AJ51&gt;=1,_xlfn.XLOOKUP($B51,Tabla1[SERVICIO],Tabla1[VALOR]*AJ51),0))</f>
        <v>0</v>
      </c>
      <c r="AL51" s="78"/>
      <c r="AM51" s="56" cm="1">
        <f t="array" ref="AM51">IF(AL51="X",(_xlfn.XLOOKUP($B51,Tabla1[SERVICIO],Tabla1[VALOR])*1),IF(AL51&gt;=1,_xlfn.XLOOKUP($B51,Tabla1[SERVICIO],Tabla1[VALOR]*AL51),0))</f>
        <v>0</v>
      </c>
      <c r="AN51" s="81">
        <f t="shared" si="0"/>
        <v>24009.730401318589</v>
      </c>
      <c r="AO51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1" s="122" t="s">
        <v>318</v>
      </c>
      <c r="AQ51" s="127">
        <v>1</v>
      </c>
      <c r="AR51" s="121">
        <f>+Tabla1122433[[#This Row],[TOTAL]]*Tabla1122433[[#This Row],[% de las personas que lo usaron]]</f>
        <v>24009.730401318589</v>
      </c>
      <c r="AS51" s="82" t="s">
        <v>351</v>
      </c>
      <c r="AT51" s="335">
        <v>18</v>
      </c>
    </row>
    <row r="52" spans="1:46" x14ac:dyDescent="0.2">
      <c r="A52" s="7" t="s">
        <v>38</v>
      </c>
      <c r="B52" s="8" t="s">
        <v>102</v>
      </c>
      <c r="C52" s="96" t="str">
        <f>_xlfn.XLOOKUP(Tabla1122433[[#This Row],[Servicios del Programa:]],Tabla151[CODIGO],Tabla151[VALOR])</f>
        <v>Consultas</v>
      </c>
      <c r="D52" s="77">
        <v>1</v>
      </c>
      <c r="E52" s="56" cm="1">
        <f t="array" ref="E52">IF(D52="X",(_xlfn.XLOOKUP($B52,Tabla1[SERVICIO],Tabla1[VALOR])*1),IF(D52&gt;=1,_xlfn.XLOOKUP($B52,Tabla1[SERVICIO],Tabla1[VALOR]*D52),0))</f>
        <v>56420.692787682223</v>
      </c>
      <c r="F52" s="77"/>
      <c r="G52" s="56" cm="1">
        <f t="array" ref="G52">IF(F52="X",(_xlfn.XLOOKUP($B52,Tabla1[SERVICIO],Tabla1[VALOR])*1),IF(F52&gt;=1,_xlfn.XLOOKUP($B52,Tabla1[SERVICIO],Tabla1[VALOR]*F52),0))</f>
        <v>0</v>
      </c>
      <c r="H52" s="77"/>
      <c r="I52" s="56" cm="1">
        <f t="array" ref="I52">IF(H52="X",(_xlfn.XLOOKUP($B52,Tabla1[SERVICIO],Tabla1[VALOR])*1),IF(H52&gt;=1,_xlfn.XLOOKUP($B52,Tabla1[SERVICIO],Tabla1[VALOR]*H52),0))</f>
        <v>0</v>
      </c>
      <c r="J52" s="77"/>
      <c r="K52" s="56" cm="1">
        <f t="array" ref="K52">IF(J52="X",(_xlfn.XLOOKUP($B52,Tabla1[SERVICIO],Tabla1[VALOR])*1),IF(J52&gt;=1,_xlfn.XLOOKUP($B52,Tabla1[SERVICIO],Tabla1[VALOR]*J52),0))</f>
        <v>0</v>
      </c>
      <c r="L52" s="77"/>
      <c r="M52" s="56" cm="1">
        <f t="array" ref="M52">IF(L52="X",(_xlfn.XLOOKUP($B52,Tabla1[SERVICIO],Tabla1[VALOR])*1),IF(L52&gt;=1,_xlfn.XLOOKUP($B52,Tabla1[SERVICIO],Tabla1[VALOR]*L52),0))</f>
        <v>0</v>
      </c>
      <c r="N52" s="77"/>
      <c r="O52" s="56" cm="1">
        <f t="array" ref="O52">IF(N52="X",(_xlfn.XLOOKUP($B52,Tabla1[SERVICIO],Tabla1[VALOR])*1),IF(N52&gt;=1,_xlfn.XLOOKUP($B52,Tabla1[SERVICIO],Tabla1[VALOR]*N52),0))</f>
        <v>0</v>
      </c>
      <c r="P52" s="77"/>
      <c r="Q52" s="56" cm="1">
        <f t="array" ref="Q52">IF(P52="X",(_xlfn.XLOOKUP($B52,Tabla1[SERVICIO],Tabla1[VALOR])*1),IF(P52&gt;=1,_xlfn.XLOOKUP($B52,Tabla1[SERVICIO],Tabla1[VALOR]*P52),0))</f>
        <v>0</v>
      </c>
      <c r="R52" s="77"/>
      <c r="S52" s="56" cm="1">
        <f t="array" ref="S52">IF(R52="X",(_xlfn.XLOOKUP($B52,Tabla1[SERVICIO],Tabla1[VALOR])*1),IF(R52&gt;=1,_xlfn.XLOOKUP($B52,Tabla1[SERVICIO],Tabla1[VALOR]*R52),0))</f>
        <v>0</v>
      </c>
      <c r="T52" s="77"/>
      <c r="U52" s="56" cm="1">
        <f t="array" ref="U52">IF(T52="X",(_xlfn.XLOOKUP($B52,Tabla1[SERVICIO],Tabla1[VALOR])*1),IF(T52&gt;=1,_xlfn.XLOOKUP($B52,Tabla1[SERVICIO],Tabla1[VALOR]*T52),0))</f>
        <v>0</v>
      </c>
      <c r="V52" s="77"/>
      <c r="W52" s="56" cm="1">
        <f t="array" ref="W52">IF(V52="X",(_xlfn.XLOOKUP($B52,Tabla1[SERVICIO],Tabla1[VALOR])*1),IF(V52&gt;=1,_xlfn.XLOOKUP($B52,Tabla1[SERVICIO],Tabla1[VALOR]*V52),0))</f>
        <v>0</v>
      </c>
      <c r="X52" s="77"/>
      <c r="Y52" s="56" cm="1">
        <f t="array" ref="Y52">IF(X52="X",(_xlfn.XLOOKUP($B52,Tabla1[SERVICIO],Tabla1[VALOR])*1),IF(X52&gt;=1,_xlfn.XLOOKUP($B52,Tabla1[SERVICIO],Tabla1[VALOR]*X52),0))</f>
        <v>0</v>
      </c>
      <c r="Z52" s="77"/>
      <c r="AA52" s="56" cm="1">
        <f t="array" ref="AA52">IF(Z52="X",(_xlfn.XLOOKUP($B52,Tabla1[SERVICIO],Tabla1[VALOR])*1),IF(Z52&gt;=1,_xlfn.XLOOKUP($B52,Tabla1[SERVICIO],Tabla1[VALOR]*Z52),0))</f>
        <v>0</v>
      </c>
      <c r="AB52" s="77"/>
      <c r="AC52" s="56" cm="1">
        <f t="array" ref="AC52">IF(AB52="X",(_xlfn.XLOOKUP($B52,Tabla1[SERVICIO],Tabla1[VALOR])*1),IF(AB52&gt;=1,_xlfn.XLOOKUP($B52,Tabla1[SERVICIO],Tabla1[VALOR]*AB52),0))</f>
        <v>0</v>
      </c>
      <c r="AD52" s="77"/>
      <c r="AE52" s="56" cm="1">
        <f t="array" ref="AE52">IF(AD52="X",(_xlfn.XLOOKUP($B52,Tabla1[SERVICIO],Tabla1[VALOR])*1),IF(AD52&gt;=1,_xlfn.XLOOKUP($B52,Tabla1[SERVICIO],Tabla1[VALOR]*AD52),0))</f>
        <v>0</v>
      </c>
      <c r="AF52" s="77"/>
      <c r="AG52" s="56" cm="1">
        <f t="array" ref="AG52">IF(AF52="X",(_xlfn.XLOOKUP($B52,Tabla1[SERVICIO],Tabla1[VALOR])*1),IF(AF52&gt;=1,_xlfn.XLOOKUP($B52,Tabla1[SERVICIO],Tabla1[VALOR]*AF52),0))</f>
        <v>0</v>
      </c>
      <c r="AH52" s="77"/>
      <c r="AI52" s="56" cm="1">
        <f t="array" ref="AI52">IF(AH52="X",(_xlfn.XLOOKUP($B52,Tabla1[SERVICIO],Tabla1[VALOR])*1),IF(AH52&gt;=1,_xlfn.XLOOKUP($B52,Tabla1[SERVICIO],Tabla1[VALOR]*AH52),0))</f>
        <v>0</v>
      </c>
      <c r="AJ52" s="77"/>
      <c r="AK52" s="56" cm="1">
        <f t="array" ref="AK52">IF(AJ52="X",(_xlfn.XLOOKUP($B52,Tabla1[SERVICIO],Tabla1[VALOR])*1),IF(AJ52&gt;=1,_xlfn.XLOOKUP($B52,Tabla1[SERVICIO],Tabla1[VALOR]*AJ52),0))</f>
        <v>0</v>
      </c>
      <c r="AL52" s="77"/>
      <c r="AM52" s="56" cm="1">
        <f t="array" ref="AM52">IF(AL52="X",(_xlfn.XLOOKUP($B52,Tabla1[SERVICIO],Tabla1[VALOR])*1),IF(AL52&gt;=1,_xlfn.XLOOKUP($B52,Tabla1[SERVICIO],Tabla1[VALOR]*AL52),0))</f>
        <v>0</v>
      </c>
      <c r="AN52" s="81">
        <f t="shared" si="0"/>
        <v>56420.692787682223</v>
      </c>
      <c r="AO52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2" s="122" t="s">
        <v>319</v>
      </c>
      <c r="AQ52" s="127">
        <v>0.22886866059817945</v>
      </c>
      <c r="AR52" s="121">
        <f>+Tabla1122433[[#This Row],[TOTAL]]*Tabla1122433[[#This Row],[% de las personas que lo usaron]]</f>
        <v>12912.928388338194</v>
      </c>
      <c r="AS52" s="82" t="s">
        <v>351</v>
      </c>
      <c r="AT52" s="335">
        <v>18</v>
      </c>
    </row>
    <row r="53" spans="1:46" x14ac:dyDescent="0.2">
      <c r="A53" s="7" t="s">
        <v>113</v>
      </c>
      <c r="B53" s="25" t="s">
        <v>116</v>
      </c>
      <c r="C53" s="96" t="str">
        <f>_xlfn.XLOOKUP(Tabla1122433[[#This Row],[Servicios del Programa:]],Tabla151[CODIGO],Tabla151[VALOR])</f>
        <v>Consultas</v>
      </c>
      <c r="D53" s="77">
        <v>1</v>
      </c>
      <c r="E53" s="56" cm="1">
        <f t="array" ref="E53">IF(D53="X",(_xlfn.XLOOKUP($B53,Tabla1[SERVICIO],Tabla1[VALOR])*1),IF(D53&gt;=1,_xlfn.XLOOKUP($B53,Tabla1[SERVICIO],Tabla1[VALOR]*D53),0))</f>
        <v>60236.092716419647</v>
      </c>
      <c r="F53" s="77"/>
      <c r="G53" s="56" cm="1">
        <f t="array" ref="G53">IF(F53="X",(_xlfn.XLOOKUP($B53,Tabla1[SERVICIO],Tabla1[VALOR])*1),IF(F53&gt;=1,_xlfn.XLOOKUP($B53,Tabla1[SERVICIO],Tabla1[VALOR]*F53),0))</f>
        <v>0</v>
      </c>
      <c r="H53" s="77"/>
      <c r="I53" s="56" cm="1">
        <f t="array" ref="I53">IF(H53="X",(_xlfn.XLOOKUP($B53,Tabla1[SERVICIO],Tabla1[VALOR])*1),IF(H53&gt;=1,_xlfn.XLOOKUP($B53,Tabla1[SERVICIO],Tabla1[VALOR]*H53),0))</f>
        <v>0</v>
      </c>
      <c r="J53" s="77"/>
      <c r="K53" s="56" cm="1">
        <f t="array" ref="K53">IF(J53="X",(_xlfn.XLOOKUP($B53,Tabla1[SERVICIO],Tabla1[VALOR])*1),IF(J53&gt;=1,_xlfn.XLOOKUP($B53,Tabla1[SERVICIO],Tabla1[VALOR]*J53),0))</f>
        <v>0</v>
      </c>
      <c r="L53" s="77"/>
      <c r="M53" s="56" cm="1">
        <f t="array" ref="M53">IF(L53="X",(_xlfn.XLOOKUP($B53,Tabla1[SERVICIO],Tabla1[VALOR])*1),IF(L53&gt;=1,_xlfn.XLOOKUP($B53,Tabla1[SERVICIO],Tabla1[VALOR]*L53),0))</f>
        <v>0</v>
      </c>
      <c r="N53" s="77"/>
      <c r="O53" s="56" cm="1">
        <f t="array" ref="O53">IF(N53="X",(_xlfn.XLOOKUP($B53,Tabla1[SERVICIO],Tabla1[VALOR])*1),IF(N53&gt;=1,_xlfn.XLOOKUP($B53,Tabla1[SERVICIO],Tabla1[VALOR]*N53),0))</f>
        <v>0</v>
      </c>
      <c r="P53" s="77"/>
      <c r="Q53" s="56" cm="1">
        <f t="array" ref="Q53">IF(P53="X",(_xlfn.XLOOKUP($B53,Tabla1[SERVICIO],Tabla1[VALOR])*1),IF(P53&gt;=1,_xlfn.XLOOKUP($B53,Tabla1[SERVICIO],Tabla1[VALOR]*P53),0))</f>
        <v>0</v>
      </c>
      <c r="R53" s="77"/>
      <c r="S53" s="56" cm="1">
        <f t="array" ref="S53">IF(R53="X",(_xlfn.XLOOKUP($B53,Tabla1[SERVICIO],Tabla1[VALOR])*1),IF(R53&gt;=1,_xlfn.XLOOKUP($B53,Tabla1[SERVICIO],Tabla1[VALOR]*R53),0))</f>
        <v>0</v>
      </c>
      <c r="T53" s="77"/>
      <c r="U53" s="56" cm="1">
        <f t="array" ref="U53">IF(T53="X",(_xlfn.XLOOKUP($B53,Tabla1[SERVICIO],Tabla1[VALOR])*1),IF(T53&gt;=1,_xlfn.XLOOKUP($B53,Tabla1[SERVICIO],Tabla1[VALOR]*T53),0))</f>
        <v>0</v>
      </c>
      <c r="V53" s="77"/>
      <c r="W53" s="56" cm="1">
        <f t="array" ref="W53">IF(V53="X",(_xlfn.XLOOKUP($B53,Tabla1[SERVICIO],Tabla1[VALOR])*1),IF(V53&gt;=1,_xlfn.XLOOKUP($B53,Tabla1[SERVICIO],Tabla1[VALOR]*V53),0))</f>
        <v>0</v>
      </c>
      <c r="X53" s="77"/>
      <c r="Y53" s="56" cm="1">
        <f t="array" ref="Y53">IF(X53="X",(_xlfn.XLOOKUP($B53,Tabla1[SERVICIO],Tabla1[VALOR])*1),IF(X53&gt;=1,_xlfn.XLOOKUP($B53,Tabla1[SERVICIO],Tabla1[VALOR]*X53),0))</f>
        <v>0</v>
      </c>
      <c r="Z53" s="77"/>
      <c r="AA53" s="56" cm="1">
        <f t="array" ref="AA53">IF(Z53="X",(_xlfn.XLOOKUP($B53,Tabla1[SERVICIO],Tabla1[VALOR])*1),IF(Z53&gt;=1,_xlfn.XLOOKUP($B53,Tabla1[SERVICIO],Tabla1[VALOR]*Z53),0))</f>
        <v>0</v>
      </c>
      <c r="AB53" s="77"/>
      <c r="AC53" s="56" cm="1">
        <f t="array" ref="AC53">IF(AB53="X",(_xlfn.XLOOKUP($B53,Tabla1[SERVICIO],Tabla1[VALOR])*1),IF(AB53&gt;=1,_xlfn.XLOOKUP($B53,Tabla1[SERVICIO],Tabla1[VALOR]*AB53),0))</f>
        <v>0</v>
      </c>
      <c r="AD53" s="77"/>
      <c r="AE53" s="56" cm="1">
        <f t="array" ref="AE53">IF(AD53="X",(_xlfn.XLOOKUP($B53,Tabla1[SERVICIO],Tabla1[VALOR])*1),IF(AD53&gt;=1,_xlfn.XLOOKUP($B53,Tabla1[SERVICIO],Tabla1[VALOR]*AD53),0))</f>
        <v>0</v>
      </c>
      <c r="AF53" s="77"/>
      <c r="AG53" s="56" cm="1">
        <f t="array" ref="AG53">IF(AF53="X",(_xlfn.XLOOKUP($B53,Tabla1[SERVICIO],Tabla1[VALOR])*1),IF(AF53&gt;=1,_xlfn.XLOOKUP($B53,Tabla1[SERVICIO],Tabla1[VALOR]*AF53),0))</f>
        <v>0</v>
      </c>
      <c r="AH53" s="77"/>
      <c r="AI53" s="56" cm="1">
        <f t="array" ref="AI53">IF(AH53="X",(_xlfn.XLOOKUP($B53,Tabla1[SERVICIO],Tabla1[VALOR])*1),IF(AH53&gt;=1,_xlfn.XLOOKUP($B53,Tabla1[SERVICIO],Tabla1[VALOR]*AH53),0))</f>
        <v>0</v>
      </c>
      <c r="AJ53" s="77"/>
      <c r="AK53" s="56" cm="1">
        <f t="array" ref="AK53">IF(AJ53="X",(_xlfn.XLOOKUP($B53,Tabla1[SERVICIO],Tabla1[VALOR])*1),IF(AJ53&gt;=1,_xlfn.XLOOKUP($B53,Tabla1[SERVICIO],Tabla1[VALOR]*AJ53),0))</f>
        <v>0</v>
      </c>
      <c r="AL53" s="77"/>
      <c r="AM53" s="56" cm="1">
        <f t="array" ref="AM53">IF(AL53="X",(_xlfn.XLOOKUP($B53,Tabla1[SERVICIO],Tabla1[VALOR])*1),IF(AL53&gt;=1,_xlfn.XLOOKUP($B53,Tabla1[SERVICIO],Tabla1[VALOR]*AL53),0))</f>
        <v>0</v>
      </c>
      <c r="AN53" s="81">
        <f t="shared" si="0"/>
        <v>60236.092716419647</v>
      </c>
      <c r="AO53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3" s="122" t="s">
        <v>319</v>
      </c>
      <c r="AQ53" s="127">
        <v>3.3159947984395317E-2</v>
      </c>
      <c r="AR53" s="121">
        <f>+Tabla1122433[[#This Row],[TOTAL]]*Tabla1122433[[#This Row],[% de las personas que lo usaron]]</f>
        <v>1997.425701259689</v>
      </c>
      <c r="AS53" s="82" t="s">
        <v>351</v>
      </c>
      <c r="AT53" s="335">
        <v>18</v>
      </c>
    </row>
    <row r="54" spans="1:46" x14ac:dyDescent="0.2">
      <c r="A54" s="7" t="s">
        <v>114</v>
      </c>
      <c r="B54" s="8" t="s">
        <v>117</v>
      </c>
      <c r="C54" s="96" t="str">
        <f>_xlfn.XLOOKUP(Tabla1122433[[#This Row],[Servicios del Programa:]],Tabla151[CODIGO],Tabla151[VALOR])</f>
        <v>Consultas</v>
      </c>
      <c r="D54" s="77"/>
      <c r="E54" s="56" cm="1">
        <f t="array" ref="E54">IF(D54="X",(_xlfn.XLOOKUP($B54,Tabla1[SERVICIO],Tabla1[VALOR])*1),IF(D54&gt;=1,_xlfn.XLOOKUP($B54,Tabla1[SERVICIO],Tabla1[VALOR]*D54),0))</f>
        <v>0</v>
      </c>
      <c r="F54" s="77"/>
      <c r="G54" s="56" cm="1">
        <f t="array" ref="G54">IF(F54="X",(_xlfn.XLOOKUP($B54,Tabla1[SERVICIO],Tabla1[VALOR])*1),IF(F54&gt;=1,_xlfn.XLOOKUP($B54,Tabla1[SERVICIO],Tabla1[VALOR]*F54),0))</f>
        <v>0</v>
      </c>
      <c r="H54" s="77"/>
      <c r="I54" s="56" cm="1">
        <f t="array" ref="I54">IF(H54="X",(_xlfn.XLOOKUP($B54,Tabla1[SERVICIO],Tabla1[VALOR])*1),IF(H54&gt;=1,_xlfn.XLOOKUP($B54,Tabla1[SERVICIO],Tabla1[VALOR]*H54),0))</f>
        <v>0</v>
      </c>
      <c r="J54" s="77">
        <v>1</v>
      </c>
      <c r="K54" s="56" cm="1">
        <f t="array" ref="K54">IF(J54="X",(_xlfn.XLOOKUP($B54,Tabla1[SERVICIO],Tabla1[VALOR])*1),IF(J54&gt;=1,_xlfn.XLOOKUP($B54,Tabla1[SERVICIO],Tabla1[VALOR]*J54),0))</f>
        <v>62748.232282880919</v>
      </c>
      <c r="L54" s="77"/>
      <c r="M54" s="56" cm="1">
        <f t="array" ref="M54">IF(L54="X",(_xlfn.XLOOKUP($B54,Tabla1[SERVICIO],Tabla1[VALOR])*1),IF(L54&gt;=1,_xlfn.XLOOKUP($B54,Tabla1[SERVICIO],Tabla1[VALOR]*L54),0))</f>
        <v>0</v>
      </c>
      <c r="N54" s="77"/>
      <c r="O54" s="56" cm="1">
        <f t="array" ref="O54">IF(N54="X",(_xlfn.XLOOKUP($B54,Tabla1[SERVICIO],Tabla1[VALOR])*1),IF(N54&gt;=1,_xlfn.XLOOKUP($B54,Tabla1[SERVICIO],Tabla1[VALOR]*N54),0))</f>
        <v>0</v>
      </c>
      <c r="P54" s="77"/>
      <c r="Q54" s="56" cm="1">
        <f t="array" ref="Q54">IF(P54="X",(_xlfn.XLOOKUP($B54,Tabla1[SERVICIO],Tabla1[VALOR])*1),IF(P54&gt;=1,_xlfn.XLOOKUP($B54,Tabla1[SERVICIO],Tabla1[VALOR]*P54),0))</f>
        <v>0</v>
      </c>
      <c r="R54" s="77"/>
      <c r="S54" s="56" cm="1">
        <f t="array" ref="S54">IF(R54="X",(_xlfn.XLOOKUP($B54,Tabla1[SERVICIO],Tabla1[VALOR])*1),IF(R54&gt;=1,_xlfn.XLOOKUP($B54,Tabla1[SERVICIO],Tabla1[VALOR]*R54),0))</f>
        <v>0</v>
      </c>
      <c r="T54" s="77"/>
      <c r="U54" s="56" cm="1">
        <f t="array" ref="U54">IF(T54="X",(_xlfn.XLOOKUP($B54,Tabla1[SERVICIO],Tabla1[VALOR])*1),IF(T54&gt;=1,_xlfn.XLOOKUP($B54,Tabla1[SERVICIO],Tabla1[VALOR]*T54),0))</f>
        <v>0</v>
      </c>
      <c r="V54" s="77"/>
      <c r="W54" s="56" cm="1">
        <f t="array" ref="W54">IF(V54="X",(_xlfn.XLOOKUP($B54,Tabla1[SERVICIO],Tabla1[VALOR])*1),IF(V54&gt;=1,_xlfn.XLOOKUP($B54,Tabla1[SERVICIO],Tabla1[VALOR]*V54),0))</f>
        <v>0</v>
      </c>
      <c r="X54" s="77"/>
      <c r="Y54" s="56" cm="1">
        <f t="array" ref="Y54">IF(X54="X",(_xlfn.XLOOKUP($B54,Tabla1[SERVICIO],Tabla1[VALOR])*1),IF(X54&gt;=1,_xlfn.XLOOKUP($B54,Tabla1[SERVICIO],Tabla1[VALOR]*X54),0))</f>
        <v>0</v>
      </c>
      <c r="Z54" s="77"/>
      <c r="AA54" s="56" cm="1">
        <f t="array" ref="AA54">IF(Z54="X",(_xlfn.XLOOKUP($B54,Tabla1[SERVICIO],Tabla1[VALOR])*1),IF(Z54&gt;=1,_xlfn.XLOOKUP($B54,Tabla1[SERVICIO],Tabla1[VALOR]*Z54),0))</f>
        <v>0</v>
      </c>
      <c r="AB54" s="77"/>
      <c r="AC54" s="56" cm="1">
        <f t="array" ref="AC54">IF(AB54="X",(_xlfn.XLOOKUP($B54,Tabla1[SERVICIO],Tabla1[VALOR])*1),IF(AB54&gt;=1,_xlfn.XLOOKUP($B54,Tabla1[SERVICIO],Tabla1[VALOR]*AB54),0))</f>
        <v>0</v>
      </c>
      <c r="AD54" s="77"/>
      <c r="AE54" s="56" cm="1">
        <f t="array" ref="AE54">IF(AD54="X",(_xlfn.XLOOKUP($B54,Tabla1[SERVICIO],Tabla1[VALOR])*1),IF(AD54&gt;=1,_xlfn.XLOOKUP($B54,Tabla1[SERVICIO],Tabla1[VALOR]*AD54),0))</f>
        <v>0</v>
      </c>
      <c r="AF54" s="77"/>
      <c r="AG54" s="56" cm="1">
        <f t="array" ref="AG54">IF(AF54="X",(_xlfn.XLOOKUP($B54,Tabla1[SERVICIO],Tabla1[VALOR])*1),IF(AF54&gt;=1,_xlfn.XLOOKUP($B54,Tabla1[SERVICIO],Tabla1[VALOR]*AF54),0))</f>
        <v>0</v>
      </c>
      <c r="AH54" s="77"/>
      <c r="AI54" s="56" cm="1">
        <f t="array" ref="AI54">IF(AH54="X",(_xlfn.XLOOKUP($B54,Tabla1[SERVICIO],Tabla1[VALOR])*1),IF(AH54&gt;=1,_xlfn.XLOOKUP($B54,Tabla1[SERVICIO],Tabla1[VALOR]*AH54),0))</f>
        <v>0</v>
      </c>
      <c r="AJ54" s="77"/>
      <c r="AK54" s="56" cm="1">
        <f t="array" ref="AK54">IF(AJ54="X",(_xlfn.XLOOKUP($B54,Tabla1[SERVICIO],Tabla1[VALOR])*1),IF(AJ54&gt;=1,_xlfn.XLOOKUP($B54,Tabla1[SERVICIO],Tabla1[VALOR]*AJ54),0))</f>
        <v>0</v>
      </c>
      <c r="AL54" s="77"/>
      <c r="AM54" s="56" cm="1">
        <f t="array" ref="AM54">IF(AL54="X",(_xlfn.XLOOKUP($B54,Tabla1[SERVICIO],Tabla1[VALOR])*1),IF(AL54&gt;=1,_xlfn.XLOOKUP($B54,Tabla1[SERVICIO],Tabla1[VALOR]*AL54),0))</f>
        <v>0</v>
      </c>
      <c r="AN54" s="81">
        <f t="shared" si="0"/>
        <v>62748.232282880919</v>
      </c>
      <c r="AO54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4" s="122" t="s">
        <v>319</v>
      </c>
      <c r="AQ54" s="127">
        <v>1.5604681404421327E-2</v>
      </c>
      <c r="AR54" s="121">
        <f>+Tabla1122433[[#This Row],[TOTAL]]*Tabla1122433[[#This Row],[% de las personas que lo usaron]]</f>
        <v>979.16617346498185</v>
      </c>
      <c r="AS54" s="82" t="s">
        <v>351</v>
      </c>
      <c r="AT54" s="335">
        <v>18</v>
      </c>
    </row>
    <row r="55" spans="1:46" x14ac:dyDescent="0.2">
      <c r="A55" s="7" t="s">
        <v>115</v>
      </c>
      <c r="B55" s="8" t="s">
        <v>118</v>
      </c>
      <c r="C55" s="96" t="str">
        <f>_xlfn.XLOOKUP(Tabla1122433[[#This Row],[Servicios del Programa:]],Tabla151[CODIGO],Tabla151[VALOR])</f>
        <v>Consultas</v>
      </c>
      <c r="D55" s="77"/>
      <c r="E55" s="56" cm="1">
        <f t="array" ref="E55">IF(D55="X",(_xlfn.XLOOKUP($B55,Tabla1[SERVICIO],Tabla1[VALOR])*1),IF(D55&gt;=1,_xlfn.XLOOKUP($B55,Tabla1[SERVICIO],Tabla1[VALOR]*D55),0))</f>
        <v>0</v>
      </c>
      <c r="F55" s="77"/>
      <c r="G55" s="56" cm="1">
        <f t="array" ref="G55">IF(F55="X",(_xlfn.XLOOKUP($B55,Tabla1[SERVICIO],Tabla1[VALOR])*1),IF(F55&gt;=1,_xlfn.XLOOKUP($B55,Tabla1[SERVICIO],Tabla1[VALOR]*F55),0))</f>
        <v>0</v>
      </c>
      <c r="H55" s="77"/>
      <c r="I55" s="56" cm="1">
        <f t="array" ref="I55">IF(H55="X",(_xlfn.XLOOKUP($B55,Tabla1[SERVICIO],Tabla1[VALOR])*1),IF(H55&gt;=1,_xlfn.XLOOKUP($B55,Tabla1[SERVICIO],Tabla1[VALOR]*H55),0))</f>
        <v>0</v>
      </c>
      <c r="J55" s="77"/>
      <c r="K55" s="56" cm="1">
        <f t="array" ref="K55">IF(J55="X",(_xlfn.XLOOKUP($B55,Tabla1[SERVICIO],Tabla1[VALOR])*1),IF(J55&gt;=1,_xlfn.XLOOKUP($B55,Tabla1[SERVICIO],Tabla1[VALOR]*J55),0))</f>
        <v>0</v>
      </c>
      <c r="L55" s="77"/>
      <c r="M55" s="56" cm="1">
        <f t="array" ref="M55">IF(L55="X",(_xlfn.XLOOKUP($B55,Tabla1[SERVICIO],Tabla1[VALOR])*1),IF(L55&gt;=1,_xlfn.XLOOKUP($B55,Tabla1[SERVICIO],Tabla1[VALOR]*L55),0))</f>
        <v>0</v>
      </c>
      <c r="N55" s="77"/>
      <c r="O55" s="56" cm="1">
        <f t="array" ref="O55">IF(N55="X",(_xlfn.XLOOKUP($B55,Tabla1[SERVICIO],Tabla1[VALOR])*1),IF(N55&gt;=1,_xlfn.XLOOKUP($B55,Tabla1[SERVICIO],Tabla1[VALOR]*N55),0))</f>
        <v>0</v>
      </c>
      <c r="P55" s="77"/>
      <c r="Q55" s="56" cm="1">
        <f t="array" ref="Q55">IF(P55="X",(_xlfn.XLOOKUP($B55,Tabla1[SERVICIO],Tabla1[VALOR])*1),IF(P55&gt;=1,_xlfn.XLOOKUP($B55,Tabla1[SERVICIO],Tabla1[VALOR]*P55),0))</f>
        <v>0</v>
      </c>
      <c r="R55" s="77"/>
      <c r="S55" s="56" cm="1">
        <f t="array" ref="S55">IF(R55="X",(_xlfn.XLOOKUP($B55,Tabla1[SERVICIO],Tabla1[VALOR])*1),IF(R55&gt;=1,_xlfn.XLOOKUP($B55,Tabla1[SERVICIO],Tabla1[VALOR]*R55),0))</f>
        <v>0</v>
      </c>
      <c r="T55" s="77"/>
      <c r="U55" s="56" cm="1">
        <f t="array" ref="U55">IF(T55="X",(_xlfn.XLOOKUP($B55,Tabla1[SERVICIO],Tabla1[VALOR])*1),IF(T55&gt;=1,_xlfn.XLOOKUP($B55,Tabla1[SERVICIO],Tabla1[VALOR]*T55),0))</f>
        <v>0</v>
      </c>
      <c r="V55" s="77"/>
      <c r="W55" s="56" cm="1">
        <f t="array" ref="W55">IF(V55="X",(_xlfn.XLOOKUP($B55,Tabla1[SERVICIO],Tabla1[VALOR])*1),IF(V55&gt;=1,_xlfn.XLOOKUP($B55,Tabla1[SERVICIO],Tabla1[VALOR]*V55),0))</f>
        <v>0</v>
      </c>
      <c r="X55" s="77"/>
      <c r="Y55" s="56" cm="1">
        <f t="array" ref="Y55">IF(X55="X",(_xlfn.XLOOKUP($B55,Tabla1[SERVICIO],Tabla1[VALOR])*1),IF(X55&gt;=1,_xlfn.XLOOKUP($B55,Tabla1[SERVICIO],Tabla1[VALOR]*X55),0))</f>
        <v>0</v>
      </c>
      <c r="Z55" s="77"/>
      <c r="AA55" s="56" cm="1">
        <f t="array" ref="AA55">IF(Z55="X",(_xlfn.XLOOKUP($B55,Tabla1[SERVICIO],Tabla1[VALOR])*1),IF(Z55&gt;=1,_xlfn.XLOOKUP($B55,Tabla1[SERVICIO],Tabla1[VALOR]*Z55),0))</f>
        <v>0</v>
      </c>
      <c r="AB55" s="77"/>
      <c r="AC55" s="56" cm="1">
        <f t="array" ref="AC55">IF(AB55="X",(_xlfn.XLOOKUP($B55,Tabla1[SERVICIO],Tabla1[VALOR])*1),IF(AB55&gt;=1,_xlfn.XLOOKUP($B55,Tabla1[SERVICIO],Tabla1[VALOR]*AB55),0))</f>
        <v>0</v>
      </c>
      <c r="AD55" s="77"/>
      <c r="AE55" s="56" cm="1">
        <f t="array" ref="AE55">IF(AD55="X",(_xlfn.XLOOKUP($B55,Tabla1[SERVICIO],Tabla1[VALOR])*1),IF(AD55&gt;=1,_xlfn.XLOOKUP($B55,Tabla1[SERVICIO],Tabla1[VALOR]*AD55),0))</f>
        <v>0</v>
      </c>
      <c r="AF55" s="77"/>
      <c r="AG55" s="56" cm="1">
        <f t="array" ref="AG55">IF(AF55="X",(_xlfn.XLOOKUP($B55,Tabla1[SERVICIO],Tabla1[VALOR])*1),IF(AF55&gt;=1,_xlfn.XLOOKUP($B55,Tabla1[SERVICIO],Tabla1[VALOR]*AF55),0))</f>
        <v>0</v>
      </c>
      <c r="AH55" s="77"/>
      <c r="AI55" s="56" cm="1">
        <f t="array" ref="AI55">IF(AH55="X",(_xlfn.XLOOKUP($B55,Tabla1[SERVICIO],Tabla1[VALOR])*1),IF(AH55&gt;=1,_xlfn.XLOOKUP($B55,Tabla1[SERVICIO],Tabla1[VALOR]*AH55),0))</f>
        <v>0</v>
      </c>
      <c r="AJ55" s="77"/>
      <c r="AK55" s="56" cm="1">
        <f t="array" ref="AK55">IF(AJ55="X",(_xlfn.XLOOKUP($B55,Tabla1[SERVICIO],Tabla1[VALOR])*1),IF(AJ55&gt;=1,_xlfn.XLOOKUP($B55,Tabla1[SERVICIO],Tabla1[VALOR]*AJ55),0))</f>
        <v>0</v>
      </c>
      <c r="AL55" s="77">
        <v>1</v>
      </c>
      <c r="AM55" s="56" cm="1">
        <f t="array" ref="AM55">IF(AL55="X",(_xlfn.XLOOKUP($B55,Tabla1[SERVICIO],Tabla1[VALOR])*1),IF(AL55&gt;=1,_xlfn.XLOOKUP($B55,Tabla1[SERVICIO],Tabla1[VALOR]*AL55),0))</f>
        <v>62748.232282880919</v>
      </c>
      <c r="AN55" s="81">
        <f t="shared" si="0"/>
        <v>62748.232282880919</v>
      </c>
      <c r="AO55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5" s="122" t="s">
        <v>318</v>
      </c>
      <c r="AQ55" s="127">
        <v>1</v>
      </c>
      <c r="AR55" s="121">
        <f>+Tabla1122433[[#This Row],[TOTAL]]*Tabla1122433[[#This Row],[% de las personas que lo usaron]]</f>
        <v>62748.232282880919</v>
      </c>
      <c r="AS55" s="82" t="s">
        <v>351</v>
      </c>
      <c r="AT55" s="335">
        <v>18</v>
      </c>
    </row>
    <row r="56" spans="1:46" x14ac:dyDescent="0.2">
      <c r="A56" s="7" t="s">
        <v>42</v>
      </c>
      <c r="B56" s="8" t="s">
        <v>228</v>
      </c>
      <c r="C56" s="96" t="str">
        <f>_xlfn.XLOOKUP(Tabla1122433[[#This Row],[Servicios del Programa:]],Tabla151[CODIGO],Tabla151[VALOR])</f>
        <v>Terapias</v>
      </c>
      <c r="D56" s="77">
        <v>1</v>
      </c>
      <c r="E56" s="56" cm="1">
        <f t="array" ref="E56">IF(D56="X",(_xlfn.XLOOKUP($B56,Tabla1[SERVICIO],Tabla1[VALOR])*1),IF(D56&gt;=1,_xlfn.XLOOKUP($B56,Tabla1[SERVICIO],Tabla1[VALOR]*D56),0))</f>
        <v>31714.220952863223</v>
      </c>
      <c r="F56" s="77"/>
      <c r="G56" s="56" cm="1">
        <f t="array" ref="G56">IF(F56="X",(_xlfn.XLOOKUP($B56,Tabla1[SERVICIO],Tabla1[VALOR])*1),IF(F56&gt;=1,_xlfn.XLOOKUP($B56,Tabla1[SERVICIO],Tabla1[VALOR]*F56),0))</f>
        <v>0</v>
      </c>
      <c r="H56" s="77"/>
      <c r="I56" s="56" cm="1">
        <f t="array" ref="I56">IF(H56="X",(_xlfn.XLOOKUP($B56,Tabla1[SERVICIO],Tabla1[VALOR])*1),IF(H56&gt;=1,_xlfn.XLOOKUP($B56,Tabla1[SERVICIO],Tabla1[VALOR]*H56),0))</f>
        <v>0</v>
      </c>
      <c r="J56" s="77"/>
      <c r="K56" s="56" cm="1">
        <f t="array" ref="K56">IF(J56="X",(_xlfn.XLOOKUP($B56,Tabla1[SERVICIO],Tabla1[VALOR])*1),IF(J56&gt;=1,_xlfn.XLOOKUP($B56,Tabla1[SERVICIO],Tabla1[VALOR]*J56),0))</f>
        <v>0</v>
      </c>
      <c r="L56" s="77"/>
      <c r="M56" s="56" cm="1">
        <f t="array" ref="M56">IF(L56="X",(_xlfn.XLOOKUP($B56,Tabla1[SERVICIO],Tabla1[VALOR])*1),IF(L56&gt;=1,_xlfn.XLOOKUP($B56,Tabla1[SERVICIO],Tabla1[VALOR]*L56),0))</f>
        <v>0</v>
      </c>
      <c r="N56" s="77"/>
      <c r="O56" s="56" cm="1">
        <f t="array" ref="O56">IF(N56="X",(_xlfn.XLOOKUP($B56,Tabla1[SERVICIO],Tabla1[VALOR])*1),IF(N56&gt;=1,_xlfn.XLOOKUP($B56,Tabla1[SERVICIO],Tabla1[VALOR]*N56),0))</f>
        <v>0</v>
      </c>
      <c r="P56" s="77"/>
      <c r="Q56" s="56" cm="1">
        <f t="array" ref="Q56">IF(P56="X",(_xlfn.XLOOKUP($B56,Tabla1[SERVICIO],Tabla1[VALOR])*1),IF(P56&gt;=1,_xlfn.XLOOKUP($B56,Tabla1[SERVICIO],Tabla1[VALOR]*P56),0))</f>
        <v>0</v>
      </c>
      <c r="R56" s="77"/>
      <c r="S56" s="56" cm="1">
        <f t="array" ref="S56">IF(R56="X",(_xlfn.XLOOKUP($B56,Tabla1[SERVICIO],Tabla1[VALOR])*1),IF(R56&gt;=1,_xlfn.XLOOKUP($B56,Tabla1[SERVICIO],Tabla1[VALOR]*R56),0))</f>
        <v>0</v>
      </c>
      <c r="T56" s="77"/>
      <c r="U56" s="56" cm="1">
        <f t="array" ref="U56">IF(T56="X",(_xlfn.XLOOKUP($B56,Tabla1[SERVICIO],Tabla1[VALOR])*1),IF(T56&gt;=1,_xlfn.XLOOKUP($B56,Tabla1[SERVICIO],Tabla1[VALOR]*T56),0))</f>
        <v>0</v>
      </c>
      <c r="V56" s="77"/>
      <c r="W56" s="56" cm="1">
        <f t="array" ref="W56">IF(V56="X",(_xlfn.XLOOKUP($B56,Tabla1[SERVICIO],Tabla1[VALOR])*1),IF(V56&gt;=1,_xlfn.XLOOKUP($B56,Tabla1[SERVICIO],Tabla1[VALOR]*V56),0))</f>
        <v>0</v>
      </c>
      <c r="X56" s="77"/>
      <c r="Y56" s="56" cm="1">
        <f t="array" ref="Y56">IF(X56="X",(_xlfn.XLOOKUP($B56,Tabla1[SERVICIO],Tabla1[VALOR])*1),IF(X56&gt;=1,_xlfn.XLOOKUP($B56,Tabla1[SERVICIO],Tabla1[VALOR]*X56),0))</f>
        <v>0</v>
      </c>
      <c r="Z56" s="77"/>
      <c r="AA56" s="56" cm="1">
        <f t="array" ref="AA56">IF(Z56="X",(_xlfn.XLOOKUP($B56,Tabla1[SERVICIO],Tabla1[VALOR])*1),IF(Z56&gt;=1,_xlfn.XLOOKUP($B56,Tabla1[SERVICIO],Tabla1[VALOR]*Z56),0))</f>
        <v>0</v>
      </c>
      <c r="AB56" s="77"/>
      <c r="AC56" s="56" cm="1">
        <f t="array" ref="AC56">IF(AB56="X",(_xlfn.XLOOKUP($B56,Tabla1[SERVICIO],Tabla1[VALOR])*1),IF(AB56&gt;=1,_xlfn.XLOOKUP($B56,Tabla1[SERVICIO],Tabla1[VALOR]*AB56),0))</f>
        <v>0</v>
      </c>
      <c r="AD56" s="77"/>
      <c r="AE56" s="56" cm="1">
        <f t="array" ref="AE56">IF(AD56="X",(_xlfn.XLOOKUP($B56,Tabla1[SERVICIO],Tabla1[VALOR])*1),IF(AD56&gt;=1,_xlfn.XLOOKUP($B56,Tabla1[SERVICIO],Tabla1[VALOR]*AD56),0))</f>
        <v>0</v>
      </c>
      <c r="AF56" s="77"/>
      <c r="AG56" s="56" cm="1">
        <f t="array" ref="AG56">IF(AF56="X",(_xlfn.XLOOKUP($B56,Tabla1[SERVICIO],Tabla1[VALOR])*1),IF(AF56&gt;=1,_xlfn.XLOOKUP($B56,Tabla1[SERVICIO],Tabla1[VALOR]*AF56),0))</f>
        <v>0</v>
      </c>
      <c r="AH56" s="77"/>
      <c r="AI56" s="56" cm="1">
        <f t="array" ref="AI56">IF(AH56="X",(_xlfn.XLOOKUP($B56,Tabla1[SERVICIO],Tabla1[VALOR])*1),IF(AH56&gt;=1,_xlfn.XLOOKUP($B56,Tabla1[SERVICIO],Tabla1[VALOR]*AH56),0))</f>
        <v>0</v>
      </c>
      <c r="AJ56" s="77"/>
      <c r="AK56" s="56" cm="1">
        <f t="array" ref="AK56">IF(AJ56="X",(_xlfn.XLOOKUP($B56,Tabla1[SERVICIO],Tabla1[VALOR])*1),IF(AJ56&gt;=1,_xlfn.XLOOKUP($B56,Tabla1[SERVICIO],Tabla1[VALOR]*AJ56),0))</f>
        <v>0</v>
      </c>
      <c r="AL56" s="77"/>
      <c r="AM56" s="56" cm="1">
        <f t="array" ref="AM56">IF(AL56="X",(_xlfn.XLOOKUP($B56,Tabla1[SERVICIO],Tabla1[VALOR])*1),IF(AL56&gt;=1,_xlfn.XLOOKUP($B56,Tabla1[SERVICIO],Tabla1[VALOR]*AL56),0))</f>
        <v>0</v>
      </c>
      <c r="AN56" s="81">
        <f t="shared" si="0"/>
        <v>31714.220952863223</v>
      </c>
      <c r="AO56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6" s="122" t="s">
        <v>319</v>
      </c>
      <c r="AQ56" s="127">
        <v>5.5266579973992196E-2</v>
      </c>
      <c r="AR56" s="121">
        <f>+Tabla1122433[[#This Row],[TOTAL]]*Tabla1122433[[#This Row],[% de las personas que lo usaron]]</f>
        <v>1752.7365286042743</v>
      </c>
      <c r="AS56" s="82" t="s">
        <v>351</v>
      </c>
      <c r="AT56" s="335">
        <v>18</v>
      </c>
    </row>
    <row r="57" spans="1:46" x14ac:dyDescent="0.2">
      <c r="A57" s="7" t="s">
        <v>44</v>
      </c>
      <c r="B57" s="8" t="s">
        <v>229</v>
      </c>
      <c r="C57" s="96" t="str">
        <f>_xlfn.XLOOKUP(Tabla1122433[[#This Row],[Servicios del Programa:]],Tabla151[CODIGO],Tabla151[VALOR])</f>
        <v>Terapias</v>
      </c>
      <c r="D57" s="77">
        <v>1</v>
      </c>
      <c r="E57" s="56" cm="1">
        <f t="array" ref="E57">IF(D57="X",(_xlfn.XLOOKUP($B57,Tabla1[SERVICIO],Tabla1[VALOR])*1),IF(D57&gt;=1,_xlfn.XLOOKUP($B57,Tabla1[SERVICIO],Tabla1[VALOR]*D57),0))</f>
        <v>31714.220952863223</v>
      </c>
      <c r="F57" s="77"/>
      <c r="G57" s="56" cm="1">
        <f t="array" ref="G57">IF(F57="X",(_xlfn.XLOOKUP($B57,Tabla1[SERVICIO],Tabla1[VALOR])*1),IF(F57&gt;=1,_xlfn.XLOOKUP($B57,Tabla1[SERVICIO],Tabla1[VALOR]*F57),0))</f>
        <v>0</v>
      </c>
      <c r="H57" s="77"/>
      <c r="I57" s="56" cm="1">
        <f t="array" ref="I57">IF(H57="X",(_xlfn.XLOOKUP($B57,Tabla1[SERVICIO],Tabla1[VALOR])*1),IF(H57&gt;=1,_xlfn.XLOOKUP($B57,Tabla1[SERVICIO],Tabla1[VALOR]*H57),0))</f>
        <v>0</v>
      </c>
      <c r="J57" s="77"/>
      <c r="K57" s="56" cm="1">
        <f t="array" ref="K57">IF(J57="X",(_xlfn.XLOOKUP($B57,Tabla1[SERVICIO],Tabla1[VALOR])*1),IF(J57&gt;=1,_xlfn.XLOOKUP($B57,Tabla1[SERVICIO],Tabla1[VALOR]*J57),0))</f>
        <v>0</v>
      </c>
      <c r="L57" s="77"/>
      <c r="M57" s="56" cm="1">
        <f t="array" ref="M57">IF(L57="X",(_xlfn.XLOOKUP($B57,Tabla1[SERVICIO],Tabla1[VALOR])*1),IF(L57&gt;=1,_xlfn.XLOOKUP($B57,Tabla1[SERVICIO],Tabla1[VALOR]*L57),0))</f>
        <v>0</v>
      </c>
      <c r="N57" s="77"/>
      <c r="O57" s="56" cm="1">
        <f t="array" ref="O57">IF(N57="X",(_xlfn.XLOOKUP($B57,Tabla1[SERVICIO],Tabla1[VALOR])*1),IF(N57&gt;=1,_xlfn.XLOOKUP($B57,Tabla1[SERVICIO],Tabla1[VALOR]*N57),0))</f>
        <v>0</v>
      </c>
      <c r="P57" s="77"/>
      <c r="Q57" s="56" cm="1">
        <f t="array" ref="Q57">IF(P57="X",(_xlfn.XLOOKUP($B57,Tabla1[SERVICIO],Tabla1[VALOR])*1),IF(P57&gt;=1,_xlfn.XLOOKUP($B57,Tabla1[SERVICIO],Tabla1[VALOR]*P57),0))</f>
        <v>0</v>
      </c>
      <c r="R57" s="77"/>
      <c r="S57" s="56" cm="1">
        <f t="array" ref="S57">IF(R57="X",(_xlfn.XLOOKUP($B57,Tabla1[SERVICIO],Tabla1[VALOR])*1),IF(R57&gt;=1,_xlfn.XLOOKUP($B57,Tabla1[SERVICIO],Tabla1[VALOR]*R57),0))</f>
        <v>0</v>
      </c>
      <c r="T57" s="77"/>
      <c r="U57" s="56" cm="1">
        <f t="array" ref="U57">IF(T57="X",(_xlfn.XLOOKUP($B57,Tabla1[SERVICIO],Tabla1[VALOR])*1),IF(T57&gt;=1,_xlfn.XLOOKUP($B57,Tabla1[SERVICIO],Tabla1[VALOR]*T57),0))</f>
        <v>0</v>
      </c>
      <c r="V57" s="77"/>
      <c r="W57" s="56" cm="1">
        <f t="array" ref="W57">IF(V57="X",(_xlfn.XLOOKUP($B57,Tabla1[SERVICIO],Tabla1[VALOR])*1),IF(V57&gt;=1,_xlfn.XLOOKUP($B57,Tabla1[SERVICIO],Tabla1[VALOR]*V57),0))</f>
        <v>0</v>
      </c>
      <c r="X57" s="77"/>
      <c r="Y57" s="56" cm="1">
        <f t="array" ref="Y57">IF(X57="X",(_xlfn.XLOOKUP($B57,Tabla1[SERVICIO],Tabla1[VALOR])*1),IF(X57&gt;=1,_xlfn.XLOOKUP($B57,Tabla1[SERVICIO],Tabla1[VALOR]*X57),0))</f>
        <v>0</v>
      </c>
      <c r="Z57" s="77"/>
      <c r="AA57" s="56" cm="1">
        <f t="array" ref="AA57">IF(Z57="X",(_xlfn.XLOOKUP($B57,Tabla1[SERVICIO],Tabla1[VALOR])*1),IF(Z57&gt;=1,_xlfn.XLOOKUP($B57,Tabla1[SERVICIO],Tabla1[VALOR]*Z57),0))</f>
        <v>0</v>
      </c>
      <c r="AB57" s="77"/>
      <c r="AC57" s="56" cm="1">
        <f t="array" ref="AC57">IF(AB57="X",(_xlfn.XLOOKUP($B57,Tabla1[SERVICIO],Tabla1[VALOR])*1),IF(AB57&gt;=1,_xlfn.XLOOKUP($B57,Tabla1[SERVICIO],Tabla1[VALOR]*AB57),0))</f>
        <v>0</v>
      </c>
      <c r="AD57" s="77"/>
      <c r="AE57" s="56" cm="1">
        <f t="array" ref="AE57">IF(AD57="X",(_xlfn.XLOOKUP($B57,Tabla1[SERVICIO],Tabla1[VALOR])*1),IF(AD57&gt;=1,_xlfn.XLOOKUP($B57,Tabla1[SERVICIO],Tabla1[VALOR]*AD57),0))</f>
        <v>0</v>
      </c>
      <c r="AF57" s="77"/>
      <c r="AG57" s="56" cm="1">
        <f t="array" ref="AG57">IF(AF57="X",(_xlfn.XLOOKUP($B57,Tabla1[SERVICIO],Tabla1[VALOR])*1),IF(AF57&gt;=1,_xlfn.XLOOKUP($B57,Tabla1[SERVICIO],Tabla1[VALOR]*AF57),0))</f>
        <v>0</v>
      </c>
      <c r="AH57" s="77"/>
      <c r="AI57" s="56" cm="1">
        <f t="array" ref="AI57">IF(AH57="X",(_xlfn.XLOOKUP($B57,Tabla1[SERVICIO],Tabla1[VALOR])*1),IF(AH57&gt;=1,_xlfn.XLOOKUP($B57,Tabla1[SERVICIO],Tabla1[VALOR]*AH57),0))</f>
        <v>0</v>
      </c>
      <c r="AJ57" s="77"/>
      <c r="AK57" s="56" cm="1">
        <f t="array" ref="AK57">IF(AJ57="X",(_xlfn.XLOOKUP($B57,Tabla1[SERVICIO],Tabla1[VALOR])*1),IF(AJ57&gt;=1,_xlfn.XLOOKUP($B57,Tabla1[SERVICIO],Tabla1[VALOR]*AJ57),0))</f>
        <v>0</v>
      </c>
      <c r="AL57" s="77"/>
      <c r="AM57" s="56" cm="1">
        <f t="array" ref="AM57">IF(AL57="X",(_xlfn.XLOOKUP($B57,Tabla1[SERVICIO],Tabla1[VALOR])*1),IF(AL57&gt;=1,_xlfn.XLOOKUP($B57,Tabla1[SERVICIO],Tabla1[VALOR]*AL57),0))</f>
        <v>0</v>
      </c>
      <c r="AN57" s="81">
        <f t="shared" si="0"/>
        <v>31714.220952863223</v>
      </c>
      <c r="AO57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7" s="122" t="s">
        <v>319</v>
      </c>
      <c r="AQ57" s="127">
        <v>0.26007802340702213</v>
      </c>
      <c r="AR57" s="121">
        <f>+Tabla1122433[[#This Row],[TOTAL]]*Tabla1122433[[#This Row],[% de las personas que lo usaron]]</f>
        <v>8248.1718993142331</v>
      </c>
      <c r="AS57" s="82" t="s">
        <v>351</v>
      </c>
      <c r="AT57" s="335">
        <v>18</v>
      </c>
    </row>
    <row r="58" spans="1:46" x14ac:dyDescent="0.2">
      <c r="A58" s="7" t="s">
        <v>46</v>
      </c>
      <c r="B58" s="8" t="s">
        <v>47</v>
      </c>
      <c r="C58" s="96" t="str">
        <f>_xlfn.XLOOKUP(Tabla1122433[[#This Row],[Servicios del Programa:]],Tabla151[CODIGO],Tabla151[VALOR])</f>
        <v>Consultas</v>
      </c>
      <c r="D58" s="77">
        <v>1</v>
      </c>
      <c r="E58" s="56" cm="1">
        <f t="array" ref="E58">IF(D58="X",(_xlfn.XLOOKUP($B58,Tabla1[SERVICIO],Tabla1[VALOR])*1),IF(D58&gt;=1,_xlfn.XLOOKUP($B58,Tabla1[SERVICIO],Tabla1[VALOR]*D58),0))</f>
        <v>83398.098568534639</v>
      </c>
      <c r="F58" s="77"/>
      <c r="G58" s="56" cm="1">
        <f t="array" ref="G58">IF(F58="X",(_xlfn.XLOOKUP($B58,Tabla1[SERVICIO],Tabla1[VALOR])*1),IF(F58&gt;=1,_xlfn.XLOOKUP($B58,Tabla1[SERVICIO],Tabla1[VALOR]*F58),0))</f>
        <v>0</v>
      </c>
      <c r="H58" s="77"/>
      <c r="I58" s="56" cm="1">
        <f t="array" ref="I58">IF(H58="X",(_xlfn.XLOOKUP($B58,Tabla1[SERVICIO],Tabla1[VALOR])*1),IF(H58&gt;=1,_xlfn.XLOOKUP($B58,Tabla1[SERVICIO],Tabla1[VALOR]*H58),0))</f>
        <v>0</v>
      </c>
      <c r="J58" s="77"/>
      <c r="K58" s="56" cm="1">
        <f t="array" ref="K58">IF(J58="X",(_xlfn.XLOOKUP($B58,Tabla1[SERVICIO],Tabla1[VALOR])*1),IF(J58&gt;=1,_xlfn.XLOOKUP($B58,Tabla1[SERVICIO],Tabla1[VALOR]*J58),0))</f>
        <v>0</v>
      </c>
      <c r="L58" s="77"/>
      <c r="M58" s="56" cm="1">
        <f t="array" ref="M58">IF(L58="X",(_xlfn.XLOOKUP($B58,Tabla1[SERVICIO],Tabla1[VALOR])*1),IF(L58&gt;=1,_xlfn.XLOOKUP($B58,Tabla1[SERVICIO],Tabla1[VALOR]*L58),0))</f>
        <v>0</v>
      </c>
      <c r="N58" s="77"/>
      <c r="O58" s="56" cm="1">
        <f t="array" ref="O58">IF(N58="X",(_xlfn.XLOOKUP($B58,Tabla1[SERVICIO],Tabla1[VALOR])*1),IF(N58&gt;=1,_xlfn.XLOOKUP($B58,Tabla1[SERVICIO],Tabla1[VALOR]*N58),0))</f>
        <v>0</v>
      </c>
      <c r="P58" s="77"/>
      <c r="Q58" s="56" cm="1">
        <f t="array" ref="Q58">IF(P58="X",(_xlfn.XLOOKUP($B58,Tabla1[SERVICIO],Tabla1[VALOR])*1),IF(P58&gt;=1,_xlfn.XLOOKUP($B58,Tabla1[SERVICIO],Tabla1[VALOR]*P58),0))</f>
        <v>0</v>
      </c>
      <c r="R58" s="77"/>
      <c r="S58" s="56" cm="1">
        <f t="array" ref="S58">IF(R58="X",(_xlfn.XLOOKUP($B58,Tabla1[SERVICIO],Tabla1[VALOR])*1),IF(R58&gt;=1,_xlfn.XLOOKUP($B58,Tabla1[SERVICIO],Tabla1[VALOR]*R58),0))</f>
        <v>0</v>
      </c>
      <c r="T58" s="77"/>
      <c r="U58" s="56" cm="1">
        <f t="array" ref="U58">IF(T58="X",(_xlfn.XLOOKUP($B58,Tabla1[SERVICIO],Tabla1[VALOR])*1),IF(T58&gt;=1,_xlfn.XLOOKUP($B58,Tabla1[SERVICIO],Tabla1[VALOR]*T58),0))</f>
        <v>0</v>
      </c>
      <c r="V58" s="77"/>
      <c r="W58" s="56" cm="1">
        <f t="array" ref="W58">IF(V58="X",(_xlfn.XLOOKUP($B58,Tabla1[SERVICIO],Tabla1[VALOR])*1),IF(V58&gt;=1,_xlfn.XLOOKUP($B58,Tabla1[SERVICIO],Tabla1[VALOR]*V58),0))</f>
        <v>0</v>
      </c>
      <c r="X58" s="77"/>
      <c r="Y58" s="56" cm="1">
        <f t="array" ref="Y58">IF(X58="X",(_xlfn.XLOOKUP($B58,Tabla1[SERVICIO],Tabla1[VALOR])*1),IF(X58&gt;=1,_xlfn.XLOOKUP($B58,Tabla1[SERVICIO],Tabla1[VALOR]*X58),0))</f>
        <v>0</v>
      </c>
      <c r="Z58" s="77"/>
      <c r="AA58" s="56" cm="1">
        <f t="array" ref="AA58">IF(Z58="X",(_xlfn.XLOOKUP($B58,Tabla1[SERVICIO],Tabla1[VALOR])*1),IF(Z58&gt;=1,_xlfn.XLOOKUP($B58,Tabla1[SERVICIO],Tabla1[VALOR]*Z58),0))</f>
        <v>0</v>
      </c>
      <c r="AB58" s="77"/>
      <c r="AC58" s="56" cm="1">
        <f t="array" ref="AC58">IF(AB58="X",(_xlfn.XLOOKUP($B58,Tabla1[SERVICIO],Tabla1[VALOR])*1),IF(AB58&gt;=1,_xlfn.XLOOKUP($B58,Tabla1[SERVICIO],Tabla1[VALOR]*AB58),0))</f>
        <v>0</v>
      </c>
      <c r="AD58" s="77"/>
      <c r="AE58" s="56" cm="1">
        <f t="array" ref="AE58">IF(AD58="X",(_xlfn.XLOOKUP($B58,Tabla1[SERVICIO],Tabla1[VALOR])*1),IF(AD58&gt;=1,_xlfn.XLOOKUP($B58,Tabla1[SERVICIO],Tabla1[VALOR]*AD58),0))</f>
        <v>0</v>
      </c>
      <c r="AF58" s="77"/>
      <c r="AG58" s="56" cm="1">
        <f t="array" ref="AG58">IF(AF58="X",(_xlfn.XLOOKUP($B58,Tabla1[SERVICIO],Tabla1[VALOR])*1),IF(AF58&gt;=1,_xlfn.XLOOKUP($B58,Tabla1[SERVICIO],Tabla1[VALOR]*AF58),0))</f>
        <v>0</v>
      </c>
      <c r="AH58" s="77"/>
      <c r="AI58" s="56" cm="1">
        <f t="array" ref="AI58">IF(AH58="X",(_xlfn.XLOOKUP($B58,Tabla1[SERVICIO],Tabla1[VALOR])*1),IF(AH58&gt;=1,_xlfn.XLOOKUP($B58,Tabla1[SERVICIO],Tabla1[VALOR]*AH58),0))</f>
        <v>0</v>
      </c>
      <c r="AJ58" s="77"/>
      <c r="AK58" s="56" cm="1">
        <f t="array" ref="AK58">IF(AJ58="X",(_xlfn.XLOOKUP($B58,Tabla1[SERVICIO],Tabla1[VALOR])*1),IF(AJ58&gt;=1,_xlfn.XLOOKUP($B58,Tabla1[SERVICIO],Tabla1[VALOR]*AJ58),0))</f>
        <v>0</v>
      </c>
      <c r="AL58" s="77"/>
      <c r="AM58" s="56" cm="1">
        <f t="array" ref="AM58">IF(AL58="X",(_xlfn.XLOOKUP($B58,Tabla1[SERVICIO],Tabla1[VALOR])*1),IF(AL58&gt;=1,_xlfn.XLOOKUP($B58,Tabla1[SERVICIO],Tabla1[VALOR]*AL58),0))</f>
        <v>0</v>
      </c>
      <c r="AN58" s="81">
        <f t="shared" si="0"/>
        <v>83398.098568534639</v>
      </c>
      <c r="AO58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8" s="122" t="s">
        <v>319</v>
      </c>
      <c r="AQ58" s="127">
        <v>2.6007802340702211E-3</v>
      </c>
      <c r="AR58" s="121">
        <f>+Tabla1122433[[#This Row],[TOTAL]]*Tabla1122433[[#This Row],[% de las personas que lo usaron]]</f>
        <v>216.90012631608488</v>
      </c>
      <c r="AS58" s="82" t="s">
        <v>351</v>
      </c>
      <c r="AT58" s="335">
        <v>18</v>
      </c>
    </row>
    <row r="59" spans="1:46" x14ac:dyDescent="0.2">
      <c r="A59" s="7" t="s">
        <v>48</v>
      </c>
      <c r="B59" s="8" t="s">
        <v>222</v>
      </c>
      <c r="C59" s="96" t="str">
        <f>_xlfn.XLOOKUP(Tabla1122433[[#This Row],[Servicios del Programa:]],Tabla151[CODIGO],Tabla151[VALOR])</f>
        <v>Consultas</v>
      </c>
      <c r="D59" s="77">
        <v>1</v>
      </c>
      <c r="E59" s="56" cm="1">
        <f t="array" ref="E59">IF(D59="X",(_xlfn.XLOOKUP($B59,Tabla1[SERVICIO],Tabla1[VALOR])*1),IF(D59&gt;=1,_xlfn.XLOOKUP($B59,Tabla1[SERVICIO],Tabla1[VALOR]*D59),0))</f>
        <v>77398.098568534639</v>
      </c>
      <c r="F59" s="77"/>
      <c r="G59" s="56" cm="1">
        <f t="array" ref="G59">IF(F59="X",(_xlfn.XLOOKUP($B59,Tabla1[SERVICIO],Tabla1[VALOR])*1),IF(F59&gt;=1,_xlfn.XLOOKUP($B59,Tabla1[SERVICIO],Tabla1[VALOR]*F59),0))</f>
        <v>0</v>
      </c>
      <c r="H59" s="77"/>
      <c r="I59" s="56" cm="1">
        <f t="array" ref="I59">IF(H59="X",(_xlfn.XLOOKUP($B59,Tabla1[SERVICIO],Tabla1[VALOR])*1),IF(H59&gt;=1,_xlfn.XLOOKUP($B59,Tabla1[SERVICIO],Tabla1[VALOR]*H59),0))</f>
        <v>0</v>
      </c>
      <c r="J59" s="77"/>
      <c r="K59" s="56" cm="1">
        <f t="array" ref="K59">IF(J59="X",(_xlfn.XLOOKUP($B59,Tabla1[SERVICIO],Tabla1[VALOR])*1),IF(J59&gt;=1,_xlfn.XLOOKUP($B59,Tabla1[SERVICIO],Tabla1[VALOR]*J59),0))</f>
        <v>0</v>
      </c>
      <c r="L59" s="77"/>
      <c r="M59" s="56" cm="1">
        <f t="array" ref="M59">IF(L59="X",(_xlfn.XLOOKUP($B59,Tabla1[SERVICIO],Tabla1[VALOR])*1),IF(L59&gt;=1,_xlfn.XLOOKUP($B59,Tabla1[SERVICIO],Tabla1[VALOR]*L59),0))</f>
        <v>0</v>
      </c>
      <c r="N59" s="77"/>
      <c r="O59" s="56" cm="1">
        <f t="array" ref="O59">IF(N59="X",(_xlfn.XLOOKUP($B59,Tabla1[SERVICIO],Tabla1[VALOR])*1),IF(N59&gt;=1,_xlfn.XLOOKUP($B59,Tabla1[SERVICIO],Tabla1[VALOR]*N59),0))</f>
        <v>0</v>
      </c>
      <c r="P59" s="77"/>
      <c r="Q59" s="56" cm="1">
        <f t="array" ref="Q59">IF(P59="X",(_xlfn.XLOOKUP($B59,Tabla1[SERVICIO],Tabla1[VALOR])*1),IF(P59&gt;=1,_xlfn.XLOOKUP($B59,Tabla1[SERVICIO],Tabla1[VALOR]*P59),0))</f>
        <v>0</v>
      </c>
      <c r="R59" s="77"/>
      <c r="S59" s="56" cm="1">
        <f t="array" ref="S59">IF(R59="X",(_xlfn.XLOOKUP($B59,Tabla1[SERVICIO],Tabla1[VALOR])*1),IF(R59&gt;=1,_xlfn.XLOOKUP($B59,Tabla1[SERVICIO],Tabla1[VALOR]*R59),0))</f>
        <v>0</v>
      </c>
      <c r="T59" s="77"/>
      <c r="U59" s="56" cm="1">
        <f t="array" ref="U59">IF(T59="X",(_xlfn.XLOOKUP($B59,Tabla1[SERVICIO],Tabla1[VALOR])*1),IF(T59&gt;=1,_xlfn.XLOOKUP($B59,Tabla1[SERVICIO],Tabla1[VALOR]*T59),0))</f>
        <v>0</v>
      </c>
      <c r="V59" s="77"/>
      <c r="W59" s="56" cm="1">
        <f t="array" ref="W59">IF(V59="X",(_xlfn.XLOOKUP($B59,Tabla1[SERVICIO],Tabla1[VALOR])*1),IF(V59&gt;=1,_xlfn.XLOOKUP($B59,Tabla1[SERVICIO],Tabla1[VALOR]*V59),0))</f>
        <v>0</v>
      </c>
      <c r="X59" s="77"/>
      <c r="Y59" s="56" cm="1">
        <f t="array" ref="Y59">IF(X59="X",(_xlfn.XLOOKUP($B59,Tabla1[SERVICIO],Tabla1[VALOR])*1),IF(X59&gt;=1,_xlfn.XLOOKUP($B59,Tabla1[SERVICIO],Tabla1[VALOR]*X59),0))</f>
        <v>0</v>
      </c>
      <c r="Z59" s="77"/>
      <c r="AA59" s="56" cm="1">
        <f t="array" ref="AA59">IF(Z59="X",(_xlfn.XLOOKUP($B59,Tabla1[SERVICIO],Tabla1[VALOR])*1),IF(Z59&gt;=1,_xlfn.XLOOKUP($B59,Tabla1[SERVICIO],Tabla1[VALOR]*Z59),0))</f>
        <v>0</v>
      </c>
      <c r="AB59" s="77"/>
      <c r="AC59" s="56" cm="1">
        <f t="array" ref="AC59">IF(AB59="X",(_xlfn.XLOOKUP($B59,Tabla1[SERVICIO],Tabla1[VALOR])*1),IF(AB59&gt;=1,_xlfn.XLOOKUP($B59,Tabla1[SERVICIO],Tabla1[VALOR]*AB59),0))</f>
        <v>0</v>
      </c>
      <c r="AD59" s="77"/>
      <c r="AE59" s="56" cm="1">
        <f t="array" ref="AE59">IF(AD59="X",(_xlfn.XLOOKUP($B59,Tabla1[SERVICIO],Tabla1[VALOR])*1),IF(AD59&gt;=1,_xlfn.XLOOKUP($B59,Tabla1[SERVICIO],Tabla1[VALOR]*AD59),0))</f>
        <v>0</v>
      </c>
      <c r="AF59" s="77"/>
      <c r="AG59" s="56" cm="1">
        <f t="array" ref="AG59">IF(AF59="X",(_xlfn.XLOOKUP($B59,Tabla1[SERVICIO],Tabla1[VALOR])*1),IF(AF59&gt;=1,_xlfn.XLOOKUP($B59,Tabla1[SERVICIO],Tabla1[VALOR]*AF59),0))</f>
        <v>0</v>
      </c>
      <c r="AH59" s="77"/>
      <c r="AI59" s="56" cm="1">
        <f t="array" ref="AI59">IF(AH59="X",(_xlfn.XLOOKUP($B59,Tabla1[SERVICIO],Tabla1[VALOR])*1),IF(AH59&gt;=1,_xlfn.XLOOKUP($B59,Tabla1[SERVICIO],Tabla1[VALOR]*AH59),0))</f>
        <v>0</v>
      </c>
      <c r="AJ59" s="77"/>
      <c r="AK59" s="56" cm="1">
        <f t="array" ref="AK59">IF(AJ59="X",(_xlfn.XLOOKUP($B59,Tabla1[SERVICIO],Tabla1[VALOR])*1),IF(AJ59&gt;=1,_xlfn.XLOOKUP($B59,Tabla1[SERVICIO],Tabla1[VALOR]*AJ59),0))</f>
        <v>0</v>
      </c>
      <c r="AL59" s="77"/>
      <c r="AM59" s="56" cm="1">
        <f t="array" ref="AM59">IF(AL59="X",(_xlfn.XLOOKUP($B59,Tabla1[SERVICIO],Tabla1[VALOR])*1),IF(AL59&gt;=1,_xlfn.XLOOKUP($B59,Tabla1[SERVICIO],Tabla1[VALOR]*AL59),0))</f>
        <v>0</v>
      </c>
      <c r="AN59" s="81">
        <f t="shared" si="0"/>
        <v>77398.098568534639</v>
      </c>
      <c r="AO59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9" s="122" t="s">
        <v>319</v>
      </c>
      <c r="AQ59" s="127">
        <v>3.0559167750325099E-2</v>
      </c>
      <c r="AR59" s="121">
        <f>+Tabla1122433[[#This Row],[TOTAL]]*Tabla1122433[[#This Row],[% de las personas que lo usaron]]</f>
        <v>2365.2214777120471</v>
      </c>
      <c r="AS59" s="82" t="s">
        <v>351</v>
      </c>
      <c r="AT59" s="335">
        <v>18</v>
      </c>
    </row>
    <row r="60" spans="1:46" x14ac:dyDescent="0.2">
      <c r="A60" s="7" t="s">
        <v>50</v>
      </c>
      <c r="B60" s="8" t="s">
        <v>101</v>
      </c>
      <c r="C60" s="96" t="str">
        <f>_xlfn.XLOOKUP(Tabla1122433[[#This Row],[Servicios del Programa:]],Tabla151[CODIGO],Tabla151[VALOR])</f>
        <v>Diagnosticos</v>
      </c>
      <c r="D60" s="77">
        <v>1</v>
      </c>
      <c r="E60" s="56" cm="1">
        <f t="array" ref="E60">IF(D60="X",(_xlfn.XLOOKUP($B60,Tabla1[SERVICIO],Tabla1[VALOR])*1),IF(D60&gt;=1,_xlfn.XLOOKUP($B60,Tabla1[SERVICIO],Tabla1[VALOR]*D60),0))</f>
        <v>67391.281653480837</v>
      </c>
      <c r="F60" s="77"/>
      <c r="G60" s="56" cm="1">
        <f t="array" ref="G60">IF(F60="X",(_xlfn.XLOOKUP($B60,Tabla1[SERVICIO],Tabla1[VALOR])*1),IF(F60&gt;=1,_xlfn.XLOOKUP($B60,Tabla1[SERVICIO],Tabla1[VALOR]*F60),0))</f>
        <v>0</v>
      </c>
      <c r="H60" s="77"/>
      <c r="I60" s="56" cm="1">
        <f t="array" ref="I60">IF(H60="X",(_xlfn.XLOOKUP($B60,Tabla1[SERVICIO],Tabla1[VALOR])*1),IF(H60&gt;=1,_xlfn.XLOOKUP($B60,Tabla1[SERVICIO],Tabla1[VALOR]*H60),0))</f>
        <v>0</v>
      </c>
      <c r="J60" s="77"/>
      <c r="K60" s="56" cm="1">
        <f t="array" ref="K60">IF(J60="X",(_xlfn.XLOOKUP($B60,Tabla1[SERVICIO],Tabla1[VALOR])*1),IF(J60&gt;=1,_xlfn.XLOOKUP($B60,Tabla1[SERVICIO],Tabla1[VALOR]*J60),0))</f>
        <v>0</v>
      </c>
      <c r="L60" s="77"/>
      <c r="M60" s="56" cm="1">
        <f t="array" ref="M60">IF(L60="X",(_xlfn.XLOOKUP($B60,Tabla1[SERVICIO],Tabla1[VALOR])*1),IF(L60&gt;=1,_xlfn.XLOOKUP($B60,Tabla1[SERVICIO],Tabla1[VALOR]*L60),0))</f>
        <v>0</v>
      </c>
      <c r="N60" s="77"/>
      <c r="O60" s="56" cm="1">
        <f t="array" ref="O60">IF(N60="X",(_xlfn.XLOOKUP($B60,Tabla1[SERVICIO],Tabla1[VALOR])*1),IF(N60&gt;=1,_xlfn.XLOOKUP($B60,Tabla1[SERVICIO],Tabla1[VALOR]*N60),0))</f>
        <v>0</v>
      </c>
      <c r="P60" s="77"/>
      <c r="Q60" s="56" cm="1">
        <f t="array" ref="Q60">IF(P60="X",(_xlfn.XLOOKUP($B60,Tabla1[SERVICIO],Tabla1[VALOR])*1),IF(P60&gt;=1,_xlfn.XLOOKUP($B60,Tabla1[SERVICIO],Tabla1[VALOR]*P60),0))</f>
        <v>0</v>
      </c>
      <c r="R60" s="77"/>
      <c r="S60" s="56" cm="1">
        <f t="array" ref="S60">IF(R60="X",(_xlfn.XLOOKUP($B60,Tabla1[SERVICIO],Tabla1[VALOR])*1),IF(R60&gt;=1,_xlfn.XLOOKUP($B60,Tabla1[SERVICIO],Tabla1[VALOR]*R60),0))</f>
        <v>0</v>
      </c>
      <c r="T60" s="77"/>
      <c r="U60" s="56" cm="1">
        <f t="array" ref="U60">IF(T60="X",(_xlfn.XLOOKUP($B60,Tabla1[SERVICIO],Tabla1[VALOR])*1),IF(T60&gt;=1,_xlfn.XLOOKUP($B60,Tabla1[SERVICIO],Tabla1[VALOR]*T60),0))</f>
        <v>0</v>
      </c>
      <c r="V60" s="77"/>
      <c r="W60" s="56" cm="1">
        <f t="array" ref="W60">IF(V60="X",(_xlfn.XLOOKUP($B60,Tabla1[SERVICIO],Tabla1[VALOR])*1),IF(V60&gt;=1,_xlfn.XLOOKUP($B60,Tabla1[SERVICIO],Tabla1[VALOR]*V60),0))</f>
        <v>0</v>
      </c>
      <c r="X60" s="77"/>
      <c r="Y60" s="56" cm="1">
        <f t="array" ref="Y60">IF(X60="X",(_xlfn.XLOOKUP($B60,Tabla1[SERVICIO],Tabla1[VALOR])*1),IF(X60&gt;=1,_xlfn.XLOOKUP($B60,Tabla1[SERVICIO],Tabla1[VALOR]*X60),0))</f>
        <v>0</v>
      </c>
      <c r="Z60" s="77"/>
      <c r="AA60" s="56" cm="1">
        <f t="array" ref="AA60">IF(Z60="X",(_xlfn.XLOOKUP($B60,Tabla1[SERVICIO],Tabla1[VALOR])*1),IF(Z60&gt;=1,_xlfn.XLOOKUP($B60,Tabla1[SERVICIO],Tabla1[VALOR]*Z60),0))</f>
        <v>0</v>
      </c>
      <c r="AB60" s="77"/>
      <c r="AC60" s="56" cm="1">
        <f t="array" ref="AC60">IF(AB60="X",(_xlfn.XLOOKUP($B60,Tabla1[SERVICIO],Tabla1[VALOR])*1),IF(AB60&gt;=1,_xlfn.XLOOKUP($B60,Tabla1[SERVICIO],Tabla1[VALOR]*AB60),0))</f>
        <v>0</v>
      </c>
      <c r="AD60" s="77"/>
      <c r="AE60" s="56" cm="1">
        <f t="array" ref="AE60">IF(AD60="X",(_xlfn.XLOOKUP($B60,Tabla1[SERVICIO],Tabla1[VALOR])*1),IF(AD60&gt;=1,_xlfn.XLOOKUP($B60,Tabla1[SERVICIO],Tabla1[VALOR]*AD60),0))</f>
        <v>0</v>
      </c>
      <c r="AF60" s="77"/>
      <c r="AG60" s="56" cm="1">
        <f t="array" ref="AG60">IF(AF60="X",(_xlfn.XLOOKUP($B60,Tabla1[SERVICIO],Tabla1[VALOR])*1),IF(AF60&gt;=1,_xlfn.XLOOKUP($B60,Tabla1[SERVICIO],Tabla1[VALOR]*AF60),0))</f>
        <v>0</v>
      </c>
      <c r="AH60" s="77"/>
      <c r="AI60" s="56" cm="1">
        <f t="array" ref="AI60">IF(AH60="X",(_xlfn.XLOOKUP($B60,Tabla1[SERVICIO],Tabla1[VALOR])*1),IF(AH60&gt;=1,_xlfn.XLOOKUP($B60,Tabla1[SERVICIO],Tabla1[VALOR]*AH60),0))</f>
        <v>0</v>
      </c>
      <c r="AJ60" s="77"/>
      <c r="AK60" s="56" cm="1">
        <f t="array" ref="AK60">IF(AJ60="X",(_xlfn.XLOOKUP($B60,Tabla1[SERVICIO],Tabla1[VALOR])*1),IF(AJ60&gt;=1,_xlfn.XLOOKUP($B60,Tabla1[SERVICIO],Tabla1[VALOR]*AJ60),0))</f>
        <v>0</v>
      </c>
      <c r="AL60" s="77"/>
      <c r="AM60" s="56" cm="1">
        <f t="array" ref="AM60">IF(AL60="X",(_xlfn.XLOOKUP($B60,Tabla1[SERVICIO],Tabla1[VALOR])*1),IF(AL60&gt;=1,_xlfn.XLOOKUP($B60,Tabla1[SERVICIO],Tabla1[VALOR]*AL60),0))</f>
        <v>0</v>
      </c>
      <c r="AN60" s="81">
        <f t="shared" si="0"/>
        <v>67391.281653480837</v>
      </c>
      <c r="AO60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0" s="122" t="s">
        <v>319</v>
      </c>
      <c r="AQ60" s="127">
        <v>1.3003901170351106E-3</v>
      </c>
      <c r="AR60" s="121">
        <f>+Tabla1122433[[#This Row],[TOTAL]]*Tabla1122433[[#This Row],[% de las personas que lo usaron]]</f>
        <v>87.634956636516051</v>
      </c>
      <c r="AS60" s="82" t="s">
        <v>351</v>
      </c>
      <c r="AT60" s="335">
        <v>18</v>
      </c>
    </row>
    <row r="61" spans="1:46" x14ac:dyDescent="0.2">
      <c r="A61" s="7" t="s">
        <v>52</v>
      </c>
      <c r="B61" s="8" t="s">
        <v>191</v>
      </c>
      <c r="C61" s="96" t="str">
        <f>_xlfn.XLOOKUP(Tabla1122433[[#This Row],[Servicios del Programa:]],Tabla151[CODIGO],Tabla151[VALOR])</f>
        <v>Consultas</v>
      </c>
      <c r="D61" s="77">
        <v>1</v>
      </c>
      <c r="E61" s="56" cm="1">
        <f t="array" ref="E61">IF(D61="X",(_xlfn.XLOOKUP($B61,Tabla1[SERVICIO],Tabla1[VALOR])*1),IF(D61&gt;=1,_xlfn.XLOOKUP($B61,Tabla1[SERVICIO],Tabla1[VALOR]*D61),0))</f>
        <v>26897.079640267821</v>
      </c>
      <c r="F61" s="78"/>
      <c r="G61" s="56" cm="1">
        <f t="array" ref="G61">IF(F61="X",(_xlfn.XLOOKUP($B61,Tabla1[SERVICIO],Tabla1[VALOR])*1),IF(F61&gt;=1,_xlfn.XLOOKUP($B61,Tabla1[SERVICIO],Tabla1[VALOR]*F61),0))</f>
        <v>0</v>
      </c>
      <c r="H61" s="78"/>
      <c r="I61" s="56" cm="1">
        <f t="array" ref="I61">IF(H61="X",(_xlfn.XLOOKUP($B61,Tabla1[SERVICIO],Tabla1[VALOR])*1),IF(H61&gt;=1,_xlfn.XLOOKUP($B61,Tabla1[SERVICIO],Tabla1[VALOR]*H61),0))</f>
        <v>0</v>
      </c>
      <c r="J61" s="78"/>
      <c r="K61" s="56" cm="1">
        <f t="array" ref="K61">IF(J61="X",(_xlfn.XLOOKUP($B61,Tabla1[SERVICIO],Tabla1[VALOR])*1),IF(J61&gt;=1,_xlfn.XLOOKUP($B61,Tabla1[SERVICIO],Tabla1[VALOR]*J61),0))</f>
        <v>0</v>
      </c>
      <c r="L61" s="78"/>
      <c r="M61" s="56" cm="1">
        <f t="array" ref="M61">IF(L61="X",(_xlfn.XLOOKUP($B61,Tabla1[SERVICIO],Tabla1[VALOR])*1),IF(L61&gt;=1,_xlfn.XLOOKUP($B61,Tabla1[SERVICIO],Tabla1[VALOR]*L61),0))</f>
        <v>0</v>
      </c>
      <c r="N61" s="78"/>
      <c r="O61" s="56" cm="1">
        <f t="array" ref="O61">IF(N61="X",(_xlfn.XLOOKUP($B61,Tabla1[SERVICIO],Tabla1[VALOR])*1),IF(N61&gt;=1,_xlfn.XLOOKUP($B61,Tabla1[SERVICIO],Tabla1[VALOR]*N61),0))</f>
        <v>0</v>
      </c>
      <c r="P61" s="78"/>
      <c r="Q61" s="56" cm="1">
        <f t="array" ref="Q61">IF(P61="X",(_xlfn.XLOOKUP($B61,Tabla1[SERVICIO],Tabla1[VALOR])*1),IF(P61&gt;=1,_xlfn.XLOOKUP($B61,Tabla1[SERVICIO],Tabla1[VALOR]*P61),0))</f>
        <v>0</v>
      </c>
      <c r="R61" s="78"/>
      <c r="S61" s="56" cm="1">
        <f t="array" ref="S61">IF(R61="X",(_xlfn.XLOOKUP($B61,Tabla1[SERVICIO],Tabla1[VALOR])*1),IF(R61&gt;=1,_xlfn.XLOOKUP($B61,Tabla1[SERVICIO],Tabla1[VALOR]*R61),0))</f>
        <v>0</v>
      </c>
      <c r="T61" s="78"/>
      <c r="U61" s="56" cm="1">
        <f t="array" ref="U61">IF(T61="X",(_xlfn.XLOOKUP($B61,Tabla1[SERVICIO],Tabla1[VALOR])*1),IF(T61&gt;=1,_xlfn.XLOOKUP($B61,Tabla1[SERVICIO],Tabla1[VALOR]*T61),0))</f>
        <v>0</v>
      </c>
      <c r="V61" s="78"/>
      <c r="W61" s="56" cm="1">
        <f t="array" ref="W61">IF(V61="X",(_xlfn.XLOOKUP($B61,Tabla1[SERVICIO],Tabla1[VALOR])*1),IF(V61&gt;=1,_xlfn.XLOOKUP($B61,Tabla1[SERVICIO],Tabla1[VALOR]*V61),0))</f>
        <v>0</v>
      </c>
      <c r="X61" s="78"/>
      <c r="Y61" s="56" cm="1">
        <f t="array" ref="Y61">IF(X61="X",(_xlfn.XLOOKUP($B61,Tabla1[SERVICIO],Tabla1[VALOR])*1),IF(X61&gt;=1,_xlfn.XLOOKUP($B61,Tabla1[SERVICIO],Tabla1[VALOR]*X61),0))</f>
        <v>0</v>
      </c>
      <c r="Z61" s="78"/>
      <c r="AA61" s="56" cm="1">
        <f t="array" ref="AA61">IF(Z61="X",(_xlfn.XLOOKUP($B61,Tabla1[SERVICIO],Tabla1[VALOR])*1),IF(Z61&gt;=1,_xlfn.XLOOKUP($B61,Tabla1[SERVICIO],Tabla1[VALOR]*Z61),0))</f>
        <v>0</v>
      </c>
      <c r="AB61" s="78"/>
      <c r="AC61" s="56" cm="1">
        <f t="array" ref="AC61">IF(AB61="X",(_xlfn.XLOOKUP($B61,Tabla1[SERVICIO],Tabla1[VALOR])*1),IF(AB61&gt;=1,_xlfn.XLOOKUP($B61,Tabla1[SERVICIO],Tabla1[VALOR]*AB61),0))</f>
        <v>0</v>
      </c>
      <c r="AD61" s="78"/>
      <c r="AE61" s="56" cm="1">
        <f t="array" ref="AE61">IF(AD61="X",(_xlfn.XLOOKUP($B61,Tabla1[SERVICIO],Tabla1[VALOR])*1),IF(AD61&gt;=1,_xlfn.XLOOKUP($B61,Tabla1[SERVICIO],Tabla1[VALOR]*AD61),0))</f>
        <v>0</v>
      </c>
      <c r="AF61" s="78"/>
      <c r="AG61" s="56" cm="1">
        <f t="array" ref="AG61">IF(AF61="X",(_xlfn.XLOOKUP($B61,Tabla1[SERVICIO],Tabla1[VALOR])*1),IF(AF61&gt;=1,_xlfn.XLOOKUP($B61,Tabla1[SERVICIO],Tabla1[VALOR]*AF61),0))</f>
        <v>0</v>
      </c>
      <c r="AH61" s="78"/>
      <c r="AI61" s="56" cm="1">
        <f t="array" ref="AI61">IF(AH61="X",(_xlfn.XLOOKUP($B61,Tabla1[SERVICIO],Tabla1[VALOR])*1),IF(AH61&gt;=1,_xlfn.XLOOKUP($B61,Tabla1[SERVICIO],Tabla1[VALOR]*AH61),0))</f>
        <v>0</v>
      </c>
      <c r="AJ61" s="78"/>
      <c r="AK61" s="56" cm="1">
        <f t="array" ref="AK61">IF(AJ61="X",(_xlfn.XLOOKUP($B61,Tabla1[SERVICIO],Tabla1[VALOR])*1),IF(AJ61&gt;=1,_xlfn.XLOOKUP($B61,Tabla1[SERVICIO],Tabla1[VALOR]*AJ61),0))</f>
        <v>0</v>
      </c>
      <c r="AL61" s="78"/>
      <c r="AM61" s="56" cm="1">
        <f t="array" ref="AM61">IF(AL61="X",(_xlfn.XLOOKUP($B61,Tabla1[SERVICIO],Tabla1[VALOR])*1),IF(AL61&gt;=1,_xlfn.XLOOKUP($B61,Tabla1[SERVICIO],Tabla1[VALOR]*AL61),0))</f>
        <v>0</v>
      </c>
      <c r="AN61" s="81">
        <f t="shared" si="0"/>
        <v>26897.079640267821</v>
      </c>
      <c r="AO61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1" s="122" t="s">
        <v>319</v>
      </c>
      <c r="AQ61" s="127">
        <v>3.2509752925877762E-3</v>
      </c>
      <c r="AR61" s="121">
        <f>+Tabla1122433[[#This Row],[TOTAL]]*Tabla1122433[[#This Row],[% de las personas que lo usaron]]</f>
        <v>87.441741353276399</v>
      </c>
      <c r="AS61" s="82" t="s">
        <v>351</v>
      </c>
      <c r="AT61" s="335">
        <v>18</v>
      </c>
    </row>
    <row r="62" spans="1:46" x14ac:dyDescent="0.2">
      <c r="A62" s="7" t="s">
        <v>53</v>
      </c>
      <c r="B62" s="8" t="s">
        <v>230</v>
      </c>
      <c r="C62" s="96" t="str">
        <f>_xlfn.XLOOKUP(Tabla1122433[[#This Row],[Servicios del Programa:]],Tabla151[CODIGO],Tabla151[VALOR])</f>
        <v>Consultas</v>
      </c>
      <c r="D62" s="77">
        <v>1</v>
      </c>
      <c r="E62" s="56" cm="1">
        <f t="array" ref="E62">IF(D62="X",(_xlfn.XLOOKUP($B62,Tabla1[SERVICIO],Tabla1[VALOR])*1),IF(D62&gt;=1,_xlfn.XLOOKUP($B62,Tabla1[SERVICIO],Tabla1[VALOR]*D62),0))</f>
        <v>26897.079640267817</v>
      </c>
      <c r="F62" s="77"/>
      <c r="G62" s="56" cm="1">
        <f t="array" ref="G62">IF(F62="X",(_xlfn.XLOOKUP($B62,Tabla1[SERVICIO],Tabla1[VALOR])*1),IF(F62&gt;=1,_xlfn.XLOOKUP($B62,Tabla1[SERVICIO],Tabla1[VALOR]*F62),0))</f>
        <v>0</v>
      </c>
      <c r="H62" s="77"/>
      <c r="I62" s="56" cm="1">
        <f t="array" ref="I62">IF(H62="X",(_xlfn.XLOOKUP($B62,Tabla1[SERVICIO],Tabla1[VALOR])*1),IF(H62&gt;=1,_xlfn.XLOOKUP($B62,Tabla1[SERVICIO],Tabla1[VALOR]*H62),0))</f>
        <v>0</v>
      </c>
      <c r="J62" s="77"/>
      <c r="K62" s="56" cm="1">
        <f t="array" ref="K62">IF(J62="X",(_xlfn.XLOOKUP($B62,Tabla1[SERVICIO],Tabla1[VALOR])*1),IF(J62&gt;=1,_xlfn.XLOOKUP($B62,Tabla1[SERVICIO],Tabla1[VALOR]*J62),0))</f>
        <v>0</v>
      </c>
      <c r="L62" s="77"/>
      <c r="M62" s="56" cm="1">
        <f t="array" ref="M62">IF(L62="X",(_xlfn.XLOOKUP($B62,Tabla1[SERVICIO],Tabla1[VALOR])*1),IF(L62&gt;=1,_xlfn.XLOOKUP($B62,Tabla1[SERVICIO],Tabla1[VALOR]*L62),0))</f>
        <v>0</v>
      </c>
      <c r="N62" s="77"/>
      <c r="O62" s="56" cm="1">
        <f t="array" ref="O62">IF(N62="X",(_xlfn.XLOOKUP($B62,Tabla1[SERVICIO],Tabla1[VALOR])*1),IF(N62&gt;=1,_xlfn.XLOOKUP($B62,Tabla1[SERVICIO],Tabla1[VALOR]*N62),0))</f>
        <v>0</v>
      </c>
      <c r="P62" s="77"/>
      <c r="Q62" s="56" cm="1">
        <f t="array" ref="Q62">IF(P62="X",(_xlfn.XLOOKUP($B62,Tabla1[SERVICIO],Tabla1[VALOR])*1),IF(P62&gt;=1,_xlfn.XLOOKUP($B62,Tabla1[SERVICIO],Tabla1[VALOR]*P62),0))</f>
        <v>0</v>
      </c>
      <c r="R62" s="77"/>
      <c r="S62" s="56" cm="1">
        <f t="array" ref="S62">IF(R62="X",(_xlfn.XLOOKUP($B62,Tabla1[SERVICIO],Tabla1[VALOR])*1),IF(R62&gt;=1,_xlfn.XLOOKUP($B62,Tabla1[SERVICIO],Tabla1[VALOR]*R62),0))</f>
        <v>0</v>
      </c>
      <c r="T62" s="77"/>
      <c r="U62" s="56" cm="1">
        <f t="array" ref="U62">IF(T62="X",(_xlfn.XLOOKUP($B62,Tabla1[SERVICIO],Tabla1[VALOR])*1),IF(T62&gt;=1,_xlfn.XLOOKUP($B62,Tabla1[SERVICIO],Tabla1[VALOR]*T62),0))</f>
        <v>0</v>
      </c>
      <c r="V62" s="77"/>
      <c r="W62" s="56" cm="1">
        <f t="array" ref="W62">IF(V62="X",(_xlfn.XLOOKUP($B62,Tabla1[SERVICIO],Tabla1[VALOR])*1),IF(V62&gt;=1,_xlfn.XLOOKUP($B62,Tabla1[SERVICIO],Tabla1[VALOR]*V62),0))</f>
        <v>0</v>
      </c>
      <c r="X62" s="77"/>
      <c r="Y62" s="56" cm="1">
        <f t="array" ref="Y62">IF(X62="X",(_xlfn.XLOOKUP($B62,Tabla1[SERVICIO],Tabla1[VALOR])*1),IF(X62&gt;=1,_xlfn.XLOOKUP($B62,Tabla1[SERVICIO],Tabla1[VALOR]*X62),0))</f>
        <v>0</v>
      </c>
      <c r="Z62" s="77"/>
      <c r="AA62" s="56" cm="1">
        <f t="array" ref="AA62">IF(Z62="X",(_xlfn.XLOOKUP($B62,Tabla1[SERVICIO],Tabla1[VALOR])*1),IF(Z62&gt;=1,_xlfn.XLOOKUP($B62,Tabla1[SERVICIO],Tabla1[VALOR]*Z62),0))</f>
        <v>0</v>
      </c>
      <c r="AB62" s="77"/>
      <c r="AC62" s="56" cm="1">
        <f t="array" ref="AC62">IF(AB62="X",(_xlfn.XLOOKUP($B62,Tabla1[SERVICIO],Tabla1[VALOR])*1),IF(AB62&gt;=1,_xlfn.XLOOKUP($B62,Tabla1[SERVICIO],Tabla1[VALOR]*AB62),0))</f>
        <v>0</v>
      </c>
      <c r="AD62" s="77"/>
      <c r="AE62" s="56" cm="1">
        <f t="array" ref="AE62">IF(AD62="X",(_xlfn.XLOOKUP($B62,Tabla1[SERVICIO],Tabla1[VALOR])*1),IF(AD62&gt;=1,_xlfn.XLOOKUP($B62,Tabla1[SERVICIO],Tabla1[VALOR]*AD62),0))</f>
        <v>0</v>
      </c>
      <c r="AF62" s="77"/>
      <c r="AG62" s="56" cm="1">
        <f t="array" ref="AG62">IF(AF62="X",(_xlfn.XLOOKUP($B62,Tabla1[SERVICIO],Tabla1[VALOR])*1),IF(AF62&gt;=1,_xlfn.XLOOKUP($B62,Tabla1[SERVICIO],Tabla1[VALOR]*AF62),0))</f>
        <v>0</v>
      </c>
      <c r="AH62" s="77"/>
      <c r="AI62" s="56" cm="1">
        <f t="array" ref="AI62">IF(AH62="X",(_xlfn.XLOOKUP($B62,Tabla1[SERVICIO],Tabla1[VALOR])*1),IF(AH62&gt;=1,_xlfn.XLOOKUP($B62,Tabla1[SERVICIO],Tabla1[VALOR]*AH62),0))</f>
        <v>0</v>
      </c>
      <c r="AJ62" s="77"/>
      <c r="AK62" s="56" cm="1">
        <f t="array" ref="AK62">IF(AJ62="X",(_xlfn.XLOOKUP($B62,Tabla1[SERVICIO],Tabla1[VALOR])*1),IF(AJ62&gt;=1,_xlfn.XLOOKUP($B62,Tabla1[SERVICIO],Tabla1[VALOR]*AJ62),0))</f>
        <v>0</v>
      </c>
      <c r="AL62" s="77"/>
      <c r="AM62" s="56" cm="1">
        <f t="array" ref="AM62">IF(AL62="X",(_xlfn.XLOOKUP($B62,Tabla1[SERVICIO],Tabla1[VALOR])*1),IF(AL62&gt;=1,_xlfn.XLOOKUP($B62,Tabla1[SERVICIO],Tabla1[VALOR]*AL62),0))</f>
        <v>0</v>
      </c>
      <c r="AN62" s="81">
        <f t="shared" si="0"/>
        <v>26897.079640267817</v>
      </c>
      <c r="AO62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2" s="122" t="s">
        <v>319</v>
      </c>
      <c r="AQ62" s="127">
        <v>3.9011703511053317E-3</v>
      </c>
      <c r="AR62" s="121">
        <f>+Tabla1122433[[#This Row],[TOTAL]]*Tabla1122433[[#This Row],[% de las personas que lo usaron]]</f>
        <v>104.93008962393166</v>
      </c>
      <c r="AS62" s="82" t="s">
        <v>351</v>
      </c>
      <c r="AT62" s="335">
        <v>18</v>
      </c>
    </row>
    <row r="63" spans="1:46" x14ac:dyDescent="0.2">
      <c r="A63" s="7" t="s">
        <v>54</v>
      </c>
      <c r="B63" s="8" t="s">
        <v>227</v>
      </c>
      <c r="C63" s="96" t="str">
        <f>_xlfn.XLOOKUP(Tabla1122433[[#This Row],[Servicios del Programa:]],Tabla151[CODIGO],Tabla151[VALOR])</f>
        <v>Gestion y seguimiento</v>
      </c>
      <c r="D63" s="77"/>
      <c r="E63" s="56" cm="1">
        <f t="array" ref="E63">IF(D63="X",(_xlfn.XLOOKUP($B63,Tabla1[SERVICIO],Tabla1[VALOR])*1),IF(D63&gt;=1,_xlfn.XLOOKUP($B63,Tabla1[SERVICIO],Tabla1[VALOR]*D63),0))</f>
        <v>0</v>
      </c>
      <c r="F63" s="77"/>
      <c r="G63" s="56" cm="1">
        <f t="array" ref="G63">IF(F63="X",(_xlfn.XLOOKUP($B63,Tabla1[SERVICIO],Tabla1[VALOR])*1),IF(F63&gt;=1,_xlfn.XLOOKUP($B63,Tabla1[SERVICIO],Tabla1[VALOR]*F63),0))</f>
        <v>0</v>
      </c>
      <c r="H63" s="77"/>
      <c r="I63" s="56" cm="1">
        <f t="array" ref="I63">IF(H63="X",(_xlfn.XLOOKUP($B63,Tabla1[SERVICIO],Tabla1[VALOR])*1),IF(H63&gt;=1,_xlfn.XLOOKUP($B63,Tabla1[SERVICIO],Tabla1[VALOR]*H63),0))</f>
        <v>0</v>
      </c>
      <c r="J63" s="77"/>
      <c r="K63" s="56" cm="1">
        <f t="array" ref="K63">IF(J63="X",(_xlfn.XLOOKUP($B63,Tabla1[SERVICIO],Tabla1[VALOR])*1),IF(J63&gt;=1,_xlfn.XLOOKUP($B63,Tabla1[SERVICIO],Tabla1[VALOR]*J63),0))</f>
        <v>0</v>
      </c>
      <c r="L63" s="77"/>
      <c r="M63" s="56" cm="1">
        <f t="array" ref="M63">IF(L63="X",(_xlfn.XLOOKUP($B63,Tabla1[SERVICIO],Tabla1[VALOR])*1),IF(L63&gt;=1,_xlfn.XLOOKUP($B63,Tabla1[SERVICIO],Tabla1[VALOR]*L63),0))</f>
        <v>0</v>
      </c>
      <c r="N63" s="77">
        <v>1</v>
      </c>
      <c r="O63" s="56" cm="1">
        <f t="array" ref="O63">IF(N63="X",(_xlfn.XLOOKUP($B63,Tabla1[SERVICIO],Tabla1[VALOR])*1),IF(N63&gt;=1,_xlfn.XLOOKUP($B63,Tabla1[SERVICIO],Tabla1[VALOR]*N63),0))</f>
        <v>145259.19237771924</v>
      </c>
      <c r="P63" s="77"/>
      <c r="Q63" s="56" cm="1">
        <f t="array" ref="Q63">IF(P63="X",(_xlfn.XLOOKUP($B63,Tabla1[SERVICIO],Tabla1[VALOR])*1),IF(P63&gt;=1,_xlfn.XLOOKUP($B63,Tabla1[SERVICIO],Tabla1[VALOR]*P63),0))</f>
        <v>0</v>
      </c>
      <c r="R63" s="77"/>
      <c r="S63" s="56" cm="1">
        <f t="array" ref="S63">IF(R63="X",(_xlfn.XLOOKUP($B63,Tabla1[SERVICIO],Tabla1[VALOR])*1),IF(R63&gt;=1,_xlfn.XLOOKUP($B63,Tabla1[SERVICIO],Tabla1[VALOR]*R63),0))</f>
        <v>0</v>
      </c>
      <c r="T63" s="77"/>
      <c r="U63" s="56" cm="1">
        <f t="array" ref="U63">IF(T63="X",(_xlfn.XLOOKUP($B63,Tabla1[SERVICIO],Tabla1[VALOR])*1),IF(T63&gt;=1,_xlfn.XLOOKUP($B63,Tabla1[SERVICIO],Tabla1[VALOR]*T63),0))</f>
        <v>0</v>
      </c>
      <c r="V63" s="77"/>
      <c r="W63" s="56" cm="1">
        <f t="array" ref="W63">IF(V63="X",(_xlfn.XLOOKUP($B63,Tabla1[SERVICIO],Tabla1[VALOR])*1),IF(V63&gt;=1,_xlfn.XLOOKUP($B63,Tabla1[SERVICIO],Tabla1[VALOR]*V63),0))</f>
        <v>0</v>
      </c>
      <c r="X63" s="77"/>
      <c r="Y63" s="56" cm="1">
        <f t="array" ref="Y63">IF(X63="X",(_xlfn.XLOOKUP($B63,Tabla1[SERVICIO],Tabla1[VALOR])*1),IF(X63&gt;=1,_xlfn.XLOOKUP($B63,Tabla1[SERVICIO],Tabla1[VALOR]*X63),0))</f>
        <v>0</v>
      </c>
      <c r="Z63" s="77"/>
      <c r="AA63" s="56" cm="1">
        <f t="array" ref="AA63">IF(Z63="X",(_xlfn.XLOOKUP($B63,Tabla1[SERVICIO],Tabla1[VALOR])*1),IF(Z63&gt;=1,_xlfn.XLOOKUP($B63,Tabla1[SERVICIO],Tabla1[VALOR]*Z63),0))</f>
        <v>0</v>
      </c>
      <c r="AB63" s="77"/>
      <c r="AC63" s="56" cm="1">
        <f t="array" ref="AC63">IF(AB63="X",(_xlfn.XLOOKUP($B63,Tabla1[SERVICIO],Tabla1[VALOR])*1),IF(AB63&gt;=1,_xlfn.XLOOKUP($B63,Tabla1[SERVICIO],Tabla1[VALOR]*AB63),0))</f>
        <v>0</v>
      </c>
      <c r="AD63" s="77"/>
      <c r="AE63" s="56" cm="1">
        <f t="array" ref="AE63">IF(AD63="X",(_xlfn.XLOOKUP($B63,Tabla1[SERVICIO],Tabla1[VALOR])*1),IF(AD63&gt;=1,_xlfn.XLOOKUP($B63,Tabla1[SERVICIO],Tabla1[VALOR]*AD63),0))</f>
        <v>0</v>
      </c>
      <c r="AF63" s="77"/>
      <c r="AG63" s="56" cm="1">
        <f t="array" ref="AG63">IF(AF63="X",(_xlfn.XLOOKUP($B63,Tabla1[SERVICIO],Tabla1[VALOR])*1),IF(AF63&gt;=1,_xlfn.XLOOKUP($B63,Tabla1[SERVICIO],Tabla1[VALOR]*AF63),0))</f>
        <v>0</v>
      </c>
      <c r="AH63" s="77"/>
      <c r="AI63" s="56" cm="1">
        <f t="array" ref="AI63">IF(AH63="X",(_xlfn.XLOOKUP($B63,Tabla1[SERVICIO],Tabla1[VALOR])*1),IF(AH63&gt;=1,_xlfn.XLOOKUP($B63,Tabla1[SERVICIO],Tabla1[VALOR]*AH63),0))</f>
        <v>0</v>
      </c>
      <c r="AJ63" s="77"/>
      <c r="AK63" s="56" cm="1">
        <f t="array" ref="AK63">IF(AJ63="X",(_xlfn.XLOOKUP($B63,Tabla1[SERVICIO],Tabla1[VALOR])*1),IF(AJ63&gt;=1,_xlfn.XLOOKUP($B63,Tabla1[SERVICIO],Tabla1[VALOR]*AJ63),0))</f>
        <v>0</v>
      </c>
      <c r="AL63" s="77"/>
      <c r="AM63" s="56" cm="1">
        <f t="array" ref="AM63">IF(AL63="X",(_xlfn.XLOOKUP($B63,Tabla1[SERVICIO],Tabla1[VALOR])*1),IF(AL63&gt;=1,_xlfn.XLOOKUP($B63,Tabla1[SERVICIO],Tabla1[VALOR]*AL63),0))</f>
        <v>0</v>
      </c>
      <c r="AN63" s="81">
        <f t="shared" si="0"/>
        <v>145259.19237771924</v>
      </c>
      <c r="AO63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3" s="122" t="s">
        <v>319</v>
      </c>
      <c r="AQ63" s="127">
        <v>7.8023407022106634E-3</v>
      </c>
      <c r="AR63" s="121">
        <f>+Tabla1122433[[#This Row],[TOTAL]]*Tabla1122433[[#This Row],[% de las personas que lo usaron]]</f>
        <v>1133.3617090589278</v>
      </c>
      <c r="AS63" s="82" t="s">
        <v>351</v>
      </c>
      <c r="AT63" s="335">
        <v>18</v>
      </c>
    </row>
    <row r="64" spans="1:46" x14ac:dyDescent="0.2">
      <c r="A64" s="7" t="s">
        <v>29</v>
      </c>
      <c r="B64" s="8" t="s">
        <v>196</v>
      </c>
      <c r="C64" s="96" t="str">
        <f>_xlfn.XLOOKUP(Tabla1122433[[#This Row],[Servicios del Programa:]],Tabla151[CODIGO],Tabla151[VALOR])</f>
        <v>Terapias</v>
      </c>
      <c r="D64" s="78"/>
      <c r="E64" s="56" cm="1">
        <f t="array" ref="E64">IF(D64="X",(_xlfn.XLOOKUP($B64,Tabla1[SERVICIO],Tabla1[VALOR])*1),IF(D64&gt;=1,_xlfn.XLOOKUP($B64,Tabla1[SERVICIO],Tabla1[VALOR]*D64),0))</f>
        <v>0</v>
      </c>
      <c r="F64" s="78"/>
      <c r="G64" s="56" cm="1">
        <f t="array" ref="G64">IF(F64="X",(_xlfn.XLOOKUP($B64,Tabla1[SERVICIO],Tabla1[VALOR])*1),IF(F64&gt;=1,_xlfn.XLOOKUP($B64,Tabla1[SERVICIO],Tabla1[VALOR]*F64),0))</f>
        <v>0</v>
      </c>
      <c r="H64" s="78"/>
      <c r="I64" s="56" cm="1">
        <f t="array" ref="I64">IF(H64="X",(_xlfn.XLOOKUP($B64,Tabla1[SERVICIO],Tabla1[VALOR])*1),IF(H64&gt;=1,_xlfn.XLOOKUP($B64,Tabla1[SERVICIO],Tabla1[VALOR]*H64),0))</f>
        <v>0</v>
      </c>
      <c r="J64" s="78"/>
      <c r="K64" s="56" cm="1">
        <f t="array" ref="K64">IF(J64="X",(_xlfn.XLOOKUP($B64,Tabla1[SERVICIO],Tabla1[VALOR])*1),IF(J64&gt;=1,_xlfn.XLOOKUP($B64,Tabla1[SERVICIO],Tabla1[VALOR]*J64),0))</f>
        <v>0</v>
      </c>
      <c r="L64" s="78"/>
      <c r="M64" s="56" cm="1">
        <f t="array" ref="M64">IF(L64="X",(_xlfn.XLOOKUP($B64,Tabla1[SERVICIO],Tabla1[VALOR])*1),IF(L64&gt;=1,_xlfn.XLOOKUP($B64,Tabla1[SERVICIO],Tabla1[VALOR]*L64),0))</f>
        <v>0</v>
      </c>
      <c r="N64" s="78"/>
      <c r="O64" s="56" cm="1">
        <f t="array" ref="O64">IF(N64="X",(_xlfn.XLOOKUP($B64,Tabla1[SERVICIO],Tabla1[VALOR])*1),IF(N64&gt;=1,_xlfn.XLOOKUP($B64,Tabla1[SERVICIO],Tabla1[VALOR]*N64),0))</f>
        <v>0</v>
      </c>
      <c r="P64" s="78"/>
      <c r="Q64" s="56" cm="1">
        <f t="array" ref="Q64">IF(P64="X",(_xlfn.XLOOKUP($B64,Tabla1[SERVICIO],Tabla1[VALOR])*1),IF(P64&gt;=1,_xlfn.XLOOKUP($B64,Tabla1[SERVICIO],Tabla1[VALOR]*P64),0))</f>
        <v>0</v>
      </c>
      <c r="R64" s="78"/>
      <c r="S64" s="56" cm="1">
        <f t="array" ref="S64">IF(R64="X",(_xlfn.XLOOKUP($B64,Tabla1[SERVICIO],Tabla1[VALOR])*1),IF(R64&gt;=1,_xlfn.XLOOKUP($B64,Tabla1[SERVICIO],Tabla1[VALOR]*R64),0))</f>
        <v>0</v>
      </c>
      <c r="T64" s="78"/>
      <c r="U64" s="56" cm="1">
        <f t="array" ref="U64">IF(T64="X",(_xlfn.XLOOKUP($B64,Tabla1[SERVICIO],Tabla1[VALOR])*1),IF(T64&gt;=1,_xlfn.XLOOKUP($B64,Tabla1[SERVICIO],Tabla1[VALOR]*T64),0))</f>
        <v>0</v>
      </c>
      <c r="V64" s="78"/>
      <c r="W64" s="56" cm="1">
        <f t="array" ref="W64">IF(V64="X",(_xlfn.XLOOKUP($B64,Tabla1[SERVICIO],Tabla1[VALOR])*1),IF(V64&gt;=1,_xlfn.XLOOKUP($B64,Tabla1[SERVICIO],Tabla1[VALOR]*V64),0))</f>
        <v>0</v>
      </c>
      <c r="X64" s="78"/>
      <c r="Y64" s="56" cm="1">
        <f t="array" ref="Y64">IF(X64="X",(_xlfn.XLOOKUP($B64,Tabla1[SERVICIO],Tabla1[VALOR])*1),IF(X64&gt;=1,_xlfn.XLOOKUP($B64,Tabla1[SERVICIO],Tabla1[VALOR]*X64),0))</f>
        <v>0</v>
      </c>
      <c r="Z64" s="78"/>
      <c r="AA64" s="56" cm="1">
        <f t="array" ref="AA64">IF(Z64="X",(_xlfn.XLOOKUP($B64,Tabla1[SERVICIO],Tabla1[VALOR])*1),IF(Z64&gt;=1,_xlfn.XLOOKUP($B64,Tabla1[SERVICIO],Tabla1[VALOR]*Z64),0))</f>
        <v>0</v>
      </c>
      <c r="AB64" s="78"/>
      <c r="AC64" s="56" cm="1">
        <f t="array" ref="AC64">IF(AB64="X",(_xlfn.XLOOKUP($B64,Tabla1[SERVICIO],Tabla1[VALOR])*1),IF(AB64&gt;=1,_xlfn.XLOOKUP($B64,Tabla1[SERVICIO],Tabla1[VALOR]*AB64),0))</f>
        <v>0</v>
      </c>
      <c r="AD64" s="78"/>
      <c r="AE64" s="56" cm="1">
        <f t="array" ref="AE64">IF(AD64="X",(_xlfn.XLOOKUP($B64,Tabla1[SERVICIO],Tabla1[VALOR])*1),IF(AD64&gt;=1,_xlfn.XLOOKUP($B64,Tabla1[SERVICIO],Tabla1[VALOR]*AD64),0))</f>
        <v>0</v>
      </c>
      <c r="AF64" s="78"/>
      <c r="AG64" s="56" cm="1">
        <f t="array" ref="AG64">IF(AF64="X",(_xlfn.XLOOKUP($B64,Tabla1[SERVICIO],Tabla1[VALOR])*1),IF(AF64&gt;=1,_xlfn.XLOOKUP($B64,Tabla1[SERVICIO],Tabla1[VALOR]*AF64),0))</f>
        <v>0</v>
      </c>
      <c r="AH64" s="78"/>
      <c r="AI64" s="56" cm="1">
        <f t="array" ref="AI64">IF(AH64="X",(_xlfn.XLOOKUP($B64,Tabla1[SERVICIO],Tabla1[VALOR])*1),IF(AH64&gt;=1,_xlfn.XLOOKUP($B64,Tabla1[SERVICIO],Tabla1[VALOR]*AH64),0))</f>
        <v>0</v>
      </c>
      <c r="AJ64" s="78"/>
      <c r="AK64" s="56" cm="1">
        <f t="array" ref="AK64">IF(AJ64="X",(_xlfn.XLOOKUP($B64,Tabla1[SERVICIO],Tabla1[VALOR])*1),IF(AJ64&gt;=1,_xlfn.XLOOKUP($B64,Tabla1[SERVICIO],Tabla1[VALOR]*AJ64),0))</f>
        <v>0</v>
      </c>
      <c r="AL64" s="78">
        <v>1</v>
      </c>
      <c r="AM64" s="56" cm="1">
        <f t="array" ref="AM64">IF(AL64="X",(_xlfn.XLOOKUP($B64,Tabla1[SERVICIO],Tabla1[VALOR])*1),IF(AL64&gt;=1,_xlfn.XLOOKUP($B64,Tabla1[SERVICIO],Tabla1[VALOR]*AL64),0))</f>
        <v>31881.451880098426</v>
      </c>
      <c r="AN64" s="81">
        <f t="shared" si="0"/>
        <v>31881.451880098426</v>
      </c>
      <c r="AO64" s="212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4" s="122" t="s">
        <v>318</v>
      </c>
      <c r="AQ64" s="127">
        <v>1</v>
      </c>
      <c r="AR64" s="121">
        <f>+Tabla1122433[[#This Row],[TOTAL]]*Tabla1122433[[#This Row],[% de las personas que lo usaron]]</f>
        <v>31881.451880098426</v>
      </c>
      <c r="AS64" s="82" t="s">
        <v>351</v>
      </c>
      <c r="AT64" s="335">
        <v>18</v>
      </c>
    </row>
    <row r="65" spans="1:46" ht="15" x14ac:dyDescent="0.25">
      <c r="A65" s="9"/>
      <c r="B65" s="10"/>
      <c r="C65" s="10"/>
      <c r="D65" s="16">
        <f>SUBTOTAL(109,Tabla1122433[MES 1])</f>
        <v>24</v>
      </c>
      <c r="E65" s="72">
        <f>SUBTOTAL(109,Tabla1122433[MES 19])</f>
        <v>898621.12657424342</v>
      </c>
      <c r="F65" s="10">
        <f>SUBTOTAL(109,Tabla1122433[MES 2])</f>
        <v>8</v>
      </c>
      <c r="G65" s="72">
        <f>SUBTOTAL(109,Tabla1122433[MES 22])</f>
        <v>70240.958933331596</v>
      </c>
      <c r="H65" s="10">
        <f>SUBTOTAL(109,Tabla1122433[MES 3])</f>
        <v>8</v>
      </c>
      <c r="I65" s="72">
        <f>SUBTOTAL(109,Tabla1122433[MES 32])</f>
        <v>70240.958933331596</v>
      </c>
      <c r="J65" s="10">
        <f>SUBTOTAL(109,Tabla1122433[MES 4])</f>
        <v>9</v>
      </c>
      <c r="K65" s="72">
        <f>SUBTOTAL(109,Tabla1122433[MES 42])</f>
        <v>132989.19121621252</v>
      </c>
      <c r="L65" s="10">
        <f>SUBTOTAL(109,Tabla1122433[MES 5])</f>
        <v>8</v>
      </c>
      <c r="M65" s="72">
        <f>SUBTOTAL(109,Tabla1122433[MES 52])</f>
        <v>70240.958933331596</v>
      </c>
      <c r="N65" s="10">
        <f>SUBTOTAL(109,Tabla1122433[MES 6])</f>
        <v>9</v>
      </c>
      <c r="O65" s="72">
        <f>SUBTOTAL(109,Tabla1122433[MES 62])</f>
        <v>215500.15131105084</v>
      </c>
      <c r="P65" s="10">
        <f>SUBTOTAL(109,Tabla1122433[MES 7])</f>
        <v>8</v>
      </c>
      <c r="Q65" s="72">
        <f>SUBTOTAL(109,Tabla1122433[MES 72])</f>
        <v>70240.958933331596</v>
      </c>
      <c r="R65" s="10">
        <f>SUBTOTAL(109,Tabla1122433[MES 8])</f>
        <v>8</v>
      </c>
      <c r="S65" s="72">
        <f>SUBTOTAL(109,Tabla1122433[MES 82])</f>
        <v>70240.958933331596</v>
      </c>
      <c r="T65" s="10">
        <f>SUBTOTAL(109,Tabla1122433[MES 9])</f>
        <v>8</v>
      </c>
      <c r="U65" s="72">
        <f>SUBTOTAL(109,Tabla1122433[MES 92])</f>
        <v>70240.958933331596</v>
      </c>
      <c r="V65" s="10">
        <f>SUBTOTAL(109,Tabla1122433[MES 10])</f>
        <v>8</v>
      </c>
      <c r="W65" s="72">
        <f>SUBTOTAL(109,Tabla1122433[MES 102])</f>
        <v>70240.958933331596</v>
      </c>
      <c r="X65" s="10">
        <f>SUBTOTAL(109,Tabla1122433[MES 11])</f>
        <v>8</v>
      </c>
      <c r="Y65" s="214">
        <f>SUBTOTAL(109,Tabla1122433[MES 112])</f>
        <v>70240.958933331596</v>
      </c>
      <c r="Z65" s="16">
        <f>SUBTOTAL(109,Tabla1122433[MES 12])</f>
        <v>8</v>
      </c>
      <c r="AA65" s="214">
        <f>SUBTOTAL(109,Tabla1122433[MES 122])</f>
        <v>70240.958933331596</v>
      </c>
      <c r="AB65" s="10">
        <f>SUBTOTAL(109,Tabla1122433[MES 13])</f>
        <v>8</v>
      </c>
      <c r="AC65" s="214">
        <f>SUBTOTAL(109,Tabla1122433[MES 132])</f>
        <v>70240.958933331596</v>
      </c>
      <c r="AD65" s="10">
        <f>SUBTOTAL(109,Tabla1122433[MES 14])</f>
        <v>8</v>
      </c>
      <c r="AE65" s="214">
        <f>SUBTOTAL(109,Tabla1122433[MES 142])</f>
        <v>70240.958933331596</v>
      </c>
      <c r="AF65" s="10">
        <f>SUBTOTAL(109,Tabla1122433[MES 15])</f>
        <v>8</v>
      </c>
      <c r="AG65" s="214">
        <f>SUBTOTAL(109,Tabla1122433[MES 152])</f>
        <v>70240.958933331596</v>
      </c>
      <c r="AH65" s="10">
        <f>SUBTOTAL(109,Tabla1122433[MES 16])</f>
        <v>8</v>
      </c>
      <c r="AI65" s="214">
        <f>SUBTOTAL(109,Tabla1122433[MES 162])</f>
        <v>70240.958933331596</v>
      </c>
      <c r="AJ65" s="10">
        <f>SUBTOTAL(109,Tabla1122433[MES 17])</f>
        <v>8</v>
      </c>
      <c r="AK65" s="215">
        <f>SUBTOTAL(109,Tabla1122433[MES 172])</f>
        <v>70240.958933331596</v>
      </c>
      <c r="AL65" s="11">
        <f>SUBTOTAL(109,Tabla1122433[MES 18])</f>
        <v>10</v>
      </c>
      <c r="AM65" s="215">
        <f>SUBTOTAL(109,Tabla1122433[MES 1722])</f>
        <v>164870.64309631096</v>
      </c>
      <c r="AN65" s="216">
        <f>SUBTOTAL(109,Tabla1122433[TOTAL])</f>
        <v>2395354.5372644598</v>
      </c>
      <c r="AO65" s="95">
        <f>SUBTOTAL(109,Tabla1122433[TOTAL SERVICIOS])</f>
        <v>164</v>
      </c>
      <c r="AP65" s="95"/>
      <c r="AQ65" s="95"/>
      <c r="AR65" s="125">
        <f>SUBTOTAL(109,Tabla1122433[VALOR COSTO])</f>
        <v>1576729.864307503</v>
      </c>
      <c r="AS65" s="95"/>
      <c r="AT65" s="95"/>
    </row>
  </sheetData>
  <phoneticPr fontId="13" type="noConversion"/>
  <conditionalFormatting sqref="AF3:AF3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6:AR6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30C7-0EA3-4B37-BA5C-5BECCDDD4D2D}">
  <sheetPr codeName="Hoja11">
    <tabColor theme="7" tint="0.39997558519241921"/>
  </sheetPr>
  <dimension ref="A1:AT57"/>
  <sheetViews>
    <sheetView zoomScale="40" zoomScaleNormal="40" workbookViewId="0">
      <selection activeCell="A3" sqref="A3:AH27"/>
    </sheetView>
    <sheetView workbookViewId="1">
      <selection activeCell="B8" sqref="B8"/>
    </sheetView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12.140625" style="4" bestFit="1" customWidth="1"/>
    <col min="4" max="4" width="14.5703125" style="4" bestFit="1" customWidth="1"/>
    <col min="5" max="5" width="12.42578125" style="4" bestFit="1" customWidth="1"/>
    <col min="6" max="6" width="15" style="4" bestFit="1" customWidth="1"/>
    <col min="7" max="7" width="12.85546875" style="4" bestFit="1" customWidth="1"/>
    <col min="8" max="8" width="15" style="4" bestFit="1" customWidth="1"/>
    <col min="9" max="9" width="12.85546875" style="4" bestFit="1" customWidth="1"/>
    <col min="10" max="10" width="15" style="4" bestFit="1" customWidth="1"/>
    <col min="11" max="11" width="12.85546875" style="4" bestFit="1" customWidth="1"/>
    <col min="12" max="12" width="15" style="4" bestFit="1" customWidth="1"/>
    <col min="13" max="13" width="12.85546875" style="4" bestFit="1" customWidth="1"/>
    <col min="14" max="14" width="15" style="4" bestFit="1" customWidth="1"/>
    <col min="15" max="15" width="13.42578125" style="4" bestFit="1" customWidth="1"/>
    <col min="16" max="16" width="15" style="4" bestFit="1" customWidth="1"/>
    <col min="17" max="17" width="12.85546875" style="4" bestFit="1" customWidth="1"/>
    <col min="18" max="18" width="15" style="4" bestFit="1" customWidth="1"/>
    <col min="19" max="19" width="12.85546875" style="4" bestFit="1" customWidth="1"/>
    <col min="20" max="20" width="15" style="4" bestFit="1" customWidth="1"/>
    <col min="21" max="21" width="12.85546875" style="4" bestFit="1" customWidth="1"/>
    <col min="22" max="22" width="15.85546875" style="4" bestFit="1" customWidth="1"/>
    <col min="23" max="23" width="13.140625" style="4" bestFit="1" customWidth="1"/>
    <col min="24" max="24" width="15.42578125" style="4" bestFit="1" customWidth="1"/>
    <col min="25" max="25" width="13.140625" style="4" bestFit="1" customWidth="1"/>
    <col min="26" max="26" width="15.85546875" style="4" bestFit="1" customWidth="1"/>
    <col min="27" max="27" width="17.85546875" style="4" bestFit="1" customWidth="1"/>
    <col min="28" max="28" width="15.7109375" style="4" bestFit="1" customWidth="1"/>
    <col min="29" max="29" width="18.7109375" style="4" bestFit="1" customWidth="1"/>
    <col min="30" max="30" width="18.28515625" style="4" bestFit="1" customWidth="1"/>
    <col min="31" max="31" width="27.140625" style="4" bestFit="1" customWidth="1"/>
    <col min="32" max="32" width="16.7109375" style="4" bestFit="1" customWidth="1"/>
    <col min="33" max="33" width="26.7109375" style="4" bestFit="1" customWidth="1"/>
    <col min="34" max="34" width="9.28515625" style="4" bestFit="1" customWidth="1"/>
    <col min="35" max="35" width="12.5703125" style="4" bestFit="1" customWidth="1"/>
    <col min="36" max="36" width="9.28515625" style="4" bestFit="1" customWidth="1"/>
    <col min="37" max="37" width="12.5703125" style="4" bestFit="1" customWidth="1"/>
    <col min="38" max="38" width="9.28515625" style="4" bestFit="1" customWidth="1"/>
    <col min="39" max="39" width="13.42578125" style="4" bestFit="1" customWidth="1"/>
    <col min="40" max="40" width="15.28515625" style="4" bestFit="1" customWidth="1"/>
    <col min="41" max="41" width="11" style="4" bestFit="1" customWidth="1"/>
    <col min="42" max="42" width="18.28515625" style="4" bestFit="1" customWidth="1"/>
    <col min="43" max="43" width="20.5703125" style="4" bestFit="1" customWidth="1"/>
    <col min="44" max="44" width="17.85546875" style="4" bestFit="1" customWidth="1"/>
    <col min="45" max="16384" width="11.42578125" style="4"/>
  </cols>
  <sheetData>
    <row r="1" spans="1:34" ht="36" customHeight="1" x14ac:dyDescent="0.25">
      <c r="A1" s="43" t="s">
        <v>199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48" customFormat="1" ht="25.5" x14ac:dyDescent="0.2">
      <c r="A2" s="20" t="s">
        <v>0</v>
      </c>
      <c r="B2" s="147" t="s">
        <v>200</v>
      </c>
      <c r="C2" s="183" t="s">
        <v>347</v>
      </c>
      <c r="D2" s="94" t="s">
        <v>56</v>
      </c>
      <c r="E2" s="94" t="s">
        <v>68</v>
      </c>
      <c r="F2" s="94" t="s">
        <v>57</v>
      </c>
      <c r="G2" s="94" t="s">
        <v>293</v>
      </c>
      <c r="H2" s="94" t="s">
        <v>58</v>
      </c>
      <c r="I2" s="94" t="s">
        <v>294</v>
      </c>
      <c r="J2" s="94" t="s">
        <v>59</v>
      </c>
      <c r="K2" s="94" t="s">
        <v>295</v>
      </c>
      <c r="L2" s="94" t="s">
        <v>60</v>
      </c>
      <c r="M2" s="94" t="s">
        <v>296</v>
      </c>
      <c r="N2" s="94" t="s">
        <v>61</v>
      </c>
      <c r="O2" s="94" t="s">
        <v>297</v>
      </c>
      <c r="P2" s="94" t="s">
        <v>62</v>
      </c>
      <c r="Q2" s="94" t="s">
        <v>298</v>
      </c>
      <c r="R2" s="94" t="s">
        <v>63</v>
      </c>
      <c r="S2" s="94" t="s">
        <v>299</v>
      </c>
      <c r="T2" s="94" t="s">
        <v>64</v>
      </c>
      <c r="U2" s="94" t="s">
        <v>300</v>
      </c>
      <c r="V2" s="94" t="s">
        <v>65</v>
      </c>
      <c r="W2" s="94" t="s">
        <v>301</v>
      </c>
      <c r="X2" s="94" t="s">
        <v>66</v>
      </c>
      <c r="Y2" s="94" t="s">
        <v>302</v>
      </c>
      <c r="Z2" s="94" t="s">
        <v>67</v>
      </c>
      <c r="AA2" s="105" t="s">
        <v>311</v>
      </c>
      <c r="AB2" s="105" t="s">
        <v>247</v>
      </c>
      <c r="AC2" s="105" t="s">
        <v>188</v>
      </c>
      <c r="AD2" s="157" t="s">
        <v>187</v>
      </c>
      <c r="AE2" s="105" t="s">
        <v>316</v>
      </c>
      <c r="AF2" s="171" t="s">
        <v>317</v>
      </c>
      <c r="AG2" s="105" t="s">
        <v>348</v>
      </c>
      <c r="AH2" s="105" t="s">
        <v>406</v>
      </c>
    </row>
    <row r="3" spans="1:34" x14ac:dyDescent="0.25">
      <c r="A3" s="7" t="s">
        <v>13</v>
      </c>
      <c r="B3" s="96" t="s">
        <v>14</v>
      </c>
      <c r="C3" s="96" t="str">
        <f>_xlfn.XLOOKUP(Tabla467834[[#This Row],[Servicios del Programa:]],Tabla151[CODIGO],Tabla151[VALOR])</f>
        <v>Gestion y seguimiento</v>
      </c>
      <c r="D3" s="14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145"/>
      <c r="G3" s="56" cm="1">
        <f t="array" ref="G3">IF(F3="X",(_xlfn.XLOOKUP($B3,Tabla1[SERVICIO],Tabla1[VALOR])*1),IF(F3&gt;=1,_xlfn.XLOOKUP($B3,Tabla1[SERVICIO],Tabla1[VALOR]*F3),0))</f>
        <v>0</v>
      </c>
      <c r="H3" s="145"/>
      <c r="I3" s="56" cm="1">
        <f t="array" ref="I3">IF(H3="X",(_xlfn.XLOOKUP($B3,Tabla1[SERVICIO],Tabla1[VALOR])*1),IF(H3&gt;=1,_xlfn.XLOOKUP($B3,Tabla1[SERVICIO],Tabla1[VALOR]*H3),0))</f>
        <v>0</v>
      </c>
      <c r="J3" s="145"/>
      <c r="K3" s="56" cm="1">
        <f t="array" ref="K3">IF(J3="X",(_xlfn.XLOOKUP($B3,Tabla1[SERVICIO],Tabla1[VALOR])*1),IF(J3&gt;=1,_xlfn.XLOOKUP($B3,Tabla1[SERVICIO],Tabla1[VALOR]*J3),0))</f>
        <v>0</v>
      </c>
      <c r="L3" s="145"/>
      <c r="M3" s="56" cm="1">
        <f t="array" ref="M3">IF(L3="X",(_xlfn.XLOOKUP($B3,Tabla1[SERVICIO],Tabla1[VALOR])*1),IF(L3&gt;=1,_xlfn.XLOOKUP($B3,Tabla1[SERVICIO],Tabla1[VALOR]*L3),0))</f>
        <v>0</v>
      </c>
      <c r="N3" s="145"/>
      <c r="O3" s="56" cm="1">
        <f t="array" ref="O3">IF(N3="X",(_xlfn.XLOOKUP($B3,Tabla1[SERVICIO],Tabla1[VALOR])*1),IF(N3&gt;=1,_xlfn.XLOOKUP($B3,Tabla1[SERVICIO],Tabla1[VALOR]*N3),0))</f>
        <v>0</v>
      </c>
      <c r="P3" s="145"/>
      <c r="Q3" s="56" cm="1">
        <f t="array" ref="Q3">IF(P3="X",(_xlfn.XLOOKUP($B3,Tabla1[SERVICIO],Tabla1[VALOR])*1),IF(P3&gt;=1,_xlfn.XLOOKUP($B3,Tabla1[SERVICIO],Tabla1[VALOR]*P3),0))</f>
        <v>0</v>
      </c>
      <c r="R3" s="145"/>
      <c r="S3" s="56" cm="1">
        <f t="array" ref="S3">IF(R3="X",(_xlfn.XLOOKUP($B3,Tabla1[SERVICIO],Tabla1[VALOR])*1),IF(R3&gt;=1,_xlfn.XLOOKUP($B3,Tabla1[SERVICIO],Tabla1[VALOR]*R3),0))</f>
        <v>0</v>
      </c>
      <c r="T3" s="145"/>
      <c r="U3" s="56" cm="1">
        <f t="array" ref="U3">IF(T3="X",(_xlfn.XLOOKUP($B3,Tabla1[SERVICIO],Tabla1[VALOR])*1),IF(T3&gt;=1,_xlfn.XLOOKUP($B3,Tabla1[SERVICIO],Tabla1[VALOR]*T3),0))</f>
        <v>0</v>
      </c>
      <c r="V3" s="145"/>
      <c r="W3" s="56" cm="1">
        <f t="array" ref="W3">IF(V3="X",(_xlfn.XLOOKUP($B3,Tabla1[SERVICIO],Tabla1[VALOR])*1),IF(V3&gt;=1,_xlfn.XLOOKUP($B3,Tabla1[SERVICIO],Tabla1[VALOR]*V3),0))</f>
        <v>0</v>
      </c>
      <c r="X3" s="145"/>
      <c r="Y3" s="56" cm="1">
        <f t="array" ref="Y3">IF(X3="X",(_xlfn.XLOOKUP($B3,Tabla1[SERVICIO],Tabla1[VALOR])*1),IF(X3&gt;=1,_xlfn.XLOOKUP($B3,Tabla1[SERVICIO],Tabla1[VALOR]*X3),0))</f>
        <v>0</v>
      </c>
      <c r="Z3" s="145"/>
      <c r="AA3" s="56" cm="1">
        <f t="array" ref="AA3">IF(Z3="X",(_xlfn.XLOOKUP($B3,Tabla1[SERVICIO],Tabla1[VALOR])*1),IF(Z3&gt;=1,_xlfn.XLOOKUP($B3,Tabla1[SERVICIO],Tabla1[VALOR]*Z3),0))</f>
        <v>0</v>
      </c>
      <c r="AB3" s="81">
        <f>SUM(E3,G3,I3,K3+M3,O3,Q3,S3,U3,W3,Y3,AA3)</f>
        <v>20552.755657371155</v>
      </c>
      <c r="AC3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3" s="158" t="s">
        <v>318</v>
      </c>
      <c r="AE3" s="150">
        <v>1</v>
      </c>
      <c r="AF3" s="238">
        <f>+Tabla467834[[#This Row],[TOTAL]]*Tabla467834[[#This Row],[% de las personas que lo usaron]]</f>
        <v>20552.755657371155</v>
      </c>
      <c r="AG3" s="122" t="s">
        <v>352</v>
      </c>
      <c r="AH3" s="335">
        <v>12</v>
      </c>
    </row>
    <row r="4" spans="1:34" x14ac:dyDescent="0.25">
      <c r="A4" s="7" t="s">
        <v>98</v>
      </c>
      <c r="B4" s="96" t="s">
        <v>99</v>
      </c>
      <c r="C4" s="96" t="str">
        <f>_xlfn.XLOOKUP(Tabla467834[[#This Row],[Servicios del Programa:]],Tabla151[CODIGO],Tabla151[VALOR])</f>
        <v>Consultas</v>
      </c>
      <c r="D4" s="14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145"/>
      <c r="G4" s="56" cm="1">
        <f t="array" ref="G4">IF(F4="X",(_xlfn.XLOOKUP($B4,Tabla1[SERVICIO],Tabla1[VALOR])*1),IF(F4&gt;=1,_xlfn.XLOOKUP($B4,Tabla1[SERVICIO],Tabla1[VALOR]*F4),0))</f>
        <v>0</v>
      </c>
      <c r="H4" s="145"/>
      <c r="I4" s="56" cm="1">
        <f t="array" ref="I4">IF(H4="X",(_xlfn.XLOOKUP($B4,Tabla1[SERVICIO],Tabla1[VALOR])*1),IF(H4&gt;=1,_xlfn.XLOOKUP($B4,Tabla1[SERVICIO],Tabla1[VALOR]*H4),0))</f>
        <v>0</v>
      </c>
      <c r="J4" s="145"/>
      <c r="K4" s="56" cm="1">
        <f t="array" ref="K4">IF(J4="X",(_xlfn.XLOOKUP($B4,Tabla1[SERVICIO],Tabla1[VALOR])*1),IF(J4&gt;=1,_xlfn.XLOOKUP($B4,Tabla1[SERVICIO],Tabla1[VALOR]*J4),0))</f>
        <v>0</v>
      </c>
      <c r="L4" s="145"/>
      <c r="M4" s="56" cm="1">
        <f t="array" ref="M4">IF(L4="X",(_xlfn.XLOOKUP($B4,Tabla1[SERVICIO],Tabla1[VALOR])*1),IF(L4&gt;=1,_xlfn.XLOOKUP($B4,Tabla1[SERVICIO],Tabla1[VALOR]*L4),0))</f>
        <v>0</v>
      </c>
      <c r="N4" s="145"/>
      <c r="O4" s="56" cm="1">
        <f t="array" ref="O4">IF(N4="X",(_xlfn.XLOOKUP($B4,Tabla1[SERVICIO],Tabla1[VALOR])*1),IF(N4&gt;=1,_xlfn.XLOOKUP($B4,Tabla1[SERVICIO],Tabla1[VALOR]*N4),0))</f>
        <v>0</v>
      </c>
      <c r="P4" s="145"/>
      <c r="Q4" s="56" cm="1">
        <f t="array" ref="Q4">IF(P4="X",(_xlfn.XLOOKUP($B4,Tabla1[SERVICIO],Tabla1[VALOR])*1),IF(P4&gt;=1,_xlfn.XLOOKUP($B4,Tabla1[SERVICIO],Tabla1[VALOR]*P4),0))</f>
        <v>0</v>
      </c>
      <c r="R4" s="145"/>
      <c r="S4" s="56" cm="1">
        <f t="array" ref="S4">IF(R4="X",(_xlfn.XLOOKUP($B4,Tabla1[SERVICIO],Tabla1[VALOR])*1),IF(R4&gt;=1,_xlfn.XLOOKUP($B4,Tabla1[SERVICIO],Tabla1[VALOR]*R4),0))</f>
        <v>0</v>
      </c>
      <c r="T4" s="145"/>
      <c r="U4" s="56" cm="1">
        <f t="array" ref="U4">IF(T4="X",(_xlfn.XLOOKUP($B4,Tabla1[SERVICIO],Tabla1[VALOR])*1),IF(T4&gt;=1,_xlfn.XLOOKUP($B4,Tabla1[SERVICIO],Tabla1[VALOR]*T4),0))</f>
        <v>0</v>
      </c>
      <c r="V4" s="145"/>
      <c r="W4" s="56" cm="1">
        <f t="array" ref="W4">IF(V4="X",(_xlfn.XLOOKUP($B4,Tabla1[SERVICIO],Tabla1[VALOR])*1),IF(V4&gt;=1,_xlfn.XLOOKUP($B4,Tabla1[SERVICIO],Tabla1[VALOR]*V4),0))</f>
        <v>0</v>
      </c>
      <c r="X4" s="145"/>
      <c r="Y4" s="56" cm="1">
        <f t="array" ref="Y4">IF(X4="X",(_xlfn.XLOOKUP($B4,Tabla1[SERVICIO],Tabla1[VALOR])*1),IF(X4&gt;=1,_xlfn.XLOOKUP($B4,Tabla1[SERVICIO],Tabla1[VALOR]*X4),0))</f>
        <v>0</v>
      </c>
      <c r="Z4" s="145"/>
      <c r="AA4" s="56" cm="1">
        <f t="array" ref="AA4">IF(Z4="X",(_xlfn.XLOOKUP($B4,Tabla1[SERVICIO],Tabla1[VALOR])*1),IF(Z4&gt;=1,_xlfn.XLOOKUP($B4,Tabla1[SERVICIO],Tabla1[VALOR]*Z4),0))</f>
        <v>0</v>
      </c>
      <c r="AB4" s="81">
        <f t="shared" ref="AB4:AB27" si="0">SUM(E4,G4,I4,K4+M4,O4,Q4,S4,U4,W4,Y4,AA4)</f>
        <v>17887.388810409495</v>
      </c>
      <c r="AC4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4" s="158" t="s">
        <v>318</v>
      </c>
      <c r="AE4" s="150">
        <v>1</v>
      </c>
      <c r="AF4" s="238">
        <f>+Tabla467834[[#This Row],[TOTAL]]*Tabla467834[[#This Row],[% de las personas que lo usaron]]</f>
        <v>17887.388810409495</v>
      </c>
      <c r="AG4" s="122" t="s">
        <v>352</v>
      </c>
      <c r="AH4" s="335">
        <v>12</v>
      </c>
    </row>
    <row r="5" spans="1:34" x14ac:dyDescent="0.25">
      <c r="A5" s="7" t="s">
        <v>104</v>
      </c>
      <c r="B5" s="96" t="s">
        <v>105</v>
      </c>
      <c r="C5" s="96" t="str">
        <f>_xlfn.XLOOKUP(Tabla467834[[#This Row],[Servicios del Programa:]],Tabla151[CODIGO],Tabla151[VALOR])</f>
        <v>Consultas</v>
      </c>
      <c r="D5" s="144"/>
      <c r="E5" s="56" cm="1">
        <f t="array" ref="E5">IF(D5="X",(_xlfn.XLOOKUP($B5,Tabla1[SERVICIO],Tabla1[VALOR])*1),IF(D5&gt;=1,_xlfn.XLOOKUP($B5,Tabla1[SERVICIO],Tabla1[VALOR]*D5),0))</f>
        <v>0</v>
      </c>
      <c r="F5" s="145"/>
      <c r="G5" s="56" cm="1">
        <f t="array" ref="G5">IF(F5="X",(_xlfn.XLOOKUP($B5,Tabla1[SERVICIO],Tabla1[VALOR])*1),IF(F5&gt;=1,_xlfn.XLOOKUP($B5,Tabla1[SERVICIO],Tabla1[VALOR]*F5),0))</f>
        <v>0</v>
      </c>
      <c r="H5" s="145"/>
      <c r="I5" s="56" cm="1">
        <f t="array" ref="I5">IF(H5="X",(_xlfn.XLOOKUP($B5,Tabla1[SERVICIO],Tabla1[VALOR])*1),IF(H5&gt;=1,_xlfn.XLOOKUP($B5,Tabla1[SERVICIO],Tabla1[VALOR]*H5),0))</f>
        <v>0</v>
      </c>
      <c r="J5" s="145"/>
      <c r="K5" s="56" cm="1">
        <f t="array" ref="K5">IF(J5="X",(_xlfn.XLOOKUP($B5,Tabla1[SERVICIO],Tabla1[VALOR])*1),IF(J5&gt;=1,_xlfn.XLOOKUP($B5,Tabla1[SERVICIO],Tabla1[VALOR]*J5),0))</f>
        <v>0</v>
      </c>
      <c r="L5" s="145"/>
      <c r="M5" s="56" cm="1">
        <f t="array" ref="M5">IF(L5="X",(_xlfn.XLOOKUP($B5,Tabla1[SERVICIO],Tabla1[VALOR])*1),IF(L5&gt;=1,_xlfn.XLOOKUP($B5,Tabla1[SERVICIO],Tabla1[VALOR]*L5),0))</f>
        <v>0</v>
      </c>
      <c r="N5" s="144"/>
      <c r="O5" s="56" cm="1">
        <f t="array" ref="O5">IF(N5="X",(_xlfn.XLOOKUP($B5,Tabla1[SERVICIO],Tabla1[VALOR])*1),IF(N5&gt;=1,_xlfn.XLOOKUP($B5,Tabla1[SERVICIO],Tabla1[VALOR]*N5),0))</f>
        <v>0</v>
      </c>
      <c r="P5" s="145"/>
      <c r="Q5" s="56" cm="1">
        <f t="array" ref="Q5">IF(P5="X",(_xlfn.XLOOKUP($B5,Tabla1[SERVICIO],Tabla1[VALOR])*1),IF(P5&gt;=1,_xlfn.XLOOKUP($B5,Tabla1[SERVICIO],Tabla1[VALOR]*P5),0))</f>
        <v>0</v>
      </c>
      <c r="R5" s="145"/>
      <c r="S5" s="56" cm="1">
        <f t="array" ref="S5">IF(R5="X",(_xlfn.XLOOKUP($B5,Tabla1[SERVICIO],Tabla1[VALOR])*1),IF(R5&gt;=1,_xlfn.XLOOKUP($B5,Tabla1[SERVICIO],Tabla1[VALOR]*R5),0))</f>
        <v>0</v>
      </c>
      <c r="T5" s="145"/>
      <c r="U5" s="56" cm="1">
        <f t="array" ref="U5">IF(T5="X",(_xlfn.XLOOKUP($B5,Tabla1[SERVICIO],Tabla1[VALOR])*1),IF(T5&gt;=1,_xlfn.XLOOKUP($B5,Tabla1[SERVICIO],Tabla1[VALOR]*T5),0))</f>
        <v>0</v>
      </c>
      <c r="V5" s="145"/>
      <c r="W5" s="56" cm="1">
        <f t="array" ref="W5">IF(V5="X",(_xlfn.XLOOKUP($B5,Tabla1[SERVICIO],Tabla1[VALOR])*1),IF(V5&gt;=1,_xlfn.XLOOKUP($B5,Tabla1[SERVICIO],Tabla1[VALOR]*V5),0))</f>
        <v>0</v>
      </c>
      <c r="X5" s="145"/>
      <c r="Y5" s="56" cm="1">
        <f t="array" ref="Y5">IF(X5="X",(_xlfn.XLOOKUP($B5,Tabla1[SERVICIO],Tabla1[VALOR])*1),IF(X5&gt;=1,_xlfn.XLOOKUP($B5,Tabla1[SERVICIO],Tabla1[VALOR]*X5),0))</f>
        <v>0</v>
      </c>
      <c r="Z5" s="146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81">
        <f t="shared" si="0"/>
        <v>17887.388810409495</v>
      </c>
      <c r="AC5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5" s="104" t="s">
        <v>319</v>
      </c>
      <c r="AE5" s="150">
        <v>0.24809575625680086</v>
      </c>
      <c r="AF5" s="238">
        <f>+Tabla467834[[#This Row],[TOTAL]]*Tabla467834[[#This Row],[% de las personas que lo usaron]]</f>
        <v>4437.7852543779809</v>
      </c>
      <c r="AG5" s="122" t="s">
        <v>352</v>
      </c>
      <c r="AH5" s="335">
        <v>12</v>
      </c>
    </row>
    <row r="6" spans="1:34" x14ac:dyDescent="0.25">
      <c r="A6" s="7" t="s">
        <v>25</v>
      </c>
      <c r="B6" s="96" t="s">
        <v>26</v>
      </c>
      <c r="C6" s="96" t="str">
        <f>_xlfn.XLOOKUP(Tabla467834[[#This Row],[Servicios del Programa:]],Tabla151[CODIGO],Tabla151[VALOR])</f>
        <v>Diagnosticos</v>
      </c>
      <c r="D6" s="144">
        <v>1</v>
      </c>
      <c r="E6" s="56" cm="1">
        <f t="array" ref="E6">IF(D6="X",(_xlfn.XLOOKUP($B6,Tabla1[SERVICIO],Tabla1[VALOR])*1),IF(D6&gt;=1,_xlfn.XLOOKUP($B6,Tabla1[SERVICIO],Tabla1[VALOR]*D6),0))</f>
        <v>19392.627189167735</v>
      </c>
      <c r="F6" s="145"/>
      <c r="G6" s="56" cm="1">
        <f t="array" ref="G6">IF(F6="X",(_xlfn.XLOOKUP($B6,Tabla1[SERVICIO],Tabla1[VALOR])*1),IF(F6&gt;=1,_xlfn.XLOOKUP($B6,Tabla1[SERVICIO],Tabla1[VALOR]*F6),0))</f>
        <v>0</v>
      </c>
      <c r="H6" s="145"/>
      <c r="I6" s="56" cm="1">
        <f t="array" ref="I6">IF(H6="X",(_xlfn.XLOOKUP($B6,Tabla1[SERVICIO],Tabla1[VALOR])*1),IF(H6&gt;=1,_xlfn.XLOOKUP($B6,Tabla1[SERVICIO],Tabla1[VALOR]*H6),0))</f>
        <v>0</v>
      </c>
      <c r="J6" s="145"/>
      <c r="K6" s="56" cm="1">
        <f t="array" ref="K6">IF(J6="X",(_xlfn.XLOOKUP($B6,Tabla1[SERVICIO],Tabla1[VALOR])*1),IF(J6&gt;=1,_xlfn.XLOOKUP($B6,Tabla1[SERVICIO],Tabla1[VALOR]*J6),0))</f>
        <v>0</v>
      </c>
      <c r="L6" s="145"/>
      <c r="M6" s="56" cm="1">
        <f t="array" ref="M6">IF(L6="X",(_xlfn.XLOOKUP($B6,Tabla1[SERVICIO],Tabla1[VALOR])*1),IF(L6&gt;=1,_xlfn.XLOOKUP($B6,Tabla1[SERVICIO],Tabla1[VALOR]*L6),0))</f>
        <v>0</v>
      </c>
      <c r="N6" s="144">
        <v>1</v>
      </c>
      <c r="O6" s="56" cm="1">
        <f t="array" ref="O6">IF(N6="X",(_xlfn.XLOOKUP($B6,Tabla1[SERVICIO],Tabla1[VALOR])*1),IF(N6&gt;=1,_xlfn.XLOOKUP($B6,Tabla1[SERVICIO],Tabla1[VALOR]*N6),0))</f>
        <v>19392.627189167735</v>
      </c>
      <c r="P6" s="145"/>
      <c r="Q6" s="56" cm="1">
        <f t="array" ref="Q6">IF(P6="X",(_xlfn.XLOOKUP($B6,Tabla1[SERVICIO],Tabla1[VALOR])*1),IF(P6&gt;=1,_xlfn.XLOOKUP($B6,Tabla1[SERVICIO],Tabla1[VALOR]*P6),0))</f>
        <v>0</v>
      </c>
      <c r="R6" s="145"/>
      <c r="S6" s="56" cm="1">
        <f t="array" ref="S6">IF(R6="X",(_xlfn.XLOOKUP($B6,Tabla1[SERVICIO],Tabla1[VALOR])*1),IF(R6&gt;=1,_xlfn.XLOOKUP($B6,Tabla1[SERVICIO],Tabla1[VALOR]*R6),0))</f>
        <v>0</v>
      </c>
      <c r="T6" s="145"/>
      <c r="U6" s="56" cm="1">
        <f t="array" ref="U6">IF(T6="X",(_xlfn.XLOOKUP($B6,Tabla1[SERVICIO],Tabla1[VALOR])*1),IF(T6&gt;=1,_xlfn.XLOOKUP($B6,Tabla1[SERVICIO],Tabla1[VALOR]*T6),0))</f>
        <v>0</v>
      </c>
      <c r="V6" s="145"/>
      <c r="W6" s="56" cm="1">
        <f t="array" ref="W6">IF(V6="X",(_xlfn.XLOOKUP($B6,Tabla1[SERVICIO],Tabla1[VALOR])*1),IF(V6&gt;=1,_xlfn.XLOOKUP($B6,Tabla1[SERVICIO],Tabla1[VALOR]*V6),0))</f>
        <v>0</v>
      </c>
      <c r="X6" s="145"/>
      <c r="Y6" s="56" cm="1">
        <f t="array" ref="Y6">IF(X6="X",(_xlfn.XLOOKUP($B6,Tabla1[SERVICIO],Tabla1[VALOR])*1),IF(X6&gt;=1,_xlfn.XLOOKUP($B6,Tabla1[SERVICIO],Tabla1[VALOR]*X6),0))</f>
        <v>0</v>
      </c>
      <c r="Z6" s="144">
        <v>1</v>
      </c>
      <c r="AA6" s="56" cm="1">
        <f t="array" ref="AA6">IF(Z6="X",(_xlfn.XLOOKUP($B6,Tabla1[SERVICIO],Tabla1[VALOR])*1),IF(Z6&gt;=1,_xlfn.XLOOKUP($B6,Tabla1[SERVICIO],Tabla1[VALOR]*Z6),0))</f>
        <v>19392.627189167735</v>
      </c>
      <c r="AB6" s="81">
        <f t="shared" si="0"/>
        <v>58177.881567503209</v>
      </c>
      <c r="AC6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3</v>
      </c>
      <c r="AD6" s="158" t="s">
        <v>318</v>
      </c>
      <c r="AE6" s="150">
        <v>1</v>
      </c>
      <c r="AF6" s="238">
        <f>+Tabla467834[[#This Row],[TOTAL]]*Tabla467834[[#This Row],[% de las personas que lo usaron]]</f>
        <v>58177.881567503209</v>
      </c>
      <c r="AG6" s="122" t="s">
        <v>352</v>
      </c>
      <c r="AH6" s="335">
        <v>12</v>
      </c>
    </row>
    <row r="7" spans="1:34" x14ac:dyDescent="0.25">
      <c r="A7" s="7" t="s">
        <v>23</v>
      </c>
      <c r="B7" s="96" t="s">
        <v>24</v>
      </c>
      <c r="C7" s="96" t="str">
        <f>_xlfn.XLOOKUP(Tabla467834[[#This Row],[Servicios del Programa:]],Tabla151[CODIGO],Tabla151[VALOR])</f>
        <v>Terapias</v>
      </c>
      <c r="D7" s="144">
        <v>1</v>
      </c>
      <c r="E7" s="56" cm="1">
        <f t="array" ref="E7">IF(D7="X",(_xlfn.XLOOKUP($B7,Tabla1[SERVICIO],Tabla1[VALOR])*1),IF(D7&gt;=1,_xlfn.XLOOKUP($B7,Tabla1[SERVICIO],Tabla1[VALOR]*D7),0))</f>
        <v>31881.451880098426</v>
      </c>
      <c r="F7" s="145"/>
      <c r="G7" s="56" cm="1">
        <f t="array" ref="G7">IF(F7="X",(_xlfn.XLOOKUP($B7,Tabla1[SERVICIO],Tabla1[VALOR])*1),IF(F7&gt;=1,_xlfn.XLOOKUP($B7,Tabla1[SERVICIO],Tabla1[VALOR]*F7),0))</f>
        <v>0</v>
      </c>
      <c r="H7" s="145"/>
      <c r="I7" s="56" cm="1">
        <f t="array" ref="I7">IF(H7="X",(_xlfn.XLOOKUP($B7,Tabla1[SERVICIO],Tabla1[VALOR])*1),IF(H7&gt;=1,_xlfn.XLOOKUP($B7,Tabla1[SERVICIO],Tabla1[VALOR]*H7),0))</f>
        <v>0</v>
      </c>
      <c r="J7" s="145"/>
      <c r="K7" s="56" cm="1">
        <f t="array" ref="K7">IF(J7="X",(_xlfn.XLOOKUP($B7,Tabla1[SERVICIO],Tabla1[VALOR])*1),IF(J7&gt;=1,_xlfn.XLOOKUP($B7,Tabla1[SERVICIO],Tabla1[VALOR]*J7),0))</f>
        <v>0</v>
      </c>
      <c r="L7" s="145"/>
      <c r="M7" s="56" cm="1">
        <f t="array" ref="M7">IF(L7="X",(_xlfn.XLOOKUP($B7,Tabla1[SERVICIO],Tabla1[VALOR])*1),IF(L7&gt;=1,_xlfn.XLOOKUP($B7,Tabla1[SERVICIO],Tabla1[VALOR]*L7),0))</f>
        <v>0</v>
      </c>
      <c r="N7" s="145"/>
      <c r="O7" s="56" cm="1">
        <f t="array" ref="O7">IF(N7="X",(_xlfn.XLOOKUP($B7,Tabla1[SERVICIO],Tabla1[VALOR])*1),IF(N7&gt;=1,_xlfn.XLOOKUP($B7,Tabla1[SERVICIO],Tabla1[VALOR]*N7),0))</f>
        <v>0</v>
      </c>
      <c r="P7" s="145"/>
      <c r="Q7" s="56" cm="1">
        <f t="array" ref="Q7">IF(P7="X",(_xlfn.XLOOKUP($B7,Tabla1[SERVICIO],Tabla1[VALOR])*1),IF(P7&gt;=1,_xlfn.XLOOKUP($B7,Tabla1[SERVICIO],Tabla1[VALOR]*P7),0))</f>
        <v>0</v>
      </c>
      <c r="R7" s="145"/>
      <c r="S7" s="56" cm="1">
        <f t="array" ref="S7">IF(R7="X",(_xlfn.XLOOKUP($B7,Tabla1[SERVICIO],Tabla1[VALOR])*1),IF(R7&gt;=1,_xlfn.XLOOKUP($B7,Tabla1[SERVICIO],Tabla1[VALOR]*R7),0))</f>
        <v>0</v>
      </c>
      <c r="T7" s="145"/>
      <c r="U7" s="56" cm="1">
        <f t="array" ref="U7">IF(T7="X",(_xlfn.XLOOKUP($B7,Tabla1[SERVICIO],Tabla1[VALOR])*1),IF(T7&gt;=1,_xlfn.XLOOKUP($B7,Tabla1[SERVICIO],Tabla1[VALOR]*T7),0))</f>
        <v>0</v>
      </c>
      <c r="V7" s="145"/>
      <c r="W7" s="56" cm="1">
        <f t="array" ref="W7">IF(V7="X",(_xlfn.XLOOKUP($B7,Tabla1[SERVICIO],Tabla1[VALOR])*1),IF(V7&gt;=1,_xlfn.XLOOKUP($B7,Tabla1[SERVICIO],Tabla1[VALOR]*V7),0))</f>
        <v>0</v>
      </c>
      <c r="X7" s="145"/>
      <c r="Y7" s="56" cm="1">
        <f t="array" ref="Y7">IF(X7="X",(_xlfn.XLOOKUP($B7,Tabla1[SERVICIO],Tabla1[VALOR])*1),IF(X7&gt;=1,_xlfn.XLOOKUP($B7,Tabla1[SERVICIO],Tabla1[VALOR]*X7),0))</f>
        <v>0</v>
      </c>
      <c r="Z7" s="145"/>
      <c r="AA7" s="56" cm="1">
        <f t="array" ref="AA7">IF(Z7="X",(_xlfn.XLOOKUP($B7,Tabla1[SERVICIO],Tabla1[VALOR])*1),IF(Z7&gt;=1,_xlfn.XLOOKUP($B7,Tabla1[SERVICIO],Tabla1[VALOR]*Z7),0))</f>
        <v>0</v>
      </c>
      <c r="AB7" s="81">
        <f t="shared" si="0"/>
        <v>31881.451880098426</v>
      </c>
      <c r="AC7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7" s="158" t="s">
        <v>318</v>
      </c>
      <c r="AE7" s="150">
        <v>1</v>
      </c>
      <c r="AF7" s="238">
        <f>+Tabla467834[[#This Row],[TOTAL]]*Tabla467834[[#This Row],[% de las personas que lo usaron]]</f>
        <v>31881.451880098426</v>
      </c>
      <c r="AG7" s="122" t="s">
        <v>352</v>
      </c>
      <c r="AH7" s="335">
        <v>12</v>
      </c>
    </row>
    <row r="8" spans="1:34" x14ac:dyDescent="0.25">
      <c r="A8" s="7" t="s">
        <v>36</v>
      </c>
      <c r="B8" s="96" t="s">
        <v>100</v>
      </c>
      <c r="C8" s="96" t="str">
        <f>_xlfn.XLOOKUP(Tabla467834[[#This Row],[Servicios del Programa:]],Tabla151[CODIGO],Tabla151[VALOR])</f>
        <v>Terapias</v>
      </c>
      <c r="D8" s="144">
        <v>8</v>
      </c>
      <c r="E8" s="56" cm="1">
        <f t="array" ref="E8">IF(D8="X",(_xlfn.XLOOKUP($B8,Tabla1[SERVICIO],Tabla1[VALOR])*1),IF(D8&gt;=1,_xlfn.XLOOKUP($B8,Tabla1[SERVICIO],Tabla1[VALOR]*D8),0))</f>
        <v>70240.958933331596</v>
      </c>
      <c r="F8" s="144">
        <v>8</v>
      </c>
      <c r="G8" s="56" cm="1">
        <f t="array" ref="G8">IF(F8="X",(_xlfn.XLOOKUP($B8,Tabla1[SERVICIO],Tabla1[VALOR])*1),IF(F8&gt;=1,_xlfn.XLOOKUP($B8,Tabla1[SERVICIO],Tabla1[VALOR]*F8),0))</f>
        <v>70240.958933331596</v>
      </c>
      <c r="H8" s="144">
        <v>8</v>
      </c>
      <c r="I8" s="56" cm="1">
        <f t="array" ref="I8">IF(H8="X",(_xlfn.XLOOKUP($B8,Tabla1[SERVICIO],Tabla1[VALOR])*1),IF(H8&gt;=1,_xlfn.XLOOKUP($B8,Tabla1[SERVICIO],Tabla1[VALOR]*H8),0))</f>
        <v>70240.958933331596</v>
      </c>
      <c r="J8" s="144">
        <v>8</v>
      </c>
      <c r="K8" s="56" cm="1">
        <f t="array" ref="K8">IF(J8="X",(_xlfn.XLOOKUP($B8,Tabla1[SERVICIO],Tabla1[VALOR])*1),IF(J8&gt;=1,_xlfn.XLOOKUP($B8,Tabla1[SERVICIO],Tabla1[VALOR]*J8),0))</f>
        <v>70240.958933331596</v>
      </c>
      <c r="L8" s="144">
        <v>8</v>
      </c>
      <c r="M8" s="56" cm="1">
        <f t="array" ref="M8">IF(L8="X",(_xlfn.XLOOKUP($B8,Tabla1[SERVICIO],Tabla1[VALOR])*1),IF(L8&gt;=1,_xlfn.XLOOKUP($B8,Tabla1[SERVICIO],Tabla1[VALOR]*L8),0))</f>
        <v>70240.958933331596</v>
      </c>
      <c r="N8" s="144">
        <v>8</v>
      </c>
      <c r="O8" s="56" cm="1">
        <f t="array" ref="O8">IF(N8="X",(_xlfn.XLOOKUP($B8,Tabla1[SERVICIO],Tabla1[VALOR])*1),IF(N8&gt;=1,_xlfn.XLOOKUP($B8,Tabla1[SERVICIO],Tabla1[VALOR]*N8),0))</f>
        <v>70240.958933331596</v>
      </c>
      <c r="P8" s="144">
        <v>8</v>
      </c>
      <c r="Q8" s="56" cm="1">
        <f t="array" ref="Q8">IF(P8="X",(_xlfn.XLOOKUP($B8,Tabla1[SERVICIO],Tabla1[VALOR])*1),IF(P8&gt;=1,_xlfn.XLOOKUP($B8,Tabla1[SERVICIO],Tabla1[VALOR]*P8),0))</f>
        <v>70240.958933331596</v>
      </c>
      <c r="R8" s="144">
        <v>8</v>
      </c>
      <c r="S8" s="56" cm="1">
        <f t="array" ref="S8">IF(R8="X",(_xlfn.XLOOKUP($B8,Tabla1[SERVICIO],Tabla1[VALOR])*1),IF(R8&gt;=1,_xlfn.XLOOKUP($B8,Tabla1[SERVICIO],Tabla1[VALOR]*R8),0))</f>
        <v>70240.958933331596</v>
      </c>
      <c r="T8" s="144">
        <v>8</v>
      </c>
      <c r="U8" s="56" cm="1">
        <f t="array" ref="U8">IF(T8="X",(_xlfn.XLOOKUP($B8,Tabla1[SERVICIO],Tabla1[VALOR])*1),IF(T8&gt;=1,_xlfn.XLOOKUP($B8,Tabla1[SERVICIO],Tabla1[VALOR]*T8),0))</f>
        <v>70240.958933331596</v>
      </c>
      <c r="V8" s="144">
        <v>8</v>
      </c>
      <c r="W8" s="56" cm="1">
        <f t="array" ref="W8">IF(V8="X",(_xlfn.XLOOKUP($B8,Tabla1[SERVICIO],Tabla1[VALOR])*1),IF(V8&gt;=1,_xlfn.XLOOKUP($B8,Tabla1[SERVICIO],Tabla1[VALOR]*V8),0))</f>
        <v>70240.958933331596</v>
      </c>
      <c r="X8" s="144">
        <v>8</v>
      </c>
      <c r="Y8" s="56" cm="1">
        <f t="array" ref="Y8">IF(X8="X",(_xlfn.XLOOKUP($B8,Tabla1[SERVICIO],Tabla1[VALOR])*1),IF(X8&gt;=1,_xlfn.XLOOKUP($B8,Tabla1[SERVICIO],Tabla1[VALOR]*X8),0))</f>
        <v>70240.958933331596</v>
      </c>
      <c r="Z8" s="144">
        <v>8</v>
      </c>
      <c r="AA8" s="56" cm="1">
        <f t="array" ref="AA8">IF(Z8="X",(_xlfn.XLOOKUP($B8,Tabla1[SERVICIO],Tabla1[VALOR])*1),IF(Z8&gt;=1,_xlfn.XLOOKUP($B8,Tabla1[SERVICIO],Tabla1[VALOR]*Z8),0))</f>
        <v>70240.958933331596</v>
      </c>
      <c r="AB8" s="81">
        <f t="shared" si="0"/>
        <v>842891.50719997892</v>
      </c>
      <c r="AC8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96</v>
      </c>
      <c r="AD8" s="158" t="s">
        <v>318</v>
      </c>
      <c r="AE8" s="150">
        <v>1</v>
      </c>
      <c r="AF8" s="238">
        <f>+Tabla467834[[#This Row],[TOTAL]]*Tabla467834[[#This Row],[% de las personas que lo usaron]]</f>
        <v>842891.50719997892</v>
      </c>
      <c r="AG8" s="122" t="s">
        <v>352</v>
      </c>
      <c r="AH8" s="335">
        <v>12</v>
      </c>
    </row>
    <row r="9" spans="1:34" x14ac:dyDescent="0.25">
      <c r="A9" s="7" t="s">
        <v>19</v>
      </c>
      <c r="B9" s="96" t="s">
        <v>20</v>
      </c>
      <c r="C9" s="96" t="str">
        <f>_xlfn.XLOOKUP(Tabla467834[[#This Row],[Servicios del Programa:]],Tabla151[CODIGO],Tabla151[VALOR])</f>
        <v>Consultas</v>
      </c>
      <c r="D9" s="144">
        <v>1</v>
      </c>
      <c r="E9" s="56" cm="1">
        <f t="array" ref="E9">IF(D9="X",(_xlfn.XLOOKUP($B9,Tabla1[SERVICIO],Tabla1[VALOR])*1),IF(D9&gt;=1,_xlfn.XLOOKUP($B9,Tabla1[SERVICIO],Tabla1[VALOR]*D9),0))</f>
        <v>67398.098568534639</v>
      </c>
      <c r="F9" s="145"/>
      <c r="G9" s="56" cm="1">
        <f t="array" ref="G9">IF(F9="X",(_xlfn.XLOOKUP($B9,Tabla1[SERVICIO],Tabla1[VALOR])*1),IF(F9&gt;=1,_xlfn.XLOOKUP($B9,Tabla1[SERVICIO],Tabla1[VALOR]*F9),0))</f>
        <v>0</v>
      </c>
      <c r="H9" s="145"/>
      <c r="I9" s="56" cm="1">
        <f t="array" ref="I9">IF(H9="X",(_xlfn.XLOOKUP($B9,Tabla1[SERVICIO],Tabla1[VALOR])*1),IF(H9&gt;=1,_xlfn.XLOOKUP($B9,Tabla1[SERVICIO],Tabla1[VALOR]*H9),0))</f>
        <v>0</v>
      </c>
      <c r="J9" s="145"/>
      <c r="K9" s="56" cm="1">
        <f t="array" ref="K9">IF(J9="X",(_xlfn.XLOOKUP($B9,Tabla1[SERVICIO],Tabla1[VALOR])*1),IF(J9&gt;=1,_xlfn.XLOOKUP($B9,Tabla1[SERVICIO],Tabla1[VALOR]*J9),0))</f>
        <v>0</v>
      </c>
      <c r="L9" s="145"/>
      <c r="M9" s="56" cm="1">
        <f t="array" ref="M9">IF(L9="X",(_xlfn.XLOOKUP($B9,Tabla1[SERVICIO],Tabla1[VALOR])*1),IF(L9&gt;=1,_xlfn.XLOOKUP($B9,Tabla1[SERVICIO],Tabla1[VALOR]*L9),0))</f>
        <v>0</v>
      </c>
      <c r="N9" s="145"/>
      <c r="O9" s="56" cm="1">
        <f t="array" ref="O9">IF(N9="X",(_xlfn.XLOOKUP($B9,Tabla1[SERVICIO],Tabla1[VALOR])*1),IF(N9&gt;=1,_xlfn.XLOOKUP($B9,Tabla1[SERVICIO],Tabla1[VALOR]*N9),0))</f>
        <v>0</v>
      </c>
      <c r="P9" s="145"/>
      <c r="Q9" s="56" cm="1">
        <f t="array" ref="Q9">IF(P9="X",(_xlfn.XLOOKUP($B9,Tabla1[SERVICIO],Tabla1[VALOR])*1),IF(P9&gt;=1,_xlfn.XLOOKUP($B9,Tabla1[SERVICIO],Tabla1[VALOR]*P9),0))</f>
        <v>0</v>
      </c>
      <c r="R9" s="145"/>
      <c r="S9" s="56" cm="1">
        <f t="array" ref="S9">IF(R9="X",(_xlfn.XLOOKUP($B9,Tabla1[SERVICIO],Tabla1[VALOR])*1),IF(R9&gt;=1,_xlfn.XLOOKUP($B9,Tabla1[SERVICIO],Tabla1[VALOR]*R9),0))</f>
        <v>0</v>
      </c>
      <c r="T9" s="145"/>
      <c r="U9" s="56" cm="1">
        <f t="array" ref="U9">IF(T9="X",(_xlfn.XLOOKUP($B9,Tabla1[SERVICIO],Tabla1[VALOR])*1),IF(T9&gt;=1,_xlfn.XLOOKUP($B9,Tabla1[SERVICIO],Tabla1[VALOR]*T9),0))</f>
        <v>0</v>
      </c>
      <c r="V9" s="145"/>
      <c r="W9" s="56" cm="1">
        <f t="array" ref="W9">IF(V9="X",(_xlfn.XLOOKUP($B9,Tabla1[SERVICIO],Tabla1[VALOR])*1),IF(V9&gt;=1,_xlfn.XLOOKUP($B9,Tabla1[SERVICIO],Tabla1[VALOR]*V9),0))</f>
        <v>0</v>
      </c>
      <c r="X9" s="145"/>
      <c r="Y9" s="56" cm="1">
        <f t="array" ref="Y9">IF(X9="X",(_xlfn.XLOOKUP($B9,Tabla1[SERVICIO],Tabla1[VALOR])*1),IF(X9&gt;=1,_xlfn.XLOOKUP($B9,Tabla1[SERVICIO],Tabla1[VALOR]*X9),0))</f>
        <v>0</v>
      </c>
      <c r="Z9" s="145"/>
      <c r="AA9" s="56" cm="1">
        <f t="array" ref="AA9">IF(Z9="X",(_xlfn.XLOOKUP($B9,Tabla1[SERVICIO],Tabla1[VALOR])*1),IF(Z9&gt;=1,_xlfn.XLOOKUP($B9,Tabla1[SERVICIO],Tabla1[VALOR]*Z9),0))</f>
        <v>0</v>
      </c>
      <c r="AB9" s="81">
        <f t="shared" si="0"/>
        <v>67398.098568534639</v>
      </c>
      <c r="AC9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9" s="104" t="s">
        <v>319</v>
      </c>
      <c r="AE9" s="150">
        <v>5.5495103373231776E-2</v>
      </c>
      <c r="AF9" s="238">
        <f>+Tabla467834[[#This Row],[TOTAL]]*Tabla467834[[#This Row],[% de las personas que lo usaron]]</f>
        <v>3740.2644472200946</v>
      </c>
      <c r="AG9" s="122" t="s">
        <v>352</v>
      </c>
      <c r="AH9" s="335">
        <v>12</v>
      </c>
    </row>
    <row r="10" spans="1:34" x14ac:dyDescent="0.25">
      <c r="A10" s="7" t="s">
        <v>29</v>
      </c>
      <c r="B10" s="96" t="s">
        <v>196</v>
      </c>
      <c r="C10" s="96" t="str">
        <f>_xlfn.XLOOKUP(Tabla467834[[#This Row],[Servicios del Programa:]],Tabla151[CODIGO],Tabla151[VALOR])</f>
        <v>Terapias</v>
      </c>
      <c r="D10" s="145"/>
      <c r="E10" s="56" cm="1">
        <f t="array" ref="E10">IF(D10="X",(_xlfn.XLOOKUP($B10,Tabla1[SERVICIO],Tabla1[VALOR])*1),IF(D10&gt;=1,_xlfn.XLOOKUP($B10,Tabla1[SERVICIO],Tabla1[VALOR]*D10),0))</f>
        <v>0</v>
      </c>
      <c r="F10" s="145"/>
      <c r="G10" s="56" cm="1">
        <f t="array" ref="G10">IF(F10="X",(_xlfn.XLOOKUP($B10,Tabla1[SERVICIO],Tabla1[VALOR])*1),IF(F10&gt;=1,_xlfn.XLOOKUP($B10,Tabla1[SERVICIO],Tabla1[VALOR]*F10),0))</f>
        <v>0</v>
      </c>
      <c r="H10" s="145"/>
      <c r="I10" s="56" cm="1">
        <f t="array" ref="I10">IF(H10="X",(_xlfn.XLOOKUP($B10,Tabla1[SERVICIO],Tabla1[VALOR])*1),IF(H10&gt;=1,_xlfn.XLOOKUP($B10,Tabla1[SERVICIO],Tabla1[VALOR]*H10),0))</f>
        <v>0</v>
      </c>
      <c r="J10" s="145"/>
      <c r="K10" s="56" cm="1">
        <f t="array" ref="K10">IF(J10="X",(_xlfn.XLOOKUP($B10,Tabla1[SERVICIO],Tabla1[VALOR])*1),IF(J10&gt;=1,_xlfn.XLOOKUP($B10,Tabla1[SERVICIO],Tabla1[VALOR]*J10),0))</f>
        <v>0</v>
      </c>
      <c r="L10" s="145"/>
      <c r="M10" s="56" cm="1">
        <f t="array" ref="M10">IF(L10="X",(_xlfn.XLOOKUP($B10,Tabla1[SERVICIO],Tabla1[VALOR])*1),IF(L10&gt;=1,_xlfn.XLOOKUP($B10,Tabla1[SERVICIO],Tabla1[VALOR]*L10),0))</f>
        <v>0</v>
      </c>
      <c r="N10" s="144">
        <v>1</v>
      </c>
      <c r="O10" s="56" cm="1">
        <f t="array" ref="O10">IF(N10="X",(_xlfn.XLOOKUP($B10,Tabla1[SERVICIO],Tabla1[VALOR])*1),IF(N10&gt;=1,_xlfn.XLOOKUP($B10,Tabla1[SERVICIO],Tabla1[VALOR]*N10),0))</f>
        <v>31881.451880098426</v>
      </c>
      <c r="P10" s="145"/>
      <c r="Q10" s="56" cm="1">
        <f t="array" ref="Q10">IF(P10="X",(_xlfn.XLOOKUP($B10,Tabla1[SERVICIO],Tabla1[VALOR])*1),IF(P10&gt;=1,_xlfn.XLOOKUP($B10,Tabla1[SERVICIO],Tabla1[VALOR]*P10),0))</f>
        <v>0</v>
      </c>
      <c r="R10" s="145"/>
      <c r="S10" s="56" cm="1">
        <f t="array" ref="S10">IF(R10="X",(_xlfn.XLOOKUP($B10,Tabla1[SERVICIO],Tabla1[VALOR])*1),IF(R10&gt;=1,_xlfn.XLOOKUP($B10,Tabla1[SERVICIO],Tabla1[VALOR]*R10),0))</f>
        <v>0</v>
      </c>
      <c r="T10" s="145"/>
      <c r="U10" s="56" cm="1">
        <f t="array" ref="U10">IF(T10="X",(_xlfn.XLOOKUP($B10,Tabla1[SERVICIO],Tabla1[VALOR])*1),IF(T10&gt;=1,_xlfn.XLOOKUP($B10,Tabla1[SERVICIO],Tabla1[VALOR]*T10),0))</f>
        <v>0</v>
      </c>
      <c r="V10" s="145"/>
      <c r="W10" s="56" cm="1">
        <f t="array" ref="W10">IF(V10="X",(_xlfn.XLOOKUP($B10,Tabla1[SERVICIO],Tabla1[VALOR])*1),IF(V10&gt;=1,_xlfn.XLOOKUP($B10,Tabla1[SERVICIO],Tabla1[VALOR]*V10),0))</f>
        <v>0</v>
      </c>
      <c r="X10" s="145"/>
      <c r="Y10" s="56" cm="1">
        <f t="array" ref="Y10">IF(X10="X",(_xlfn.XLOOKUP($B10,Tabla1[SERVICIO],Tabla1[VALOR])*1),IF(X10&gt;=1,_xlfn.XLOOKUP($B10,Tabla1[SERVICIO],Tabla1[VALOR]*X10),0))</f>
        <v>0</v>
      </c>
      <c r="Z10" s="144">
        <v>1</v>
      </c>
      <c r="AA10" s="56" cm="1">
        <f t="array" ref="AA10">IF(Z10="X",(_xlfn.XLOOKUP($B10,Tabla1[SERVICIO],Tabla1[VALOR])*1),IF(Z10&gt;=1,_xlfn.XLOOKUP($B10,Tabla1[SERVICIO],Tabla1[VALOR]*Z10),0))</f>
        <v>31881.451880098426</v>
      </c>
      <c r="AB10" s="81">
        <f t="shared" si="0"/>
        <v>63762.903760196852</v>
      </c>
      <c r="AC10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10" s="158" t="s">
        <v>318</v>
      </c>
      <c r="AE10" s="150">
        <v>1</v>
      </c>
      <c r="AF10" s="238">
        <f>+Tabla467834[[#This Row],[TOTAL]]*Tabla467834[[#This Row],[% de las personas que lo usaron]]</f>
        <v>63762.903760196852</v>
      </c>
      <c r="AG10" s="122" t="s">
        <v>352</v>
      </c>
      <c r="AH10" s="335">
        <v>12</v>
      </c>
    </row>
    <row r="11" spans="1:34" x14ac:dyDescent="0.25">
      <c r="A11" s="7" t="s">
        <v>7</v>
      </c>
      <c r="B11" s="96" t="s">
        <v>8</v>
      </c>
      <c r="C11" s="96" t="str">
        <f>_xlfn.XLOOKUP(Tabla467834[[#This Row],[Servicios del Programa:]],Tabla151[CODIGO],Tabla151[VALOR])</f>
        <v>Consultas</v>
      </c>
      <c r="D11" s="144">
        <v>1</v>
      </c>
      <c r="E11" s="56" cm="1">
        <f t="array" ref="E11">IF(D11="X",(_xlfn.XLOOKUP($B11,Tabla1[SERVICIO],Tabla1[VALOR])*1),IF(D11&gt;=1,_xlfn.XLOOKUP($B11,Tabla1[SERVICIO],Tabla1[VALOR]*D11),0))</f>
        <v>55794.181771015559</v>
      </c>
      <c r="F11" s="145"/>
      <c r="G11" s="56" cm="1">
        <f t="array" ref="G11">IF(F11="X",(_xlfn.XLOOKUP($B11,Tabla1[SERVICIO],Tabla1[VALOR])*1),IF(F11&gt;=1,_xlfn.XLOOKUP($B11,Tabla1[SERVICIO],Tabla1[VALOR]*F11),0))</f>
        <v>0</v>
      </c>
      <c r="H11" s="145"/>
      <c r="I11" s="56" cm="1">
        <f t="array" ref="I11">IF(H11="X",(_xlfn.XLOOKUP($B11,Tabla1[SERVICIO],Tabla1[VALOR])*1),IF(H11&gt;=1,_xlfn.XLOOKUP($B11,Tabla1[SERVICIO],Tabla1[VALOR]*H11),0))</f>
        <v>0</v>
      </c>
      <c r="J11" s="145"/>
      <c r="K11" s="56" cm="1">
        <f t="array" ref="K11">IF(J11="X",(_xlfn.XLOOKUP($B11,Tabla1[SERVICIO],Tabla1[VALOR])*1),IF(J11&gt;=1,_xlfn.XLOOKUP($B11,Tabla1[SERVICIO],Tabla1[VALOR]*J11),0))</f>
        <v>0</v>
      </c>
      <c r="L11" s="145"/>
      <c r="M11" s="56" cm="1">
        <f t="array" ref="M11">IF(L11="X",(_xlfn.XLOOKUP($B11,Tabla1[SERVICIO],Tabla1[VALOR])*1),IF(L11&gt;=1,_xlfn.XLOOKUP($B11,Tabla1[SERVICIO],Tabla1[VALOR]*L11),0))</f>
        <v>0</v>
      </c>
      <c r="N11" s="145"/>
      <c r="O11" s="56" cm="1">
        <f t="array" ref="O11">IF(N11="X",(_xlfn.XLOOKUP($B11,Tabla1[SERVICIO],Tabla1[VALOR])*1),IF(N11&gt;=1,_xlfn.XLOOKUP($B11,Tabla1[SERVICIO],Tabla1[VALOR]*N11),0))</f>
        <v>0</v>
      </c>
      <c r="P11" s="145"/>
      <c r="Q11" s="56" cm="1">
        <f t="array" ref="Q11">IF(P11="X",(_xlfn.XLOOKUP($B11,Tabla1[SERVICIO],Tabla1[VALOR])*1),IF(P11&gt;=1,_xlfn.XLOOKUP($B11,Tabla1[SERVICIO],Tabla1[VALOR]*P11),0))</f>
        <v>0</v>
      </c>
      <c r="R11" s="145"/>
      <c r="S11" s="56" cm="1">
        <f t="array" ref="S11">IF(R11="X",(_xlfn.XLOOKUP($B11,Tabla1[SERVICIO],Tabla1[VALOR])*1),IF(R11&gt;=1,_xlfn.XLOOKUP($B11,Tabla1[SERVICIO],Tabla1[VALOR]*R11),0))</f>
        <v>0</v>
      </c>
      <c r="T11" s="145"/>
      <c r="U11" s="56" cm="1">
        <f t="array" ref="U11">IF(T11="X",(_xlfn.XLOOKUP($B11,Tabla1[SERVICIO],Tabla1[VALOR])*1),IF(T11&gt;=1,_xlfn.XLOOKUP($B11,Tabla1[SERVICIO],Tabla1[VALOR]*T11),0))</f>
        <v>0</v>
      </c>
      <c r="V11" s="145"/>
      <c r="W11" s="56" cm="1">
        <f t="array" ref="W11">IF(V11="X",(_xlfn.XLOOKUP($B11,Tabla1[SERVICIO],Tabla1[VALOR])*1),IF(V11&gt;=1,_xlfn.XLOOKUP($B11,Tabla1[SERVICIO],Tabla1[VALOR]*V11),0))</f>
        <v>0</v>
      </c>
      <c r="X11" s="145"/>
      <c r="Y11" s="56" cm="1">
        <f t="array" ref="Y11">IF(X11="X",(_xlfn.XLOOKUP($B11,Tabla1[SERVICIO],Tabla1[VALOR])*1),IF(X11&gt;=1,_xlfn.XLOOKUP($B11,Tabla1[SERVICIO],Tabla1[VALOR]*X11),0))</f>
        <v>0</v>
      </c>
      <c r="Z11" s="145"/>
      <c r="AA11" s="56" cm="1">
        <f t="array" ref="AA11">IF(Z11="X",(_xlfn.XLOOKUP($B11,Tabla1[SERVICIO],Tabla1[VALOR])*1),IF(Z11&gt;=1,_xlfn.XLOOKUP($B11,Tabla1[SERVICIO],Tabla1[VALOR]*Z11),0))</f>
        <v>0</v>
      </c>
      <c r="AB11" s="81">
        <f t="shared" si="0"/>
        <v>55794.181771015559</v>
      </c>
      <c r="AC11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1" s="104" t="s">
        <v>319</v>
      </c>
      <c r="AE11" s="150">
        <v>7.6169749727965181E-3</v>
      </c>
      <c r="AF11" s="238">
        <f>+Tabla467834[[#This Row],[TOTAL]]*Tabla467834[[#This Row],[% de las personas que lo usaron]]</f>
        <v>424.98288617748523</v>
      </c>
      <c r="AG11" s="122" t="s">
        <v>352</v>
      </c>
      <c r="AH11" s="335">
        <v>12</v>
      </c>
    </row>
    <row r="12" spans="1:34" x14ac:dyDescent="0.25">
      <c r="A12" s="7" t="s">
        <v>9</v>
      </c>
      <c r="B12" s="96" t="s">
        <v>220</v>
      </c>
      <c r="C12" s="96" t="str">
        <f>_xlfn.XLOOKUP(Tabla467834[[#This Row],[Servicios del Programa:]],Tabla151[CODIGO],Tabla151[VALOR])</f>
        <v>Consultas</v>
      </c>
      <c r="D12" s="144">
        <v>1</v>
      </c>
      <c r="E12" s="56" cm="1">
        <f t="array" ref="E12">IF(D12="X",(_xlfn.XLOOKUP($B12,Tabla1[SERVICIO],Tabla1[VALOR])*1),IF(D12&gt;=1,_xlfn.XLOOKUP($B12,Tabla1[SERVICIO],Tabla1[VALOR]*D12),0))</f>
        <v>55794.181771015559</v>
      </c>
      <c r="F12" s="144"/>
      <c r="G12" s="56" cm="1">
        <f t="array" ref="G12">IF(F12="X",(_xlfn.XLOOKUP($B12,Tabla1[SERVICIO],Tabla1[VALOR])*1),IF(F12&gt;=1,_xlfn.XLOOKUP($B12,Tabla1[SERVICIO],Tabla1[VALOR]*F12),0))</f>
        <v>0</v>
      </c>
      <c r="H12" s="144"/>
      <c r="I12" s="56" cm="1">
        <f t="array" ref="I12">IF(H12="X",(_xlfn.XLOOKUP($B12,Tabla1[SERVICIO],Tabla1[VALOR])*1),IF(H12&gt;=1,_xlfn.XLOOKUP($B12,Tabla1[SERVICIO],Tabla1[VALOR]*H12),0))</f>
        <v>0</v>
      </c>
      <c r="J12" s="144"/>
      <c r="K12" s="56" cm="1">
        <f t="array" ref="K12">IF(J12="X",(_xlfn.XLOOKUP($B12,Tabla1[SERVICIO],Tabla1[VALOR])*1),IF(J12&gt;=1,_xlfn.XLOOKUP($B12,Tabla1[SERVICIO],Tabla1[VALOR]*J12),0))</f>
        <v>0</v>
      </c>
      <c r="L12" s="144"/>
      <c r="M12" s="56" cm="1">
        <f t="array" ref="M12">IF(L12="X",(_xlfn.XLOOKUP($B12,Tabla1[SERVICIO],Tabla1[VALOR])*1),IF(L12&gt;=1,_xlfn.XLOOKUP($B12,Tabla1[SERVICIO],Tabla1[VALOR]*L12),0))</f>
        <v>0</v>
      </c>
      <c r="N12" s="144"/>
      <c r="O12" s="56" cm="1">
        <f t="array" ref="O12">IF(N12="X",(_xlfn.XLOOKUP($B12,Tabla1[SERVICIO],Tabla1[VALOR])*1),IF(N12&gt;=1,_xlfn.XLOOKUP($B12,Tabla1[SERVICIO],Tabla1[VALOR]*N12),0))</f>
        <v>0</v>
      </c>
      <c r="P12" s="144"/>
      <c r="Q12" s="56" cm="1">
        <f t="array" ref="Q12">IF(P12="X",(_xlfn.XLOOKUP($B12,Tabla1[SERVICIO],Tabla1[VALOR])*1),IF(P12&gt;=1,_xlfn.XLOOKUP($B12,Tabla1[SERVICIO],Tabla1[VALOR]*P12),0))</f>
        <v>0</v>
      </c>
      <c r="R12" s="144"/>
      <c r="S12" s="56" cm="1">
        <f t="array" ref="S12">IF(R12="X",(_xlfn.XLOOKUP($B12,Tabla1[SERVICIO],Tabla1[VALOR])*1),IF(R12&gt;=1,_xlfn.XLOOKUP($B12,Tabla1[SERVICIO],Tabla1[VALOR]*R12),0))</f>
        <v>0</v>
      </c>
      <c r="T12" s="144"/>
      <c r="U12" s="56" cm="1">
        <f t="array" ref="U12">IF(T12="X",(_xlfn.XLOOKUP($B12,Tabla1[SERVICIO],Tabla1[VALOR])*1),IF(T12&gt;=1,_xlfn.XLOOKUP($B12,Tabla1[SERVICIO],Tabla1[VALOR]*T12),0))</f>
        <v>0</v>
      </c>
      <c r="V12" s="144"/>
      <c r="W12" s="56" cm="1">
        <f t="array" ref="W12">IF(V12="X",(_xlfn.XLOOKUP($B12,Tabla1[SERVICIO],Tabla1[VALOR])*1),IF(V12&gt;=1,_xlfn.XLOOKUP($B12,Tabla1[SERVICIO],Tabla1[VALOR]*V12),0))</f>
        <v>0</v>
      </c>
      <c r="X12" s="144"/>
      <c r="Y12" s="56" cm="1">
        <f t="array" ref="Y12">IF(X12="X",(_xlfn.XLOOKUP($B12,Tabla1[SERVICIO],Tabla1[VALOR])*1),IF(X12&gt;=1,_xlfn.XLOOKUP($B12,Tabla1[SERVICIO],Tabla1[VALOR]*X12),0))</f>
        <v>0</v>
      </c>
      <c r="Z12" s="144"/>
      <c r="AA12" s="56" cm="1">
        <f t="array" ref="AA12">IF(Z12="X",(_xlfn.XLOOKUP($B12,Tabla1[SERVICIO],Tabla1[VALOR])*1),IF(Z12&gt;=1,_xlfn.XLOOKUP($B12,Tabla1[SERVICIO],Tabla1[VALOR]*Z12),0))</f>
        <v>0</v>
      </c>
      <c r="AB12" s="81">
        <f t="shared" si="0"/>
        <v>55794.181771015559</v>
      </c>
      <c r="AC12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2" s="104" t="s">
        <v>319</v>
      </c>
      <c r="AE12" s="150">
        <v>7.6169749727965181E-3</v>
      </c>
      <c r="AF12" s="238">
        <f>+Tabla467834[[#This Row],[TOTAL]]*Tabla467834[[#This Row],[% de las personas que lo usaron]]</f>
        <v>424.98288617748523</v>
      </c>
      <c r="AG12" s="122" t="s">
        <v>352</v>
      </c>
      <c r="AH12" s="335">
        <v>12</v>
      </c>
    </row>
    <row r="13" spans="1:34" x14ac:dyDescent="0.25">
      <c r="A13" s="7" t="s">
        <v>34</v>
      </c>
      <c r="B13" s="96" t="s">
        <v>35</v>
      </c>
      <c r="C13" s="96" t="str">
        <f>_xlfn.XLOOKUP(Tabla467834[[#This Row],[Servicios del Programa:]],Tabla151[CODIGO],Tabla151[VALOR])</f>
        <v>Consultas</v>
      </c>
      <c r="D13" s="144">
        <v>1</v>
      </c>
      <c r="E13" s="56" cm="1">
        <f t="array" ref="E13">IF(D13="X",(_xlfn.XLOOKUP($B13,Tabla1[SERVICIO],Tabla1[VALOR])*1),IF(D13&gt;=1,_xlfn.XLOOKUP($B13,Tabla1[SERVICIO],Tabla1[VALOR]*D13),0))</f>
        <v>24009.730401318589</v>
      </c>
      <c r="F13" s="145"/>
      <c r="G13" s="56" cm="1">
        <f t="array" ref="G13">IF(F13="X",(_xlfn.XLOOKUP($B13,Tabla1[SERVICIO],Tabla1[VALOR])*1),IF(F13&gt;=1,_xlfn.XLOOKUP($B13,Tabla1[SERVICIO],Tabla1[VALOR]*F13),0))</f>
        <v>0</v>
      </c>
      <c r="H13" s="145"/>
      <c r="I13" s="56" cm="1">
        <f t="array" ref="I13">IF(H13="X",(_xlfn.XLOOKUP($B13,Tabla1[SERVICIO],Tabla1[VALOR])*1),IF(H13&gt;=1,_xlfn.XLOOKUP($B13,Tabla1[SERVICIO],Tabla1[VALOR]*H13),0))</f>
        <v>0</v>
      </c>
      <c r="J13" s="145"/>
      <c r="K13" s="56" cm="1">
        <f t="array" ref="K13">IF(J13="X",(_xlfn.XLOOKUP($B13,Tabla1[SERVICIO],Tabla1[VALOR])*1),IF(J13&gt;=1,_xlfn.XLOOKUP($B13,Tabla1[SERVICIO],Tabla1[VALOR]*J13),0))</f>
        <v>0</v>
      </c>
      <c r="L13" s="145"/>
      <c r="M13" s="56" cm="1">
        <f t="array" ref="M13">IF(L13="X",(_xlfn.XLOOKUP($B13,Tabla1[SERVICIO],Tabla1[VALOR])*1),IF(L13&gt;=1,_xlfn.XLOOKUP($B13,Tabla1[SERVICIO],Tabla1[VALOR]*L13),0))</f>
        <v>0</v>
      </c>
      <c r="N13" s="145"/>
      <c r="O13" s="56" cm="1">
        <f t="array" ref="O13">IF(N13="X",(_xlfn.XLOOKUP($B13,Tabla1[SERVICIO],Tabla1[VALOR])*1),IF(N13&gt;=1,_xlfn.XLOOKUP($B13,Tabla1[SERVICIO],Tabla1[VALOR]*N13),0))</f>
        <v>0</v>
      </c>
      <c r="P13" s="145"/>
      <c r="Q13" s="56" cm="1">
        <f t="array" ref="Q13">IF(P13="X",(_xlfn.XLOOKUP($B13,Tabla1[SERVICIO],Tabla1[VALOR])*1),IF(P13&gt;=1,_xlfn.XLOOKUP($B13,Tabla1[SERVICIO],Tabla1[VALOR]*P13),0))</f>
        <v>0</v>
      </c>
      <c r="R13" s="145"/>
      <c r="S13" s="56" cm="1">
        <f t="array" ref="S13">IF(R13="X",(_xlfn.XLOOKUP($B13,Tabla1[SERVICIO],Tabla1[VALOR])*1),IF(R13&gt;=1,_xlfn.XLOOKUP($B13,Tabla1[SERVICIO],Tabla1[VALOR]*R13),0))</f>
        <v>0</v>
      </c>
      <c r="T13" s="145"/>
      <c r="U13" s="56" cm="1">
        <f t="array" ref="U13">IF(T13="X",(_xlfn.XLOOKUP($B13,Tabla1[SERVICIO],Tabla1[VALOR])*1),IF(T13&gt;=1,_xlfn.XLOOKUP($B13,Tabla1[SERVICIO],Tabla1[VALOR]*T13),0))</f>
        <v>0</v>
      </c>
      <c r="V13" s="145"/>
      <c r="W13" s="56" cm="1">
        <f t="array" ref="W13">IF(V13="X",(_xlfn.XLOOKUP($B13,Tabla1[SERVICIO],Tabla1[VALOR])*1),IF(V13&gt;=1,_xlfn.XLOOKUP($B13,Tabla1[SERVICIO],Tabla1[VALOR]*V13),0))</f>
        <v>0</v>
      </c>
      <c r="X13" s="145"/>
      <c r="Y13" s="56" cm="1">
        <f t="array" ref="Y13">IF(X13="X",(_xlfn.XLOOKUP($B13,Tabla1[SERVICIO],Tabla1[VALOR])*1),IF(X13&gt;=1,_xlfn.XLOOKUP($B13,Tabla1[SERVICIO],Tabla1[VALOR]*X13),0))</f>
        <v>0</v>
      </c>
      <c r="Z13" s="145"/>
      <c r="AA13" s="56" cm="1">
        <f t="array" ref="AA13">IF(Z13="X",(_xlfn.XLOOKUP($B13,Tabla1[SERVICIO],Tabla1[VALOR])*1),IF(Z13&gt;=1,_xlfn.XLOOKUP($B13,Tabla1[SERVICIO],Tabla1[VALOR]*Z13),0))</f>
        <v>0</v>
      </c>
      <c r="AB13" s="81">
        <f t="shared" si="0"/>
        <v>24009.730401318589</v>
      </c>
      <c r="AC13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3" s="104" t="s">
        <v>319</v>
      </c>
      <c r="AE13" s="150">
        <v>0.42981501632208924</v>
      </c>
      <c r="AF13" s="238">
        <f>+Tabla467834[[#This Row],[TOTAL]]*Tabla467834[[#This Row],[% de las personas que lo usaron]]</f>
        <v>10319.742664331712</v>
      </c>
      <c r="AG13" s="122" t="s">
        <v>352</v>
      </c>
      <c r="AH13" s="335">
        <v>12</v>
      </c>
    </row>
    <row r="14" spans="1:34" x14ac:dyDescent="0.25">
      <c r="A14" s="7" t="s">
        <v>32</v>
      </c>
      <c r="B14" s="96" t="s">
        <v>103</v>
      </c>
      <c r="C14" s="96" t="str">
        <f>_xlfn.XLOOKUP(Tabla467834[[#This Row],[Servicios del Programa:]],Tabla151[CODIGO],Tabla151[VALOR])</f>
        <v>Consultas</v>
      </c>
      <c r="D14" s="144">
        <v>1</v>
      </c>
      <c r="E14" s="56" cm="1">
        <f t="array" ref="E14">IF(D14="X",(_xlfn.XLOOKUP($B14,Tabla1[SERVICIO],Tabla1[VALOR])*1),IF(D14&gt;=1,_xlfn.XLOOKUP($B14,Tabla1[SERVICIO],Tabla1[VALOR]*D14),0))</f>
        <v>24009.730401318589</v>
      </c>
      <c r="F14" s="144"/>
      <c r="G14" s="56" cm="1">
        <f t="array" ref="G14">IF(F14="X",(_xlfn.XLOOKUP($B14,Tabla1[SERVICIO],Tabla1[VALOR])*1),IF(F14&gt;=1,_xlfn.XLOOKUP($B14,Tabla1[SERVICIO],Tabla1[VALOR]*F14),0))</f>
        <v>0</v>
      </c>
      <c r="H14" s="144"/>
      <c r="I14" s="56" cm="1">
        <f t="array" ref="I14">IF(H14="X",(_xlfn.XLOOKUP($B14,Tabla1[SERVICIO],Tabla1[VALOR])*1),IF(H14&gt;=1,_xlfn.XLOOKUP($B14,Tabla1[SERVICIO],Tabla1[VALOR]*H14),0))</f>
        <v>0</v>
      </c>
      <c r="J14" s="144"/>
      <c r="K14" s="56" cm="1">
        <f t="array" ref="K14">IF(J14="X",(_xlfn.XLOOKUP($B14,Tabla1[SERVICIO],Tabla1[VALOR])*1),IF(J14&gt;=1,_xlfn.XLOOKUP($B14,Tabla1[SERVICIO],Tabla1[VALOR]*J14),0))</f>
        <v>0</v>
      </c>
      <c r="L14" s="144"/>
      <c r="M14" s="56" cm="1">
        <f t="array" ref="M14">IF(L14="X",(_xlfn.XLOOKUP($B14,Tabla1[SERVICIO],Tabla1[VALOR])*1),IF(L14&gt;=1,_xlfn.XLOOKUP($B14,Tabla1[SERVICIO],Tabla1[VALOR]*L14),0))</f>
        <v>0</v>
      </c>
      <c r="N14" s="144"/>
      <c r="O14" s="56" cm="1">
        <f t="array" ref="O14">IF(N14="X",(_xlfn.XLOOKUP($B14,Tabla1[SERVICIO],Tabla1[VALOR])*1),IF(N14&gt;=1,_xlfn.XLOOKUP($B14,Tabla1[SERVICIO],Tabla1[VALOR]*N14),0))</f>
        <v>0</v>
      </c>
      <c r="P14" s="144"/>
      <c r="Q14" s="56" cm="1">
        <f t="array" ref="Q14">IF(P14="X",(_xlfn.XLOOKUP($B14,Tabla1[SERVICIO],Tabla1[VALOR])*1),IF(P14&gt;=1,_xlfn.XLOOKUP($B14,Tabla1[SERVICIO],Tabla1[VALOR]*P14),0))</f>
        <v>0</v>
      </c>
      <c r="R14" s="144"/>
      <c r="S14" s="56" cm="1">
        <f t="array" ref="S14">IF(R14="X",(_xlfn.XLOOKUP($B14,Tabla1[SERVICIO],Tabla1[VALOR])*1),IF(R14&gt;=1,_xlfn.XLOOKUP($B14,Tabla1[SERVICIO],Tabla1[VALOR]*R14),0))</f>
        <v>0</v>
      </c>
      <c r="T14" s="144"/>
      <c r="U14" s="56" cm="1">
        <f t="array" ref="U14">IF(T14="X",(_xlfn.XLOOKUP($B14,Tabla1[SERVICIO],Tabla1[VALOR])*1),IF(T14&gt;=1,_xlfn.XLOOKUP($B14,Tabla1[SERVICIO],Tabla1[VALOR]*T14),0))</f>
        <v>0</v>
      </c>
      <c r="V14" s="144"/>
      <c r="W14" s="56" cm="1">
        <f t="array" ref="W14">IF(V14="X",(_xlfn.XLOOKUP($B14,Tabla1[SERVICIO],Tabla1[VALOR])*1),IF(V14&gt;=1,_xlfn.XLOOKUP($B14,Tabla1[SERVICIO],Tabla1[VALOR]*V14),0))</f>
        <v>0</v>
      </c>
      <c r="X14" s="144"/>
      <c r="Y14" s="56" cm="1">
        <f t="array" ref="Y14">IF(X14="X",(_xlfn.XLOOKUP($B14,Tabla1[SERVICIO],Tabla1[VALOR])*1),IF(X14&gt;=1,_xlfn.XLOOKUP($B14,Tabla1[SERVICIO],Tabla1[VALOR]*X14),0))</f>
        <v>0</v>
      </c>
      <c r="Z14" s="144"/>
      <c r="AA14" s="56" cm="1">
        <f t="array" ref="AA14">IF(Z14="X",(_xlfn.XLOOKUP($B14,Tabla1[SERVICIO],Tabla1[VALOR])*1),IF(Z14&gt;=1,_xlfn.XLOOKUP($B14,Tabla1[SERVICIO],Tabla1[VALOR]*Z14),0))</f>
        <v>0</v>
      </c>
      <c r="AB14" s="81">
        <f t="shared" si="0"/>
        <v>24009.730401318589</v>
      </c>
      <c r="AC14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4" s="104" t="s">
        <v>319</v>
      </c>
      <c r="AE14" s="150">
        <v>1.088139281828074E-3</v>
      </c>
      <c r="AF14" s="238">
        <f>+Tabla467834[[#This Row],[TOTAL]]*Tabla467834[[#This Row],[% de las personas que lo usaron]]</f>
        <v>26.125930795776487</v>
      </c>
      <c r="AG14" s="122" t="s">
        <v>352</v>
      </c>
      <c r="AH14" s="335">
        <v>12</v>
      </c>
    </row>
    <row r="15" spans="1:34" x14ac:dyDescent="0.25">
      <c r="A15" s="7" t="s">
        <v>3</v>
      </c>
      <c r="B15" s="96" t="s">
        <v>4</v>
      </c>
      <c r="C15" s="96" t="str">
        <f>_xlfn.XLOOKUP(Tabla467834[[#This Row],[Servicios del Programa:]],Tabla151[CODIGO],Tabla151[VALOR])</f>
        <v>Consultas</v>
      </c>
      <c r="D15" s="144">
        <v>1</v>
      </c>
      <c r="E15" s="56" cm="1">
        <f t="array" ref="E15">IF(D15="X",(_xlfn.XLOOKUP($B15,Tabla1[SERVICIO],Tabla1[VALOR])*1),IF(D15&gt;=1,_xlfn.XLOOKUP($B15,Tabla1[SERVICIO],Tabla1[VALOR]*D15),0))</f>
        <v>20406.13276336317</v>
      </c>
      <c r="F15" s="145"/>
      <c r="G15" s="56" cm="1">
        <f t="array" ref="G15">IF(F15="X",(_xlfn.XLOOKUP($B15,Tabla1[SERVICIO],Tabla1[VALOR])*1),IF(F15&gt;=1,_xlfn.XLOOKUP($B15,Tabla1[SERVICIO],Tabla1[VALOR]*F15),0))</f>
        <v>0</v>
      </c>
      <c r="H15" s="145"/>
      <c r="I15" s="56" cm="1">
        <f t="array" ref="I15">IF(H15="X",(_xlfn.XLOOKUP($B15,Tabla1[SERVICIO],Tabla1[VALOR])*1),IF(H15&gt;=1,_xlfn.XLOOKUP($B15,Tabla1[SERVICIO],Tabla1[VALOR]*H15),0))</f>
        <v>0</v>
      </c>
      <c r="J15" s="145"/>
      <c r="K15" s="56" cm="1">
        <f t="array" ref="K15">IF(J15="X",(_xlfn.XLOOKUP($B15,Tabla1[SERVICIO],Tabla1[VALOR])*1),IF(J15&gt;=1,_xlfn.XLOOKUP($B15,Tabla1[SERVICIO],Tabla1[VALOR]*J15),0))</f>
        <v>0</v>
      </c>
      <c r="L15" s="145"/>
      <c r="M15" s="56" cm="1">
        <f t="array" ref="M15">IF(L15="X",(_xlfn.XLOOKUP($B15,Tabla1[SERVICIO],Tabla1[VALOR])*1),IF(L15&gt;=1,_xlfn.XLOOKUP($B15,Tabla1[SERVICIO],Tabla1[VALOR]*L15),0))</f>
        <v>0</v>
      </c>
      <c r="N15" s="145"/>
      <c r="O15" s="56" cm="1">
        <f t="array" ref="O15">IF(N15="X",(_xlfn.XLOOKUP($B15,Tabla1[SERVICIO],Tabla1[VALOR])*1),IF(N15&gt;=1,_xlfn.XLOOKUP($B15,Tabla1[SERVICIO],Tabla1[VALOR]*N15),0))</f>
        <v>0</v>
      </c>
      <c r="P15" s="145"/>
      <c r="Q15" s="56" cm="1">
        <f t="array" ref="Q15">IF(P15="X",(_xlfn.XLOOKUP($B15,Tabla1[SERVICIO],Tabla1[VALOR])*1),IF(P15&gt;=1,_xlfn.XLOOKUP($B15,Tabla1[SERVICIO],Tabla1[VALOR]*P15),0))</f>
        <v>0</v>
      </c>
      <c r="R15" s="145"/>
      <c r="S15" s="56" cm="1">
        <f t="array" ref="S15">IF(R15="X",(_xlfn.XLOOKUP($B15,Tabla1[SERVICIO],Tabla1[VALOR])*1),IF(R15&gt;=1,_xlfn.XLOOKUP($B15,Tabla1[SERVICIO],Tabla1[VALOR]*R15),0))</f>
        <v>0</v>
      </c>
      <c r="T15" s="145"/>
      <c r="U15" s="56" cm="1">
        <f t="array" ref="U15">IF(T15="X",(_xlfn.XLOOKUP($B15,Tabla1[SERVICIO],Tabla1[VALOR])*1),IF(T15&gt;=1,_xlfn.XLOOKUP($B15,Tabla1[SERVICIO],Tabla1[VALOR]*T15),0))</f>
        <v>0</v>
      </c>
      <c r="V15" s="145"/>
      <c r="W15" s="56" cm="1">
        <f t="array" ref="W15">IF(V15="X",(_xlfn.XLOOKUP($B15,Tabla1[SERVICIO],Tabla1[VALOR])*1),IF(V15&gt;=1,_xlfn.XLOOKUP($B15,Tabla1[SERVICIO],Tabla1[VALOR]*V15),0))</f>
        <v>0</v>
      </c>
      <c r="X15" s="145"/>
      <c r="Y15" s="56" cm="1">
        <f t="array" ref="Y15">IF(X15="X",(_xlfn.XLOOKUP($B15,Tabla1[SERVICIO],Tabla1[VALOR])*1),IF(X15&gt;=1,_xlfn.XLOOKUP($B15,Tabla1[SERVICIO],Tabla1[VALOR]*X15),0))</f>
        <v>0</v>
      </c>
      <c r="Z15" s="145"/>
      <c r="AA15" s="56" cm="1">
        <f t="array" ref="AA15">IF(Z15="X",(_xlfn.XLOOKUP($B15,Tabla1[SERVICIO],Tabla1[VALOR])*1),IF(Z15&gt;=1,_xlfn.XLOOKUP($B15,Tabla1[SERVICIO],Tabla1[VALOR]*Z15),0))</f>
        <v>0</v>
      </c>
      <c r="AB15" s="81">
        <f t="shared" si="0"/>
        <v>20406.13276336317</v>
      </c>
      <c r="AC15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5" s="158" t="s">
        <v>318</v>
      </c>
      <c r="AE15" s="150">
        <v>1</v>
      </c>
      <c r="AF15" s="238">
        <f>+Tabla467834[[#This Row],[TOTAL]]*Tabla467834[[#This Row],[% de las personas que lo usaron]]</f>
        <v>20406.13276336317</v>
      </c>
      <c r="AG15" s="122" t="s">
        <v>352</v>
      </c>
      <c r="AH15" s="335">
        <v>12</v>
      </c>
    </row>
    <row r="16" spans="1:34" x14ac:dyDescent="0.25">
      <c r="A16" s="7" t="s">
        <v>15</v>
      </c>
      <c r="B16" s="96" t="s">
        <v>16</v>
      </c>
      <c r="C16" s="96" t="str">
        <f>_xlfn.XLOOKUP(Tabla467834[[#This Row],[Servicios del Programa:]],Tabla151[CODIGO],Tabla151[VALOR])</f>
        <v>Consultas</v>
      </c>
      <c r="D16" s="145"/>
      <c r="E16" s="56" cm="1">
        <f t="array" ref="E16">IF(D16="X",(_xlfn.XLOOKUP($B16,Tabla1[SERVICIO],Tabla1[VALOR])*1),IF(D16&gt;=1,_xlfn.XLOOKUP($B16,Tabla1[SERVICIO],Tabla1[VALOR]*D16),0))</f>
        <v>0</v>
      </c>
      <c r="F16" s="145"/>
      <c r="G16" s="56" cm="1">
        <f t="array" ref="G16">IF(F16="X",(_xlfn.XLOOKUP($B16,Tabla1[SERVICIO],Tabla1[VALOR])*1),IF(F16&gt;=1,_xlfn.XLOOKUP($B16,Tabla1[SERVICIO],Tabla1[VALOR]*F16),0))</f>
        <v>0</v>
      </c>
      <c r="H16" s="145"/>
      <c r="I16" s="56" cm="1">
        <f t="array" ref="I16">IF(H16="X",(_xlfn.XLOOKUP($B16,Tabla1[SERVICIO],Tabla1[VALOR])*1),IF(H16&gt;=1,_xlfn.XLOOKUP($B16,Tabla1[SERVICIO],Tabla1[VALOR]*H16),0))</f>
        <v>0</v>
      </c>
      <c r="J16" s="145"/>
      <c r="K16" s="56" cm="1">
        <f t="array" ref="K16">IF(J16="X",(_xlfn.XLOOKUP($B16,Tabla1[SERVICIO],Tabla1[VALOR])*1),IF(J16&gt;=1,_xlfn.XLOOKUP($B16,Tabla1[SERVICIO],Tabla1[VALOR]*J16),0))</f>
        <v>0</v>
      </c>
      <c r="L16" s="145"/>
      <c r="M16" s="56" cm="1">
        <f t="array" ref="M16">IF(L16="X",(_xlfn.XLOOKUP($B16,Tabla1[SERVICIO],Tabla1[VALOR])*1),IF(L16&gt;=1,_xlfn.XLOOKUP($B16,Tabla1[SERVICIO],Tabla1[VALOR]*L16),0))</f>
        <v>0</v>
      </c>
      <c r="N16" s="144">
        <v>1</v>
      </c>
      <c r="O16" s="56" cm="1">
        <f t="array" ref="O16">IF(N16="X",(_xlfn.XLOOKUP($B16,Tabla1[SERVICIO],Tabla1[VALOR])*1),IF(N16&gt;=1,_xlfn.XLOOKUP($B16,Tabla1[SERVICIO],Tabla1[VALOR]*N16),0))</f>
        <v>22052.520800552971</v>
      </c>
      <c r="P16" s="145"/>
      <c r="Q16" s="56" cm="1">
        <f t="array" ref="Q16">IF(P16="X",(_xlfn.XLOOKUP($B16,Tabla1[SERVICIO],Tabla1[VALOR])*1),IF(P16&gt;=1,_xlfn.XLOOKUP($B16,Tabla1[SERVICIO],Tabla1[VALOR]*P16),0))</f>
        <v>0</v>
      </c>
      <c r="R16" s="145"/>
      <c r="S16" s="56" cm="1">
        <f t="array" ref="S16">IF(R16="X",(_xlfn.XLOOKUP($B16,Tabla1[SERVICIO],Tabla1[VALOR])*1),IF(R16&gt;=1,_xlfn.XLOOKUP($B16,Tabla1[SERVICIO],Tabla1[VALOR]*R16),0))</f>
        <v>0</v>
      </c>
      <c r="T16" s="145"/>
      <c r="U16" s="56" cm="1">
        <f t="array" ref="U16">IF(T16="X",(_xlfn.XLOOKUP($B16,Tabla1[SERVICIO],Tabla1[VALOR])*1),IF(T16&gt;=1,_xlfn.XLOOKUP($B16,Tabla1[SERVICIO],Tabla1[VALOR]*T16),0))</f>
        <v>0</v>
      </c>
      <c r="V16" s="145"/>
      <c r="W16" s="56" cm="1">
        <f t="array" ref="W16">IF(V16="X",(_xlfn.XLOOKUP($B16,Tabla1[SERVICIO],Tabla1[VALOR])*1),IF(V16&gt;=1,_xlfn.XLOOKUP($B16,Tabla1[SERVICIO],Tabla1[VALOR]*V16),0))</f>
        <v>0</v>
      </c>
      <c r="X16" s="145"/>
      <c r="Y16" s="56" cm="1">
        <f t="array" ref="Y16">IF(X16="X",(_xlfn.XLOOKUP($B16,Tabla1[SERVICIO],Tabla1[VALOR])*1),IF(X16&gt;=1,_xlfn.XLOOKUP($B16,Tabla1[SERVICIO],Tabla1[VALOR]*X16),0))</f>
        <v>0</v>
      </c>
      <c r="Z16" s="144">
        <v>1</v>
      </c>
      <c r="AA16" s="56" cm="1">
        <f t="array" ref="AA16">IF(Z16="X",(_xlfn.XLOOKUP($B16,Tabla1[SERVICIO],Tabla1[VALOR])*1),IF(Z16&gt;=1,_xlfn.XLOOKUP($B16,Tabla1[SERVICIO],Tabla1[VALOR]*Z16),0))</f>
        <v>22052.520800552971</v>
      </c>
      <c r="AB16" s="81">
        <f t="shared" si="0"/>
        <v>44105.041601105942</v>
      </c>
      <c r="AC16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16" s="104" t="s">
        <v>319</v>
      </c>
      <c r="AE16" s="150">
        <v>0.15233949945593037</v>
      </c>
      <c r="AF16" s="238">
        <f>+Tabla467834[[#This Row],[TOTAL]]*Tabla467834[[#This Row],[% de las personas que lo usaron]]</f>
        <v>6718.9399609954653</v>
      </c>
      <c r="AG16" s="122" t="s">
        <v>352</v>
      </c>
      <c r="AH16" s="335">
        <v>12</v>
      </c>
    </row>
    <row r="17" spans="1:46" x14ac:dyDescent="0.25">
      <c r="A17" s="7" t="s">
        <v>52</v>
      </c>
      <c r="B17" s="96" t="s">
        <v>191</v>
      </c>
      <c r="C17" s="96" t="str">
        <f>_xlfn.XLOOKUP(Tabla467834[[#This Row],[Servicios del Programa:]],Tabla151[CODIGO],Tabla151[VALOR])</f>
        <v>Consultas</v>
      </c>
      <c r="D17" s="144">
        <v>1</v>
      </c>
      <c r="E17" s="56" cm="1">
        <f t="array" ref="E17">IF(D17="X",(_xlfn.XLOOKUP($B17,Tabla1[SERVICIO],Tabla1[VALOR])*1),IF(D17&gt;=1,_xlfn.XLOOKUP($B17,Tabla1[SERVICIO],Tabla1[VALOR]*D17),0))</f>
        <v>26897.079640267821</v>
      </c>
      <c r="F17" s="145"/>
      <c r="G17" s="56" cm="1">
        <f t="array" ref="G17">IF(F17="X",(_xlfn.XLOOKUP($B17,Tabla1[SERVICIO],Tabla1[VALOR])*1),IF(F17&gt;=1,_xlfn.XLOOKUP($B17,Tabla1[SERVICIO],Tabla1[VALOR]*F17),0))</f>
        <v>0</v>
      </c>
      <c r="H17" s="145"/>
      <c r="I17" s="56" cm="1">
        <f t="array" ref="I17">IF(H17="X",(_xlfn.XLOOKUP($B17,Tabla1[SERVICIO],Tabla1[VALOR])*1),IF(H17&gt;=1,_xlfn.XLOOKUP($B17,Tabla1[SERVICIO],Tabla1[VALOR]*H17),0))</f>
        <v>0</v>
      </c>
      <c r="J17" s="145"/>
      <c r="K17" s="56" cm="1">
        <f t="array" ref="K17">IF(J17="X",(_xlfn.XLOOKUP($B17,Tabla1[SERVICIO],Tabla1[VALOR])*1),IF(J17&gt;=1,_xlfn.XLOOKUP($B17,Tabla1[SERVICIO],Tabla1[VALOR]*J17),0))</f>
        <v>0</v>
      </c>
      <c r="L17" s="145"/>
      <c r="M17" s="56" cm="1">
        <f t="array" ref="M17">IF(L17="X",(_xlfn.XLOOKUP($B17,Tabla1[SERVICIO],Tabla1[VALOR])*1),IF(L17&gt;=1,_xlfn.XLOOKUP($B17,Tabla1[SERVICIO],Tabla1[VALOR]*L17),0))</f>
        <v>0</v>
      </c>
      <c r="N17" s="145"/>
      <c r="O17" s="56" cm="1">
        <f t="array" ref="O17">IF(N17="X",(_xlfn.XLOOKUP($B17,Tabla1[SERVICIO],Tabla1[VALOR])*1),IF(N17&gt;=1,_xlfn.XLOOKUP($B17,Tabla1[SERVICIO],Tabla1[VALOR]*N17),0))</f>
        <v>0</v>
      </c>
      <c r="P17" s="145"/>
      <c r="Q17" s="56" cm="1">
        <f t="array" ref="Q17">IF(P17="X",(_xlfn.XLOOKUP($B17,Tabla1[SERVICIO],Tabla1[VALOR])*1),IF(P17&gt;=1,_xlfn.XLOOKUP($B17,Tabla1[SERVICIO],Tabla1[VALOR]*P17),0))</f>
        <v>0</v>
      </c>
      <c r="R17" s="145"/>
      <c r="S17" s="56" cm="1">
        <f t="array" ref="S17">IF(R17="X",(_xlfn.XLOOKUP($B17,Tabla1[SERVICIO],Tabla1[VALOR])*1),IF(R17&gt;=1,_xlfn.XLOOKUP($B17,Tabla1[SERVICIO],Tabla1[VALOR]*R17),0))</f>
        <v>0</v>
      </c>
      <c r="T17" s="145"/>
      <c r="U17" s="56" cm="1">
        <f t="array" ref="U17">IF(T17="X",(_xlfn.XLOOKUP($B17,Tabla1[SERVICIO],Tabla1[VALOR])*1),IF(T17&gt;=1,_xlfn.XLOOKUP($B17,Tabla1[SERVICIO],Tabla1[VALOR]*T17),0))</f>
        <v>0</v>
      </c>
      <c r="V17" s="145"/>
      <c r="W17" s="56" cm="1">
        <f t="array" ref="W17">IF(V17="X",(_xlfn.XLOOKUP($B17,Tabla1[SERVICIO],Tabla1[VALOR])*1),IF(V17&gt;=1,_xlfn.XLOOKUP($B17,Tabla1[SERVICIO],Tabla1[VALOR]*V17),0))</f>
        <v>0</v>
      </c>
      <c r="X17" s="145"/>
      <c r="Y17" s="56" cm="1">
        <f t="array" ref="Y17">IF(X17="X",(_xlfn.XLOOKUP($B17,Tabla1[SERVICIO],Tabla1[VALOR])*1),IF(X17&gt;=1,_xlfn.XLOOKUP($B17,Tabla1[SERVICIO],Tabla1[VALOR]*X17),0))</f>
        <v>0</v>
      </c>
      <c r="Z17" s="145"/>
      <c r="AA17" s="56" cm="1">
        <f t="array" ref="AA17">IF(Z17="X",(_xlfn.XLOOKUP($B17,Tabla1[SERVICIO],Tabla1[VALOR])*1),IF(Z17&gt;=1,_xlfn.XLOOKUP($B17,Tabla1[SERVICIO],Tabla1[VALOR]*Z17),0))</f>
        <v>0</v>
      </c>
      <c r="AB17" s="81">
        <f t="shared" si="0"/>
        <v>26897.079640267821</v>
      </c>
      <c r="AC17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7" s="104" t="s">
        <v>319</v>
      </c>
      <c r="AE17" s="150">
        <v>3.2644178454842221E-3</v>
      </c>
      <c r="AF17" s="238">
        <f>+Tabla467834[[#This Row],[TOTAL]]*Tabla467834[[#This Row],[% de las personas que lo usaron]]</f>
        <v>87.803306769100615</v>
      </c>
      <c r="AG17" s="122" t="s">
        <v>352</v>
      </c>
      <c r="AH17" s="335">
        <v>12</v>
      </c>
    </row>
    <row r="18" spans="1:46" x14ac:dyDescent="0.25">
      <c r="A18" s="7" t="s">
        <v>53</v>
      </c>
      <c r="B18" s="96" t="s">
        <v>230</v>
      </c>
      <c r="C18" s="96" t="str">
        <f>_xlfn.XLOOKUP(Tabla467834[[#This Row],[Servicios del Programa:]],Tabla151[CODIGO],Tabla151[VALOR])</f>
        <v>Consultas</v>
      </c>
      <c r="D18" s="144">
        <v>1</v>
      </c>
      <c r="E18" s="56" cm="1">
        <f t="array" ref="E18">IF(D18="X",(_xlfn.XLOOKUP($B18,Tabla1[SERVICIO],Tabla1[VALOR])*1),IF(D18&gt;=1,_xlfn.XLOOKUP($B18,Tabla1[SERVICIO],Tabla1[VALOR]*D18),0))</f>
        <v>26897.079640267817</v>
      </c>
      <c r="F18" s="144"/>
      <c r="G18" s="56" cm="1">
        <f t="array" ref="G18">IF(F18="X",(_xlfn.XLOOKUP($B18,Tabla1[SERVICIO],Tabla1[VALOR])*1),IF(F18&gt;=1,_xlfn.XLOOKUP($B18,Tabla1[SERVICIO],Tabla1[VALOR]*F18),0))</f>
        <v>0</v>
      </c>
      <c r="H18" s="144"/>
      <c r="I18" s="56" cm="1">
        <f t="array" ref="I18">IF(H18="X",(_xlfn.XLOOKUP($B18,Tabla1[SERVICIO],Tabla1[VALOR])*1),IF(H18&gt;=1,_xlfn.XLOOKUP($B18,Tabla1[SERVICIO],Tabla1[VALOR]*H18),0))</f>
        <v>0</v>
      </c>
      <c r="J18" s="144"/>
      <c r="K18" s="56" cm="1">
        <f t="array" ref="K18">IF(J18="X",(_xlfn.XLOOKUP($B18,Tabla1[SERVICIO],Tabla1[VALOR])*1),IF(J18&gt;=1,_xlfn.XLOOKUP($B18,Tabla1[SERVICIO],Tabla1[VALOR]*J18),0))</f>
        <v>0</v>
      </c>
      <c r="L18" s="144"/>
      <c r="M18" s="56" cm="1">
        <f t="array" ref="M18">IF(L18="X",(_xlfn.XLOOKUP($B18,Tabla1[SERVICIO],Tabla1[VALOR])*1),IF(L18&gt;=1,_xlfn.XLOOKUP($B18,Tabla1[SERVICIO],Tabla1[VALOR]*L18),0))</f>
        <v>0</v>
      </c>
      <c r="N18" s="144"/>
      <c r="O18" s="56" cm="1">
        <f t="array" ref="O18">IF(N18="X",(_xlfn.XLOOKUP($B18,Tabla1[SERVICIO],Tabla1[VALOR])*1),IF(N18&gt;=1,_xlfn.XLOOKUP($B18,Tabla1[SERVICIO],Tabla1[VALOR]*N18),0))</f>
        <v>0</v>
      </c>
      <c r="P18" s="144"/>
      <c r="Q18" s="56" cm="1">
        <f t="array" ref="Q18">IF(P18="X",(_xlfn.XLOOKUP($B18,Tabla1[SERVICIO],Tabla1[VALOR])*1),IF(P18&gt;=1,_xlfn.XLOOKUP($B18,Tabla1[SERVICIO],Tabla1[VALOR]*P18),0))</f>
        <v>0</v>
      </c>
      <c r="R18" s="144"/>
      <c r="S18" s="56" cm="1">
        <f t="array" ref="S18">IF(R18="X",(_xlfn.XLOOKUP($B18,Tabla1[SERVICIO],Tabla1[VALOR])*1),IF(R18&gt;=1,_xlfn.XLOOKUP($B18,Tabla1[SERVICIO],Tabla1[VALOR]*R18),0))</f>
        <v>0</v>
      </c>
      <c r="T18" s="144"/>
      <c r="U18" s="56" cm="1">
        <f t="array" ref="U18">IF(T18="X",(_xlfn.XLOOKUP($B18,Tabla1[SERVICIO],Tabla1[VALOR])*1),IF(T18&gt;=1,_xlfn.XLOOKUP($B18,Tabla1[SERVICIO],Tabla1[VALOR]*T18),0))</f>
        <v>0</v>
      </c>
      <c r="V18" s="144"/>
      <c r="W18" s="56" cm="1">
        <f t="array" ref="W18">IF(V18="X",(_xlfn.XLOOKUP($B18,Tabla1[SERVICIO],Tabla1[VALOR])*1),IF(V18&gt;=1,_xlfn.XLOOKUP($B18,Tabla1[SERVICIO],Tabla1[VALOR]*V18),0))</f>
        <v>0</v>
      </c>
      <c r="X18" s="144"/>
      <c r="Y18" s="56" cm="1">
        <f t="array" ref="Y18">IF(X18="X",(_xlfn.XLOOKUP($B18,Tabla1[SERVICIO],Tabla1[VALOR])*1),IF(X18&gt;=1,_xlfn.XLOOKUP($B18,Tabla1[SERVICIO],Tabla1[VALOR]*X18),0))</f>
        <v>0</v>
      </c>
      <c r="Z18" s="144"/>
      <c r="AA18" s="56" cm="1">
        <f t="array" ref="AA18">IF(Z18="X",(_xlfn.XLOOKUP($B18,Tabla1[SERVICIO],Tabla1[VALOR])*1),IF(Z18&gt;=1,_xlfn.XLOOKUP($B18,Tabla1[SERVICIO],Tabla1[VALOR]*Z18),0))</f>
        <v>0</v>
      </c>
      <c r="AB18" s="81">
        <f t="shared" si="0"/>
        <v>26897.079640267817</v>
      </c>
      <c r="AC18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8" s="104" t="s">
        <v>319</v>
      </c>
      <c r="AE18" s="150">
        <v>3.2644178454842221E-3</v>
      </c>
      <c r="AF18" s="238">
        <f>+Tabla467834[[#This Row],[TOTAL]]*Tabla467834[[#This Row],[% de las personas que lo usaron]]</f>
        <v>87.803306769100601</v>
      </c>
      <c r="AG18" s="122" t="s">
        <v>352</v>
      </c>
      <c r="AH18" s="335">
        <v>12</v>
      </c>
    </row>
    <row r="19" spans="1:46" x14ac:dyDescent="0.25">
      <c r="A19" s="7" t="s">
        <v>5</v>
      </c>
      <c r="B19" s="96" t="s">
        <v>6</v>
      </c>
      <c r="C19" s="96" t="str">
        <f>_xlfn.XLOOKUP(Tabla467834[[#This Row],[Servicios del Programa:]],Tabla151[CODIGO],Tabla151[VALOR])</f>
        <v>Consultas</v>
      </c>
      <c r="D19" s="144">
        <v>1</v>
      </c>
      <c r="E19" s="56" cm="1">
        <f t="array" ref="E19">IF(D19="X",(_xlfn.XLOOKUP($B19,Tabla1[SERVICIO],Tabla1[VALOR])*1),IF(D19&gt;=1,_xlfn.XLOOKUP($B19,Tabla1[SERVICIO],Tabla1[VALOR]*D19),0))</f>
        <v>18768.367820181349</v>
      </c>
      <c r="F19" s="145"/>
      <c r="G19" s="56" cm="1">
        <f t="array" ref="G19">IF(F19="X",(_xlfn.XLOOKUP($B19,Tabla1[SERVICIO],Tabla1[VALOR])*1),IF(F19&gt;=1,_xlfn.XLOOKUP($B19,Tabla1[SERVICIO],Tabla1[VALOR]*F19),0))</f>
        <v>0</v>
      </c>
      <c r="H19" s="145"/>
      <c r="I19" s="56" cm="1">
        <f t="array" ref="I19">IF(H19="X",(_xlfn.XLOOKUP($B19,Tabla1[SERVICIO],Tabla1[VALOR])*1),IF(H19&gt;=1,_xlfn.XLOOKUP($B19,Tabla1[SERVICIO],Tabla1[VALOR]*H19),0))</f>
        <v>0</v>
      </c>
      <c r="J19" s="145"/>
      <c r="K19" s="56" cm="1">
        <f t="array" ref="K19">IF(J19="X",(_xlfn.XLOOKUP($B19,Tabla1[SERVICIO],Tabla1[VALOR])*1),IF(J19&gt;=1,_xlfn.XLOOKUP($B19,Tabla1[SERVICIO],Tabla1[VALOR]*J19),0))</f>
        <v>0</v>
      </c>
      <c r="L19" s="145"/>
      <c r="M19" s="56" cm="1">
        <f t="array" ref="M19">IF(L19="X",(_xlfn.XLOOKUP($B19,Tabla1[SERVICIO],Tabla1[VALOR])*1),IF(L19&gt;=1,_xlfn.XLOOKUP($B19,Tabla1[SERVICIO],Tabla1[VALOR]*L19),0))</f>
        <v>0</v>
      </c>
      <c r="N19" s="144"/>
      <c r="O19" s="56" cm="1">
        <f t="array" ref="O19">IF(N19="X",(_xlfn.XLOOKUP($B19,Tabla1[SERVICIO],Tabla1[VALOR])*1),IF(N19&gt;=1,_xlfn.XLOOKUP($B19,Tabla1[SERVICIO],Tabla1[VALOR]*N19),0))</f>
        <v>0</v>
      </c>
      <c r="P19" s="145"/>
      <c r="Q19" s="56" cm="1">
        <f t="array" ref="Q19">IF(P19="X",(_xlfn.XLOOKUP($B19,Tabla1[SERVICIO],Tabla1[VALOR])*1),IF(P19&gt;=1,_xlfn.XLOOKUP($B19,Tabla1[SERVICIO],Tabla1[VALOR]*P19),0))</f>
        <v>0</v>
      </c>
      <c r="R19" s="145"/>
      <c r="S19" s="56" cm="1">
        <f t="array" ref="S19">IF(R19="X",(_xlfn.XLOOKUP($B19,Tabla1[SERVICIO],Tabla1[VALOR])*1),IF(R19&gt;=1,_xlfn.XLOOKUP($B19,Tabla1[SERVICIO],Tabla1[VALOR]*R19),0))</f>
        <v>0</v>
      </c>
      <c r="T19" s="145"/>
      <c r="U19" s="56" cm="1">
        <f t="array" ref="U19">IF(T19="X",(_xlfn.XLOOKUP($B19,Tabla1[SERVICIO],Tabla1[VALOR])*1),IF(T19&gt;=1,_xlfn.XLOOKUP($B19,Tabla1[SERVICIO],Tabla1[VALOR]*T19),0))</f>
        <v>0</v>
      </c>
      <c r="V19" s="145"/>
      <c r="W19" s="56" cm="1">
        <f t="array" ref="W19">IF(V19="X",(_xlfn.XLOOKUP($B19,Tabla1[SERVICIO],Tabla1[VALOR])*1),IF(V19&gt;=1,_xlfn.XLOOKUP($B19,Tabla1[SERVICIO],Tabla1[VALOR]*V19),0))</f>
        <v>0</v>
      </c>
      <c r="X19" s="145"/>
      <c r="Y19" s="56" cm="1">
        <f t="array" ref="Y19">IF(X19="X",(_xlfn.XLOOKUP($B19,Tabla1[SERVICIO],Tabla1[VALOR])*1),IF(X19&gt;=1,_xlfn.XLOOKUP($B19,Tabla1[SERVICIO],Tabla1[VALOR]*X19),0))</f>
        <v>0</v>
      </c>
      <c r="Z19" s="144"/>
      <c r="AA19" s="56" cm="1">
        <f t="array" ref="AA19">IF(Z19="X",(_xlfn.XLOOKUP($B19,Tabla1[SERVICIO],Tabla1[VALOR])*1),IF(Z19&gt;=1,_xlfn.XLOOKUP($B19,Tabla1[SERVICIO],Tabla1[VALOR]*Z19),0))</f>
        <v>0</v>
      </c>
      <c r="AB19" s="81">
        <f t="shared" si="0"/>
        <v>18768.367820181349</v>
      </c>
      <c r="AC19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9" s="104" t="s">
        <v>319</v>
      </c>
      <c r="AE19" s="150">
        <v>0.22306855277475518</v>
      </c>
      <c r="AF19" s="238">
        <f>+Tabla467834[[#This Row],[TOTAL]]*Tabla467834[[#This Row],[% de las personas que lo usaron]]</f>
        <v>4186.6326475921405</v>
      </c>
      <c r="AG19" s="122" t="s">
        <v>352</v>
      </c>
      <c r="AH19" s="335">
        <v>12</v>
      </c>
    </row>
    <row r="20" spans="1:46" x14ac:dyDescent="0.25">
      <c r="A20" s="7" t="s">
        <v>17</v>
      </c>
      <c r="B20" s="96" t="s">
        <v>18</v>
      </c>
      <c r="C20" s="96" t="str">
        <f>_xlfn.XLOOKUP(Tabla467834[[#This Row],[Servicios del Programa:]],Tabla151[CODIGO],Tabla151[VALOR])</f>
        <v>Consultas</v>
      </c>
      <c r="D20" s="145"/>
      <c r="E20" s="56" cm="1">
        <f t="array" ref="E20">IF(D20="X",(_xlfn.XLOOKUP($B20,Tabla1[SERVICIO],Tabla1[VALOR])*1),IF(D20&gt;=1,_xlfn.XLOOKUP($B20,Tabla1[SERVICIO],Tabla1[VALOR]*D20),0))</f>
        <v>0</v>
      </c>
      <c r="F20" s="145"/>
      <c r="G20" s="56" cm="1">
        <f t="array" ref="G20">IF(F20="X",(_xlfn.XLOOKUP($B20,Tabla1[SERVICIO],Tabla1[VALOR])*1),IF(F20&gt;=1,_xlfn.XLOOKUP($B20,Tabla1[SERVICIO],Tabla1[VALOR]*F20),0))</f>
        <v>0</v>
      </c>
      <c r="H20" s="145"/>
      <c r="I20" s="56" cm="1">
        <f t="array" ref="I20">IF(H20="X",(_xlfn.XLOOKUP($B20,Tabla1[SERVICIO],Tabla1[VALOR])*1),IF(H20&gt;=1,_xlfn.XLOOKUP($B20,Tabla1[SERVICIO],Tabla1[VALOR]*H20),0))</f>
        <v>0</v>
      </c>
      <c r="J20" s="145"/>
      <c r="K20" s="56" cm="1">
        <f t="array" ref="K20">IF(J20="X",(_xlfn.XLOOKUP($B20,Tabla1[SERVICIO],Tabla1[VALOR])*1),IF(J20&gt;=1,_xlfn.XLOOKUP($B20,Tabla1[SERVICIO],Tabla1[VALOR]*J20),0))</f>
        <v>0</v>
      </c>
      <c r="L20" s="145"/>
      <c r="M20" s="56" cm="1">
        <f t="array" ref="M20">IF(L20="X",(_xlfn.XLOOKUP($B20,Tabla1[SERVICIO],Tabla1[VALOR])*1),IF(L20&gt;=1,_xlfn.XLOOKUP($B20,Tabla1[SERVICIO],Tabla1[VALOR]*L20),0))</f>
        <v>0</v>
      </c>
      <c r="N20" s="144">
        <v>1</v>
      </c>
      <c r="O20" s="56" cm="1">
        <f t="array" ref="O20">IF(N20="X",(_xlfn.XLOOKUP($B20,Tabla1[SERVICIO],Tabla1[VALOR])*1),IF(N20&gt;=1,_xlfn.XLOOKUP($B20,Tabla1[SERVICIO],Tabla1[VALOR]*N20),0))</f>
        <v>20414.75585737115</v>
      </c>
      <c r="P20" s="145"/>
      <c r="Q20" s="56" cm="1">
        <f t="array" ref="Q20">IF(P20="X",(_xlfn.XLOOKUP($B20,Tabla1[SERVICIO],Tabla1[VALOR])*1),IF(P20&gt;=1,_xlfn.XLOOKUP($B20,Tabla1[SERVICIO],Tabla1[VALOR]*P20),0))</f>
        <v>0</v>
      </c>
      <c r="R20" s="145"/>
      <c r="S20" s="56" cm="1">
        <f t="array" ref="S20">IF(R20="X",(_xlfn.XLOOKUP($B20,Tabla1[SERVICIO],Tabla1[VALOR])*1),IF(R20&gt;=1,_xlfn.XLOOKUP($B20,Tabla1[SERVICIO],Tabla1[VALOR]*R20),0))</f>
        <v>0</v>
      </c>
      <c r="T20" s="145"/>
      <c r="U20" s="56" cm="1">
        <f t="array" ref="U20">IF(T20="X",(_xlfn.XLOOKUP($B20,Tabla1[SERVICIO],Tabla1[VALOR])*1),IF(T20&gt;=1,_xlfn.XLOOKUP($B20,Tabla1[SERVICIO],Tabla1[VALOR]*T20),0))</f>
        <v>0</v>
      </c>
      <c r="V20" s="145"/>
      <c r="W20" s="56" cm="1">
        <f t="array" ref="W20">IF(V20="X",(_xlfn.XLOOKUP($B20,Tabla1[SERVICIO],Tabla1[VALOR])*1),IF(V20&gt;=1,_xlfn.XLOOKUP($B20,Tabla1[SERVICIO],Tabla1[VALOR]*V20),0))</f>
        <v>0</v>
      </c>
      <c r="X20" s="145"/>
      <c r="Y20" s="56" cm="1">
        <f t="array" ref="Y20">IF(X20="X",(_xlfn.XLOOKUP($B20,Tabla1[SERVICIO],Tabla1[VALOR])*1),IF(X20&gt;=1,_xlfn.XLOOKUP($B20,Tabla1[SERVICIO],Tabla1[VALOR]*X20),0))</f>
        <v>0</v>
      </c>
      <c r="Z20" s="144">
        <v>1</v>
      </c>
      <c r="AA20" s="56" cm="1">
        <f t="array" ref="AA20">IF(Z20="X",(_xlfn.XLOOKUP($B20,Tabla1[SERVICIO],Tabla1[VALOR])*1),IF(Z20&gt;=1,_xlfn.XLOOKUP($B20,Tabla1[SERVICIO],Tabla1[VALOR]*Z20),0))</f>
        <v>20414.75585737115</v>
      </c>
      <c r="AB20" s="81">
        <f t="shared" si="0"/>
        <v>40829.511714742301</v>
      </c>
      <c r="AC20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20" s="104" t="s">
        <v>319</v>
      </c>
      <c r="AE20" s="150">
        <v>8.0522306855277476E-2</v>
      </c>
      <c r="AF20" s="238">
        <f>+Tabla467834[[#This Row],[TOTAL]]*Tabla467834[[#This Row],[% de las personas que lo usaron]]</f>
        <v>3287.6864710456261</v>
      </c>
      <c r="AG20" s="122" t="s">
        <v>352</v>
      </c>
      <c r="AH20" s="335">
        <v>12</v>
      </c>
    </row>
    <row r="21" spans="1:46" x14ac:dyDescent="0.25">
      <c r="A21" s="7" t="s">
        <v>113</v>
      </c>
      <c r="B21" s="98" t="s">
        <v>116</v>
      </c>
      <c r="C21" s="96" t="str">
        <f>_xlfn.XLOOKUP(Tabla467834[[#This Row],[Servicios del Programa:]],Tabla151[CODIGO],Tabla151[VALOR])</f>
        <v>Consultas</v>
      </c>
      <c r="D21" s="144">
        <v>1</v>
      </c>
      <c r="E21" s="56" cm="1">
        <f t="array" ref="E21">IF(D21="X",(_xlfn.XLOOKUP($B21,Tabla1[SERVICIO],Tabla1[VALOR])*1),IF(D21&gt;=1,_xlfn.XLOOKUP($B21,Tabla1[SERVICIO],Tabla1[VALOR]*D21),0))</f>
        <v>60236.092716419647</v>
      </c>
      <c r="F21" s="144"/>
      <c r="G21" s="56" cm="1">
        <f t="array" ref="G21">IF(F21="X",(_xlfn.XLOOKUP($B21,Tabla1[SERVICIO],Tabla1[VALOR])*1),IF(F21&gt;=1,_xlfn.XLOOKUP($B21,Tabla1[SERVICIO],Tabla1[VALOR]*F21),0))</f>
        <v>0</v>
      </c>
      <c r="H21" s="144"/>
      <c r="I21" s="56" cm="1">
        <f t="array" ref="I21">IF(H21="X",(_xlfn.XLOOKUP($B21,Tabla1[SERVICIO],Tabla1[VALOR])*1),IF(H21&gt;=1,_xlfn.XLOOKUP($B21,Tabla1[SERVICIO],Tabla1[VALOR]*H21),0))</f>
        <v>0</v>
      </c>
      <c r="J21" s="144"/>
      <c r="K21" s="56" cm="1">
        <f t="array" ref="K21">IF(J21="X",(_xlfn.XLOOKUP($B21,Tabla1[SERVICIO],Tabla1[VALOR])*1),IF(J21&gt;=1,_xlfn.XLOOKUP($B21,Tabla1[SERVICIO],Tabla1[VALOR]*J21),0))</f>
        <v>0</v>
      </c>
      <c r="L21" s="144"/>
      <c r="M21" s="56" cm="1">
        <f t="array" ref="M21">IF(L21="X",(_xlfn.XLOOKUP($B21,Tabla1[SERVICIO],Tabla1[VALOR])*1),IF(L21&gt;=1,_xlfn.XLOOKUP($B21,Tabla1[SERVICIO],Tabla1[VALOR]*L21),0))</f>
        <v>0</v>
      </c>
      <c r="N21" s="144"/>
      <c r="O21" s="56" cm="1">
        <f t="array" ref="O21">IF(N21="X",(_xlfn.XLOOKUP($B21,Tabla1[SERVICIO],Tabla1[VALOR])*1),IF(N21&gt;=1,_xlfn.XLOOKUP($B21,Tabla1[SERVICIO],Tabla1[VALOR]*N21),0))</f>
        <v>0</v>
      </c>
      <c r="P21" s="144"/>
      <c r="Q21" s="56" cm="1">
        <f t="array" ref="Q21">IF(P21="X",(_xlfn.XLOOKUP($B21,Tabla1[SERVICIO],Tabla1[VALOR])*1),IF(P21&gt;=1,_xlfn.XLOOKUP($B21,Tabla1[SERVICIO],Tabla1[VALOR]*P21),0))</f>
        <v>0</v>
      </c>
      <c r="R21" s="144"/>
      <c r="S21" s="56" cm="1">
        <f t="array" ref="S21">IF(R21="X",(_xlfn.XLOOKUP($B21,Tabla1[SERVICIO],Tabla1[VALOR])*1),IF(R21&gt;=1,_xlfn.XLOOKUP($B21,Tabla1[SERVICIO],Tabla1[VALOR]*R21),0))</f>
        <v>0</v>
      </c>
      <c r="T21" s="144"/>
      <c r="U21" s="56" cm="1">
        <f t="array" ref="U21">IF(T21="X",(_xlfn.XLOOKUP($B21,Tabla1[SERVICIO],Tabla1[VALOR])*1),IF(T21&gt;=1,_xlfn.XLOOKUP($B21,Tabla1[SERVICIO],Tabla1[VALOR]*T21),0))</f>
        <v>0</v>
      </c>
      <c r="V21" s="144"/>
      <c r="W21" s="56" cm="1">
        <f t="array" ref="W21">IF(V21="X",(_xlfn.XLOOKUP($B21,Tabla1[SERVICIO],Tabla1[VALOR])*1),IF(V21&gt;=1,_xlfn.XLOOKUP($B21,Tabla1[SERVICIO],Tabla1[VALOR]*V21),0))</f>
        <v>0</v>
      </c>
      <c r="X21" s="144"/>
      <c r="Y21" s="56" cm="1">
        <f t="array" ref="Y21">IF(X21="X",(_xlfn.XLOOKUP($B21,Tabla1[SERVICIO],Tabla1[VALOR])*1),IF(X21&gt;=1,_xlfn.XLOOKUP($B21,Tabla1[SERVICIO],Tabla1[VALOR]*X21),0))</f>
        <v>0</v>
      </c>
      <c r="Z21" s="144"/>
      <c r="AA21" s="56" cm="1">
        <f t="array" ref="AA21">IF(Z21="X",(_xlfn.XLOOKUP($B21,Tabla1[SERVICIO],Tabla1[VALOR])*1),IF(Z21&gt;=1,_xlfn.XLOOKUP($B21,Tabla1[SERVICIO],Tabla1[VALOR]*Z21),0))</f>
        <v>0</v>
      </c>
      <c r="AB21" s="81">
        <f t="shared" si="0"/>
        <v>60236.092716419647</v>
      </c>
      <c r="AC21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1" s="104" t="s">
        <v>319</v>
      </c>
      <c r="AE21" s="150">
        <v>6.8552774755168661E-2</v>
      </c>
      <c r="AF21" s="238">
        <f>+Tabla467834[[#This Row],[TOTAL]]*Tabla467834[[#This Row],[% de las personas que lo usaron]]</f>
        <v>4129.3512961201714</v>
      </c>
      <c r="AG21" s="122" t="s">
        <v>352</v>
      </c>
      <c r="AH21" s="335">
        <v>12</v>
      </c>
    </row>
    <row r="22" spans="1:46" x14ac:dyDescent="0.25">
      <c r="A22" s="7" t="s">
        <v>114</v>
      </c>
      <c r="B22" s="96" t="s">
        <v>117</v>
      </c>
      <c r="C22" s="96" t="str">
        <f>_xlfn.XLOOKUP(Tabla467834[[#This Row],[Servicios del Programa:]],Tabla151[CODIGO],Tabla151[VALOR])</f>
        <v>Consultas</v>
      </c>
      <c r="D22" s="144">
        <v>1</v>
      </c>
      <c r="E22" s="56" cm="1">
        <f t="array" ref="E22">IF(D22="X",(_xlfn.XLOOKUP($B22,Tabla1[SERVICIO],Tabla1[VALOR])*1),IF(D22&gt;=1,_xlfn.XLOOKUP($B22,Tabla1[SERVICIO],Tabla1[VALOR]*D22),0))</f>
        <v>62748.232282880919</v>
      </c>
      <c r="F22" s="144"/>
      <c r="G22" s="56" cm="1">
        <f t="array" ref="G22">IF(F22="X",(_xlfn.XLOOKUP($B22,Tabla1[SERVICIO],Tabla1[VALOR])*1),IF(F22&gt;=1,_xlfn.XLOOKUP($B22,Tabla1[SERVICIO],Tabla1[VALOR]*F22),0))</f>
        <v>0</v>
      </c>
      <c r="H22" s="144"/>
      <c r="I22" s="56" cm="1">
        <f t="array" ref="I22">IF(H22="X",(_xlfn.XLOOKUP($B22,Tabla1[SERVICIO],Tabla1[VALOR])*1),IF(H22&gt;=1,_xlfn.XLOOKUP($B22,Tabla1[SERVICIO],Tabla1[VALOR]*H22),0))</f>
        <v>0</v>
      </c>
      <c r="J22" s="144"/>
      <c r="K22" s="56" cm="1">
        <f t="array" ref="K22">IF(J22="X",(_xlfn.XLOOKUP($B22,Tabla1[SERVICIO],Tabla1[VALOR])*1),IF(J22&gt;=1,_xlfn.XLOOKUP($B22,Tabla1[SERVICIO],Tabla1[VALOR]*J22),0))</f>
        <v>0</v>
      </c>
      <c r="L22" s="144"/>
      <c r="M22" s="56" cm="1">
        <f t="array" ref="M22">IF(L22="X",(_xlfn.XLOOKUP($B22,Tabla1[SERVICIO],Tabla1[VALOR])*1),IF(L22&gt;=1,_xlfn.XLOOKUP($B22,Tabla1[SERVICIO],Tabla1[VALOR]*L22),0))</f>
        <v>0</v>
      </c>
      <c r="N22" s="144"/>
      <c r="O22" s="56" cm="1">
        <f t="array" ref="O22">IF(N22="X",(_xlfn.XLOOKUP($B22,Tabla1[SERVICIO],Tabla1[VALOR])*1),IF(N22&gt;=1,_xlfn.XLOOKUP($B22,Tabla1[SERVICIO],Tabla1[VALOR]*N22),0))</f>
        <v>0</v>
      </c>
      <c r="P22" s="144"/>
      <c r="Q22" s="56" cm="1">
        <f t="array" ref="Q22">IF(P22="X",(_xlfn.XLOOKUP($B22,Tabla1[SERVICIO],Tabla1[VALOR])*1),IF(P22&gt;=1,_xlfn.XLOOKUP($B22,Tabla1[SERVICIO],Tabla1[VALOR]*P22),0))</f>
        <v>0</v>
      </c>
      <c r="R22" s="144"/>
      <c r="S22" s="56" cm="1">
        <f t="array" ref="S22">IF(R22="X",(_xlfn.XLOOKUP($B22,Tabla1[SERVICIO],Tabla1[VALOR])*1),IF(R22&gt;=1,_xlfn.XLOOKUP($B22,Tabla1[SERVICIO],Tabla1[VALOR]*R22),0))</f>
        <v>0</v>
      </c>
      <c r="T22" s="144"/>
      <c r="U22" s="56" cm="1">
        <f t="array" ref="U22">IF(T22="X",(_xlfn.XLOOKUP($B22,Tabla1[SERVICIO],Tabla1[VALOR])*1),IF(T22&gt;=1,_xlfn.XLOOKUP($B22,Tabla1[SERVICIO],Tabla1[VALOR]*T22),0))</f>
        <v>0</v>
      </c>
      <c r="V22" s="144"/>
      <c r="W22" s="56" cm="1">
        <f t="array" ref="W22">IF(V22="X",(_xlfn.XLOOKUP($B22,Tabla1[SERVICIO],Tabla1[VALOR])*1),IF(V22&gt;=1,_xlfn.XLOOKUP($B22,Tabla1[SERVICIO],Tabla1[VALOR]*V22),0))</f>
        <v>0</v>
      </c>
      <c r="X22" s="144"/>
      <c r="Y22" s="56" cm="1">
        <f t="array" ref="Y22">IF(X22="X",(_xlfn.XLOOKUP($B22,Tabla1[SERVICIO],Tabla1[VALOR])*1),IF(X22&gt;=1,_xlfn.XLOOKUP($B22,Tabla1[SERVICIO],Tabla1[VALOR]*X22),0))</f>
        <v>0</v>
      </c>
      <c r="Z22" s="144"/>
      <c r="AA22" s="56" cm="1">
        <f t="array" ref="AA22">IF(Z22="X",(_xlfn.XLOOKUP($B22,Tabla1[SERVICIO],Tabla1[VALOR])*1),IF(Z22&gt;=1,_xlfn.XLOOKUP($B22,Tabla1[SERVICIO],Tabla1[VALOR]*Z22),0))</f>
        <v>0</v>
      </c>
      <c r="AB22" s="81">
        <f t="shared" si="0"/>
        <v>62748.232282880919</v>
      </c>
      <c r="AC22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2" s="104" t="s">
        <v>319</v>
      </c>
      <c r="AE22" s="150">
        <v>2.176278563656148E-2</v>
      </c>
      <c r="AF22" s="238">
        <f>+Tabla467834[[#This Row],[TOTAL]]*Tabla467834[[#This Row],[% de las personas que lo usaron]]</f>
        <v>1365.5763282455043</v>
      </c>
      <c r="AG22" s="122" t="s">
        <v>352</v>
      </c>
      <c r="AH22" s="335">
        <v>12</v>
      </c>
    </row>
    <row r="23" spans="1:46" x14ac:dyDescent="0.25">
      <c r="A23" s="7" t="s">
        <v>115</v>
      </c>
      <c r="B23" s="96" t="s">
        <v>118</v>
      </c>
      <c r="C23" s="96" t="str">
        <f>_xlfn.XLOOKUP(Tabla467834[[#This Row],[Servicios del Programa:]],Tabla151[CODIGO],Tabla151[VALOR])</f>
        <v>Consultas</v>
      </c>
      <c r="D23" s="144"/>
      <c r="E23" s="56" cm="1">
        <f t="array" ref="E23">IF(D23="X",(_xlfn.XLOOKUP($B23,Tabla1[SERVICIO],Tabla1[VALOR])*1),IF(D23&gt;=1,_xlfn.XLOOKUP($B23,Tabla1[SERVICIO],Tabla1[VALOR]*D23),0))</f>
        <v>0</v>
      </c>
      <c r="F23" s="144"/>
      <c r="G23" s="56" cm="1">
        <f t="array" ref="G23">IF(F23="X",(_xlfn.XLOOKUP($B23,Tabla1[SERVICIO],Tabla1[VALOR])*1),IF(F23&gt;=1,_xlfn.XLOOKUP($B23,Tabla1[SERVICIO],Tabla1[VALOR]*F23),0))</f>
        <v>0</v>
      </c>
      <c r="H23" s="144"/>
      <c r="I23" s="56" cm="1">
        <f t="array" ref="I23">IF(H23="X",(_xlfn.XLOOKUP($B23,Tabla1[SERVICIO],Tabla1[VALOR])*1),IF(H23&gt;=1,_xlfn.XLOOKUP($B23,Tabla1[SERVICIO],Tabla1[VALOR]*H23),0))</f>
        <v>0</v>
      </c>
      <c r="J23" s="144"/>
      <c r="K23" s="56" cm="1">
        <f t="array" ref="K23">IF(J23="X",(_xlfn.XLOOKUP($B23,Tabla1[SERVICIO],Tabla1[VALOR])*1),IF(J23&gt;=1,_xlfn.XLOOKUP($B23,Tabla1[SERVICIO],Tabla1[VALOR]*J23),0))</f>
        <v>0</v>
      </c>
      <c r="L23" s="144"/>
      <c r="M23" s="56" cm="1">
        <f t="array" ref="M23">IF(L23="X",(_xlfn.XLOOKUP($B23,Tabla1[SERVICIO],Tabla1[VALOR])*1),IF(L23&gt;=1,_xlfn.XLOOKUP($B23,Tabla1[SERVICIO],Tabla1[VALOR]*L23),0))</f>
        <v>0</v>
      </c>
      <c r="N23" s="144"/>
      <c r="O23" s="56" cm="1">
        <f t="array" ref="O23">IF(N23="X",(_xlfn.XLOOKUP($B23,Tabla1[SERVICIO],Tabla1[VALOR])*1),IF(N23&gt;=1,_xlfn.XLOOKUP($B23,Tabla1[SERVICIO],Tabla1[VALOR]*N23),0))</f>
        <v>0</v>
      </c>
      <c r="P23" s="144"/>
      <c r="Q23" s="56" cm="1">
        <f t="array" ref="Q23">IF(P23="X",(_xlfn.XLOOKUP($B23,Tabla1[SERVICIO],Tabla1[VALOR])*1),IF(P23&gt;=1,_xlfn.XLOOKUP($B23,Tabla1[SERVICIO],Tabla1[VALOR]*P23),0))</f>
        <v>0</v>
      </c>
      <c r="R23" s="144"/>
      <c r="S23" s="56" cm="1">
        <f t="array" ref="S23">IF(R23="X",(_xlfn.XLOOKUP($B23,Tabla1[SERVICIO],Tabla1[VALOR])*1),IF(R23&gt;=1,_xlfn.XLOOKUP($B23,Tabla1[SERVICIO],Tabla1[VALOR]*R23),0))</f>
        <v>0</v>
      </c>
      <c r="T23" s="144"/>
      <c r="U23" s="56" cm="1">
        <f t="array" ref="U23">IF(T23="X",(_xlfn.XLOOKUP($B23,Tabla1[SERVICIO],Tabla1[VALOR])*1),IF(T23&gt;=1,_xlfn.XLOOKUP($B23,Tabla1[SERVICIO],Tabla1[VALOR]*T23),0))</f>
        <v>0</v>
      </c>
      <c r="V23" s="144"/>
      <c r="W23" s="56" cm="1">
        <f t="array" ref="W23">IF(V23="X",(_xlfn.XLOOKUP($B23,Tabla1[SERVICIO],Tabla1[VALOR])*1),IF(V23&gt;=1,_xlfn.XLOOKUP($B23,Tabla1[SERVICIO],Tabla1[VALOR]*V23),0))</f>
        <v>0</v>
      </c>
      <c r="X23" s="144"/>
      <c r="Y23" s="56" cm="1">
        <f t="array" ref="Y23">IF(X23="X",(_xlfn.XLOOKUP($B23,Tabla1[SERVICIO],Tabla1[VALOR])*1),IF(X23&gt;=1,_xlfn.XLOOKUP($B23,Tabla1[SERVICIO],Tabla1[VALOR]*X23),0))</f>
        <v>0</v>
      </c>
      <c r="Z23" s="144">
        <v>1</v>
      </c>
      <c r="AA23" s="56" cm="1">
        <f t="array" ref="AA23">IF(Z23="X",(_xlfn.XLOOKUP($B23,Tabla1[SERVICIO],Tabla1[VALOR])*1),IF(Z23&gt;=1,_xlfn.XLOOKUP($B23,Tabla1[SERVICIO],Tabla1[VALOR]*Z23),0))</f>
        <v>62748.232282880919</v>
      </c>
      <c r="AB23" s="81">
        <f t="shared" si="0"/>
        <v>62748.232282880919</v>
      </c>
      <c r="AC23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3" s="104" t="s">
        <v>319</v>
      </c>
      <c r="AE23" s="150">
        <v>0</v>
      </c>
      <c r="AF23" s="238">
        <f>+Tabla467834[[#This Row],[TOTAL]]*Tabla467834[[#This Row],[% de las personas que lo usaron]]</f>
        <v>0</v>
      </c>
      <c r="AG23" s="122" t="s">
        <v>352</v>
      </c>
      <c r="AH23" s="335">
        <v>12</v>
      </c>
    </row>
    <row r="24" spans="1:46" x14ac:dyDescent="0.25">
      <c r="A24" s="7" t="s">
        <v>21</v>
      </c>
      <c r="B24" s="96" t="s">
        <v>221</v>
      </c>
      <c r="C24" s="96" t="str">
        <f>_xlfn.XLOOKUP(Tabla467834[[#This Row],[Servicios del Programa:]],Tabla151[CODIGO],Tabla151[VALOR])</f>
        <v>Consultas</v>
      </c>
      <c r="D24" s="144">
        <v>1</v>
      </c>
      <c r="E24" s="56" cm="1">
        <f t="array" ref="E24">IF(D24="X",(_xlfn.XLOOKUP($B24,Tabla1[SERVICIO],Tabla1[VALOR])*1),IF(D24&gt;=1,_xlfn.XLOOKUP($B24,Tabla1[SERVICIO],Tabla1[VALOR]*D24),0))</f>
        <v>67398.098568534639</v>
      </c>
      <c r="F24" s="144"/>
      <c r="G24" s="56" cm="1">
        <f t="array" ref="G24">IF(F24="X",(_xlfn.XLOOKUP($B24,Tabla1[SERVICIO],Tabla1[VALOR])*1),IF(F24&gt;=1,_xlfn.XLOOKUP($B24,Tabla1[SERVICIO],Tabla1[VALOR]*F24),0))</f>
        <v>0</v>
      </c>
      <c r="H24" s="144"/>
      <c r="I24" s="56" cm="1">
        <f t="array" ref="I24">IF(H24="X",(_xlfn.XLOOKUP($B24,Tabla1[SERVICIO],Tabla1[VALOR])*1),IF(H24&gt;=1,_xlfn.XLOOKUP($B24,Tabla1[SERVICIO],Tabla1[VALOR]*H24),0))</f>
        <v>0</v>
      </c>
      <c r="J24" s="144"/>
      <c r="K24" s="56" cm="1">
        <f t="array" ref="K24">IF(J24="X",(_xlfn.XLOOKUP($B24,Tabla1[SERVICIO],Tabla1[VALOR])*1),IF(J24&gt;=1,_xlfn.XLOOKUP($B24,Tabla1[SERVICIO],Tabla1[VALOR]*J24),0))</f>
        <v>0</v>
      </c>
      <c r="L24" s="144"/>
      <c r="M24" s="56" cm="1">
        <f t="array" ref="M24">IF(L24="X",(_xlfn.XLOOKUP($B24,Tabla1[SERVICIO],Tabla1[VALOR])*1),IF(L24&gt;=1,_xlfn.XLOOKUP($B24,Tabla1[SERVICIO],Tabla1[VALOR]*L24),0))</f>
        <v>0</v>
      </c>
      <c r="N24" s="144"/>
      <c r="O24" s="56" cm="1">
        <f t="array" ref="O24">IF(N24="X",(_xlfn.XLOOKUP($B24,Tabla1[SERVICIO],Tabla1[VALOR])*1),IF(N24&gt;=1,_xlfn.XLOOKUP($B24,Tabla1[SERVICIO],Tabla1[VALOR]*N24),0))</f>
        <v>0</v>
      </c>
      <c r="P24" s="144"/>
      <c r="Q24" s="56" cm="1">
        <f t="array" ref="Q24">IF(P24="X",(_xlfn.XLOOKUP($B24,Tabla1[SERVICIO],Tabla1[VALOR])*1),IF(P24&gt;=1,_xlfn.XLOOKUP($B24,Tabla1[SERVICIO],Tabla1[VALOR]*P24),0))</f>
        <v>0</v>
      </c>
      <c r="R24" s="144"/>
      <c r="S24" s="56" cm="1">
        <f t="array" ref="S24">IF(R24="X",(_xlfn.XLOOKUP($B24,Tabla1[SERVICIO],Tabla1[VALOR])*1),IF(R24&gt;=1,_xlfn.XLOOKUP($B24,Tabla1[SERVICIO],Tabla1[VALOR]*R24),0))</f>
        <v>0</v>
      </c>
      <c r="T24" s="144"/>
      <c r="U24" s="56" cm="1">
        <f t="array" ref="U24">IF(T24="X",(_xlfn.XLOOKUP($B24,Tabla1[SERVICIO],Tabla1[VALOR])*1),IF(T24&gt;=1,_xlfn.XLOOKUP($B24,Tabla1[SERVICIO],Tabla1[VALOR]*T24),0))</f>
        <v>0</v>
      </c>
      <c r="V24" s="144"/>
      <c r="W24" s="56" cm="1">
        <f t="array" ref="W24">IF(V24="X",(_xlfn.XLOOKUP($B24,Tabla1[SERVICIO],Tabla1[VALOR])*1),IF(V24&gt;=1,_xlfn.XLOOKUP($B24,Tabla1[SERVICIO],Tabla1[VALOR]*V24),0))</f>
        <v>0</v>
      </c>
      <c r="X24" s="144"/>
      <c r="Y24" s="56" cm="1">
        <f t="array" ref="Y24">IF(X24="X",(_xlfn.XLOOKUP($B24,Tabla1[SERVICIO],Tabla1[VALOR])*1),IF(X24&gt;=1,_xlfn.XLOOKUP($B24,Tabla1[SERVICIO],Tabla1[VALOR]*X24),0))</f>
        <v>0</v>
      </c>
      <c r="Z24" s="144"/>
      <c r="AA24" s="56" cm="1">
        <f t="array" ref="AA24">IF(Z24="X",(_xlfn.XLOOKUP($B24,Tabla1[SERVICIO],Tabla1[VALOR])*1),IF(Z24&gt;=1,_xlfn.XLOOKUP($B24,Tabla1[SERVICIO],Tabla1[VALOR]*Z24),0))</f>
        <v>0</v>
      </c>
      <c r="AB24" s="81">
        <f t="shared" si="0"/>
        <v>67398.098568534639</v>
      </c>
      <c r="AC24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4" s="104" t="s">
        <v>319</v>
      </c>
      <c r="AE24" s="150">
        <v>0.40587595212187161</v>
      </c>
      <c r="AF24" s="238">
        <f>+Tabla467834[[#This Row],[TOTAL]]*Tabla467834[[#This Row],[% de las personas que lo usaron]]</f>
        <v>27355.267427707749</v>
      </c>
      <c r="AG24" s="122" t="s">
        <v>352</v>
      </c>
      <c r="AH24" s="335">
        <v>12</v>
      </c>
    </row>
    <row r="25" spans="1:46" x14ac:dyDescent="0.25">
      <c r="A25" s="7" t="s">
        <v>38</v>
      </c>
      <c r="B25" s="96" t="s">
        <v>102</v>
      </c>
      <c r="C25" s="96" t="str">
        <f>_xlfn.XLOOKUP(Tabla467834[[#This Row],[Servicios del Programa:]],Tabla151[CODIGO],Tabla151[VALOR])</f>
        <v>Consultas</v>
      </c>
      <c r="D25" s="144">
        <v>1</v>
      </c>
      <c r="E25" s="56" cm="1">
        <f t="array" ref="E25">IF(D25="X",(_xlfn.XLOOKUP($B25,Tabla1[SERVICIO],Tabla1[VALOR])*1),IF(D25&gt;=1,_xlfn.XLOOKUP($B25,Tabla1[SERVICIO],Tabla1[VALOR]*D25),0))</f>
        <v>56420.692787682223</v>
      </c>
      <c r="F25" s="144"/>
      <c r="G25" s="56" cm="1">
        <f t="array" ref="G25">IF(F25="X",(_xlfn.XLOOKUP($B25,Tabla1[SERVICIO],Tabla1[VALOR])*1),IF(F25&gt;=1,_xlfn.XLOOKUP($B25,Tabla1[SERVICIO],Tabla1[VALOR]*F25),0))</f>
        <v>0</v>
      </c>
      <c r="H25" s="144"/>
      <c r="I25" s="56" cm="1">
        <f t="array" ref="I25">IF(H25="X",(_xlfn.XLOOKUP($B25,Tabla1[SERVICIO],Tabla1[VALOR])*1),IF(H25&gt;=1,_xlfn.XLOOKUP($B25,Tabla1[SERVICIO],Tabla1[VALOR]*H25),0))</f>
        <v>0</v>
      </c>
      <c r="J25" s="144"/>
      <c r="K25" s="56" cm="1">
        <f t="array" ref="K25">IF(J25="X",(_xlfn.XLOOKUP($B25,Tabla1[SERVICIO],Tabla1[VALOR])*1),IF(J25&gt;=1,_xlfn.XLOOKUP($B25,Tabla1[SERVICIO],Tabla1[VALOR]*J25),0))</f>
        <v>0</v>
      </c>
      <c r="L25" s="144"/>
      <c r="M25" s="56" cm="1">
        <f t="array" ref="M25">IF(L25="X",(_xlfn.XLOOKUP($B25,Tabla1[SERVICIO],Tabla1[VALOR])*1),IF(L25&gt;=1,_xlfn.XLOOKUP($B25,Tabla1[SERVICIO],Tabla1[VALOR]*L25),0))</f>
        <v>0</v>
      </c>
      <c r="N25" s="144"/>
      <c r="O25" s="56" cm="1">
        <f t="array" ref="O25">IF(N25="X",(_xlfn.XLOOKUP($B25,Tabla1[SERVICIO],Tabla1[VALOR])*1),IF(N25&gt;=1,_xlfn.XLOOKUP($B25,Tabla1[SERVICIO],Tabla1[VALOR]*N25),0))</f>
        <v>0</v>
      </c>
      <c r="P25" s="144"/>
      <c r="Q25" s="56" cm="1">
        <f t="array" ref="Q25">IF(P25="X",(_xlfn.XLOOKUP($B25,Tabla1[SERVICIO],Tabla1[VALOR])*1),IF(P25&gt;=1,_xlfn.XLOOKUP($B25,Tabla1[SERVICIO],Tabla1[VALOR]*P25),0))</f>
        <v>0</v>
      </c>
      <c r="R25" s="144"/>
      <c r="S25" s="56" cm="1">
        <f t="array" ref="S25">IF(R25="X",(_xlfn.XLOOKUP($B25,Tabla1[SERVICIO],Tabla1[VALOR])*1),IF(R25&gt;=1,_xlfn.XLOOKUP($B25,Tabla1[SERVICIO],Tabla1[VALOR]*R25),0))</f>
        <v>0</v>
      </c>
      <c r="T25" s="144"/>
      <c r="U25" s="56" cm="1">
        <f t="array" ref="U25">IF(T25="X",(_xlfn.XLOOKUP($B25,Tabla1[SERVICIO],Tabla1[VALOR])*1),IF(T25&gt;=1,_xlfn.XLOOKUP($B25,Tabla1[SERVICIO],Tabla1[VALOR]*T25),0))</f>
        <v>0</v>
      </c>
      <c r="V25" s="144"/>
      <c r="W25" s="56" cm="1">
        <f t="array" ref="W25">IF(V25="X",(_xlfn.XLOOKUP($B25,Tabla1[SERVICIO],Tabla1[VALOR])*1),IF(V25&gt;=1,_xlfn.XLOOKUP($B25,Tabla1[SERVICIO],Tabla1[VALOR]*V25),0))</f>
        <v>0</v>
      </c>
      <c r="X25" s="144"/>
      <c r="Y25" s="56" cm="1">
        <f t="array" ref="Y25">IF(X25="X",(_xlfn.XLOOKUP($B25,Tabla1[SERVICIO],Tabla1[VALOR])*1),IF(X25&gt;=1,_xlfn.XLOOKUP($B25,Tabla1[SERVICIO],Tabla1[VALOR]*X25),0))</f>
        <v>0</v>
      </c>
      <c r="Z25" s="144"/>
      <c r="AA25" s="56" cm="1">
        <f t="array" ref="AA25">IF(Z25="X",(_xlfn.XLOOKUP($B25,Tabla1[SERVICIO],Tabla1[VALOR])*1),IF(Z25&gt;=1,_xlfn.XLOOKUP($B25,Tabla1[SERVICIO],Tabla1[VALOR]*Z25),0))</f>
        <v>0</v>
      </c>
      <c r="AB25" s="81">
        <f t="shared" si="0"/>
        <v>56420.692787682223</v>
      </c>
      <c r="AC25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5" s="104" t="s">
        <v>319</v>
      </c>
      <c r="AE25" s="150">
        <v>4.0261153427638738E-2</v>
      </c>
      <c r="AF25" s="238">
        <f>+Tabla467834[[#This Row],[TOTAL]]*Tabla467834[[#This Row],[% de las personas que lo usaron]]</f>
        <v>2271.5621688185443</v>
      </c>
      <c r="AG25" s="122" t="s">
        <v>352</v>
      </c>
      <c r="AH25" s="335">
        <v>12</v>
      </c>
    </row>
    <row r="26" spans="1:46" x14ac:dyDescent="0.25">
      <c r="A26" s="7" t="s">
        <v>1</v>
      </c>
      <c r="B26" s="96" t="s">
        <v>2</v>
      </c>
      <c r="C26" s="96" t="str">
        <f>_xlfn.XLOOKUP(Tabla467834[[#This Row],[Servicios del Programa:]],Tabla151[CODIGO],Tabla151[VALOR])</f>
        <v>Consultas</v>
      </c>
      <c r="D26" s="145"/>
      <c r="E26" s="56" cm="1">
        <f t="array" ref="E26">IF(D26="X",(_xlfn.XLOOKUP($B26,Tabla1[SERVICIO],Tabla1[VALOR])*1),IF(D26&gt;=1,_xlfn.XLOOKUP($B26,Tabla1[SERVICIO],Tabla1[VALOR]*D26),0))</f>
        <v>0</v>
      </c>
      <c r="F26" s="145"/>
      <c r="G26" s="56" cm="1">
        <f t="array" ref="G26">IF(F26="X",(_xlfn.XLOOKUP($B26,Tabla1[SERVICIO],Tabla1[VALOR])*1),IF(F26&gt;=1,_xlfn.XLOOKUP($B26,Tabla1[SERVICIO],Tabla1[VALOR]*F26),0))</f>
        <v>0</v>
      </c>
      <c r="H26" s="145"/>
      <c r="I26" s="56" cm="1">
        <f t="array" ref="I26">IF(H26="X",(_xlfn.XLOOKUP($B26,Tabla1[SERVICIO],Tabla1[VALOR])*1),IF(H26&gt;=1,_xlfn.XLOOKUP($B26,Tabla1[SERVICIO],Tabla1[VALOR]*H26),0))</f>
        <v>0</v>
      </c>
      <c r="J26" s="145"/>
      <c r="K26" s="56" cm="1">
        <f t="array" ref="K26">IF(J26="X",(_xlfn.XLOOKUP($B26,Tabla1[SERVICIO],Tabla1[VALOR])*1),IF(J26&gt;=1,_xlfn.XLOOKUP($B26,Tabla1[SERVICIO],Tabla1[VALOR]*J26),0))</f>
        <v>0</v>
      </c>
      <c r="L26" s="145"/>
      <c r="M26" s="56" cm="1">
        <f t="array" ref="M26">IF(L26="X",(_xlfn.XLOOKUP($B26,Tabla1[SERVICIO],Tabla1[VALOR])*1),IF(L26&gt;=1,_xlfn.XLOOKUP($B26,Tabla1[SERVICIO],Tabla1[VALOR]*L26),0))</f>
        <v>0</v>
      </c>
      <c r="N26" s="145"/>
      <c r="O26" s="56" cm="1">
        <f t="array" ref="O26">IF(N26="X",(_xlfn.XLOOKUP($B26,Tabla1[SERVICIO],Tabla1[VALOR])*1),IF(N26&gt;=1,_xlfn.XLOOKUP($B26,Tabla1[SERVICIO],Tabla1[VALOR]*N26),0))</f>
        <v>0</v>
      </c>
      <c r="P26" s="145"/>
      <c r="Q26" s="56" cm="1">
        <f t="array" ref="Q26">IF(P26="X",(_xlfn.XLOOKUP($B26,Tabla1[SERVICIO],Tabla1[VALOR])*1),IF(P26&gt;=1,_xlfn.XLOOKUP($B26,Tabla1[SERVICIO],Tabla1[VALOR]*P26),0))</f>
        <v>0</v>
      </c>
      <c r="R26" s="145"/>
      <c r="S26" s="56" cm="1">
        <f t="array" ref="S26">IF(R26="X",(_xlfn.XLOOKUP($B26,Tabla1[SERVICIO],Tabla1[VALOR])*1),IF(R26&gt;=1,_xlfn.XLOOKUP($B26,Tabla1[SERVICIO],Tabla1[VALOR]*R26),0))</f>
        <v>0</v>
      </c>
      <c r="T26" s="145"/>
      <c r="U26" s="56" cm="1">
        <f t="array" ref="U26">IF(T26="X",(_xlfn.XLOOKUP($B26,Tabla1[SERVICIO],Tabla1[VALOR])*1),IF(T26&gt;=1,_xlfn.XLOOKUP($B26,Tabla1[SERVICIO],Tabla1[VALOR]*T26),0))</f>
        <v>0</v>
      </c>
      <c r="V26" s="145"/>
      <c r="W26" s="56" cm="1">
        <f t="array" ref="W26">IF(V26="X",(_xlfn.XLOOKUP($B26,Tabla1[SERVICIO],Tabla1[VALOR])*1),IF(V26&gt;=1,_xlfn.XLOOKUP($B26,Tabla1[SERVICIO],Tabla1[VALOR]*V26),0))</f>
        <v>0</v>
      </c>
      <c r="X26" s="145"/>
      <c r="Y26" s="56" cm="1">
        <f t="array" ref="Y26">IF(X26="X",(_xlfn.XLOOKUP($B26,Tabla1[SERVICIO],Tabla1[VALOR])*1),IF(X26&gt;=1,_xlfn.XLOOKUP($B26,Tabla1[SERVICIO],Tabla1[VALOR]*X26),0))</f>
        <v>0</v>
      </c>
      <c r="Z26" s="144">
        <v>1</v>
      </c>
      <c r="AA26" s="56" cm="1">
        <f t="array" ref="AA26">IF(Z26="X",(_xlfn.XLOOKUP($B26,Tabla1[SERVICIO],Tabla1[VALOR])*1),IF(Z26&gt;=1,_xlfn.XLOOKUP($B26,Tabla1[SERVICIO],Tabla1[VALOR]*Z26),0))</f>
        <v>21014.39667403782</v>
      </c>
      <c r="AB26" s="81">
        <f t="shared" si="0"/>
        <v>21014.39667403782</v>
      </c>
      <c r="AC26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6" s="158" t="s">
        <v>318</v>
      </c>
      <c r="AE26" s="150">
        <v>1</v>
      </c>
      <c r="AF26" s="238">
        <f>+Tabla467834[[#This Row],[TOTAL]]*Tabla467834[[#This Row],[% de las personas que lo usaron]]</f>
        <v>21014.39667403782</v>
      </c>
      <c r="AG26" s="122" t="s">
        <v>352</v>
      </c>
      <c r="AH26" s="335">
        <v>12</v>
      </c>
    </row>
    <row r="27" spans="1:46" x14ac:dyDescent="0.25">
      <c r="A27" s="7" t="s">
        <v>48</v>
      </c>
      <c r="B27" s="96" t="s">
        <v>222</v>
      </c>
      <c r="C27" s="96" t="str">
        <f>_xlfn.XLOOKUP(Tabla467834[[#This Row],[Servicios del Programa:]],Tabla151[CODIGO],Tabla151[VALOR])</f>
        <v>Consultas</v>
      </c>
      <c r="D27" s="144">
        <v>1</v>
      </c>
      <c r="E27" s="56" cm="1">
        <f t="array" ref="E27">IF(D27="X",(_xlfn.XLOOKUP($B27,Tabla1[SERVICIO],Tabla1[VALOR])*1),IF(D27&gt;=1,_xlfn.XLOOKUP($B27,Tabla1[SERVICIO],Tabla1[VALOR]*D27),0))</f>
        <v>77398.098568534639</v>
      </c>
      <c r="F27" s="144"/>
      <c r="G27" s="56" cm="1">
        <f t="array" ref="G27">IF(F27="X",(_xlfn.XLOOKUP($B27,Tabla1[SERVICIO],Tabla1[VALOR])*1),IF(F27&gt;=1,_xlfn.XLOOKUP($B27,Tabla1[SERVICIO],Tabla1[VALOR]*F27),0))</f>
        <v>0</v>
      </c>
      <c r="H27" s="144"/>
      <c r="I27" s="56" cm="1">
        <f t="array" ref="I27">IF(H27="X",(_xlfn.XLOOKUP($B27,Tabla1[SERVICIO],Tabla1[VALOR])*1),IF(H27&gt;=1,_xlfn.XLOOKUP($B27,Tabla1[SERVICIO],Tabla1[VALOR]*H27),0))</f>
        <v>0</v>
      </c>
      <c r="J27" s="144"/>
      <c r="K27" s="56" cm="1">
        <f t="array" ref="K27">IF(J27="X",(_xlfn.XLOOKUP($B27,Tabla1[SERVICIO],Tabla1[VALOR])*1),IF(J27&gt;=1,_xlfn.XLOOKUP($B27,Tabla1[SERVICIO],Tabla1[VALOR]*J27),0))</f>
        <v>0</v>
      </c>
      <c r="L27" s="144"/>
      <c r="M27" s="56" cm="1">
        <f t="array" ref="M27">IF(L27="X",(_xlfn.XLOOKUP($B27,Tabla1[SERVICIO],Tabla1[VALOR])*1),IF(L27&gt;=1,_xlfn.XLOOKUP($B27,Tabla1[SERVICIO],Tabla1[VALOR]*L27),0))</f>
        <v>0</v>
      </c>
      <c r="N27" s="144"/>
      <c r="O27" s="56" cm="1">
        <f t="array" ref="O27">IF(N27="X",(_xlfn.XLOOKUP($B27,Tabla1[SERVICIO],Tabla1[VALOR])*1),IF(N27&gt;=1,_xlfn.XLOOKUP($B27,Tabla1[SERVICIO],Tabla1[VALOR]*N27),0))</f>
        <v>0</v>
      </c>
      <c r="P27" s="144"/>
      <c r="Q27" s="56" cm="1">
        <f t="array" ref="Q27">IF(P27="X",(_xlfn.XLOOKUP($B27,Tabla1[SERVICIO],Tabla1[VALOR])*1),IF(P27&gt;=1,_xlfn.XLOOKUP($B27,Tabla1[SERVICIO],Tabla1[VALOR]*P27),0))</f>
        <v>0</v>
      </c>
      <c r="R27" s="144"/>
      <c r="S27" s="56" cm="1">
        <f t="array" ref="S27">IF(R27="X",(_xlfn.XLOOKUP($B27,Tabla1[SERVICIO],Tabla1[VALOR])*1),IF(R27&gt;=1,_xlfn.XLOOKUP($B27,Tabla1[SERVICIO],Tabla1[VALOR]*R27),0))</f>
        <v>0</v>
      </c>
      <c r="T27" s="144"/>
      <c r="U27" s="56" cm="1">
        <f t="array" ref="U27">IF(T27="X",(_xlfn.XLOOKUP($B27,Tabla1[SERVICIO],Tabla1[VALOR])*1),IF(T27&gt;=1,_xlfn.XLOOKUP($B27,Tabla1[SERVICIO],Tabla1[VALOR]*T27),0))</f>
        <v>0</v>
      </c>
      <c r="V27" s="144"/>
      <c r="W27" s="56" cm="1">
        <f t="array" ref="W27">IF(V27="X",(_xlfn.XLOOKUP($B27,Tabla1[SERVICIO],Tabla1[VALOR])*1),IF(V27&gt;=1,_xlfn.XLOOKUP($B27,Tabla1[SERVICIO],Tabla1[VALOR]*V27),0))</f>
        <v>0</v>
      </c>
      <c r="X27" s="144"/>
      <c r="Y27" s="56" cm="1">
        <f t="array" ref="Y27">IF(X27="X",(_xlfn.XLOOKUP($B27,Tabla1[SERVICIO],Tabla1[VALOR])*1),IF(X27&gt;=1,_xlfn.XLOOKUP($B27,Tabla1[SERVICIO],Tabla1[VALOR]*X27),0))</f>
        <v>0</v>
      </c>
      <c r="Z27" s="144"/>
      <c r="AA27" s="57" cm="1">
        <f t="array" ref="AA27">IF(Z27="X",(_xlfn.XLOOKUP($B27,Tabla1[SERVICIO],Tabla1[VALOR])*1),IF(Z27&gt;=1,_xlfn.XLOOKUP($B27,Tabla1[SERVICIO],Tabla1[VALOR]*Z27),0))</f>
        <v>0</v>
      </c>
      <c r="AB27" s="159">
        <f t="shared" si="0"/>
        <v>77398.098568534639</v>
      </c>
      <c r="AC27" s="149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7" s="110" t="s">
        <v>319</v>
      </c>
      <c r="AE27" s="160">
        <v>1.088139281828074E-2</v>
      </c>
      <c r="AF27" s="238">
        <f>+Tabla467834[[#This Row],[TOTAL]]*Tabla467834[[#This Row],[% de las personas que lo usaron]]</f>
        <v>842.19911391223764</v>
      </c>
      <c r="AG27" s="122" t="s">
        <v>352</v>
      </c>
      <c r="AH27" s="335">
        <v>12</v>
      </c>
    </row>
    <row r="28" spans="1:46" s="188" customFormat="1" ht="12.75" x14ac:dyDescent="0.2">
      <c r="A28" s="195" t="s">
        <v>328</v>
      </c>
      <c r="B28" s="190"/>
      <c r="C28" s="190"/>
      <c r="D28" s="186">
        <f>SUBTOTAL(109,Tabla467834[MES 1])</f>
        <v>26</v>
      </c>
      <c r="E28" s="191">
        <f>SUBTOTAL(109,Tabla467834[MES 13])</f>
        <v>804130.98017171351</v>
      </c>
      <c r="F28" s="186">
        <f>SUBTOTAL(109,Tabla467834[MES 2])</f>
        <v>8</v>
      </c>
      <c r="G28" s="191">
        <f>SUBTOTAL(109,Tabla467834[MES 22])</f>
        <v>70240.958933331596</v>
      </c>
      <c r="H28" s="186">
        <f>SUBTOTAL(109,Tabla467834[MES 3])</f>
        <v>8</v>
      </c>
      <c r="I28" s="191">
        <f>SUBTOTAL(109,Tabla467834[MES 32])</f>
        <v>70240.958933331596</v>
      </c>
      <c r="J28" s="186">
        <f>SUBTOTAL(109,Tabla467834[MES 4])</f>
        <v>8</v>
      </c>
      <c r="K28" s="191">
        <f>SUBTOTAL(109,Tabla467834[MES 42])</f>
        <v>70240.958933331596</v>
      </c>
      <c r="L28" s="186">
        <f>SUBTOTAL(109,Tabla467834[MES 5])</f>
        <v>8</v>
      </c>
      <c r="M28" s="191">
        <f>SUBTOTAL(109,Tabla467834[MES 52])</f>
        <v>70240.958933331596</v>
      </c>
      <c r="N28" s="186">
        <f>SUBTOTAL(109,Tabla467834[MES 6])</f>
        <v>12</v>
      </c>
      <c r="O28" s="191">
        <f>SUBTOTAL(109,Tabla467834[MES 62])</f>
        <v>163982.31466052186</v>
      </c>
      <c r="P28" s="186">
        <f>SUBTOTAL(109,Tabla467834[MES 7])</f>
        <v>8</v>
      </c>
      <c r="Q28" s="191">
        <f>SUBTOTAL(109,Tabla467834[MES 72])</f>
        <v>70240.958933331596</v>
      </c>
      <c r="R28" s="186">
        <f>SUBTOTAL(109,Tabla467834[MES 8])</f>
        <v>8</v>
      </c>
      <c r="S28" s="191">
        <f>SUBTOTAL(109,Tabla467834[MES 82])</f>
        <v>70240.958933331596</v>
      </c>
      <c r="T28" s="186">
        <f>SUBTOTAL(109,Tabla467834[MES 9])</f>
        <v>8</v>
      </c>
      <c r="U28" s="191">
        <f>SUBTOTAL(109,Tabla467834[MES 92])</f>
        <v>70240.958933331596</v>
      </c>
      <c r="V28" s="186">
        <f>SUBTOTAL(109,Tabla467834[MES 10])</f>
        <v>8</v>
      </c>
      <c r="W28" s="191">
        <f>SUBTOTAL(109,Tabla467834[MES 102])</f>
        <v>70240.958933331596</v>
      </c>
      <c r="X28" s="186">
        <f>SUBTOTAL(109,Tabla467834[MES 11])</f>
        <v>8</v>
      </c>
      <c r="Y28" s="191">
        <f>SUBTOTAL(109,Tabla467834[MES 112])</f>
        <v>70240.958933331596</v>
      </c>
      <c r="Z28" s="186">
        <f>SUBTOTAL(109,Tabla467834[MES 12])</f>
        <v>15</v>
      </c>
      <c r="AA28" s="192">
        <f>SUBTOTAL(109,Tabla467834[MES 1122])</f>
        <v>265632.33242785011</v>
      </c>
      <c r="AB28" s="192">
        <f>SUBTOTAL(109,Tabla467834[TOTAL])</f>
        <v>1865914.2576600697</v>
      </c>
      <c r="AC28" s="192">
        <f>SUBTOTAL(109,Tabla467834[Columna2])</f>
        <v>125</v>
      </c>
      <c r="AD28" s="193"/>
      <c r="AE28" s="193"/>
      <c r="AF28" s="194">
        <f>SUBTOTAL(109,Tabla467834[VALOR COSTO])</f>
        <v>1146281.1244100151</v>
      </c>
      <c r="AG28" s="194">
        <f>+Tabla467834[[#Totals],[VALOR COSTO]]/12</f>
        <v>95523.427034167922</v>
      </c>
      <c r="AH28" s="194"/>
    </row>
    <row r="30" spans="1:46" ht="31.5" customHeight="1" x14ac:dyDescent="0.25">
      <c r="A30" s="44" t="s">
        <v>201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</row>
    <row r="31" spans="1:46" ht="26.25" x14ac:dyDescent="0.25">
      <c r="A31" s="20" t="s">
        <v>0</v>
      </c>
      <c r="B31" s="17" t="s">
        <v>200</v>
      </c>
      <c r="C31" s="183" t="s">
        <v>347</v>
      </c>
      <c r="D31" s="18" t="s">
        <v>56</v>
      </c>
      <c r="E31" s="18" t="s">
        <v>303</v>
      </c>
      <c r="F31" s="18" t="s">
        <v>57</v>
      </c>
      <c r="G31" s="18" t="s">
        <v>293</v>
      </c>
      <c r="H31" s="18" t="s">
        <v>58</v>
      </c>
      <c r="I31" s="18" t="s">
        <v>294</v>
      </c>
      <c r="J31" s="18" t="s">
        <v>59</v>
      </c>
      <c r="K31" s="18" t="s">
        <v>295</v>
      </c>
      <c r="L31" s="18" t="s">
        <v>60</v>
      </c>
      <c r="M31" s="18" t="s">
        <v>296</v>
      </c>
      <c r="N31" s="18" t="s">
        <v>61</v>
      </c>
      <c r="O31" s="18" t="s">
        <v>297</v>
      </c>
      <c r="P31" s="18" t="s">
        <v>62</v>
      </c>
      <c r="Q31" s="18" t="s">
        <v>298</v>
      </c>
      <c r="R31" s="18" t="s">
        <v>63</v>
      </c>
      <c r="S31" s="18" t="s">
        <v>299</v>
      </c>
      <c r="T31" s="18" t="s">
        <v>64</v>
      </c>
      <c r="U31" s="18" t="s">
        <v>300</v>
      </c>
      <c r="V31" s="18" t="s">
        <v>65</v>
      </c>
      <c r="W31" s="18" t="s">
        <v>301</v>
      </c>
      <c r="X31" s="18" t="s">
        <v>66</v>
      </c>
      <c r="Y31" s="18" t="s">
        <v>302</v>
      </c>
      <c r="Z31" s="18" t="s">
        <v>67</v>
      </c>
      <c r="AA31" s="18" t="s">
        <v>304</v>
      </c>
      <c r="AB31" s="18" t="s">
        <v>68</v>
      </c>
      <c r="AC31" s="18" t="s">
        <v>305</v>
      </c>
      <c r="AD31" s="18" t="s">
        <v>69</v>
      </c>
      <c r="AE31" s="18" t="s">
        <v>306</v>
      </c>
      <c r="AF31" s="18" t="s">
        <v>70</v>
      </c>
      <c r="AG31" s="18" t="s">
        <v>307</v>
      </c>
      <c r="AH31" s="18" t="s">
        <v>71</v>
      </c>
      <c r="AI31" s="18" t="s">
        <v>308</v>
      </c>
      <c r="AJ31" s="18" t="s">
        <v>72</v>
      </c>
      <c r="AK31" s="19" t="s">
        <v>309</v>
      </c>
      <c r="AL31" s="19" t="s">
        <v>73</v>
      </c>
      <c r="AM31" s="66" t="s">
        <v>310</v>
      </c>
      <c r="AN31" s="66" t="s">
        <v>247</v>
      </c>
      <c r="AO31" s="105" t="s">
        <v>188</v>
      </c>
      <c r="AP31" s="157" t="s">
        <v>187</v>
      </c>
      <c r="AQ31" s="105" t="s">
        <v>316</v>
      </c>
      <c r="AR31" s="105" t="s">
        <v>317</v>
      </c>
      <c r="AS31" s="66" t="s">
        <v>348</v>
      </c>
      <c r="AT31" s="66" t="s">
        <v>406</v>
      </c>
    </row>
    <row r="32" spans="1:46" x14ac:dyDescent="0.25">
      <c r="A32" s="7" t="s">
        <v>13</v>
      </c>
      <c r="B32" s="8" t="s">
        <v>14</v>
      </c>
      <c r="C32" s="96" t="str">
        <f>_xlfn.XLOOKUP(Tabla46781635[[#This Row],[Servicios del Programa:]],Tabla151[CODIGO],Tabla151[VALOR])</f>
        <v>Gestion y seguimiento</v>
      </c>
      <c r="D32" s="144">
        <v>1</v>
      </c>
      <c r="E32" s="56" cm="1">
        <f t="array" ref="E32">IF(D32="X",(_xlfn.XLOOKUP($B32,Tabla1[SERVICIO],Tabla1[VALOR])*1),IF(D32&gt;=1,_xlfn.XLOOKUP($B32,Tabla1[SERVICIO],Tabla1[VALOR]*D32),0))</f>
        <v>20552.755657371155</v>
      </c>
      <c r="F32" s="145"/>
      <c r="G32" s="56" cm="1">
        <f t="array" ref="G32">IF(F32="X",(_xlfn.XLOOKUP($B32,Tabla1[SERVICIO],Tabla1[VALOR])*1),IF(F32&gt;=1,_xlfn.XLOOKUP($B32,Tabla1[SERVICIO],Tabla1[VALOR]*F32),0))</f>
        <v>0</v>
      </c>
      <c r="H32" s="145"/>
      <c r="I32" s="56" cm="1">
        <f t="array" ref="I32">IF(H32="X",(_xlfn.XLOOKUP($B32,Tabla1[SERVICIO],Tabla1[VALOR])*1),IF(H32&gt;=1,_xlfn.XLOOKUP($B32,Tabla1[SERVICIO],Tabla1[VALOR]*H32),0))</f>
        <v>0</v>
      </c>
      <c r="J32" s="145"/>
      <c r="K32" s="56" cm="1">
        <f t="array" ref="K32">IF(J32="X",(_xlfn.XLOOKUP($B32,Tabla1[SERVICIO],Tabla1[VALOR])*1),IF(J32&gt;=1,_xlfn.XLOOKUP($B32,Tabla1[SERVICIO],Tabla1[VALOR]*J32),0))</f>
        <v>0</v>
      </c>
      <c r="L32" s="145"/>
      <c r="M32" s="56" cm="1">
        <f t="array" ref="M32">IF(L32="X",(_xlfn.XLOOKUP($B32,Tabla1[SERVICIO],Tabla1[VALOR])*1),IF(L32&gt;=1,_xlfn.XLOOKUP($B32,Tabla1[SERVICIO],Tabla1[VALOR]*L32),0))</f>
        <v>0</v>
      </c>
      <c r="N32" s="145"/>
      <c r="O32" s="56" cm="1">
        <f t="array" ref="O32">IF(N32="X",(_xlfn.XLOOKUP($B32,Tabla1[SERVICIO],Tabla1[VALOR])*1),IF(N32&gt;=1,_xlfn.XLOOKUP($B32,Tabla1[SERVICIO],Tabla1[VALOR]*N32),0))</f>
        <v>0</v>
      </c>
      <c r="P32" s="145"/>
      <c r="Q32" s="56" cm="1">
        <f t="array" ref="Q32">IF(P32="X",(_xlfn.XLOOKUP($B32,Tabla1[SERVICIO],Tabla1[VALOR])*1),IF(P32&gt;=1,_xlfn.XLOOKUP($B32,Tabla1[SERVICIO],Tabla1[VALOR]*P32),0))</f>
        <v>0</v>
      </c>
      <c r="R32" s="145"/>
      <c r="S32" s="56" cm="1">
        <f t="array" ref="S32">IF(R32="X",(_xlfn.XLOOKUP($B32,Tabla1[SERVICIO],Tabla1[VALOR])*1),IF(R32&gt;=1,_xlfn.XLOOKUP($B32,Tabla1[SERVICIO],Tabla1[VALOR]*R32),0))</f>
        <v>0</v>
      </c>
      <c r="T32" s="145"/>
      <c r="U32" s="56" cm="1">
        <f t="array" ref="U32">IF(T32="X",(_xlfn.XLOOKUP($B32,Tabla1[SERVICIO],Tabla1[VALOR])*1),IF(T32&gt;=1,_xlfn.XLOOKUP($B32,Tabla1[SERVICIO],Tabla1[VALOR]*T32),0))</f>
        <v>0</v>
      </c>
      <c r="V32" s="145"/>
      <c r="W32" s="56" cm="1">
        <f t="array" ref="W32">IF(V32="X",(_xlfn.XLOOKUP($B32,Tabla1[SERVICIO],Tabla1[VALOR])*1),IF(V32&gt;=1,_xlfn.XLOOKUP($B32,Tabla1[SERVICIO],Tabla1[VALOR]*V32),0))</f>
        <v>0</v>
      </c>
      <c r="X32" s="145"/>
      <c r="Y32" s="56" cm="1">
        <f t="array" ref="Y32">IF(X32="X",(_xlfn.XLOOKUP($B32,Tabla1[SERVICIO],Tabla1[VALOR])*1),IF(X32&gt;=1,_xlfn.XLOOKUP($B32,Tabla1[SERVICIO],Tabla1[VALOR]*X32),0))</f>
        <v>0</v>
      </c>
      <c r="Z32" s="145"/>
      <c r="AA32" s="56" cm="1">
        <f t="array" ref="AA32">IF(Z32="X",(_xlfn.XLOOKUP($B32,Tabla1[SERVICIO],Tabla1[VALOR])*1),IF(Z32&gt;=1,_xlfn.XLOOKUP($B32,Tabla1[SERVICIO],Tabla1[VALOR]*Z32),0))</f>
        <v>0</v>
      </c>
      <c r="AB32" s="145"/>
      <c r="AC32" s="56" cm="1">
        <f t="array" ref="AC32">IF(AB32="X",(_xlfn.XLOOKUP($B32,Tabla1[SERVICIO],Tabla1[VALOR])*1),IF(AB32&gt;=1,_xlfn.XLOOKUP($B32,Tabla1[SERVICIO],Tabla1[VALOR]*AB32),0))</f>
        <v>0</v>
      </c>
      <c r="AD32" s="145"/>
      <c r="AE32" s="56" cm="1">
        <f t="array" ref="AE32">IF(AD32="X",(_xlfn.XLOOKUP($B32,Tabla1[SERVICIO],Tabla1[VALOR])*1),IF(AD32&gt;=1,_xlfn.XLOOKUP($B32,Tabla1[SERVICIO],Tabla1[VALOR]*AD32),0))</f>
        <v>0</v>
      </c>
      <c r="AF32" s="145"/>
      <c r="AG32" s="56" cm="1">
        <f t="array" ref="AG32">IF(AF32="X",(_xlfn.XLOOKUP($B32,Tabla1[SERVICIO],Tabla1[VALOR])*1),IF(AF32&gt;=1,_xlfn.XLOOKUP($B32,Tabla1[SERVICIO],Tabla1[VALOR]*AF32),0))</f>
        <v>0</v>
      </c>
      <c r="AH32" s="145"/>
      <c r="AI32" s="56" cm="1">
        <f t="array" ref="AI32">IF(AH32="X",(_xlfn.XLOOKUP($B32,Tabla1[SERVICIO],Tabla1[VALOR])*1),IF(AH32&gt;=1,_xlfn.XLOOKUP($B32,Tabla1[SERVICIO],Tabla1[VALOR]*AH32),0))</f>
        <v>0</v>
      </c>
      <c r="AJ32" s="145"/>
      <c r="AK32" s="56" cm="1">
        <f t="array" ref="AK32">IF(AJ32="X",(_xlfn.XLOOKUP($B32,Tabla1[SERVICIO],Tabla1[VALOR])*1),IF(AJ32&gt;=1,_xlfn.XLOOKUP($B32,Tabla1[SERVICIO],Tabla1[VALOR]*AJ32),0))</f>
        <v>0</v>
      </c>
      <c r="AL32" s="145"/>
      <c r="AM32" s="56" cm="1">
        <f t="array" ref="AM32">IF(AL32="X",(_xlfn.XLOOKUP($B32,Tabla1[SERVICIO],Tabla1[VALOR])*1),IF(AL32&gt;=1,_xlfn.XLOOKUP($B32,Tabla1[SERVICIO],Tabla1[VALOR]*AL32),0))</f>
        <v>0</v>
      </c>
      <c r="AN32" s="86">
        <f>SUM(E32,G32,I32,K32,M32,O32,Q32,S32,U32,W32+Y32,AA32,AC32,AE32,AG32,AI32,AK32,AM32)</f>
        <v>20552.755657371155</v>
      </c>
      <c r="AO32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2" s="158" t="s">
        <v>318</v>
      </c>
      <c r="AQ32" s="150">
        <v>1</v>
      </c>
      <c r="AR32" s="121">
        <f>+Tabla46781635[[#This Row],[TOTAL]]*Tabla46781635[[#This Row],[% de las personas que lo usaron]]</f>
        <v>20552.755657371155</v>
      </c>
      <c r="AS32" s="122" t="s">
        <v>352</v>
      </c>
      <c r="AT32" s="335">
        <v>18</v>
      </c>
    </row>
    <row r="33" spans="1:46" x14ac:dyDescent="0.25">
      <c r="A33" s="7" t="s">
        <v>98</v>
      </c>
      <c r="B33" s="8" t="s">
        <v>99</v>
      </c>
      <c r="C33" s="96" t="str">
        <f>_xlfn.XLOOKUP(Tabla46781635[[#This Row],[Servicios del Programa:]],Tabla151[CODIGO],Tabla151[VALOR])</f>
        <v>Consultas</v>
      </c>
      <c r="D33" s="144">
        <v>1</v>
      </c>
      <c r="E33" s="56" cm="1">
        <f t="array" ref="E33">IF(D33="X",(_xlfn.XLOOKUP($B33,Tabla1[SERVICIO],Tabla1[VALOR])*1),IF(D33&gt;=1,_xlfn.XLOOKUP($B33,Tabla1[SERVICIO],Tabla1[VALOR]*D33),0))</f>
        <v>17887.388810409495</v>
      </c>
      <c r="F33" s="145"/>
      <c r="G33" s="56" cm="1">
        <f t="array" ref="G33">IF(F33="X",(_xlfn.XLOOKUP($B33,Tabla1[SERVICIO],Tabla1[VALOR])*1),IF(F33&gt;=1,_xlfn.XLOOKUP($B33,Tabla1[SERVICIO],Tabla1[VALOR]*F33),0))</f>
        <v>0</v>
      </c>
      <c r="H33" s="145"/>
      <c r="I33" s="56" cm="1">
        <f t="array" ref="I33">IF(H33="X",(_xlfn.XLOOKUP($B33,Tabla1[SERVICIO],Tabla1[VALOR])*1),IF(H33&gt;=1,_xlfn.XLOOKUP($B33,Tabla1[SERVICIO],Tabla1[VALOR]*H33),0))</f>
        <v>0</v>
      </c>
      <c r="J33" s="145"/>
      <c r="K33" s="56" cm="1">
        <f t="array" ref="K33">IF(J33="X",(_xlfn.XLOOKUP($B33,Tabla1[SERVICIO],Tabla1[VALOR])*1),IF(J33&gt;=1,_xlfn.XLOOKUP($B33,Tabla1[SERVICIO],Tabla1[VALOR]*J33),0))</f>
        <v>0</v>
      </c>
      <c r="L33" s="145"/>
      <c r="M33" s="56" cm="1">
        <f t="array" ref="M33">IF(L33="X",(_xlfn.XLOOKUP($B33,Tabla1[SERVICIO],Tabla1[VALOR])*1),IF(L33&gt;=1,_xlfn.XLOOKUP($B33,Tabla1[SERVICIO],Tabla1[VALOR]*L33),0))</f>
        <v>0</v>
      </c>
      <c r="N33" s="145"/>
      <c r="O33" s="56" cm="1">
        <f t="array" ref="O33">IF(N33="X",(_xlfn.XLOOKUP($B33,Tabla1[SERVICIO],Tabla1[VALOR])*1),IF(N33&gt;=1,_xlfn.XLOOKUP($B33,Tabla1[SERVICIO],Tabla1[VALOR]*N33),0))</f>
        <v>0</v>
      </c>
      <c r="P33" s="145"/>
      <c r="Q33" s="56" cm="1">
        <f t="array" ref="Q33">IF(P33="X",(_xlfn.XLOOKUP($B33,Tabla1[SERVICIO],Tabla1[VALOR])*1),IF(P33&gt;=1,_xlfn.XLOOKUP($B33,Tabla1[SERVICIO],Tabla1[VALOR]*P33),0))</f>
        <v>0</v>
      </c>
      <c r="R33" s="145"/>
      <c r="S33" s="56" cm="1">
        <f t="array" ref="S33">IF(R33="X",(_xlfn.XLOOKUP($B33,Tabla1[SERVICIO],Tabla1[VALOR])*1),IF(R33&gt;=1,_xlfn.XLOOKUP($B33,Tabla1[SERVICIO],Tabla1[VALOR]*R33),0))</f>
        <v>0</v>
      </c>
      <c r="T33" s="145"/>
      <c r="U33" s="56" cm="1">
        <f t="array" ref="U33">IF(T33="X",(_xlfn.XLOOKUP($B33,Tabla1[SERVICIO],Tabla1[VALOR])*1),IF(T33&gt;=1,_xlfn.XLOOKUP($B33,Tabla1[SERVICIO],Tabla1[VALOR]*T33),0))</f>
        <v>0</v>
      </c>
      <c r="V33" s="145"/>
      <c r="W33" s="56" cm="1">
        <f t="array" ref="W33">IF(V33="X",(_xlfn.XLOOKUP($B33,Tabla1[SERVICIO],Tabla1[VALOR])*1),IF(V33&gt;=1,_xlfn.XLOOKUP($B33,Tabla1[SERVICIO],Tabla1[VALOR]*V33),0))</f>
        <v>0</v>
      </c>
      <c r="X33" s="145"/>
      <c r="Y33" s="56" cm="1">
        <f t="array" ref="Y33">IF(X33="X",(_xlfn.XLOOKUP($B33,Tabla1[SERVICIO],Tabla1[VALOR])*1),IF(X33&gt;=1,_xlfn.XLOOKUP($B33,Tabla1[SERVICIO],Tabla1[VALOR]*X33),0))</f>
        <v>0</v>
      </c>
      <c r="Z33" s="145"/>
      <c r="AA33" s="56" cm="1">
        <f t="array" ref="AA33">IF(Z33="X",(_xlfn.XLOOKUP($B33,Tabla1[SERVICIO],Tabla1[VALOR])*1),IF(Z33&gt;=1,_xlfn.XLOOKUP($B33,Tabla1[SERVICIO],Tabla1[VALOR]*Z33),0))</f>
        <v>0</v>
      </c>
      <c r="AB33" s="145"/>
      <c r="AC33" s="56" cm="1">
        <f t="array" ref="AC33">IF(AB33="X",(_xlfn.XLOOKUP($B33,Tabla1[SERVICIO],Tabla1[VALOR])*1),IF(AB33&gt;=1,_xlfn.XLOOKUP($B33,Tabla1[SERVICIO],Tabla1[VALOR]*AB33),0))</f>
        <v>0</v>
      </c>
      <c r="AD33" s="145"/>
      <c r="AE33" s="56" cm="1">
        <f t="array" ref="AE33">IF(AD33="X",(_xlfn.XLOOKUP($B33,Tabla1[SERVICIO],Tabla1[VALOR])*1),IF(AD33&gt;=1,_xlfn.XLOOKUP($B33,Tabla1[SERVICIO],Tabla1[VALOR]*AD33),0))</f>
        <v>0</v>
      </c>
      <c r="AF33" s="145"/>
      <c r="AG33" s="56" cm="1">
        <f t="array" ref="AG33">IF(AF33="X",(_xlfn.XLOOKUP($B33,Tabla1[SERVICIO],Tabla1[VALOR])*1),IF(AF33&gt;=1,_xlfn.XLOOKUP($B33,Tabla1[SERVICIO],Tabla1[VALOR]*AF33),0))</f>
        <v>0</v>
      </c>
      <c r="AH33" s="145"/>
      <c r="AI33" s="56" cm="1">
        <f t="array" ref="AI33">IF(AH33="X",(_xlfn.XLOOKUP($B33,Tabla1[SERVICIO],Tabla1[VALOR])*1),IF(AH33&gt;=1,_xlfn.XLOOKUP($B33,Tabla1[SERVICIO],Tabla1[VALOR]*AH33),0))</f>
        <v>0</v>
      </c>
      <c r="AJ33" s="145"/>
      <c r="AK33" s="56" cm="1">
        <f t="array" ref="AK33">IF(AJ33="X",(_xlfn.XLOOKUP($B33,Tabla1[SERVICIO],Tabla1[VALOR])*1),IF(AJ33&gt;=1,_xlfn.XLOOKUP($B33,Tabla1[SERVICIO],Tabla1[VALOR]*AJ33),0))</f>
        <v>0</v>
      </c>
      <c r="AL33" s="145"/>
      <c r="AM33" s="56" cm="1">
        <f t="array" ref="AM33">IF(AL33="X",(_xlfn.XLOOKUP($B33,Tabla1[SERVICIO],Tabla1[VALOR])*1),IF(AL33&gt;=1,_xlfn.XLOOKUP($B33,Tabla1[SERVICIO],Tabla1[VALOR]*AL33),0))</f>
        <v>0</v>
      </c>
      <c r="AN33" s="86">
        <f t="shared" ref="AN33:AN56" si="1">SUM(E33,G33,I33,K33,M33,O33,Q33,S33,U33,W33+Y33,AA33,AC33,AE33,AG33,AI33,AK33,AM33)</f>
        <v>17887.388810409495</v>
      </c>
      <c r="AO33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3" s="158" t="s">
        <v>318</v>
      </c>
      <c r="AQ33" s="150">
        <v>1</v>
      </c>
      <c r="AR33" s="121">
        <f>+Tabla46781635[[#This Row],[TOTAL]]*Tabla46781635[[#This Row],[% de las personas que lo usaron]]</f>
        <v>17887.388810409495</v>
      </c>
      <c r="AS33" s="122" t="s">
        <v>352</v>
      </c>
      <c r="AT33" s="335">
        <v>18</v>
      </c>
    </row>
    <row r="34" spans="1:46" x14ac:dyDescent="0.25">
      <c r="A34" s="7" t="s">
        <v>104</v>
      </c>
      <c r="B34" s="8" t="s">
        <v>105</v>
      </c>
      <c r="C34" s="96" t="str">
        <f>_xlfn.XLOOKUP(Tabla46781635[[#This Row],[Servicios del Programa:]],Tabla151[CODIGO],Tabla151[VALOR])</f>
        <v>Consultas</v>
      </c>
      <c r="D34" s="144"/>
      <c r="E34" s="56" cm="1">
        <f t="array" ref="E34">IF(D34="X",(_xlfn.XLOOKUP($B34,Tabla1[SERVICIO],Tabla1[VALOR])*1),IF(D34&gt;=1,_xlfn.XLOOKUP($B34,Tabla1[SERVICIO],Tabla1[VALOR]*D34),0))</f>
        <v>0</v>
      </c>
      <c r="F34" s="145"/>
      <c r="G34" s="56" cm="1">
        <f t="array" ref="G34">IF(F34="X",(_xlfn.XLOOKUP($B34,Tabla1[SERVICIO],Tabla1[VALOR])*1),IF(F34&gt;=1,_xlfn.XLOOKUP($B34,Tabla1[SERVICIO],Tabla1[VALOR]*F34),0))</f>
        <v>0</v>
      </c>
      <c r="H34" s="145"/>
      <c r="I34" s="56" cm="1">
        <f t="array" ref="I34">IF(H34="X",(_xlfn.XLOOKUP($B34,Tabla1[SERVICIO],Tabla1[VALOR])*1),IF(H34&gt;=1,_xlfn.XLOOKUP($B34,Tabla1[SERVICIO],Tabla1[VALOR]*H34),0))</f>
        <v>0</v>
      </c>
      <c r="J34" s="145"/>
      <c r="K34" s="56" cm="1">
        <f t="array" ref="K34">IF(J34="X",(_xlfn.XLOOKUP($B34,Tabla1[SERVICIO],Tabla1[VALOR])*1),IF(J34&gt;=1,_xlfn.XLOOKUP($B34,Tabla1[SERVICIO],Tabla1[VALOR]*J34),0))</f>
        <v>0</v>
      </c>
      <c r="L34" s="145"/>
      <c r="M34" s="56" cm="1">
        <f t="array" ref="M34">IF(L34="X",(_xlfn.XLOOKUP($B34,Tabla1[SERVICIO],Tabla1[VALOR])*1),IF(L34&gt;=1,_xlfn.XLOOKUP($B34,Tabla1[SERVICIO],Tabla1[VALOR]*L34),0))</f>
        <v>0</v>
      </c>
      <c r="N34" s="144"/>
      <c r="O34" s="56" cm="1">
        <f t="array" ref="O34">IF(N34="X",(_xlfn.XLOOKUP($B34,Tabla1[SERVICIO],Tabla1[VALOR])*1),IF(N34&gt;=1,_xlfn.XLOOKUP($B34,Tabla1[SERVICIO],Tabla1[VALOR]*N34),0))</f>
        <v>0</v>
      </c>
      <c r="P34" s="145"/>
      <c r="Q34" s="56" cm="1">
        <f t="array" ref="Q34">IF(P34="X",(_xlfn.XLOOKUP($B34,Tabla1[SERVICIO],Tabla1[VALOR])*1),IF(P34&gt;=1,_xlfn.XLOOKUP($B34,Tabla1[SERVICIO],Tabla1[VALOR]*P34),0))</f>
        <v>0</v>
      </c>
      <c r="R34" s="145"/>
      <c r="S34" s="56" cm="1">
        <f t="array" ref="S34">IF(R34="X",(_xlfn.XLOOKUP($B34,Tabla1[SERVICIO],Tabla1[VALOR])*1),IF(R34&gt;=1,_xlfn.XLOOKUP($B34,Tabla1[SERVICIO],Tabla1[VALOR]*R34),0))</f>
        <v>0</v>
      </c>
      <c r="T34" s="145"/>
      <c r="U34" s="56" cm="1">
        <f t="array" ref="U34">IF(T34="X",(_xlfn.XLOOKUP($B34,Tabla1[SERVICIO],Tabla1[VALOR])*1),IF(T34&gt;=1,_xlfn.XLOOKUP($B34,Tabla1[SERVICIO],Tabla1[VALOR]*T34),0))</f>
        <v>0</v>
      </c>
      <c r="V34" s="145"/>
      <c r="W34" s="56" cm="1">
        <f t="array" ref="W34">IF(V34="X",(_xlfn.XLOOKUP($B34,Tabla1[SERVICIO],Tabla1[VALOR])*1),IF(V34&gt;=1,_xlfn.XLOOKUP($B34,Tabla1[SERVICIO],Tabla1[VALOR]*V34),0))</f>
        <v>0</v>
      </c>
      <c r="X34" s="145"/>
      <c r="Y34" s="56" cm="1">
        <f t="array" ref="Y34">IF(X34="X",(_xlfn.XLOOKUP($B34,Tabla1[SERVICIO],Tabla1[VALOR])*1),IF(X34&gt;=1,_xlfn.XLOOKUP($B34,Tabla1[SERVICIO],Tabla1[VALOR]*X34),0))</f>
        <v>0</v>
      </c>
      <c r="Z34" s="145"/>
      <c r="AA34" s="56" cm="1">
        <f t="array" ref="AA34">IF(Z34="X",(_xlfn.XLOOKUP($B34,Tabla1[SERVICIO],Tabla1[VALOR])*1),IF(Z34&gt;=1,_xlfn.XLOOKUP($B34,Tabla1[SERVICIO],Tabla1[VALOR]*Z34),0))</f>
        <v>0</v>
      </c>
      <c r="AB34" s="145"/>
      <c r="AC34" s="56" cm="1">
        <f t="array" ref="AC34">IF(AB34="X",(_xlfn.XLOOKUP($B34,Tabla1[SERVICIO],Tabla1[VALOR])*1),IF(AB34&gt;=1,_xlfn.XLOOKUP($B34,Tabla1[SERVICIO],Tabla1[VALOR]*AB34),0))</f>
        <v>0</v>
      </c>
      <c r="AD34" s="145"/>
      <c r="AE34" s="56" cm="1">
        <f t="array" ref="AE34">IF(AD34="X",(_xlfn.XLOOKUP($B34,Tabla1[SERVICIO],Tabla1[VALOR])*1),IF(AD34&gt;=1,_xlfn.XLOOKUP($B34,Tabla1[SERVICIO],Tabla1[VALOR]*AD34),0))</f>
        <v>0</v>
      </c>
      <c r="AF34" s="145"/>
      <c r="AG34" s="56" cm="1">
        <f t="array" ref="AG34">IF(AF34="X",(_xlfn.XLOOKUP($B34,Tabla1[SERVICIO],Tabla1[VALOR])*1),IF(AF34&gt;=1,_xlfn.XLOOKUP($B34,Tabla1[SERVICIO],Tabla1[VALOR]*AF34),0))</f>
        <v>0</v>
      </c>
      <c r="AH34" s="145"/>
      <c r="AI34" s="56" cm="1">
        <f t="array" ref="AI34">IF(AH34="X",(_xlfn.XLOOKUP($B34,Tabla1[SERVICIO],Tabla1[VALOR])*1),IF(AH34&gt;=1,_xlfn.XLOOKUP($B34,Tabla1[SERVICIO],Tabla1[VALOR]*AH34),0))</f>
        <v>0</v>
      </c>
      <c r="AJ34" s="145"/>
      <c r="AK34" s="56" cm="1">
        <f t="array" ref="AK34">IF(AJ34="X",(_xlfn.XLOOKUP($B34,Tabla1[SERVICIO],Tabla1[VALOR])*1),IF(AJ34&gt;=1,_xlfn.XLOOKUP($B34,Tabla1[SERVICIO],Tabla1[VALOR]*AJ34),0))</f>
        <v>0</v>
      </c>
      <c r="AL34" s="146">
        <v>1</v>
      </c>
      <c r="AM34" s="56" cm="1">
        <f t="array" ref="AM34">IF(AL34="X",(_xlfn.XLOOKUP($B34,Tabla1[SERVICIO],Tabla1[VALOR])*1),IF(AL34&gt;=1,_xlfn.XLOOKUP($B34,Tabla1[SERVICIO],Tabla1[VALOR]*AL34),0))</f>
        <v>17887.388810409495</v>
      </c>
      <c r="AN34" s="86">
        <f t="shared" si="1"/>
        <v>17887.388810409495</v>
      </c>
      <c r="AO34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4" s="104" t="s">
        <v>319</v>
      </c>
      <c r="AQ34" s="150">
        <v>0.24809575625680086</v>
      </c>
      <c r="AR34" s="121">
        <f>+Tabla46781635[[#This Row],[TOTAL]]*Tabla46781635[[#This Row],[% de las personas que lo usaron]]</f>
        <v>4437.7852543779809</v>
      </c>
      <c r="AS34" s="122" t="s">
        <v>352</v>
      </c>
      <c r="AT34" s="335">
        <v>18</v>
      </c>
    </row>
    <row r="35" spans="1:46" x14ac:dyDescent="0.25">
      <c r="A35" s="7" t="s">
        <v>25</v>
      </c>
      <c r="B35" s="8" t="s">
        <v>26</v>
      </c>
      <c r="C35" s="96" t="str">
        <f>_xlfn.XLOOKUP(Tabla46781635[[#This Row],[Servicios del Programa:]],Tabla151[CODIGO],Tabla151[VALOR])</f>
        <v>Diagnosticos</v>
      </c>
      <c r="D35" s="144">
        <v>1</v>
      </c>
      <c r="E35" s="56" cm="1">
        <f t="array" ref="E35">IF(D35="X",(_xlfn.XLOOKUP($B35,Tabla1[SERVICIO],Tabla1[VALOR])*1),IF(D35&gt;=1,_xlfn.XLOOKUP($B35,Tabla1[SERVICIO],Tabla1[VALOR]*D35),0))</f>
        <v>19392.627189167735</v>
      </c>
      <c r="F35" s="145"/>
      <c r="G35" s="56" cm="1">
        <f t="array" ref="G35">IF(F35="X",(_xlfn.XLOOKUP($B35,Tabla1[SERVICIO],Tabla1[VALOR])*1),IF(F35&gt;=1,_xlfn.XLOOKUP($B35,Tabla1[SERVICIO],Tabla1[VALOR]*F35),0))</f>
        <v>0</v>
      </c>
      <c r="H35" s="145"/>
      <c r="I35" s="56" cm="1">
        <f t="array" ref="I35">IF(H35="X",(_xlfn.XLOOKUP($B35,Tabla1[SERVICIO],Tabla1[VALOR])*1),IF(H35&gt;=1,_xlfn.XLOOKUP($B35,Tabla1[SERVICIO],Tabla1[VALOR]*H35),0))</f>
        <v>0</v>
      </c>
      <c r="J35" s="145"/>
      <c r="K35" s="56" cm="1">
        <f t="array" ref="K35">IF(J35="X",(_xlfn.XLOOKUP($B35,Tabla1[SERVICIO],Tabla1[VALOR])*1),IF(J35&gt;=1,_xlfn.XLOOKUP($B35,Tabla1[SERVICIO],Tabla1[VALOR]*J35),0))</f>
        <v>0</v>
      </c>
      <c r="L35" s="145"/>
      <c r="M35" s="56" cm="1">
        <f t="array" ref="M35">IF(L35="X",(_xlfn.XLOOKUP($B35,Tabla1[SERVICIO],Tabla1[VALOR])*1),IF(L35&gt;=1,_xlfn.XLOOKUP($B35,Tabla1[SERVICIO],Tabla1[VALOR]*L35),0))</f>
        <v>0</v>
      </c>
      <c r="N35" s="144">
        <v>1</v>
      </c>
      <c r="O35" s="56" cm="1">
        <f t="array" ref="O35">IF(N35="X",(_xlfn.XLOOKUP($B35,Tabla1[SERVICIO],Tabla1[VALOR])*1),IF(N35&gt;=1,_xlfn.XLOOKUP($B35,Tabla1[SERVICIO],Tabla1[VALOR]*N35),0))</f>
        <v>19392.627189167735</v>
      </c>
      <c r="P35" s="145"/>
      <c r="Q35" s="56" cm="1">
        <f t="array" ref="Q35">IF(P35="X",(_xlfn.XLOOKUP($B35,Tabla1[SERVICIO],Tabla1[VALOR])*1),IF(P35&gt;=1,_xlfn.XLOOKUP($B35,Tabla1[SERVICIO],Tabla1[VALOR]*P35),0))</f>
        <v>0</v>
      </c>
      <c r="R35" s="145"/>
      <c r="S35" s="56" cm="1">
        <f t="array" ref="S35">IF(R35="X",(_xlfn.XLOOKUP($B35,Tabla1[SERVICIO],Tabla1[VALOR])*1),IF(R35&gt;=1,_xlfn.XLOOKUP($B35,Tabla1[SERVICIO],Tabla1[VALOR]*R35),0))</f>
        <v>0</v>
      </c>
      <c r="T35" s="145"/>
      <c r="U35" s="56" cm="1">
        <f t="array" ref="U35">IF(T35="X",(_xlfn.XLOOKUP($B35,Tabla1[SERVICIO],Tabla1[VALOR])*1),IF(T35&gt;=1,_xlfn.XLOOKUP($B35,Tabla1[SERVICIO],Tabla1[VALOR]*T35),0))</f>
        <v>0</v>
      </c>
      <c r="V35" s="145"/>
      <c r="W35" s="56" cm="1">
        <f t="array" ref="W35">IF(V35="X",(_xlfn.XLOOKUP($B35,Tabla1[SERVICIO],Tabla1[VALOR])*1),IF(V35&gt;=1,_xlfn.XLOOKUP($B35,Tabla1[SERVICIO],Tabla1[VALOR]*V35),0))</f>
        <v>0</v>
      </c>
      <c r="X35" s="145"/>
      <c r="Y35" s="56" cm="1">
        <f t="array" ref="Y35">IF(X35="X",(_xlfn.XLOOKUP($B35,Tabla1[SERVICIO],Tabla1[VALOR])*1),IF(X35&gt;=1,_xlfn.XLOOKUP($B35,Tabla1[SERVICIO],Tabla1[VALOR]*X35),0))</f>
        <v>0</v>
      </c>
      <c r="Z35" s="145"/>
      <c r="AA35" s="56" cm="1">
        <f t="array" ref="AA35">IF(Z35="X",(_xlfn.XLOOKUP($B35,Tabla1[SERVICIO],Tabla1[VALOR])*1),IF(Z35&gt;=1,_xlfn.XLOOKUP($B35,Tabla1[SERVICIO],Tabla1[VALOR]*Z35),0))</f>
        <v>0</v>
      </c>
      <c r="AB35" s="145"/>
      <c r="AC35" s="56" cm="1">
        <f t="array" ref="AC35">IF(AB35="X",(_xlfn.XLOOKUP($B35,Tabla1[SERVICIO],Tabla1[VALOR])*1),IF(AB35&gt;=1,_xlfn.XLOOKUP($B35,Tabla1[SERVICIO],Tabla1[VALOR]*AB35),0))</f>
        <v>0</v>
      </c>
      <c r="AD35" s="145"/>
      <c r="AE35" s="56" cm="1">
        <f t="array" ref="AE35">IF(AD35="X",(_xlfn.XLOOKUP($B35,Tabla1[SERVICIO],Tabla1[VALOR])*1),IF(AD35&gt;=1,_xlfn.XLOOKUP($B35,Tabla1[SERVICIO],Tabla1[VALOR]*AD35),0))</f>
        <v>0</v>
      </c>
      <c r="AF35" s="145"/>
      <c r="AG35" s="56" cm="1">
        <f t="array" ref="AG35">IF(AF35="X",(_xlfn.XLOOKUP($B35,Tabla1[SERVICIO],Tabla1[VALOR])*1),IF(AF35&gt;=1,_xlfn.XLOOKUP($B35,Tabla1[SERVICIO],Tabla1[VALOR]*AF35),0))</f>
        <v>0</v>
      </c>
      <c r="AH35" s="145"/>
      <c r="AI35" s="56" cm="1">
        <f t="array" ref="AI35">IF(AH35="X",(_xlfn.XLOOKUP($B35,Tabla1[SERVICIO],Tabla1[VALOR])*1),IF(AH35&gt;=1,_xlfn.XLOOKUP($B35,Tabla1[SERVICIO],Tabla1[VALOR]*AH35),0))</f>
        <v>0</v>
      </c>
      <c r="AJ35" s="145"/>
      <c r="AK35" s="56" cm="1">
        <f t="array" ref="AK35">IF(AJ35="X",(_xlfn.XLOOKUP($B35,Tabla1[SERVICIO],Tabla1[VALOR])*1),IF(AJ35&gt;=1,_xlfn.XLOOKUP($B35,Tabla1[SERVICIO],Tabla1[VALOR]*AJ35),0))</f>
        <v>0</v>
      </c>
      <c r="AL35" s="144">
        <v>1</v>
      </c>
      <c r="AM35" s="56" cm="1">
        <f t="array" ref="AM35">IF(AL35="X",(_xlfn.XLOOKUP($B35,Tabla1[SERVICIO],Tabla1[VALOR])*1),IF(AL35&gt;=1,_xlfn.XLOOKUP($B35,Tabla1[SERVICIO],Tabla1[VALOR]*AL35),0))</f>
        <v>19392.627189167735</v>
      </c>
      <c r="AN35" s="86">
        <f t="shared" si="1"/>
        <v>58177.881567503209</v>
      </c>
      <c r="AO35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3</v>
      </c>
      <c r="AP35" s="158" t="s">
        <v>318</v>
      </c>
      <c r="AQ35" s="150">
        <v>1</v>
      </c>
      <c r="AR35" s="121">
        <f>+Tabla46781635[[#This Row],[TOTAL]]*Tabla46781635[[#This Row],[% de las personas que lo usaron]]</f>
        <v>58177.881567503209</v>
      </c>
      <c r="AS35" s="122" t="s">
        <v>352</v>
      </c>
      <c r="AT35" s="335">
        <v>18</v>
      </c>
    </row>
    <row r="36" spans="1:46" x14ac:dyDescent="0.25">
      <c r="A36" s="7" t="s">
        <v>23</v>
      </c>
      <c r="B36" s="8" t="s">
        <v>24</v>
      </c>
      <c r="C36" s="96" t="str">
        <f>_xlfn.XLOOKUP(Tabla46781635[[#This Row],[Servicios del Programa:]],Tabla151[CODIGO],Tabla151[VALOR])</f>
        <v>Terapias</v>
      </c>
      <c r="D36" s="144">
        <v>1</v>
      </c>
      <c r="E36" s="56" cm="1">
        <f t="array" ref="E36">IF(D36="X",(_xlfn.XLOOKUP($B36,Tabla1[SERVICIO],Tabla1[VALOR])*1),IF(D36&gt;=1,_xlfn.XLOOKUP($B36,Tabla1[SERVICIO],Tabla1[VALOR]*D36),0))</f>
        <v>31881.451880098426</v>
      </c>
      <c r="F36" s="145"/>
      <c r="G36" s="56" cm="1">
        <f t="array" ref="G36">IF(F36="X",(_xlfn.XLOOKUP($B36,Tabla1[SERVICIO],Tabla1[VALOR])*1),IF(F36&gt;=1,_xlfn.XLOOKUP($B36,Tabla1[SERVICIO],Tabla1[VALOR]*F36),0))</f>
        <v>0</v>
      </c>
      <c r="H36" s="145"/>
      <c r="I36" s="56" cm="1">
        <f t="array" ref="I36">IF(H36="X",(_xlfn.XLOOKUP($B36,Tabla1[SERVICIO],Tabla1[VALOR])*1),IF(H36&gt;=1,_xlfn.XLOOKUP($B36,Tabla1[SERVICIO],Tabla1[VALOR]*H36),0))</f>
        <v>0</v>
      </c>
      <c r="J36" s="145"/>
      <c r="K36" s="56" cm="1">
        <f t="array" ref="K36">IF(J36="X",(_xlfn.XLOOKUP($B36,Tabla1[SERVICIO],Tabla1[VALOR])*1),IF(J36&gt;=1,_xlfn.XLOOKUP($B36,Tabla1[SERVICIO],Tabla1[VALOR]*J36),0))</f>
        <v>0</v>
      </c>
      <c r="L36" s="145"/>
      <c r="M36" s="56" cm="1">
        <f t="array" ref="M36">IF(L36="X",(_xlfn.XLOOKUP($B36,Tabla1[SERVICIO],Tabla1[VALOR])*1),IF(L36&gt;=1,_xlfn.XLOOKUP($B36,Tabla1[SERVICIO],Tabla1[VALOR]*L36),0))</f>
        <v>0</v>
      </c>
      <c r="N36" s="145"/>
      <c r="O36" s="56" cm="1">
        <f t="array" ref="O36">IF(N36="X",(_xlfn.XLOOKUP($B36,Tabla1[SERVICIO],Tabla1[VALOR])*1),IF(N36&gt;=1,_xlfn.XLOOKUP($B36,Tabla1[SERVICIO],Tabla1[VALOR]*N36),0))</f>
        <v>0</v>
      </c>
      <c r="P36" s="145"/>
      <c r="Q36" s="56" cm="1">
        <f t="array" ref="Q36">IF(P36="X",(_xlfn.XLOOKUP($B36,Tabla1[SERVICIO],Tabla1[VALOR])*1),IF(P36&gt;=1,_xlfn.XLOOKUP($B36,Tabla1[SERVICIO],Tabla1[VALOR]*P36),0))</f>
        <v>0</v>
      </c>
      <c r="R36" s="145"/>
      <c r="S36" s="56" cm="1">
        <f t="array" ref="S36">IF(R36="X",(_xlfn.XLOOKUP($B36,Tabla1[SERVICIO],Tabla1[VALOR])*1),IF(R36&gt;=1,_xlfn.XLOOKUP($B36,Tabla1[SERVICIO],Tabla1[VALOR]*R36),0))</f>
        <v>0</v>
      </c>
      <c r="T36" s="145"/>
      <c r="U36" s="56" cm="1">
        <f t="array" ref="U36">IF(T36="X",(_xlfn.XLOOKUP($B36,Tabla1[SERVICIO],Tabla1[VALOR])*1),IF(T36&gt;=1,_xlfn.XLOOKUP($B36,Tabla1[SERVICIO],Tabla1[VALOR]*T36),0))</f>
        <v>0</v>
      </c>
      <c r="V36" s="145"/>
      <c r="W36" s="56" cm="1">
        <f t="array" ref="W36">IF(V36="X",(_xlfn.XLOOKUP($B36,Tabla1[SERVICIO],Tabla1[VALOR])*1),IF(V36&gt;=1,_xlfn.XLOOKUP($B36,Tabla1[SERVICIO],Tabla1[VALOR]*V36),0))</f>
        <v>0</v>
      </c>
      <c r="X36" s="145"/>
      <c r="Y36" s="56" cm="1">
        <f t="array" ref="Y36">IF(X36="X",(_xlfn.XLOOKUP($B36,Tabla1[SERVICIO],Tabla1[VALOR])*1),IF(X36&gt;=1,_xlfn.XLOOKUP($B36,Tabla1[SERVICIO],Tabla1[VALOR]*X36),0))</f>
        <v>0</v>
      </c>
      <c r="Z36" s="145"/>
      <c r="AA36" s="56" cm="1">
        <f t="array" ref="AA36">IF(Z36="X",(_xlfn.XLOOKUP($B36,Tabla1[SERVICIO],Tabla1[VALOR])*1),IF(Z36&gt;=1,_xlfn.XLOOKUP($B36,Tabla1[SERVICIO],Tabla1[VALOR]*Z36),0))</f>
        <v>0</v>
      </c>
      <c r="AB36" s="145"/>
      <c r="AC36" s="56" cm="1">
        <f t="array" ref="AC36">IF(AB36="X",(_xlfn.XLOOKUP($B36,Tabla1[SERVICIO],Tabla1[VALOR])*1),IF(AB36&gt;=1,_xlfn.XLOOKUP($B36,Tabla1[SERVICIO],Tabla1[VALOR]*AB36),0))</f>
        <v>0</v>
      </c>
      <c r="AD36" s="145"/>
      <c r="AE36" s="56" cm="1">
        <f t="array" ref="AE36">IF(AD36="X",(_xlfn.XLOOKUP($B36,Tabla1[SERVICIO],Tabla1[VALOR])*1),IF(AD36&gt;=1,_xlfn.XLOOKUP($B36,Tabla1[SERVICIO],Tabla1[VALOR]*AD36),0))</f>
        <v>0</v>
      </c>
      <c r="AF36" s="145"/>
      <c r="AG36" s="56" cm="1">
        <f t="array" ref="AG36">IF(AF36="X",(_xlfn.XLOOKUP($B36,Tabla1[SERVICIO],Tabla1[VALOR])*1),IF(AF36&gt;=1,_xlfn.XLOOKUP($B36,Tabla1[SERVICIO],Tabla1[VALOR]*AF36),0))</f>
        <v>0</v>
      </c>
      <c r="AH36" s="145"/>
      <c r="AI36" s="56" cm="1">
        <f t="array" ref="AI36">IF(AH36="X",(_xlfn.XLOOKUP($B36,Tabla1[SERVICIO],Tabla1[VALOR])*1),IF(AH36&gt;=1,_xlfn.XLOOKUP($B36,Tabla1[SERVICIO],Tabla1[VALOR]*AH36),0))</f>
        <v>0</v>
      </c>
      <c r="AJ36" s="145"/>
      <c r="AK36" s="56" cm="1">
        <f t="array" ref="AK36">IF(AJ36="X",(_xlfn.XLOOKUP($B36,Tabla1[SERVICIO],Tabla1[VALOR])*1),IF(AJ36&gt;=1,_xlfn.XLOOKUP($B36,Tabla1[SERVICIO],Tabla1[VALOR]*AJ36),0))</f>
        <v>0</v>
      </c>
      <c r="AL36" s="145"/>
      <c r="AM36" s="56" cm="1">
        <f t="array" ref="AM36">IF(AL36="X",(_xlfn.XLOOKUP($B36,Tabla1[SERVICIO],Tabla1[VALOR])*1),IF(AL36&gt;=1,_xlfn.XLOOKUP($B36,Tabla1[SERVICIO],Tabla1[VALOR]*AL36),0))</f>
        <v>0</v>
      </c>
      <c r="AN36" s="86">
        <f t="shared" si="1"/>
        <v>31881.451880098426</v>
      </c>
      <c r="AO36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6" s="158" t="s">
        <v>318</v>
      </c>
      <c r="AQ36" s="150">
        <v>1</v>
      </c>
      <c r="AR36" s="121">
        <f>+Tabla46781635[[#This Row],[TOTAL]]*Tabla46781635[[#This Row],[% de las personas que lo usaron]]</f>
        <v>31881.451880098426</v>
      </c>
      <c r="AS36" s="122" t="s">
        <v>352</v>
      </c>
      <c r="AT36" s="335">
        <v>18</v>
      </c>
    </row>
    <row r="37" spans="1:46" x14ac:dyDescent="0.25">
      <c r="A37" s="7" t="s">
        <v>36</v>
      </c>
      <c r="B37" s="8" t="s">
        <v>100</v>
      </c>
      <c r="C37" s="96" t="str">
        <f>_xlfn.XLOOKUP(Tabla46781635[[#This Row],[Servicios del Programa:]],Tabla151[CODIGO],Tabla151[VALOR])</f>
        <v>Terapias</v>
      </c>
      <c r="D37" s="144">
        <v>8</v>
      </c>
      <c r="E37" s="56" cm="1">
        <f t="array" ref="E37">IF(D37="X",(_xlfn.XLOOKUP($B37,Tabla1[SERVICIO],Tabla1[VALOR])*1),IF(D37&gt;=1,_xlfn.XLOOKUP($B37,Tabla1[SERVICIO],Tabla1[VALOR]*D37),0))</f>
        <v>70240.958933331596</v>
      </c>
      <c r="F37" s="144">
        <v>8</v>
      </c>
      <c r="G37" s="56" cm="1">
        <f t="array" ref="G37">IF(F37="X",(_xlfn.XLOOKUP($B37,Tabla1[SERVICIO],Tabla1[VALOR])*1),IF(F37&gt;=1,_xlfn.XLOOKUP($B37,Tabla1[SERVICIO],Tabla1[VALOR]*F37),0))</f>
        <v>70240.958933331596</v>
      </c>
      <c r="H37" s="144">
        <v>8</v>
      </c>
      <c r="I37" s="56" cm="1">
        <f t="array" ref="I37">IF(H37="X",(_xlfn.XLOOKUP($B37,Tabla1[SERVICIO],Tabla1[VALOR])*1),IF(H37&gt;=1,_xlfn.XLOOKUP($B37,Tabla1[SERVICIO],Tabla1[VALOR]*H37),0))</f>
        <v>70240.958933331596</v>
      </c>
      <c r="J37" s="144">
        <v>8</v>
      </c>
      <c r="K37" s="56" cm="1">
        <f t="array" ref="K37">IF(J37="X",(_xlfn.XLOOKUP($B37,Tabla1[SERVICIO],Tabla1[VALOR])*1),IF(J37&gt;=1,_xlfn.XLOOKUP($B37,Tabla1[SERVICIO],Tabla1[VALOR]*J37),0))</f>
        <v>70240.958933331596</v>
      </c>
      <c r="L37" s="144">
        <v>8</v>
      </c>
      <c r="M37" s="56" cm="1">
        <f t="array" ref="M37">IF(L37="X",(_xlfn.XLOOKUP($B37,Tabla1[SERVICIO],Tabla1[VALOR])*1),IF(L37&gt;=1,_xlfn.XLOOKUP($B37,Tabla1[SERVICIO],Tabla1[VALOR]*L37),0))</f>
        <v>70240.958933331596</v>
      </c>
      <c r="N37" s="144">
        <v>8</v>
      </c>
      <c r="O37" s="56" cm="1">
        <f t="array" ref="O37">IF(N37="X",(_xlfn.XLOOKUP($B37,Tabla1[SERVICIO],Tabla1[VALOR])*1),IF(N37&gt;=1,_xlfn.XLOOKUP($B37,Tabla1[SERVICIO],Tabla1[VALOR]*N37),0))</f>
        <v>70240.958933331596</v>
      </c>
      <c r="P37" s="144">
        <v>8</v>
      </c>
      <c r="Q37" s="56" cm="1">
        <f t="array" ref="Q37">IF(P37="X",(_xlfn.XLOOKUP($B37,Tabla1[SERVICIO],Tabla1[VALOR])*1),IF(P37&gt;=1,_xlfn.XLOOKUP($B37,Tabla1[SERVICIO],Tabla1[VALOR]*P37),0))</f>
        <v>70240.958933331596</v>
      </c>
      <c r="R37" s="144">
        <v>8</v>
      </c>
      <c r="S37" s="56" cm="1">
        <f t="array" ref="S37">IF(R37="X",(_xlfn.XLOOKUP($B37,Tabla1[SERVICIO],Tabla1[VALOR])*1),IF(R37&gt;=1,_xlfn.XLOOKUP($B37,Tabla1[SERVICIO],Tabla1[VALOR]*R37),0))</f>
        <v>70240.958933331596</v>
      </c>
      <c r="T37" s="144">
        <v>8</v>
      </c>
      <c r="U37" s="56" cm="1">
        <f t="array" ref="U37">IF(T37="X",(_xlfn.XLOOKUP($B37,Tabla1[SERVICIO],Tabla1[VALOR])*1),IF(T37&gt;=1,_xlfn.XLOOKUP($B37,Tabla1[SERVICIO],Tabla1[VALOR]*T37),0))</f>
        <v>70240.958933331596</v>
      </c>
      <c r="V37" s="144">
        <v>8</v>
      </c>
      <c r="W37" s="56" cm="1">
        <f t="array" ref="W37">IF(V37="X",(_xlfn.XLOOKUP($B37,Tabla1[SERVICIO],Tabla1[VALOR])*1),IF(V37&gt;=1,_xlfn.XLOOKUP($B37,Tabla1[SERVICIO],Tabla1[VALOR]*V37),0))</f>
        <v>70240.958933331596</v>
      </c>
      <c r="X37" s="144">
        <v>8</v>
      </c>
      <c r="Y37" s="56" cm="1">
        <f t="array" ref="Y37">IF(X37="X",(_xlfn.XLOOKUP($B37,Tabla1[SERVICIO],Tabla1[VALOR])*1),IF(X37&gt;=1,_xlfn.XLOOKUP($B37,Tabla1[SERVICIO],Tabla1[VALOR]*X37),0))</f>
        <v>70240.958933331596</v>
      </c>
      <c r="Z37" s="144">
        <v>8</v>
      </c>
      <c r="AA37" s="56" cm="1">
        <f t="array" ref="AA37">IF(Z37="X",(_xlfn.XLOOKUP($B37,Tabla1[SERVICIO],Tabla1[VALOR])*1),IF(Z37&gt;=1,_xlfn.XLOOKUP($B37,Tabla1[SERVICIO],Tabla1[VALOR]*Z37),0))</f>
        <v>70240.958933331596</v>
      </c>
      <c r="AB37" s="144">
        <v>8</v>
      </c>
      <c r="AC37" s="56" cm="1">
        <f t="array" ref="AC37">IF(AB37="X",(_xlfn.XLOOKUP($B37,Tabla1[SERVICIO],Tabla1[VALOR])*1),IF(AB37&gt;=1,_xlfn.XLOOKUP($B37,Tabla1[SERVICIO],Tabla1[VALOR]*AB37),0))</f>
        <v>70240.958933331596</v>
      </c>
      <c r="AD37" s="144">
        <v>8</v>
      </c>
      <c r="AE37" s="56" cm="1">
        <f t="array" ref="AE37">IF(AD37="X",(_xlfn.XLOOKUP($B37,Tabla1[SERVICIO],Tabla1[VALOR])*1),IF(AD37&gt;=1,_xlfn.XLOOKUP($B37,Tabla1[SERVICIO],Tabla1[VALOR]*AD37),0))</f>
        <v>70240.958933331596</v>
      </c>
      <c r="AF37" s="144">
        <v>8</v>
      </c>
      <c r="AG37" s="56" cm="1">
        <f t="array" ref="AG37">IF(AF37="X",(_xlfn.XLOOKUP($B37,Tabla1[SERVICIO],Tabla1[VALOR])*1),IF(AF37&gt;=1,_xlfn.XLOOKUP($B37,Tabla1[SERVICIO],Tabla1[VALOR]*AF37),0))</f>
        <v>70240.958933331596</v>
      </c>
      <c r="AH37" s="144">
        <v>8</v>
      </c>
      <c r="AI37" s="56" cm="1">
        <f t="array" ref="AI37">IF(AH37="X",(_xlfn.XLOOKUP($B37,Tabla1[SERVICIO],Tabla1[VALOR])*1),IF(AH37&gt;=1,_xlfn.XLOOKUP($B37,Tabla1[SERVICIO],Tabla1[VALOR]*AH37),0))</f>
        <v>70240.958933331596</v>
      </c>
      <c r="AJ37" s="144">
        <v>8</v>
      </c>
      <c r="AK37" s="56" cm="1">
        <f t="array" ref="AK37">IF(AJ37="X",(_xlfn.XLOOKUP($B37,Tabla1[SERVICIO],Tabla1[VALOR])*1),IF(AJ37&gt;=1,_xlfn.XLOOKUP($B37,Tabla1[SERVICIO],Tabla1[VALOR]*AJ37),0))</f>
        <v>70240.958933331596</v>
      </c>
      <c r="AL37" s="144">
        <v>8</v>
      </c>
      <c r="AM37" s="56" cm="1">
        <f t="array" ref="AM37">IF(AL37="X",(_xlfn.XLOOKUP($B37,Tabla1[SERVICIO],Tabla1[VALOR])*1),IF(AL37&gt;=1,_xlfn.XLOOKUP($B37,Tabla1[SERVICIO],Tabla1[VALOR]*AL37),0))</f>
        <v>70240.958933331596</v>
      </c>
      <c r="AN37" s="86">
        <f t="shared" si="1"/>
        <v>1264337.2607999684</v>
      </c>
      <c r="AO37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144</v>
      </c>
      <c r="AP37" s="158" t="s">
        <v>318</v>
      </c>
      <c r="AQ37" s="150">
        <v>1</v>
      </c>
      <c r="AR37" s="121">
        <f>+Tabla46781635[[#This Row],[TOTAL]]*Tabla46781635[[#This Row],[% de las personas que lo usaron]]</f>
        <v>1264337.2607999684</v>
      </c>
      <c r="AS37" s="122" t="s">
        <v>352</v>
      </c>
      <c r="AT37" s="335">
        <v>18</v>
      </c>
    </row>
    <row r="38" spans="1:46" x14ac:dyDescent="0.25">
      <c r="A38" s="7" t="s">
        <v>19</v>
      </c>
      <c r="B38" s="8" t="s">
        <v>20</v>
      </c>
      <c r="C38" s="96" t="str">
        <f>_xlfn.XLOOKUP(Tabla46781635[[#This Row],[Servicios del Programa:]],Tabla151[CODIGO],Tabla151[VALOR])</f>
        <v>Consultas</v>
      </c>
      <c r="D38" s="144">
        <v>1</v>
      </c>
      <c r="E38" s="56" cm="1">
        <f t="array" ref="E38">IF(D38="X",(_xlfn.XLOOKUP($B38,Tabla1[SERVICIO],Tabla1[VALOR])*1),IF(D38&gt;=1,_xlfn.XLOOKUP($B38,Tabla1[SERVICIO],Tabla1[VALOR]*D38),0))</f>
        <v>67398.098568534639</v>
      </c>
      <c r="F38" s="145"/>
      <c r="G38" s="56" cm="1">
        <f t="array" ref="G38">IF(F38="X",(_xlfn.XLOOKUP($B38,Tabla1[SERVICIO],Tabla1[VALOR])*1),IF(F38&gt;=1,_xlfn.XLOOKUP($B38,Tabla1[SERVICIO],Tabla1[VALOR]*F38),0))</f>
        <v>0</v>
      </c>
      <c r="H38" s="145"/>
      <c r="I38" s="56" cm="1">
        <f t="array" ref="I38">IF(H38="X",(_xlfn.XLOOKUP($B38,Tabla1[SERVICIO],Tabla1[VALOR])*1),IF(H38&gt;=1,_xlfn.XLOOKUP($B38,Tabla1[SERVICIO],Tabla1[VALOR]*H38),0))</f>
        <v>0</v>
      </c>
      <c r="J38" s="145"/>
      <c r="K38" s="56" cm="1">
        <f t="array" ref="K38">IF(J38="X",(_xlfn.XLOOKUP($B38,Tabla1[SERVICIO],Tabla1[VALOR])*1),IF(J38&gt;=1,_xlfn.XLOOKUP($B38,Tabla1[SERVICIO],Tabla1[VALOR]*J38),0))</f>
        <v>0</v>
      </c>
      <c r="L38" s="145"/>
      <c r="M38" s="56" cm="1">
        <f t="array" ref="M38">IF(L38="X",(_xlfn.XLOOKUP($B38,Tabla1[SERVICIO],Tabla1[VALOR])*1),IF(L38&gt;=1,_xlfn.XLOOKUP($B38,Tabla1[SERVICIO],Tabla1[VALOR]*L38),0))</f>
        <v>0</v>
      </c>
      <c r="N38" s="145"/>
      <c r="O38" s="56" cm="1">
        <f t="array" ref="O38">IF(N38="X",(_xlfn.XLOOKUP($B38,Tabla1[SERVICIO],Tabla1[VALOR])*1),IF(N38&gt;=1,_xlfn.XLOOKUP($B38,Tabla1[SERVICIO],Tabla1[VALOR]*N38),0))</f>
        <v>0</v>
      </c>
      <c r="P38" s="145"/>
      <c r="Q38" s="56" cm="1">
        <f t="array" ref="Q38">IF(P38="X",(_xlfn.XLOOKUP($B38,Tabla1[SERVICIO],Tabla1[VALOR])*1),IF(P38&gt;=1,_xlfn.XLOOKUP($B38,Tabla1[SERVICIO],Tabla1[VALOR]*P38),0))</f>
        <v>0</v>
      </c>
      <c r="R38" s="145"/>
      <c r="S38" s="56" cm="1">
        <f t="array" ref="S38">IF(R38="X",(_xlfn.XLOOKUP($B38,Tabla1[SERVICIO],Tabla1[VALOR])*1),IF(R38&gt;=1,_xlfn.XLOOKUP($B38,Tabla1[SERVICIO],Tabla1[VALOR]*R38),0))</f>
        <v>0</v>
      </c>
      <c r="T38" s="145"/>
      <c r="U38" s="56" cm="1">
        <f t="array" ref="U38">IF(T38="X",(_xlfn.XLOOKUP($B38,Tabla1[SERVICIO],Tabla1[VALOR])*1),IF(T38&gt;=1,_xlfn.XLOOKUP($B38,Tabla1[SERVICIO],Tabla1[VALOR]*T38),0))</f>
        <v>0</v>
      </c>
      <c r="V38" s="145"/>
      <c r="W38" s="56" cm="1">
        <f t="array" ref="W38">IF(V38="X",(_xlfn.XLOOKUP($B38,Tabla1[SERVICIO],Tabla1[VALOR])*1),IF(V38&gt;=1,_xlfn.XLOOKUP($B38,Tabla1[SERVICIO],Tabla1[VALOR]*V38),0))</f>
        <v>0</v>
      </c>
      <c r="X38" s="145"/>
      <c r="Y38" s="56" cm="1">
        <f t="array" ref="Y38">IF(X38="X",(_xlfn.XLOOKUP($B38,Tabla1[SERVICIO],Tabla1[VALOR])*1),IF(X38&gt;=1,_xlfn.XLOOKUP($B38,Tabla1[SERVICIO],Tabla1[VALOR]*X38),0))</f>
        <v>0</v>
      </c>
      <c r="Z38" s="145"/>
      <c r="AA38" s="56" cm="1">
        <f t="array" ref="AA38">IF(Z38="X",(_xlfn.XLOOKUP($B38,Tabla1[SERVICIO],Tabla1[VALOR])*1),IF(Z38&gt;=1,_xlfn.XLOOKUP($B38,Tabla1[SERVICIO],Tabla1[VALOR]*Z38),0))</f>
        <v>0</v>
      </c>
      <c r="AB38" s="145"/>
      <c r="AC38" s="56" cm="1">
        <f t="array" ref="AC38">IF(AB38="X",(_xlfn.XLOOKUP($B38,Tabla1[SERVICIO],Tabla1[VALOR])*1),IF(AB38&gt;=1,_xlfn.XLOOKUP($B38,Tabla1[SERVICIO],Tabla1[VALOR]*AB38),0))</f>
        <v>0</v>
      </c>
      <c r="AD38" s="145"/>
      <c r="AE38" s="56" cm="1">
        <f t="array" ref="AE38">IF(AD38="X",(_xlfn.XLOOKUP($B38,Tabla1[SERVICIO],Tabla1[VALOR])*1),IF(AD38&gt;=1,_xlfn.XLOOKUP($B38,Tabla1[SERVICIO],Tabla1[VALOR]*AD38),0))</f>
        <v>0</v>
      </c>
      <c r="AF38" s="145"/>
      <c r="AG38" s="56" cm="1">
        <f t="array" ref="AG38">IF(AF38="X",(_xlfn.XLOOKUP($B38,Tabla1[SERVICIO],Tabla1[VALOR])*1),IF(AF38&gt;=1,_xlfn.XLOOKUP($B38,Tabla1[SERVICIO],Tabla1[VALOR]*AF38),0))</f>
        <v>0</v>
      </c>
      <c r="AH38" s="145"/>
      <c r="AI38" s="56" cm="1">
        <f t="array" ref="AI38">IF(AH38="X",(_xlfn.XLOOKUP($B38,Tabla1[SERVICIO],Tabla1[VALOR])*1),IF(AH38&gt;=1,_xlfn.XLOOKUP($B38,Tabla1[SERVICIO],Tabla1[VALOR]*AH38),0))</f>
        <v>0</v>
      </c>
      <c r="AJ38" s="145"/>
      <c r="AK38" s="56" cm="1">
        <f t="array" ref="AK38">IF(AJ38="X",(_xlfn.XLOOKUP($B38,Tabla1[SERVICIO],Tabla1[VALOR])*1),IF(AJ38&gt;=1,_xlfn.XLOOKUP($B38,Tabla1[SERVICIO],Tabla1[VALOR]*AJ38),0))</f>
        <v>0</v>
      </c>
      <c r="AL38" s="145"/>
      <c r="AM38" s="56" cm="1">
        <f t="array" ref="AM38">IF(AL38="X",(_xlfn.XLOOKUP($B38,Tabla1[SERVICIO],Tabla1[VALOR])*1),IF(AL38&gt;=1,_xlfn.XLOOKUP($B38,Tabla1[SERVICIO],Tabla1[VALOR]*AL38),0))</f>
        <v>0</v>
      </c>
      <c r="AN38" s="86">
        <f t="shared" si="1"/>
        <v>67398.098568534639</v>
      </c>
      <c r="AO38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8" s="104" t="s">
        <v>319</v>
      </c>
      <c r="AQ38" s="150">
        <v>5.5495103373231776E-2</v>
      </c>
      <c r="AR38" s="121">
        <f>+Tabla46781635[[#This Row],[TOTAL]]*Tabla46781635[[#This Row],[% de las personas que lo usaron]]</f>
        <v>3740.2644472200946</v>
      </c>
      <c r="AS38" s="122" t="s">
        <v>352</v>
      </c>
      <c r="AT38" s="335">
        <v>18</v>
      </c>
    </row>
    <row r="39" spans="1:46" x14ac:dyDescent="0.25">
      <c r="A39" s="7" t="s">
        <v>29</v>
      </c>
      <c r="B39" s="8" t="s">
        <v>196</v>
      </c>
      <c r="C39" s="96" t="str">
        <f>_xlfn.XLOOKUP(Tabla46781635[[#This Row],[Servicios del Programa:]],Tabla151[CODIGO],Tabla151[VALOR])</f>
        <v>Terapias</v>
      </c>
      <c r="D39" s="145"/>
      <c r="E39" s="56" cm="1">
        <f t="array" ref="E39">IF(D39="X",(_xlfn.XLOOKUP($B39,Tabla1[SERVICIO],Tabla1[VALOR])*1),IF(D39&gt;=1,_xlfn.XLOOKUP($B39,Tabla1[SERVICIO],Tabla1[VALOR]*D39),0))</f>
        <v>0</v>
      </c>
      <c r="F39" s="145"/>
      <c r="G39" s="56" cm="1">
        <f t="array" ref="G39">IF(F39="X",(_xlfn.XLOOKUP($B39,Tabla1[SERVICIO],Tabla1[VALOR])*1),IF(F39&gt;=1,_xlfn.XLOOKUP($B39,Tabla1[SERVICIO],Tabla1[VALOR]*F39),0))</f>
        <v>0</v>
      </c>
      <c r="H39" s="145"/>
      <c r="I39" s="56" cm="1">
        <f t="array" ref="I39">IF(H39="X",(_xlfn.XLOOKUP($B39,Tabla1[SERVICIO],Tabla1[VALOR])*1),IF(H39&gt;=1,_xlfn.XLOOKUP($B39,Tabla1[SERVICIO],Tabla1[VALOR]*H39),0))</f>
        <v>0</v>
      </c>
      <c r="J39" s="145"/>
      <c r="K39" s="56" cm="1">
        <f t="array" ref="K39">IF(J39="X",(_xlfn.XLOOKUP($B39,Tabla1[SERVICIO],Tabla1[VALOR])*1),IF(J39&gt;=1,_xlfn.XLOOKUP($B39,Tabla1[SERVICIO],Tabla1[VALOR]*J39),0))</f>
        <v>0</v>
      </c>
      <c r="L39" s="145"/>
      <c r="M39" s="56" cm="1">
        <f t="array" ref="M39">IF(L39="X",(_xlfn.XLOOKUP($B39,Tabla1[SERVICIO],Tabla1[VALOR])*1),IF(L39&gt;=1,_xlfn.XLOOKUP($B39,Tabla1[SERVICIO],Tabla1[VALOR]*L39),0))</f>
        <v>0</v>
      </c>
      <c r="N39" s="144">
        <v>1</v>
      </c>
      <c r="O39" s="56" cm="1">
        <f t="array" ref="O39">IF(N39="X",(_xlfn.XLOOKUP($B39,Tabla1[SERVICIO],Tabla1[VALOR])*1),IF(N39&gt;=1,_xlfn.XLOOKUP($B39,Tabla1[SERVICIO],Tabla1[VALOR]*N39),0))</f>
        <v>31881.451880098426</v>
      </c>
      <c r="P39" s="145"/>
      <c r="Q39" s="56" cm="1">
        <f t="array" ref="Q39">IF(P39="X",(_xlfn.XLOOKUP($B39,Tabla1[SERVICIO],Tabla1[VALOR])*1),IF(P39&gt;=1,_xlfn.XLOOKUP($B39,Tabla1[SERVICIO],Tabla1[VALOR]*P39),0))</f>
        <v>0</v>
      </c>
      <c r="R39" s="145"/>
      <c r="S39" s="56" cm="1">
        <f t="array" ref="S39">IF(R39="X",(_xlfn.XLOOKUP($B39,Tabla1[SERVICIO],Tabla1[VALOR])*1),IF(R39&gt;=1,_xlfn.XLOOKUP($B39,Tabla1[SERVICIO],Tabla1[VALOR]*R39),0))</f>
        <v>0</v>
      </c>
      <c r="T39" s="145"/>
      <c r="U39" s="56" cm="1">
        <f t="array" ref="U39">IF(T39="X",(_xlfn.XLOOKUP($B39,Tabla1[SERVICIO],Tabla1[VALOR])*1),IF(T39&gt;=1,_xlfn.XLOOKUP($B39,Tabla1[SERVICIO],Tabla1[VALOR]*T39),0))</f>
        <v>0</v>
      </c>
      <c r="V39" s="145"/>
      <c r="W39" s="56" cm="1">
        <f t="array" ref="W39">IF(V39="X",(_xlfn.XLOOKUP($B39,Tabla1[SERVICIO],Tabla1[VALOR])*1),IF(V39&gt;=1,_xlfn.XLOOKUP($B39,Tabla1[SERVICIO],Tabla1[VALOR]*V39),0))</f>
        <v>0</v>
      </c>
      <c r="X39" s="145"/>
      <c r="Y39" s="56" cm="1">
        <f t="array" ref="Y39">IF(X39="X",(_xlfn.XLOOKUP($B39,Tabla1[SERVICIO],Tabla1[VALOR])*1),IF(X39&gt;=1,_xlfn.XLOOKUP($B39,Tabla1[SERVICIO],Tabla1[VALOR]*X39),0))</f>
        <v>0</v>
      </c>
      <c r="Z39" s="145"/>
      <c r="AA39" s="56" cm="1">
        <f t="array" ref="AA39">IF(Z39="X",(_xlfn.XLOOKUP($B39,Tabla1[SERVICIO],Tabla1[VALOR])*1),IF(Z39&gt;=1,_xlfn.XLOOKUP($B39,Tabla1[SERVICIO],Tabla1[VALOR]*Z39),0))</f>
        <v>0</v>
      </c>
      <c r="AB39" s="145"/>
      <c r="AC39" s="56" cm="1">
        <f t="array" ref="AC39">IF(AB39="X",(_xlfn.XLOOKUP($B39,Tabla1[SERVICIO],Tabla1[VALOR])*1),IF(AB39&gt;=1,_xlfn.XLOOKUP($B39,Tabla1[SERVICIO],Tabla1[VALOR]*AB39),0))</f>
        <v>0</v>
      </c>
      <c r="AD39" s="145"/>
      <c r="AE39" s="56" cm="1">
        <f t="array" ref="AE39">IF(AD39="X",(_xlfn.XLOOKUP($B39,Tabla1[SERVICIO],Tabla1[VALOR])*1),IF(AD39&gt;=1,_xlfn.XLOOKUP($B39,Tabla1[SERVICIO],Tabla1[VALOR]*AD39),0))</f>
        <v>0</v>
      </c>
      <c r="AF39" s="145"/>
      <c r="AG39" s="56" cm="1">
        <f t="array" ref="AG39">IF(AF39="X",(_xlfn.XLOOKUP($B39,Tabla1[SERVICIO],Tabla1[VALOR])*1),IF(AF39&gt;=1,_xlfn.XLOOKUP($B39,Tabla1[SERVICIO],Tabla1[VALOR]*AF39),0))</f>
        <v>0</v>
      </c>
      <c r="AH39" s="145"/>
      <c r="AI39" s="56" cm="1">
        <f t="array" ref="AI39">IF(AH39="X",(_xlfn.XLOOKUP($B39,Tabla1[SERVICIO],Tabla1[VALOR])*1),IF(AH39&gt;=1,_xlfn.XLOOKUP($B39,Tabla1[SERVICIO],Tabla1[VALOR]*AH39),0))</f>
        <v>0</v>
      </c>
      <c r="AJ39" s="145"/>
      <c r="AK39" s="56" cm="1">
        <f t="array" ref="AK39">IF(AJ39="X",(_xlfn.XLOOKUP($B39,Tabla1[SERVICIO],Tabla1[VALOR])*1),IF(AJ39&gt;=1,_xlfn.XLOOKUP($B39,Tabla1[SERVICIO],Tabla1[VALOR]*AJ39),0))</f>
        <v>0</v>
      </c>
      <c r="AL39" s="144">
        <v>1</v>
      </c>
      <c r="AM39" s="56" cm="1">
        <f t="array" ref="AM39">IF(AL39="X",(_xlfn.XLOOKUP($B39,Tabla1[SERVICIO],Tabla1[VALOR])*1),IF(AL39&gt;=1,_xlfn.XLOOKUP($B39,Tabla1[SERVICIO],Tabla1[VALOR]*AL39),0))</f>
        <v>31881.451880098426</v>
      </c>
      <c r="AN39" s="86">
        <f t="shared" si="1"/>
        <v>63762.903760196852</v>
      </c>
      <c r="AO39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39" s="158" t="s">
        <v>318</v>
      </c>
      <c r="AQ39" s="150">
        <v>1</v>
      </c>
      <c r="AR39" s="121">
        <f>+Tabla46781635[[#This Row],[TOTAL]]*Tabla46781635[[#This Row],[% de las personas que lo usaron]]</f>
        <v>63762.903760196852</v>
      </c>
      <c r="AS39" s="122" t="s">
        <v>352</v>
      </c>
      <c r="AT39" s="335">
        <v>18</v>
      </c>
    </row>
    <row r="40" spans="1:46" x14ac:dyDescent="0.25">
      <c r="A40" s="7" t="s">
        <v>7</v>
      </c>
      <c r="B40" s="8" t="s">
        <v>8</v>
      </c>
      <c r="C40" s="96" t="str">
        <f>_xlfn.XLOOKUP(Tabla46781635[[#This Row],[Servicios del Programa:]],Tabla151[CODIGO],Tabla151[VALOR])</f>
        <v>Consultas</v>
      </c>
      <c r="D40" s="144">
        <v>1</v>
      </c>
      <c r="E40" s="56" cm="1">
        <f t="array" ref="E40">IF(D40="X",(_xlfn.XLOOKUP($B40,Tabla1[SERVICIO],Tabla1[VALOR])*1),IF(D40&gt;=1,_xlfn.XLOOKUP($B40,Tabla1[SERVICIO],Tabla1[VALOR]*D40),0))</f>
        <v>55794.181771015559</v>
      </c>
      <c r="F40" s="145"/>
      <c r="G40" s="56" cm="1">
        <f t="array" ref="G40">IF(F40="X",(_xlfn.XLOOKUP($B40,Tabla1[SERVICIO],Tabla1[VALOR])*1),IF(F40&gt;=1,_xlfn.XLOOKUP($B40,Tabla1[SERVICIO],Tabla1[VALOR]*F40),0))</f>
        <v>0</v>
      </c>
      <c r="H40" s="145"/>
      <c r="I40" s="56" cm="1">
        <f t="array" ref="I40">IF(H40="X",(_xlfn.XLOOKUP($B40,Tabla1[SERVICIO],Tabla1[VALOR])*1),IF(H40&gt;=1,_xlfn.XLOOKUP($B40,Tabla1[SERVICIO],Tabla1[VALOR]*H40),0))</f>
        <v>0</v>
      </c>
      <c r="J40" s="145"/>
      <c r="K40" s="56" cm="1">
        <f t="array" ref="K40">IF(J40="X",(_xlfn.XLOOKUP($B40,Tabla1[SERVICIO],Tabla1[VALOR])*1),IF(J40&gt;=1,_xlfn.XLOOKUP($B40,Tabla1[SERVICIO],Tabla1[VALOR]*J40),0))</f>
        <v>0</v>
      </c>
      <c r="L40" s="145"/>
      <c r="M40" s="56" cm="1">
        <f t="array" ref="M40">IF(L40="X",(_xlfn.XLOOKUP($B40,Tabla1[SERVICIO],Tabla1[VALOR])*1),IF(L40&gt;=1,_xlfn.XLOOKUP($B40,Tabla1[SERVICIO],Tabla1[VALOR]*L40),0))</f>
        <v>0</v>
      </c>
      <c r="N40" s="145"/>
      <c r="O40" s="56" cm="1">
        <f t="array" ref="O40">IF(N40="X",(_xlfn.XLOOKUP($B40,Tabla1[SERVICIO],Tabla1[VALOR])*1),IF(N40&gt;=1,_xlfn.XLOOKUP($B40,Tabla1[SERVICIO],Tabla1[VALOR]*N40),0))</f>
        <v>0</v>
      </c>
      <c r="P40" s="145"/>
      <c r="Q40" s="56" cm="1">
        <f t="array" ref="Q40">IF(P40="X",(_xlfn.XLOOKUP($B40,Tabla1[SERVICIO],Tabla1[VALOR])*1),IF(P40&gt;=1,_xlfn.XLOOKUP($B40,Tabla1[SERVICIO],Tabla1[VALOR]*P40),0))</f>
        <v>0</v>
      </c>
      <c r="R40" s="145"/>
      <c r="S40" s="56" cm="1">
        <f t="array" ref="S40">IF(R40="X",(_xlfn.XLOOKUP($B40,Tabla1[SERVICIO],Tabla1[VALOR])*1),IF(R40&gt;=1,_xlfn.XLOOKUP($B40,Tabla1[SERVICIO],Tabla1[VALOR]*R40),0))</f>
        <v>0</v>
      </c>
      <c r="T40" s="145"/>
      <c r="U40" s="56" cm="1">
        <f t="array" ref="U40">IF(T40="X",(_xlfn.XLOOKUP($B40,Tabla1[SERVICIO],Tabla1[VALOR])*1),IF(T40&gt;=1,_xlfn.XLOOKUP($B40,Tabla1[SERVICIO],Tabla1[VALOR]*T40),0))</f>
        <v>0</v>
      </c>
      <c r="V40" s="145"/>
      <c r="W40" s="56" cm="1">
        <f t="array" ref="W40">IF(V40="X",(_xlfn.XLOOKUP($B40,Tabla1[SERVICIO],Tabla1[VALOR])*1),IF(V40&gt;=1,_xlfn.XLOOKUP($B40,Tabla1[SERVICIO],Tabla1[VALOR]*V40),0))</f>
        <v>0</v>
      </c>
      <c r="X40" s="145"/>
      <c r="Y40" s="56" cm="1">
        <f t="array" ref="Y40">IF(X40="X",(_xlfn.XLOOKUP($B40,Tabla1[SERVICIO],Tabla1[VALOR])*1),IF(X40&gt;=1,_xlfn.XLOOKUP($B40,Tabla1[SERVICIO],Tabla1[VALOR]*X40),0))</f>
        <v>0</v>
      </c>
      <c r="Z40" s="145"/>
      <c r="AA40" s="56" cm="1">
        <f t="array" ref="AA40">IF(Z40="X",(_xlfn.XLOOKUP($B40,Tabla1[SERVICIO],Tabla1[VALOR])*1),IF(Z40&gt;=1,_xlfn.XLOOKUP($B40,Tabla1[SERVICIO],Tabla1[VALOR]*Z40),0))</f>
        <v>0</v>
      </c>
      <c r="AB40" s="145"/>
      <c r="AC40" s="56" cm="1">
        <f t="array" ref="AC40">IF(AB40="X",(_xlfn.XLOOKUP($B40,Tabla1[SERVICIO],Tabla1[VALOR])*1),IF(AB40&gt;=1,_xlfn.XLOOKUP($B40,Tabla1[SERVICIO],Tabla1[VALOR]*AB40),0))</f>
        <v>0</v>
      </c>
      <c r="AD40" s="145"/>
      <c r="AE40" s="56" cm="1">
        <f t="array" ref="AE40">IF(AD40="X",(_xlfn.XLOOKUP($B40,Tabla1[SERVICIO],Tabla1[VALOR])*1),IF(AD40&gt;=1,_xlfn.XLOOKUP($B40,Tabla1[SERVICIO],Tabla1[VALOR]*AD40),0))</f>
        <v>0</v>
      </c>
      <c r="AF40" s="145"/>
      <c r="AG40" s="56" cm="1">
        <f t="array" ref="AG40">IF(AF40="X",(_xlfn.XLOOKUP($B40,Tabla1[SERVICIO],Tabla1[VALOR])*1),IF(AF40&gt;=1,_xlfn.XLOOKUP($B40,Tabla1[SERVICIO],Tabla1[VALOR]*AF40),0))</f>
        <v>0</v>
      </c>
      <c r="AH40" s="145"/>
      <c r="AI40" s="56" cm="1">
        <f t="array" ref="AI40">IF(AH40="X",(_xlfn.XLOOKUP($B40,Tabla1[SERVICIO],Tabla1[VALOR])*1),IF(AH40&gt;=1,_xlfn.XLOOKUP($B40,Tabla1[SERVICIO],Tabla1[VALOR]*AH40),0))</f>
        <v>0</v>
      </c>
      <c r="AJ40" s="145"/>
      <c r="AK40" s="56" cm="1">
        <f t="array" ref="AK40">IF(AJ40="X",(_xlfn.XLOOKUP($B40,Tabla1[SERVICIO],Tabla1[VALOR])*1),IF(AJ40&gt;=1,_xlfn.XLOOKUP($B40,Tabla1[SERVICIO],Tabla1[VALOR]*AJ40),0))</f>
        <v>0</v>
      </c>
      <c r="AL40" s="145"/>
      <c r="AM40" s="56" cm="1">
        <f t="array" ref="AM40">IF(AL40="X",(_xlfn.XLOOKUP($B40,Tabla1[SERVICIO],Tabla1[VALOR])*1),IF(AL40&gt;=1,_xlfn.XLOOKUP($B40,Tabla1[SERVICIO],Tabla1[VALOR]*AL40),0))</f>
        <v>0</v>
      </c>
      <c r="AN40" s="86">
        <f t="shared" si="1"/>
        <v>55794.181771015559</v>
      </c>
      <c r="AO40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0" s="104" t="s">
        <v>319</v>
      </c>
      <c r="AQ40" s="150">
        <v>7.6169749727965181E-3</v>
      </c>
      <c r="AR40" s="121">
        <f>+Tabla46781635[[#This Row],[TOTAL]]*Tabla46781635[[#This Row],[% de las personas que lo usaron]]</f>
        <v>424.98288617748523</v>
      </c>
      <c r="AS40" s="122" t="s">
        <v>352</v>
      </c>
      <c r="AT40" s="335">
        <v>18</v>
      </c>
    </row>
    <row r="41" spans="1:46" x14ac:dyDescent="0.25">
      <c r="A41" s="7" t="s">
        <v>9</v>
      </c>
      <c r="B41" s="8" t="s">
        <v>220</v>
      </c>
      <c r="C41" s="96" t="str">
        <f>_xlfn.XLOOKUP(Tabla46781635[[#This Row],[Servicios del Programa:]],Tabla151[CODIGO],Tabla151[VALOR])</f>
        <v>Consultas</v>
      </c>
      <c r="D41" s="144">
        <v>1</v>
      </c>
      <c r="E41" s="56" cm="1">
        <f t="array" ref="E41">IF(D41="X",(_xlfn.XLOOKUP($B41,Tabla1[SERVICIO],Tabla1[VALOR])*1),IF(D41&gt;=1,_xlfn.XLOOKUP($B41,Tabla1[SERVICIO],Tabla1[VALOR]*D41),0))</f>
        <v>55794.181771015559</v>
      </c>
      <c r="F41" s="144"/>
      <c r="G41" s="56" cm="1">
        <f t="array" ref="G41">IF(F41="X",(_xlfn.XLOOKUP($B41,Tabla1[SERVICIO],Tabla1[VALOR])*1),IF(F41&gt;=1,_xlfn.XLOOKUP($B41,Tabla1[SERVICIO],Tabla1[VALOR]*F41),0))</f>
        <v>0</v>
      </c>
      <c r="H41" s="144"/>
      <c r="I41" s="56" cm="1">
        <f t="array" ref="I41">IF(H41="X",(_xlfn.XLOOKUP($B41,Tabla1[SERVICIO],Tabla1[VALOR])*1),IF(H41&gt;=1,_xlfn.XLOOKUP($B41,Tabla1[SERVICIO],Tabla1[VALOR]*H41),0))</f>
        <v>0</v>
      </c>
      <c r="J41" s="144"/>
      <c r="K41" s="56" cm="1">
        <f t="array" ref="K41">IF(J41="X",(_xlfn.XLOOKUP($B41,Tabla1[SERVICIO],Tabla1[VALOR])*1),IF(J41&gt;=1,_xlfn.XLOOKUP($B41,Tabla1[SERVICIO],Tabla1[VALOR]*J41),0))</f>
        <v>0</v>
      </c>
      <c r="L41" s="144"/>
      <c r="M41" s="56" cm="1">
        <f t="array" ref="M41">IF(L41="X",(_xlfn.XLOOKUP($B41,Tabla1[SERVICIO],Tabla1[VALOR])*1),IF(L41&gt;=1,_xlfn.XLOOKUP($B41,Tabla1[SERVICIO],Tabla1[VALOR]*L41),0))</f>
        <v>0</v>
      </c>
      <c r="N41" s="144"/>
      <c r="O41" s="56" cm="1">
        <f t="array" ref="O41">IF(N41="X",(_xlfn.XLOOKUP($B41,Tabla1[SERVICIO],Tabla1[VALOR])*1),IF(N41&gt;=1,_xlfn.XLOOKUP($B41,Tabla1[SERVICIO],Tabla1[VALOR]*N41),0))</f>
        <v>0</v>
      </c>
      <c r="P41" s="144"/>
      <c r="Q41" s="56" cm="1">
        <f t="array" ref="Q41">IF(P41="X",(_xlfn.XLOOKUP($B41,Tabla1[SERVICIO],Tabla1[VALOR])*1),IF(P41&gt;=1,_xlfn.XLOOKUP($B41,Tabla1[SERVICIO],Tabla1[VALOR]*P41),0))</f>
        <v>0</v>
      </c>
      <c r="R41" s="144"/>
      <c r="S41" s="56" cm="1">
        <f t="array" ref="S41">IF(R41="X",(_xlfn.XLOOKUP($B41,Tabla1[SERVICIO],Tabla1[VALOR])*1),IF(R41&gt;=1,_xlfn.XLOOKUP($B41,Tabla1[SERVICIO],Tabla1[VALOR]*R41),0))</f>
        <v>0</v>
      </c>
      <c r="T41" s="144"/>
      <c r="U41" s="56" cm="1">
        <f t="array" ref="U41">IF(T41="X",(_xlfn.XLOOKUP($B41,Tabla1[SERVICIO],Tabla1[VALOR])*1),IF(T41&gt;=1,_xlfn.XLOOKUP($B41,Tabla1[SERVICIO],Tabla1[VALOR]*T41),0))</f>
        <v>0</v>
      </c>
      <c r="V41" s="144"/>
      <c r="W41" s="56" cm="1">
        <f t="array" ref="W41">IF(V41="X",(_xlfn.XLOOKUP($B41,Tabla1[SERVICIO],Tabla1[VALOR])*1),IF(V41&gt;=1,_xlfn.XLOOKUP($B41,Tabla1[SERVICIO],Tabla1[VALOR]*V41),0))</f>
        <v>0</v>
      </c>
      <c r="X41" s="144"/>
      <c r="Y41" s="56" cm="1">
        <f t="array" ref="Y41">IF(X41="X",(_xlfn.XLOOKUP($B41,Tabla1[SERVICIO],Tabla1[VALOR])*1),IF(X41&gt;=1,_xlfn.XLOOKUP($B41,Tabla1[SERVICIO],Tabla1[VALOR]*X41),0))</f>
        <v>0</v>
      </c>
      <c r="Z41" s="144"/>
      <c r="AA41" s="56" cm="1">
        <f t="array" ref="AA41">IF(Z41="X",(_xlfn.XLOOKUP($B41,Tabla1[SERVICIO],Tabla1[VALOR])*1),IF(Z41&gt;=1,_xlfn.XLOOKUP($B41,Tabla1[SERVICIO],Tabla1[VALOR]*Z41),0))</f>
        <v>0</v>
      </c>
      <c r="AB41" s="144"/>
      <c r="AC41" s="56" cm="1">
        <f t="array" ref="AC41">IF(AB41="X",(_xlfn.XLOOKUP($B41,Tabla1[SERVICIO],Tabla1[VALOR])*1),IF(AB41&gt;=1,_xlfn.XLOOKUP($B41,Tabla1[SERVICIO],Tabla1[VALOR]*AB41),0))</f>
        <v>0</v>
      </c>
      <c r="AD41" s="144"/>
      <c r="AE41" s="56" cm="1">
        <f t="array" ref="AE41">IF(AD41="X",(_xlfn.XLOOKUP($B41,Tabla1[SERVICIO],Tabla1[VALOR])*1),IF(AD41&gt;=1,_xlfn.XLOOKUP($B41,Tabla1[SERVICIO],Tabla1[VALOR]*AD41),0))</f>
        <v>0</v>
      </c>
      <c r="AF41" s="144"/>
      <c r="AG41" s="56" cm="1">
        <f t="array" ref="AG41">IF(AF41="X",(_xlfn.XLOOKUP($B41,Tabla1[SERVICIO],Tabla1[VALOR])*1),IF(AF41&gt;=1,_xlfn.XLOOKUP($B41,Tabla1[SERVICIO],Tabla1[VALOR]*AF41),0))</f>
        <v>0</v>
      </c>
      <c r="AH41" s="144"/>
      <c r="AI41" s="56" cm="1">
        <f t="array" ref="AI41">IF(AH41="X",(_xlfn.XLOOKUP($B41,Tabla1[SERVICIO],Tabla1[VALOR])*1),IF(AH41&gt;=1,_xlfn.XLOOKUP($B41,Tabla1[SERVICIO],Tabla1[VALOR]*AH41),0))</f>
        <v>0</v>
      </c>
      <c r="AJ41" s="144"/>
      <c r="AK41" s="56" cm="1">
        <f t="array" ref="AK41">IF(AJ41="X",(_xlfn.XLOOKUP($B41,Tabla1[SERVICIO],Tabla1[VALOR])*1),IF(AJ41&gt;=1,_xlfn.XLOOKUP($B41,Tabla1[SERVICIO],Tabla1[VALOR]*AJ41),0))</f>
        <v>0</v>
      </c>
      <c r="AL41" s="144"/>
      <c r="AM41" s="56" cm="1">
        <f t="array" ref="AM41">IF(AL41="X",(_xlfn.XLOOKUP($B41,Tabla1[SERVICIO],Tabla1[VALOR])*1),IF(AL41&gt;=1,_xlfn.XLOOKUP($B41,Tabla1[SERVICIO],Tabla1[VALOR]*AL41),0))</f>
        <v>0</v>
      </c>
      <c r="AN41" s="86">
        <f t="shared" si="1"/>
        <v>55794.181771015559</v>
      </c>
      <c r="AO41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1" s="104" t="s">
        <v>319</v>
      </c>
      <c r="AQ41" s="150">
        <v>7.6169749727965181E-3</v>
      </c>
      <c r="AR41" s="121">
        <f>+Tabla46781635[[#This Row],[TOTAL]]*Tabla46781635[[#This Row],[% de las personas que lo usaron]]</f>
        <v>424.98288617748523</v>
      </c>
      <c r="AS41" s="122" t="s">
        <v>352</v>
      </c>
      <c r="AT41" s="335">
        <v>18</v>
      </c>
    </row>
    <row r="42" spans="1:46" x14ac:dyDescent="0.25">
      <c r="A42" s="7" t="s">
        <v>34</v>
      </c>
      <c r="B42" s="8" t="s">
        <v>35</v>
      </c>
      <c r="C42" s="96" t="str">
        <f>_xlfn.XLOOKUP(Tabla46781635[[#This Row],[Servicios del Programa:]],Tabla151[CODIGO],Tabla151[VALOR])</f>
        <v>Consultas</v>
      </c>
      <c r="D42" s="144">
        <v>1</v>
      </c>
      <c r="E42" s="56" cm="1">
        <f t="array" ref="E42">IF(D42="X",(_xlfn.XLOOKUP($B42,Tabla1[SERVICIO],Tabla1[VALOR])*1),IF(D42&gt;=1,_xlfn.XLOOKUP($B42,Tabla1[SERVICIO],Tabla1[VALOR]*D42),0))</f>
        <v>24009.730401318589</v>
      </c>
      <c r="F42" s="145"/>
      <c r="G42" s="56" cm="1">
        <f t="array" ref="G42">IF(F42="X",(_xlfn.XLOOKUP($B42,Tabla1[SERVICIO],Tabla1[VALOR])*1),IF(F42&gt;=1,_xlfn.XLOOKUP($B42,Tabla1[SERVICIO],Tabla1[VALOR]*F42),0))</f>
        <v>0</v>
      </c>
      <c r="H42" s="145"/>
      <c r="I42" s="56" cm="1">
        <f t="array" ref="I42">IF(H42="X",(_xlfn.XLOOKUP($B42,Tabla1[SERVICIO],Tabla1[VALOR])*1),IF(H42&gt;=1,_xlfn.XLOOKUP($B42,Tabla1[SERVICIO],Tabla1[VALOR]*H42),0))</f>
        <v>0</v>
      </c>
      <c r="J42" s="145"/>
      <c r="K42" s="56" cm="1">
        <f t="array" ref="K42">IF(J42="X",(_xlfn.XLOOKUP($B42,Tabla1[SERVICIO],Tabla1[VALOR])*1),IF(J42&gt;=1,_xlfn.XLOOKUP($B42,Tabla1[SERVICIO],Tabla1[VALOR]*J42),0))</f>
        <v>0</v>
      </c>
      <c r="L42" s="145"/>
      <c r="M42" s="56" cm="1">
        <f t="array" ref="M42">IF(L42="X",(_xlfn.XLOOKUP($B42,Tabla1[SERVICIO],Tabla1[VALOR])*1),IF(L42&gt;=1,_xlfn.XLOOKUP($B42,Tabla1[SERVICIO],Tabla1[VALOR]*L42),0))</f>
        <v>0</v>
      </c>
      <c r="N42" s="145"/>
      <c r="O42" s="56" cm="1">
        <f t="array" ref="O42">IF(N42="X",(_xlfn.XLOOKUP($B42,Tabla1[SERVICIO],Tabla1[VALOR])*1),IF(N42&gt;=1,_xlfn.XLOOKUP($B42,Tabla1[SERVICIO],Tabla1[VALOR]*N42),0))</f>
        <v>0</v>
      </c>
      <c r="P42" s="145"/>
      <c r="Q42" s="56" cm="1">
        <f t="array" ref="Q42">IF(P42="X",(_xlfn.XLOOKUP($B42,Tabla1[SERVICIO],Tabla1[VALOR])*1),IF(P42&gt;=1,_xlfn.XLOOKUP($B42,Tabla1[SERVICIO],Tabla1[VALOR]*P42),0))</f>
        <v>0</v>
      </c>
      <c r="R42" s="145"/>
      <c r="S42" s="56" cm="1">
        <f t="array" ref="S42">IF(R42="X",(_xlfn.XLOOKUP($B42,Tabla1[SERVICIO],Tabla1[VALOR])*1),IF(R42&gt;=1,_xlfn.XLOOKUP($B42,Tabla1[SERVICIO],Tabla1[VALOR]*R42),0))</f>
        <v>0</v>
      </c>
      <c r="T42" s="145"/>
      <c r="U42" s="56" cm="1">
        <f t="array" ref="U42">IF(T42="X",(_xlfn.XLOOKUP($B42,Tabla1[SERVICIO],Tabla1[VALOR])*1),IF(T42&gt;=1,_xlfn.XLOOKUP($B42,Tabla1[SERVICIO],Tabla1[VALOR]*T42),0))</f>
        <v>0</v>
      </c>
      <c r="V42" s="145"/>
      <c r="W42" s="56" cm="1">
        <f t="array" ref="W42">IF(V42="X",(_xlfn.XLOOKUP($B42,Tabla1[SERVICIO],Tabla1[VALOR])*1),IF(V42&gt;=1,_xlfn.XLOOKUP($B42,Tabla1[SERVICIO],Tabla1[VALOR]*V42),0))</f>
        <v>0</v>
      </c>
      <c r="X42" s="145"/>
      <c r="Y42" s="56" cm="1">
        <f t="array" ref="Y42">IF(X42="X",(_xlfn.XLOOKUP($B42,Tabla1[SERVICIO],Tabla1[VALOR])*1),IF(X42&gt;=1,_xlfn.XLOOKUP($B42,Tabla1[SERVICIO],Tabla1[VALOR]*X42),0))</f>
        <v>0</v>
      </c>
      <c r="Z42" s="145"/>
      <c r="AA42" s="56" cm="1">
        <f t="array" ref="AA42">IF(Z42="X",(_xlfn.XLOOKUP($B42,Tabla1[SERVICIO],Tabla1[VALOR])*1),IF(Z42&gt;=1,_xlfn.XLOOKUP($B42,Tabla1[SERVICIO],Tabla1[VALOR]*Z42),0))</f>
        <v>0</v>
      </c>
      <c r="AB42" s="145"/>
      <c r="AC42" s="56" cm="1">
        <f t="array" ref="AC42">IF(AB42="X",(_xlfn.XLOOKUP($B42,Tabla1[SERVICIO],Tabla1[VALOR])*1),IF(AB42&gt;=1,_xlfn.XLOOKUP($B42,Tabla1[SERVICIO],Tabla1[VALOR]*AB42),0))</f>
        <v>0</v>
      </c>
      <c r="AD42" s="145"/>
      <c r="AE42" s="56" cm="1">
        <f t="array" ref="AE42">IF(AD42="X",(_xlfn.XLOOKUP($B42,Tabla1[SERVICIO],Tabla1[VALOR])*1),IF(AD42&gt;=1,_xlfn.XLOOKUP($B42,Tabla1[SERVICIO],Tabla1[VALOR]*AD42),0))</f>
        <v>0</v>
      </c>
      <c r="AF42" s="145"/>
      <c r="AG42" s="56" cm="1">
        <f t="array" ref="AG42">IF(AF42="X",(_xlfn.XLOOKUP($B42,Tabla1[SERVICIO],Tabla1[VALOR])*1),IF(AF42&gt;=1,_xlfn.XLOOKUP($B42,Tabla1[SERVICIO],Tabla1[VALOR]*AF42),0))</f>
        <v>0</v>
      </c>
      <c r="AH42" s="145"/>
      <c r="AI42" s="56" cm="1">
        <f t="array" ref="AI42">IF(AH42="X",(_xlfn.XLOOKUP($B42,Tabla1[SERVICIO],Tabla1[VALOR])*1),IF(AH42&gt;=1,_xlfn.XLOOKUP($B42,Tabla1[SERVICIO],Tabla1[VALOR]*AH42),0))</f>
        <v>0</v>
      </c>
      <c r="AJ42" s="145"/>
      <c r="AK42" s="56" cm="1">
        <f t="array" ref="AK42">IF(AJ42="X",(_xlfn.XLOOKUP($B42,Tabla1[SERVICIO],Tabla1[VALOR])*1),IF(AJ42&gt;=1,_xlfn.XLOOKUP($B42,Tabla1[SERVICIO],Tabla1[VALOR]*AJ42),0))</f>
        <v>0</v>
      </c>
      <c r="AL42" s="145"/>
      <c r="AM42" s="56" cm="1">
        <f t="array" ref="AM42">IF(AL42="X",(_xlfn.XLOOKUP($B42,Tabla1[SERVICIO],Tabla1[VALOR])*1),IF(AL42&gt;=1,_xlfn.XLOOKUP($B42,Tabla1[SERVICIO],Tabla1[VALOR]*AL42),0))</f>
        <v>0</v>
      </c>
      <c r="AN42" s="86">
        <f t="shared" si="1"/>
        <v>24009.730401318589</v>
      </c>
      <c r="AO42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2" s="104" t="s">
        <v>319</v>
      </c>
      <c r="AQ42" s="150">
        <v>0.42981501632208924</v>
      </c>
      <c r="AR42" s="121">
        <f>+Tabla46781635[[#This Row],[TOTAL]]*Tabla46781635[[#This Row],[% de las personas que lo usaron]]</f>
        <v>10319.742664331712</v>
      </c>
      <c r="AS42" s="122" t="s">
        <v>352</v>
      </c>
      <c r="AT42" s="335">
        <v>18</v>
      </c>
    </row>
    <row r="43" spans="1:46" x14ac:dyDescent="0.25">
      <c r="A43" s="7" t="s">
        <v>32</v>
      </c>
      <c r="B43" s="8" t="s">
        <v>103</v>
      </c>
      <c r="C43" s="96" t="str">
        <f>_xlfn.XLOOKUP(Tabla46781635[[#This Row],[Servicios del Programa:]],Tabla151[CODIGO],Tabla151[VALOR])</f>
        <v>Consultas</v>
      </c>
      <c r="D43" s="144">
        <v>1</v>
      </c>
      <c r="E43" s="56" cm="1">
        <f t="array" ref="E43">IF(D43="X",(_xlfn.XLOOKUP($B43,Tabla1[SERVICIO],Tabla1[VALOR])*1),IF(D43&gt;=1,_xlfn.XLOOKUP($B43,Tabla1[SERVICIO],Tabla1[VALOR]*D43),0))</f>
        <v>24009.730401318589</v>
      </c>
      <c r="F43" s="144"/>
      <c r="G43" s="56" cm="1">
        <f t="array" ref="G43">IF(F43="X",(_xlfn.XLOOKUP($B43,Tabla1[SERVICIO],Tabla1[VALOR])*1),IF(F43&gt;=1,_xlfn.XLOOKUP($B43,Tabla1[SERVICIO],Tabla1[VALOR]*F43),0))</f>
        <v>0</v>
      </c>
      <c r="H43" s="144"/>
      <c r="I43" s="56" cm="1">
        <f t="array" ref="I43">IF(H43="X",(_xlfn.XLOOKUP($B43,Tabla1[SERVICIO],Tabla1[VALOR])*1),IF(H43&gt;=1,_xlfn.XLOOKUP($B43,Tabla1[SERVICIO],Tabla1[VALOR]*H43),0))</f>
        <v>0</v>
      </c>
      <c r="J43" s="144"/>
      <c r="K43" s="56" cm="1">
        <f t="array" ref="K43">IF(J43="X",(_xlfn.XLOOKUP($B43,Tabla1[SERVICIO],Tabla1[VALOR])*1),IF(J43&gt;=1,_xlfn.XLOOKUP($B43,Tabla1[SERVICIO],Tabla1[VALOR]*J43),0))</f>
        <v>0</v>
      </c>
      <c r="L43" s="144"/>
      <c r="M43" s="56" cm="1">
        <f t="array" ref="M43">IF(L43="X",(_xlfn.XLOOKUP($B43,Tabla1[SERVICIO],Tabla1[VALOR])*1),IF(L43&gt;=1,_xlfn.XLOOKUP($B43,Tabla1[SERVICIO],Tabla1[VALOR]*L43),0))</f>
        <v>0</v>
      </c>
      <c r="N43" s="144"/>
      <c r="O43" s="56" cm="1">
        <f t="array" ref="O43">IF(N43="X",(_xlfn.XLOOKUP($B43,Tabla1[SERVICIO],Tabla1[VALOR])*1),IF(N43&gt;=1,_xlfn.XLOOKUP($B43,Tabla1[SERVICIO],Tabla1[VALOR]*N43),0))</f>
        <v>0</v>
      </c>
      <c r="P43" s="144"/>
      <c r="Q43" s="56" cm="1">
        <f t="array" ref="Q43">IF(P43="X",(_xlfn.XLOOKUP($B43,Tabla1[SERVICIO],Tabla1[VALOR])*1),IF(P43&gt;=1,_xlfn.XLOOKUP($B43,Tabla1[SERVICIO],Tabla1[VALOR]*P43),0))</f>
        <v>0</v>
      </c>
      <c r="R43" s="144"/>
      <c r="S43" s="56" cm="1">
        <f t="array" ref="S43">IF(R43="X",(_xlfn.XLOOKUP($B43,Tabla1[SERVICIO],Tabla1[VALOR])*1),IF(R43&gt;=1,_xlfn.XLOOKUP($B43,Tabla1[SERVICIO],Tabla1[VALOR]*R43),0))</f>
        <v>0</v>
      </c>
      <c r="T43" s="144"/>
      <c r="U43" s="56" cm="1">
        <f t="array" ref="U43">IF(T43="X",(_xlfn.XLOOKUP($B43,Tabla1[SERVICIO],Tabla1[VALOR])*1),IF(T43&gt;=1,_xlfn.XLOOKUP($B43,Tabla1[SERVICIO],Tabla1[VALOR]*T43),0))</f>
        <v>0</v>
      </c>
      <c r="V43" s="144"/>
      <c r="W43" s="56" cm="1">
        <f t="array" ref="W43">IF(V43="X",(_xlfn.XLOOKUP($B43,Tabla1[SERVICIO],Tabla1[VALOR])*1),IF(V43&gt;=1,_xlfn.XLOOKUP($B43,Tabla1[SERVICIO],Tabla1[VALOR]*V43),0))</f>
        <v>0</v>
      </c>
      <c r="X43" s="144"/>
      <c r="Y43" s="56" cm="1">
        <f t="array" ref="Y43">IF(X43="X",(_xlfn.XLOOKUP($B43,Tabla1[SERVICIO],Tabla1[VALOR])*1),IF(X43&gt;=1,_xlfn.XLOOKUP($B43,Tabla1[SERVICIO],Tabla1[VALOR]*X43),0))</f>
        <v>0</v>
      </c>
      <c r="Z43" s="144"/>
      <c r="AA43" s="56" cm="1">
        <f t="array" ref="AA43">IF(Z43="X",(_xlfn.XLOOKUP($B43,Tabla1[SERVICIO],Tabla1[VALOR])*1),IF(Z43&gt;=1,_xlfn.XLOOKUP($B43,Tabla1[SERVICIO],Tabla1[VALOR]*Z43),0))</f>
        <v>0</v>
      </c>
      <c r="AB43" s="144"/>
      <c r="AC43" s="56" cm="1">
        <f t="array" ref="AC43">IF(AB43="X",(_xlfn.XLOOKUP($B43,Tabla1[SERVICIO],Tabla1[VALOR])*1),IF(AB43&gt;=1,_xlfn.XLOOKUP($B43,Tabla1[SERVICIO],Tabla1[VALOR]*AB43),0))</f>
        <v>0</v>
      </c>
      <c r="AD43" s="144"/>
      <c r="AE43" s="56" cm="1">
        <f t="array" ref="AE43">IF(AD43="X",(_xlfn.XLOOKUP($B43,Tabla1[SERVICIO],Tabla1[VALOR])*1),IF(AD43&gt;=1,_xlfn.XLOOKUP($B43,Tabla1[SERVICIO],Tabla1[VALOR]*AD43),0))</f>
        <v>0</v>
      </c>
      <c r="AF43" s="144"/>
      <c r="AG43" s="56" cm="1">
        <f t="array" ref="AG43">IF(AF43="X",(_xlfn.XLOOKUP($B43,Tabla1[SERVICIO],Tabla1[VALOR])*1),IF(AF43&gt;=1,_xlfn.XLOOKUP($B43,Tabla1[SERVICIO],Tabla1[VALOR]*AF43),0))</f>
        <v>0</v>
      </c>
      <c r="AH43" s="144"/>
      <c r="AI43" s="56" cm="1">
        <f t="array" ref="AI43">IF(AH43="X",(_xlfn.XLOOKUP($B43,Tabla1[SERVICIO],Tabla1[VALOR])*1),IF(AH43&gt;=1,_xlfn.XLOOKUP($B43,Tabla1[SERVICIO],Tabla1[VALOR]*AH43),0))</f>
        <v>0</v>
      </c>
      <c r="AJ43" s="144"/>
      <c r="AK43" s="56" cm="1">
        <f t="array" ref="AK43">IF(AJ43="X",(_xlfn.XLOOKUP($B43,Tabla1[SERVICIO],Tabla1[VALOR])*1),IF(AJ43&gt;=1,_xlfn.XLOOKUP($B43,Tabla1[SERVICIO],Tabla1[VALOR]*AJ43),0))</f>
        <v>0</v>
      </c>
      <c r="AL43" s="144"/>
      <c r="AM43" s="56" cm="1">
        <f t="array" ref="AM43">IF(AL43="X",(_xlfn.XLOOKUP($B43,Tabla1[SERVICIO],Tabla1[VALOR])*1),IF(AL43&gt;=1,_xlfn.XLOOKUP($B43,Tabla1[SERVICIO],Tabla1[VALOR]*AL43),0))</f>
        <v>0</v>
      </c>
      <c r="AN43" s="86">
        <f t="shared" si="1"/>
        <v>24009.730401318589</v>
      </c>
      <c r="AO43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3" s="104" t="s">
        <v>319</v>
      </c>
      <c r="AQ43" s="150">
        <v>1.088139281828074E-3</v>
      </c>
      <c r="AR43" s="121">
        <f>+Tabla46781635[[#This Row],[TOTAL]]*Tabla46781635[[#This Row],[% de las personas que lo usaron]]</f>
        <v>26.125930795776487</v>
      </c>
      <c r="AS43" s="122" t="s">
        <v>352</v>
      </c>
      <c r="AT43" s="335">
        <v>18</v>
      </c>
    </row>
    <row r="44" spans="1:46" x14ac:dyDescent="0.25">
      <c r="A44" s="7" t="s">
        <v>3</v>
      </c>
      <c r="B44" s="8" t="s">
        <v>4</v>
      </c>
      <c r="C44" s="96" t="str">
        <f>_xlfn.XLOOKUP(Tabla46781635[[#This Row],[Servicios del Programa:]],Tabla151[CODIGO],Tabla151[VALOR])</f>
        <v>Consultas</v>
      </c>
      <c r="D44" s="144">
        <v>1</v>
      </c>
      <c r="E44" s="56" cm="1">
        <f t="array" ref="E44">IF(D44="X",(_xlfn.XLOOKUP($B44,Tabla1[SERVICIO],Tabla1[VALOR])*1),IF(D44&gt;=1,_xlfn.XLOOKUP($B44,Tabla1[SERVICIO],Tabla1[VALOR]*D44),0))</f>
        <v>20406.13276336317</v>
      </c>
      <c r="F44" s="145"/>
      <c r="G44" s="56" cm="1">
        <f t="array" ref="G44">IF(F44="X",(_xlfn.XLOOKUP($B44,Tabla1[SERVICIO],Tabla1[VALOR])*1),IF(F44&gt;=1,_xlfn.XLOOKUP($B44,Tabla1[SERVICIO],Tabla1[VALOR]*F44),0))</f>
        <v>0</v>
      </c>
      <c r="H44" s="145"/>
      <c r="I44" s="56" cm="1">
        <f t="array" ref="I44">IF(H44="X",(_xlfn.XLOOKUP($B44,Tabla1[SERVICIO],Tabla1[VALOR])*1),IF(H44&gt;=1,_xlfn.XLOOKUP($B44,Tabla1[SERVICIO],Tabla1[VALOR]*H44),0))</f>
        <v>0</v>
      </c>
      <c r="J44" s="145"/>
      <c r="K44" s="56" cm="1">
        <f t="array" ref="K44">IF(J44="X",(_xlfn.XLOOKUP($B44,Tabla1[SERVICIO],Tabla1[VALOR])*1),IF(J44&gt;=1,_xlfn.XLOOKUP($B44,Tabla1[SERVICIO],Tabla1[VALOR]*J44),0))</f>
        <v>0</v>
      </c>
      <c r="L44" s="145"/>
      <c r="M44" s="56" cm="1">
        <f t="array" ref="M44">IF(L44="X",(_xlfn.XLOOKUP($B44,Tabla1[SERVICIO],Tabla1[VALOR])*1),IF(L44&gt;=1,_xlfn.XLOOKUP($B44,Tabla1[SERVICIO],Tabla1[VALOR]*L44),0))</f>
        <v>0</v>
      </c>
      <c r="N44" s="145"/>
      <c r="O44" s="56" cm="1">
        <f t="array" ref="O44">IF(N44="X",(_xlfn.XLOOKUP($B44,Tabla1[SERVICIO],Tabla1[VALOR])*1),IF(N44&gt;=1,_xlfn.XLOOKUP($B44,Tabla1[SERVICIO],Tabla1[VALOR]*N44),0))</f>
        <v>0</v>
      </c>
      <c r="P44" s="145"/>
      <c r="Q44" s="56" cm="1">
        <f t="array" ref="Q44">IF(P44="X",(_xlfn.XLOOKUP($B44,Tabla1[SERVICIO],Tabla1[VALOR])*1),IF(P44&gt;=1,_xlfn.XLOOKUP($B44,Tabla1[SERVICIO],Tabla1[VALOR]*P44),0))</f>
        <v>0</v>
      </c>
      <c r="R44" s="145"/>
      <c r="S44" s="56" cm="1">
        <f t="array" ref="S44">IF(R44="X",(_xlfn.XLOOKUP($B44,Tabla1[SERVICIO],Tabla1[VALOR])*1),IF(R44&gt;=1,_xlfn.XLOOKUP($B44,Tabla1[SERVICIO],Tabla1[VALOR]*R44),0))</f>
        <v>0</v>
      </c>
      <c r="T44" s="145"/>
      <c r="U44" s="56" cm="1">
        <f t="array" ref="U44">IF(T44="X",(_xlfn.XLOOKUP($B44,Tabla1[SERVICIO],Tabla1[VALOR])*1),IF(T44&gt;=1,_xlfn.XLOOKUP($B44,Tabla1[SERVICIO],Tabla1[VALOR]*T44),0))</f>
        <v>0</v>
      </c>
      <c r="V44" s="145"/>
      <c r="W44" s="56" cm="1">
        <f t="array" ref="W44">IF(V44="X",(_xlfn.XLOOKUP($B44,Tabla1[SERVICIO],Tabla1[VALOR])*1),IF(V44&gt;=1,_xlfn.XLOOKUP($B44,Tabla1[SERVICIO],Tabla1[VALOR]*V44),0))</f>
        <v>0</v>
      </c>
      <c r="X44" s="145"/>
      <c r="Y44" s="56" cm="1">
        <f t="array" ref="Y44">IF(X44="X",(_xlfn.XLOOKUP($B44,Tabla1[SERVICIO],Tabla1[VALOR])*1),IF(X44&gt;=1,_xlfn.XLOOKUP($B44,Tabla1[SERVICIO],Tabla1[VALOR]*X44),0))</f>
        <v>0</v>
      </c>
      <c r="Z44" s="145"/>
      <c r="AA44" s="56" cm="1">
        <f t="array" ref="AA44">IF(Z44="X",(_xlfn.XLOOKUP($B44,Tabla1[SERVICIO],Tabla1[VALOR])*1),IF(Z44&gt;=1,_xlfn.XLOOKUP($B44,Tabla1[SERVICIO],Tabla1[VALOR]*Z44),0))</f>
        <v>0</v>
      </c>
      <c r="AB44" s="145"/>
      <c r="AC44" s="56" cm="1">
        <f t="array" ref="AC44">IF(AB44="X",(_xlfn.XLOOKUP($B44,Tabla1[SERVICIO],Tabla1[VALOR])*1),IF(AB44&gt;=1,_xlfn.XLOOKUP($B44,Tabla1[SERVICIO],Tabla1[VALOR]*AB44),0))</f>
        <v>0</v>
      </c>
      <c r="AD44" s="145"/>
      <c r="AE44" s="56" cm="1">
        <f t="array" ref="AE44">IF(AD44="X",(_xlfn.XLOOKUP($B44,Tabla1[SERVICIO],Tabla1[VALOR])*1),IF(AD44&gt;=1,_xlfn.XLOOKUP($B44,Tabla1[SERVICIO],Tabla1[VALOR]*AD44),0))</f>
        <v>0</v>
      </c>
      <c r="AF44" s="145"/>
      <c r="AG44" s="56" cm="1">
        <f t="array" ref="AG44">IF(AF44="X",(_xlfn.XLOOKUP($B44,Tabla1[SERVICIO],Tabla1[VALOR])*1),IF(AF44&gt;=1,_xlfn.XLOOKUP($B44,Tabla1[SERVICIO],Tabla1[VALOR]*AF44),0))</f>
        <v>0</v>
      </c>
      <c r="AH44" s="145"/>
      <c r="AI44" s="56" cm="1">
        <f t="array" ref="AI44">IF(AH44="X",(_xlfn.XLOOKUP($B44,Tabla1[SERVICIO],Tabla1[VALOR])*1),IF(AH44&gt;=1,_xlfn.XLOOKUP($B44,Tabla1[SERVICIO],Tabla1[VALOR]*AH44),0))</f>
        <v>0</v>
      </c>
      <c r="AJ44" s="145"/>
      <c r="AK44" s="56" cm="1">
        <f t="array" ref="AK44">IF(AJ44="X",(_xlfn.XLOOKUP($B44,Tabla1[SERVICIO],Tabla1[VALOR])*1),IF(AJ44&gt;=1,_xlfn.XLOOKUP($B44,Tabla1[SERVICIO],Tabla1[VALOR]*AJ44),0))</f>
        <v>0</v>
      </c>
      <c r="AL44" s="145"/>
      <c r="AM44" s="56" cm="1">
        <f t="array" ref="AM44">IF(AL44="X",(_xlfn.XLOOKUP($B44,Tabla1[SERVICIO],Tabla1[VALOR])*1),IF(AL44&gt;=1,_xlfn.XLOOKUP($B44,Tabla1[SERVICIO],Tabla1[VALOR]*AL44),0))</f>
        <v>0</v>
      </c>
      <c r="AN44" s="86">
        <f t="shared" si="1"/>
        <v>20406.13276336317</v>
      </c>
      <c r="AO44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4" s="158" t="s">
        <v>318</v>
      </c>
      <c r="AQ44" s="150">
        <v>1</v>
      </c>
      <c r="AR44" s="121">
        <f>+Tabla46781635[[#This Row],[TOTAL]]*Tabla46781635[[#This Row],[% de las personas que lo usaron]]</f>
        <v>20406.13276336317</v>
      </c>
      <c r="AS44" s="122" t="s">
        <v>352</v>
      </c>
      <c r="AT44" s="335">
        <v>18</v>
      </c>
    </row>
    <row r="45" spans="1:46" x14ac:dyDescent="0.25">
      <c r="A45" s="7" t="s">
        <v>15</v>
      </c>
      <c r="B45" s="8" t="s">
        <v>16</v>
      </c>
      <c r="C45" s="96" t="str">
        <f>_xlfn.XLOOKUP(Tabla46781635[[#This Row],[Servicios del Programa:]],Tabla151[CODIGO],Tabla151[VALOR])</f>
        <v>Consultas</v>
      </c>
      <c r="D45" s="145"/>
      <c r="E45" s="56" cm="1">
        <f t="array" ref="E45">IF(D45="X",(_xlfn.XLOOKUP($B45,Tabla1[SERVICIO],Tabla1[VALOR])*1),IF(D45&gt;=1,_xlfn.XLOOKUP($B45,Tabla1[SERVICIO],Tabla1[VALOR]*D45),0))</f>
        <v>0</v>
      </c>
      <c r="F45" s="145"/>
      <c r="G45" s="56" cm="1">
        <f t="array" ref="G45">IF(F45="X",(_xlfn.XLOOKUP($B45,Tabla1[SERVICIO],Tabla1[VALOR])*1),IF(F45&gt;=1,_xlfn.XLOOKUP($B45,Tabla1[SERVICIO],Tabla1[VALOR]*F45),0))</f>
        <v>0</v>
      </c>
      <c r="H45" s="145"/>
      <c r="I45" s="56" cm="1">
        <f t="array" ref="I45">IF(H45="X",(_xlfn.XLOOKUP($B45,Tabla1[SERVICIO],Tabla1[VALOR])*1),IF(H45&gt;=1,_xlfn.XLOOKUP($B45,Tabla1[SERVICIO],Tabla1[VALOR]*H45),0))</f>
        <v>0</v>
      </c>
      <c r="J45" s="145"/>
      <c r="K45" s="56" cm="1">
        <f t="array" ref="K45">IF(J45="X",(_xlfn.XLOOKUP($B45,Tabla1[SERVICIO],Tabla1[VALOR])*1),IF(J45&gt;=1,_xlfn.XLOOKUP($B45,Tabla1[SERVICIO],Tabla1[VALOR]*J45),0))</f>
        <v>0</v>
      </c>
      <c r="L45" s="145"/>
      <c r="M45" s="56" cm="1">
        <f t="array" ref="M45">IF(L45="X",(_xlfn.XLOOKUP($B45,Tabla1[SERVICIO],Tabla1[VALOR])*1),IF(L45&gt;=1,_xlfn.XLOOKUP($B45,Tabla1[SERVICIO],Tabla1[VALOR]*L45),0))</f>
        <v>0</v>
      </c>
      <c r="N45" s="144">
        <v>1</v>
      </c>
      <c r="O45" s="56" cm="1">
        <f t="array" ref="O45">IF(N45="X",(_xlfn.XLOOKUP($B45,Tabla1[SERVICIO],Tabla1[VALOR])*1),IF(N45&gt;=1,_xlfn.XLOOKUP($B45,Tabla1[SERVICIO],Tabla1[VALOR]*N45),0))</f>
        <v>22052.520800552971</v>
      </c>
      <c r="P45" s="145"/>
      <c r="Q45" s="56" cm="1">
        <f t="array" ref="Q45">IF(P45="X",(_xlfn.XLOOKUP($B45,Tabla1[SERVICIO],Tabla1[VALOR])*1),IF(P45&gt;=1,_xlfn.XLOOKUP($B45,Tabla1[SERVICIO],Tabla1[VALOR]*P45),0))</f>
        <v>0</v>
      </c>
      <c r="R45" s="145"/>
      <c r="S45" s="56" cm="1">
        <f t="array" ref="S45">IF(R45="X",(_xlfn.XLOOKUP($B45,Tabla1[SERVICIO],Tabla1[VALOR])*1),IF(R45&gt;=1,_xlfn.XLOOKUP($B45,Tabla1[SERVICIO],Tabla1[VALOR]*R45),0))</f>
        <v>0</v>
      </c>
      <c r="T45" s="145"/>
      <c r="U45" s="56" cm="1">
        <f t="array" ref="U45">IF(T45="X",(_xlfn.XLOOKUP($B45,Tabla1[SERVICIO],Tabla1[VALOR])*1),IF(T45&gt;=1,_xlfn.XLOOKUP($B45,Tabla1[SERVICIO],Tabla1[VALOR]*T45),0))</f>
        <v>0</v>
      </c>
      <c r="V45" s="145"/>
      <c r="W45" s="56" cm="1">
        <f t="array" ref="W45">IF(V45="X",(_xlfn.XLOOKUP($B45,Tabla1[SERVICIO],Tabla1[VALOR])*1),IF(V45&gt;=1,_xlfn.XLOOKUP($B45,Tabla1[SERVICIO],Tabla1[VALOR]*V45),0))</f>
        <v>0</v>
      </c>
      <c r="X45" s="145"/>
      <c r="Y45" s="56" cm="1">
        <f t="array" ref="Y45">IF(X45="X",(_xlfn.XLOOKUP($B45,Tabla1[SERVICIO],Tabla1[VALOR])*1),IF(X45&gt;=1,_xlfn.XLOOKUP($B45,Tabla1[SERVICIO],Tabla1[VALOR]*X45),0))</f>
        <v>0</v>
      </c>
      <c r="Z45" s="145"/>
      <c r="AA45" s="56" cm="1">
        <f t="array" ref="AA45">IF(Z45="X",(_xlfn.XLOOKUP($B45,Tabla1[SERVICIO],Tabla1[VALOR])*1),IF(Z45&gt;=1,_xlfn.XLOOKUP($B45,Tabla1[SERVICIO],Tabla1[VALOR]*Z45),0))</f>
        <v>0</v>
      </c>
      <c r="AB45" s="145"/>
      <c r="AC45" s="56" cm="1">
        <f t="array" ref="AC45">IF(AB45="X",(_xlfn.XLOOKUP($B45,Tabla1[SERVICIO],Tabla1[VALOR])*1),IF(AB45&gt;=1,_xlfn.XLOOKUP($B45,Tabla1[SERVICIO],Tabla1[VALOR]*AB45),0))</f>
        <v>0</v>
      </c>
      <c r="AD45" s="145"/>
      <c r="AE45" s="56" cm="1">
        <f t="array" ref="AE45">IF(AD45="X",(_xlfn.XLOOKUP($B45,Tabla1[SERVICIO],Tabla1[VALOR])*1),IF(AD45&gt;=1,_xlfn.XLOOKUP($B45,Tabla1[SERVICIO],Tabla1[VALOR]*AD45),0))</f>
        <v>0</v>
      </c>
      <c r="AF45" s="145"/>
      <c r="AG45" s="56" cm="1">
        <f t="array" ref="AG45">IF(AF45="X",(_xlfn.XLOOKUP($B45,Tabla1[SERVICIO],Tabla1[VALOR])*1),IF(AF45&gt;=1,_xlfn.XLOOKUP($B45,Tabla1[SERVICIO],Tabla1[VALOR]*AF45),0))</f>
        <v>0</v>
      </c>
      <c r="AH45" s="145"/>
      <c r="AI45" s="56" cm="1">
        <f t="array" ref="AI45">IF(AH45="X",(_xlfn.XLOOKUP($B45,Tabla1[SERVICIO],Tabla1[VALOR])*1),IF(AH45&gt;=1,_xlfn.XLOOKUP($B45,Tabla1[SERVICIO],Tabla1[VALOR]*AH45),0))</f>
        <v>0</v>
      </c>
      <c r="AJ45" s="145"/>
      <c r="AK45" s="56" cm="1">
        <f t="array" ref="AK45">IF(AJ45="X",(_xlfn.XLOOKUP($B45,Tabla1[SERVICIO],Tabla1[VALOR])*1),IF(AJ45&gt;=1,_xlfn.XLOOKUP($B45,Tabla1[SERVICIO],Tabla1[VALOR]*AJ45),0))</f>
        <v>0</v>
      </c>
      <c r="AL45" s="144">
        <v>1</v>
      </c>
      <c r="AM45" s="56" cm="1">
        <f t="array" ref="AM45">IF(AL45="X",(_xlfn.XLOOKUP($B45,Tabla1[SERVICIO],Tabla1[VALOR])*1),IF(AL45&gt;=1,_xlfn.XLOOKUP($B45,Tabla1[SERVICIO],Tabla1[VALOR]*AL45),0))</f>
        <v>22052.520800552971</v>
      </c>
      <c r="AN45" s="86">
        <f t="shared" si="1"/>
        <v>44105.041601105942</v>
      </c>
      <c r="AO45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45" s="104" t="s">
        <v>319</v>
      </c>
      <c r="AQ45" s="150">
        <v>0.15233949945593037</v>
      </c>
      <c r="AR45" s="121">
        <f>+Tabla46781635[[#This Row],[TOTAL]]*Tabla46781635[[#This Row],[% de las personas que lo usaron]]</f>
        <v>6718.9399609954653</v>
      </c>
      <c r="AS45" s="122" t="s">
        <v>352</v>
      </c>
      <c r="AT45" s="335">
        <v>18</v>
      </c>
    </row>
    <row r="46" spans="1:46" x14ac:dyDescent="0.25">
      <c r="A46" s="7" t="s">
        <v>52</v>
      </c>
      <c r="B46" s="8" t="s">
        <v>191</v>
      </c>
      <c r="C46" s="96" t="str">
        <f>_xlfn.XLOOKUP(Tabla46781635[[#This Row],[Servicios del Programa:]],Tabla151[CODIGO],Tabla151[VALOR])</f>
        <v>Consultas</v>
      </c>
      <c r="D46" s="144">
        <v>1</v>
      </c>
      <c r="E46" s="56" cm="1">
        <f t="array" ref="E46">IF(D46="X",(_xlfn.XLOOKUP($B46,Tabla1[SERVICIO],Tabla1[VALOR])*1),IF(D46&gt;=1,_xlfn.XLOOKUP($B46,Tabla1[SERVICIO],Tabla1[VALOR]*D46),0))</f>
        <v>26897.079640267821</v>
      </c>
      <c r="F46" s="145"/>
      <c r="G46" s="56" cm="1">
        <f t="array" ref="G46">IF(F46="X",(_xlfn.XLOOKUP($B46,Tabla1[SERVICIO],Tabla1[VALOR])*1),IF(F46&gt;=1,_xlfn.XLOOKUP($B46,Tabla1[SERVICIO],Tabla1[VALOR]*F46),0))</f>
        <v>0</v>
      </c>
      <c r="H46" s="145"/>
      <c r="I46" s="56" cm="1">
        <f t="array" ref="I46">IF(H46="X",(_xlfn.XLOOKUP($B46,Tabla1[SERVICIO],Tabla1[VALOR])*1),IF(H46&gt;=1,_xlfn.XLOOKUP($B46,Tabla1[SERVICIO],Tabla1[VALOR]*H46),0))</f>
        <v>0</v>
      </c>
      <c r="J46" s="145"/>
      <c r="K46" s="56" cm="1">
        <f t="array" ref="K46">IF(J46="X",(_xlfn.XLOOKUP($B46,Tabla1[SERVICIO],Tabla1[VALOR])*1),IF(J46&gt;=1,_xlfn.XLOOKUP($B46,Tabla1[SERVICIO],Tabla1[VALOR]*J46),0))</f>
        <v>0</v>
      </c>
      <c r="L46" s="145"/>
      <c r="M46" s="56" cm="1">
        <f t="array" ref="M46">IF(L46="X",(_xlfn.XLOOKUP($B46,Tabla1[SERVICIO],Tabla1[VALOR])*1),IF(L46&gt;=1,_xlfn.XLOOKUP($B46,Tabla1[SERVICIO],Tabla1[VALOR]*L46),0))</f>
        <v>0</v>
      </c>
      <c r="N46" s="145"/>
      <c r="O46" s="56" cm="1">
        <f t="array" ref="O46">IF(N46="X",(_xlfn.XLOOKUP($B46,Tabla1[SERVICIO],Tabla1[VALOR])*1),IF(N46&gt;=1,_xlfn.XLOOKUP($B46,Tabla1[SERVICIO],Tabla1[VALOR]*N46),0))</f>
        <v>0</v>
      </c>
      <c r="P46" s="145"/>
      <c r="Q46" s="56" cm="1">
        <f t="array" ref="Q46">IF(P46="X",(_xlfn.XLOOKUP($B46,Tabla1[SERVICIO],Tabla1[VALOR])*1),IF(P46&gt;=1,_xlfn.XLOOKUP($B46,Tabla1[SERVICIO],Tabla1[VALOR]*P46),0))</f>
        <v>0</v>
      </c>
      <c r="R46" s="145"/>
      <c r="S46" s="56" cm="1">
        <f t="array" ref="S46">IF(R46="X",(_xlfn.XLOOKUP($B46,Tabla1[SERVICIO],Tabla1[VALOR])*1),IF(R46&gt;=1,_xlfn.XLOOKUP($B46,Tabla1[SERVICIO],Tabla1[VALOR]*R46),0))</f>
        <v>0</v>
      </c>
      <c r="T46" s="145"/>
      <c r="U46" s="56" cm="1">
        <f t="array" ref="U46">IF(T46="X",(_xlfn.XLOOKUP($B46,Tabla1[SERVICIO],Tabla1[VALOR])*1),IF(T46&gt;=1,_xlfn.XLOOKUP($B46,Tabla1[SERVICIO],Tabla1[VALOR]*T46),0))</f>
        <v>0</v>
      </c>
      <c r="V46" s="145"/>
      <c r="W46" s="56" cm="1">
        <f t="array" ref="W46">IF(V46="X",(_xlfn.XLOOKUP($B46,Tabla1[SERVICIO],Tabla1[VALOR])*1),IF(V46&gt;=1,_xlfn.XLOOKUP($B46,Tabla1[SERVICIO],Tabla1[VALOR]*V46),0))</f>
        <v>0</v>
      </c>
      <c r="X46" s="145"/>
      <c r="Y46" s="56" cm="1">
        <f t="array" ref="Y46">IF(X46="X",(_xlfn.XLOOKUP($B46,Tabla1[SERVICIO],Tabla1[VALOR])*1),IF(X46&gt;=1,_xlfn.XLOOKUP($B46,Tabla1[SERVICIO],Tabla1[VALOR]*X46),0))</f>
        <v>0</v>
      </c>
      <c r="Z46" s="145"/>
      <c r="AA46" s="56" cm="1">
        <f t="array" ref="AA46">IF(Z46="X",(_xlfn.XLOOKUP($B46,Tabla1[SERVICIO],Tabla1[VALOR])*1),IF(Z46&gt;=1,_xlfn.XLOOKUP($B46,Tabla1[SERVICIO],Tabla1[VALOR]*Z46),0))</f>
        <v>0</v>
      </c>
      <c r="AB46" s="145"/>
      <c r="AC46" s="56" cm="1">
        <f t="array" ref="AC46">IF(AB46="X",(_xlfn.XLOOKUP($B46,Tabla1[SERVICIO],Tabla1[VALOR])*1),IF(AB46&gt;=1,_xlfn.XLOOKUP($B46,Tabla1[SERVICIO],Tabla1[VALOR]*AB46),0))</f>
        <v>0</v>
      </c>
      <c r="AD46" s="145"/>
      <c r="AE46" s="56" cm="1">
        <f t="array" ref="AE46">IF(AD46="X",(_xlfn.XLOOKUP($B46,Tabla1[SERVICIO],Tabla1[VALOR])*1),IF(AD46&gt;=1,_xlfn.XLOOKUP($B46,Tabla1[SERVICIO],Tabla1[VALOR]*AD46),0))</f>
        <v>0</v>
      </c>
      <c r="AF46" s="145"/>
      <c r="AG46" s="56" cm="1">
        <f t="array" ref="AG46">IF(AF46="X",(_xlfn.XLOOKUP($B46,Tabla1[SERVICIO],Tabla1[VALOR])*1),IF(AF46&gt;=1,_xlfn.XLOOKUP($B46,Tabla1[SERVICIO],Tabla1[VALOR]*AF46),0))</f>
        <v>0</v>
      </c>
      <c r="AH46" s="145"/>
      <c r="AI46" s="56" cm="1">
        <f t="array" ref="AI46">IF(AH46="X",(_xlfn.XLOOKUP($B46,Tabla1[SERVICIO],Tabla1[VALOR])*1),IF(AH46&gt;=1,_xlfn.XLOOKUP($B46,Tabla1[SERVICIO],Tabla1[VALOR]*AH46),0))</f>
        <v>0</v>
      </c>
      <c r="AJ46" s="145"/>
      <c r="AK46" s="56" cm="1">
        <f t="array" ref="AK46">IF(AJ46="X",(_xlfn.XLOOKUP($B46,Tabla1[SERVICIO],Tabla1[VALOR])*1),IF(AJ46&gt;=1,_xlfn.XLOOKUP($B46,Tabla1[SERVICIO],Tabla1[VALOR]*AJ46),0))</f>
        <v>0</v>
      </c>
      <c r="AL46" s="145"/>
      <c r="AM46" s="56" cm="1">
        <f t="array" ref="AM46">IF(AL46="X",(_xlfn.XLOOKUP($B46,Tabla1[SERVICIO],Tabla1[VALOR])*1),IF(AL46&gt;=1,_xlfn.XLOOKUP($B46,Tabla1[SERVICIO],Tabla1[VALOR]*AL46),0))</f>
        <v>0</v>
      </c>
      <c r="AN46" s="86">
        <f t="shared" si="1"/>
        <v>26897.079640267821</v>
      </c>
      <c r="AO46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6" s="104" t="s">
        <v>319</v>
      </c>
      <c r="AQ46" s="150">
        <v>3.2644178454842221E-3</v>
      </c>
      <c r="AR46" s="121">
        <f>+Tabla46781635[[#This Row],[TOTAL]]*Tabla46781635[[#This Row],[% de las personas que lo usaron]]</f>
        <v>87.803306769100615</v>
      </c>
      <c r="AS46" s="122" t="s">
        <v>352</v>
      </c>
      <c r="AT46" s="335">
        <v>18</v>
      </c>
    </row>
    <row r="47" spans="1:46" x14ac:dyDescent="0.25">
      <c r="A47" s="7" t="s">
        <v>53</v>
      </c>
      <c r="B47" s="8" t="s">
        <v>230</v>
      </c>
      <c r="C47" s="96" t="str">
        <f>_xlfn.XLOOKUP(Tabla46781635[[#This Row],[Servicios del Programa:]],Tabla151[CODIGO],Tabla151[VALOR])</f>
        <v>Consultas</v>
      </c>
      <c r="D47" s="144">
        <v>1</v>
      </c>
      <c r="E47" s="56" cm="1">
        <f t="array" ref="E47">IF(D47="X",(_xlfn.XLOOKUP($B47,Tabla1[SERVICIO],Tabla1[VALOR])*1),IF(D47&gt;=1,_xlfn.XLOOKUP($B47,Tabla1[SERVICIO],Tabla1[VALOR]*D47),0))</f>
        <v>26897.079640267817</v>
      </c>
      <c r="F47" s="144"/>
      <c r="G47" s="56" cm="1">
        <f t="array" ref="G47">IF(F47="X",(_xlfn.XLOOKUP($B47,Tabla1[SERVICIO],Tabla1[VALOR])*1),IF(F47&gt;=1,_xlfn.XLOOKUP($B47,Tabla1[SERVICIO],Tabla1[VALOR]*F47),0))</f>
        <v>0</v>
      </c>
      <c r="H47" s="144"/>
      <c r="I47" s="56" cm="1">
        <f t="array" ref="I47">IF(H47="X",(_xlfn.XLOOKUP($B47,Tabla1[SERVICIO],Tabla1[VALOR])*1),IF(H47&gt;=1,_xlfn.XLOOKUP($B47,Tabla1[SERVICIO],Tabla1[VALOR]*H47),0))</f>
        <v>0</v>
      </c>
      <c r="J47" s="144"/>
      <c r="K47" s="56" cm="1">
        <f t="array" ref="K47">IF(J47="X",(_xlfn.XLOOKUP($B47,Tabla1[SERVICIO],Tabla1[VALOR])*1),IF(J47&gt;=1,_xlfn.XLOOKUP($B47,Tabla1[SERVICIO],Tabla1[VALOR]*J47),0))</f>
        <v>0</v>
      </c>
      <c r="L47" s="144"/>
      <c r="M47" s="56" cm="1">
        <f t="array" ref="M47">IF(L47="X",(_xlfn.XLOOKUP($B47,Tabla1[SERVICIO],Tabla1[VALOR])*1),IF(L47&gt;=1,_xlfn.XLOOKUP($B47,Tabla1[SERVICIO],Tabla1[VALOR]*L47),0))</f>
        <v>0</v>
      </c>
      <c r="N47" s="144"/>
      <c r="O47" s="56" cm="1">
        <f t="array" ref="O47">IF(N47="X",(_xlfn.XLOOKUP($B47,Tabla1[SERVICIO],Tabla1[VALOR])*1),IF(N47&gt;=1,_xlfn.XLOOKUP($B47,Tabla1[SERVICIO],Tabla1[VALOR]*N47),0))</f>
        <v>0</v>
      </c>
      <c r="P47" s="144"/>
      <c r="Q47" s="56" cm="1">
        <f t="array" ref="Q47">IF(P47="X",(_xlfn.XLOOKUP($B47,Tabla1[SERVICIO],Tabla1[VALOR])*1),IF(P47&gt;=1,_xlfn.XLOOKUP($B47,Tabla1[SERVICIO],Tabla1[VALOR]*P47),0))</f>
        <v>0</v>
      </c>
      <c r="R47" s="144"/>
      <c r="S47" s="56" cm="1">
        <f t="array" ref="S47">IF(R47="X",(_xlfn.XLOOKUP($B47,Tabla1[SERVICIO],Tabla1[VALOR])*1),IF(R47&gt;=1,_xlfn.XLOOKUP($B47,Tabla1[SERVICIO],Tabla1[VALOR]*R47),0))</f>
        <v>0</v>
      </c>
      <c r="T47" s="144"/>
      <c r="U47" s="56" cm="1">
        <f t="array" ref="U47">IF(T47="X",(_xlfn.XLOOKUP($B47,Tabla1[SERVICIO],Tabla1[VALOR])*1),IF(T47&gt;=1,_xlfn.XLOOKUP($B47,Tabla1[SERVICIO],Tabla1[VALOR]*T47),0))</f>
        <v>0</v>
      </c>
      <c r="V47" s="144"/>
      <c r="W47" s="56" cm="1">
        <f t="array" ref="W47">IF(V47="X",(_xlfn.XLOOKUP($B47,Tabla1[SERVICIO],Tabla1[VALOR])*1),IF(V47&gt;=1,_xlfn.XLOOKUP($B47,Tabla1[SERVICIO],Tabla1[VALOR]*V47),0))</f>
        <v>0</v>
      </c>
      <c r="X47" s="144"/>
      <c r="Y47" s="56" cm="1">
        <f t="array" ref="Y47">IF(X47="X",(_xlfn.XLOOKUP($B47,Tabla1[SERVICIO],Tabla1[VALOR])*1),IF(X47&gt;=1,_xlfn.XLOOKUP($B47,Tabla1[SERVICIO],Tabla1[VALOR]*X47),0))</f>
        <v>0</v>
      </c>
      <c r="Z47" s="144"/>
      <c r="AA47" s="56" cm="1">
        <f t="array" ref="AA47">IF(Z47="X",(_xlfn.XLOOKUP($B47,Tabla1[SERVICIO],Tabla1[VALOR])*1),IF(Z47&gt;=1,_xlfn.XLOOKUP($B47,Tabla1[SERVICIO],Tabla1[VALOR]*Z47),0))</f>
        <v>0</v>
      </c>
      <c r="AB47" s="144"/>
      <c r="AC47" s="56" cm="1">
        <f t="array" ref="AC47">IF(AB47="X",(_xlfn.XLOOKUP($B47,Tabla1[SERVICIO],Tabla1[VALOR])*1),IF(AB47&gt;=1,_xlfn.XLOOKUP($B47,Tabla1[SERVICIO],Tabla1[VALOR]*AB47),0))</f>
        <v>0</v>
      </c>
      <c r="AD47" s="144"/>
      <c r="AE47" s="56" cm="1">
        <f t="array" ref="AE47">IF(AD47="X",(_xlfn.XLOOKUP($B47,Tabla1[SERVICIO],Tabla1[VALOR])*1),IF(AD47&gt;=1,_xlfn.XLOOKUP($B47,Tabla1[SERVICIO],Tabla1[VALOR]*AD47),0))</f>
        <v>0</v>
      </c>
      <c r="AF47" s="144"/>
      <c r="AG47" s="56" cm="1">
        <f t="array" ref="AG47">IF(AF47="X",(_xlfn.XLOOKUP($B47,Tabla1[SERVICIO],Tabla1[VALOR])*1),IF(AF47&gt;=1,_xlfn.XLOOKUP($B47,Tabla1[SERVICIO],Tabla1[VALOR]*AF47),0))</f>
        <v>0</v>
      </c>
      <c r="AH47" s="144"/>
      <c r="AI47" s="56" cm="1">
        <f t="array" ref="AI47">IF(AH47="X",(_xlfn.XLOOKUP($B47,Tabla1[SERVICIO],Tabla1[VALOR])*1),IF(AH47&gt;=1,_xlfn.XLOOKUP($B47,Tabla1[SERVICIO],Tabla1[VALOR]*AH47),0))</f>
        <v>0</v>
      </c>
      <c r="AJ47" s="144"/>
      <c r="AK47" s="56" cm="1">
        <f t="array" ref="AK47">IF(AJ47="X",(_xlfn.XLOOKUP($B47,Tabla1[SERVICIO],Tabla1[VALOR])*1),IF(AJ47&gt;=1,_xlfn.XLOOKUP($B47,Tabla1[SERVICIO],Tabla1[VALOR]*AJ47),0))</f>
        <v>0</v>
      </c>
      <c r="AL47" s="144"/>
      <c r="AM47" s="56" cm="1">
        <f t="array" ref="AM47">IF(AL47="X",(_xlfn.XLOOKUP($B47,Tabla1[SERVICIO],Tabla1[VALOR])*1),IF(AL47&gt;=1,_xlfn.XLOOKUP($B47,Tabla1[SERVICIO],Tabla1[VALOR]*AL47),0))</f>
        <v>0</v>
      </c>
      <c r="AN47" s="86">
        <f t="shared" si="1"/>
        <v>26897.079640267817</v>
      </c>
      <c r="AO47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7" s="104" t="s">
        <v>319</v>
      </c>
      <c r="AQ47" s="150">
        <v>3.2644178454842221E-3</v>
      </c>
      <c r="AR47" s="121">
        <f>+Tabla46781635[[#This Row],[TOTAL]]*Tabla46781635[[#This Row],[% de las personas que lo usaron]]</f>
        <v>87.803306769100601</v>
      </c>
      <c r="AS47" s="122" t="s">
        <v>352</v>
      </c>
      <c r="AT47" s="335">
        <v>18</v>
      </c>
    </row>
    <row r="48" spans="1:46" x14ac:dyDescent="0.25">
      <c r="A48" s="7" t="s">
        <v>5</v>
      </c>
      <c r="B48" s="8" t="s">
        <v>6</v>
      </c>
      <c r="C48" s="96" t="str">
        <f>_xlfn.XLOOKUP(Tabla46781635[[#This Row],[Servicios del Programa:]],Tabla151[CODIGO],Tabla151[VALOR])</f>
        <v>Consultas</v>
      </c>
      <c r="D48" s="144">
        <v>1</v>
      </c>
      <c r="E48" s="56" cm="1">
        <f t="array" ref="E48">IF(D48="X",(_xlfn.XLOOKUP($B48,Tabla1[SERVICIO],Tabla1[VALOR])*1),IF(D48&gt;=1,_xlfn.XLOOKUP($B48,Tabla1[SERVICIO],Tabla1[VALOR]*D48),0))</f>
        <v>18768.367820181349</v>
      </c>
      <c r="F48" s="145"/>
      <c r="G48" s="56" cm="1">
        <f t="array" ref="G48">IF(F48="X",(_xlfn.XLOOKUP($B48,Tabla1[SERVICIO],Tabla1[VALOR])*1),IF(F48&gt;=1,_xlfn.XLOOKUP($B48,Tabla1[SERVICIO],Tabla1[VALOR]*F48),0))</f>
        <v>0</v>
      </c>
      <c r="H48" s="145"/>
      <c r="I48" s="56" cm="1">
        <f t="array" ref="I48">IF(H48="X",(_xlfn.XLOOKUP($B48,Tabla1[SERVICIO],Tabla1[VALOR])*1),IF(H48&gt;=1,_xlfn.XLOOKUP($B48,Tabla1[SERVICIO],Tabla1[VALOR]*H48),0))</f>
        <v>0</v>
      </c>
      <c r="J48" s="145"/>
      <c r="K48" s="56" cm="1">
        <f t="array" ref="K48">IF(J48="X",(_xlfn.XLOOKUP($B48,Tabla1[SERVICIO],Tabla1[VALOR])*1),IF(J48&gt;=1,_xlfn.XLOOKUP($B48,Tabla1[SERVICIO],Tabla1[VALOR]*J48),0))</f>
        <v>0</v>
      </c>
      <c r="L48" s="145"/>
      <c r="M48" s="56" cm="1">
        <f t="array" ref="M48">IF(L48="X",(_xlfn.XLOOKUP($B48,Tabla1[SERVICIO],Tabla1[VALOR])*1),IF(L48&gt;=1,_xlfn.XLOOKUP($B48,Tabla1[SERVICIO],Tabla1[VALOR]*L48),0))</f>
        <v>0</v>
      </c>
      <c r="N48" s="144"/>
      <c r="O48" s="56" cm="1">
        <f t="array" ref="O48">IF(N48="X",(_xlfn.XLOOKUP($B48,Tabla1[SERVICIO],Tabla1[VALOR])*1),IF(N48&gt;=1,_xlfn.XLOOKUP($B48,Tabla1[SERVICIO],Tabla1[VALOR]*N48),0))</f>
        <v>0</v>
      </c>
      <c r="P48" s="145"/>
      <c r="Q48" s="56" cm="1">
        <f t="array" ref="Q48">IF(P48="X",(_xlfn.XLOOKUP($B48,Tabla1[SERVICIO],Tabla1[VALOR])*1),IF(P48&gt;=1,_xlfn.XLOOKUP($B48,Tabla1[SERVICIO],Tabla1[VALOR]*P48),0))</f>
        <v>0</v>
      </c>
      <c r="R48" s="145"/>
      <c r="S48" s="56" cm="1">
        <f t="array" ref="S48">IF(R48="X",(_xlfn.XLOOKUP($B48,Tabla1[SERVICIO],Tabla1[VALOR])*1),IF(R48&gt;=1,_xlfn.XLOOKUP($B48,Tabla1[SERVICIO],Tabla1[VALOR]*R48),0))</f>
        <v>0</v>
      </c>
      <c r="T48" s="145"/>
      <c r="U48" s="56" cm="1">
        <f t="array" ref="U48">IF(T48="X",(_xlfn.XLOOKUP($B48,Tabla1[SERVICIO],Tabla1[VALOR])*1),IF(T48&gt;=1,_xlfn.XLOOKUP($B48,Tabla1[SERVICIO],Tabla1[VALOR]*T48),0))</f>
        <v>0</v>
      </c>
      <c r="V48" s="145"/>
      <c r="W48" s="56" cm="1">
        <f t="array" ref="W48">IF(V48="X",(_xlfn.XLOOKUP($B48,Tabla1[SERVICIO],Tabla1[VALOR])*1),IF(V48&gt;=1,_xlfn.XLOOKUP($B48,Tabla1[SERVICIO],Tabla1[VALOR]*V48),0))</f>
        <v>0</v>
      </c>
      <c r="X48" s="145"/>
      <c r="Y48" s="56" cm="1">
        <f t="array" ref="Y48">IF(X48="X",(_xlfn.XLOOKUP($B48,Tabla1[SERVICIO],Tabla1[VALOR])*1),IF(X48&gt;=1,_xlfn.XLOOKUP($B48,Tabla1[SERVICIO],Tabla1[VALOR]*X48),0))</f>
        <v>0</v>
      </c>
      <c r="Z48" s="145"/>
      <c r="AA48" s="56" cm="1">
        <f t="array" ref="AA48">IF(Z48="X",(_xlfn.XLOOKUP($B48,Tabla1[SERVICIO],Tabla1[VALOR])*1),IF(Z48&gt;=1,_xlfn.XLOOKUP($B48,Tabla1[SERVICIO],Tabla1[VALOR]*Z48),0))</f>
        <v>0</v>
      </c>
      <c r="AB48" s="145"/>
      <c r="AC48" s="56" cm="1">
        <f t="array" ref="AC48">IF(AB48="X",(_xlfn.XLOOKUP($B48,Tabla1[SERVICIO],Tabla1[VALOR])*1),IF(AB48&gt;=1,_xlfn.XLOOKUP($B48,Tabla1[SERVICIO],Tabla1[VALOR]*AB48),0))</f>
        <v>0</v>
      </c>
      <c r="AD48" s="145"/>
      <c r="AE48" s="56" cm="1">
        <f t="array" ref="AE48">IF(AD48="X",(_xlfn.XLOOKUP($B48,Tabla1[SERVICIO],Tabla1[VALOR])*1),IF(AD48&gt;=1,_xlfn.XLOOKUP($B48,Tabla1[SERVICIO],Tabla1[VALOR]*AD48),0))</f>
        <v>0</v>
      </c>
      <c r="AF48" s="145"/>
      <c r="AG48" s="56" cm="1">
        <f t="array" ref="AG48">IF(AF48="X",(_xlfn.XLOOKUP($B48,Tabla1[SERVICIO],Tabla1[VALOR])*1),IF(AF48&gt;=1,_xlfn.XLOOKUP($B48,Tabla1[SERVICIO],Tabla1[VALOR]*AF48),0))</f>
        <v>0</v>
      </c>
      <c r="AH48" s="145"/>
      <c r="AI48" s="56" cm="1">
        <f t="array" ref="AI48">IF(AH48="X",(_xlfn.XLOOKUP($B48,Tabla1[SERVICIO],Tabla1[VALOR])*1),IF(AH48&gt;=1,_xlfn.XLOOKUP($B48,Tabla1[SERVICIO],Tabla1[VALOR]*AH48),0))</f>
        <v>0</v>
      </c>
      <c r="AJ48" s="145"/>
      <c r="AK48" s="56" cm="1">
        <f t="array" ref="AK48">IF(AJ48="X",(_xlfn.XLOOKUP($B48,Tabla1[SERVICIO],Tabla1[VALOR])*1),IF(AJ48&gt;=1,_xlfn.XLOOKUP($B48,Tabla1[SERVICIO],Tabla1[VALOR]*AJ48),0))</f>
        <v>0</v>
      </c>
      <c r="AL48" s="144"/>
      <c r="AM48" s="56" cm="1">
        <f t="array" ref="AM48">IF(AL48="X",(_xlfn.XLOOKUP($B48,Tabla1[SERVICIO],Tabla1[VALOR])*1),IF(AL48&gt;=1,_xlfn.XLOOKUP($B48,Tabla1[SERVICIO],Tabla1[VALOR]*AL48),0))</f>
        <v>0</v>
      </c>
      <c r="AN48" s="86">
        <f t="shared" si="1"/>
        <v>18768.367820181349</v>
      </c>
      <c r="AO48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8" s="104" t="s">
        <v>319</v>
      </c>
      <c r="AQ48" s="150">
        <v>0.22306855277475518</v>
      </c>
      <c r="AR48" s="121">
        <f>+Tabla46781635[[#This Row],[TOTAL]]*Tabla46781635[[#This Row],[% de las personas que lo usaron]]</f>
        <v>4186.6326475921405</v>
      </c>
      <c r="AS48" s="122" t="s">
        <v>352</v>
      </c>
      <c r="AT48" s="335">
        <v>18</v>
      </c>
    </row>
    <row r="49" spans="1:46" x14ac:dyDescent="0.25">
      <c r="A49" s="7" t="s">
        <v>17</v>
      </c>
      <c r="B49" s="8" t="s">
        <v>18</v>
      </c>
      <c r="C49" s="96" t="str">
        <f>_xlfn.XLOOKUP(Tabla46781635[[#This Row],[Servicios del Programa:]],Tabla151[CODIGO],Tabla151[VALOR])</f>
        <v>Consultas</v>
      </c>
      <c r="D49" s="145"/>
      <c r="E49" s="56" cm="1">
        <f t="array" ref="E49">IF(D49="X",(_xlfn.XLOOKUP($B49,Tabla1[SERVICIO],Tabla1[VALOR])*1),IF(D49&gt;=1,_xlfn.XLOOKUP($B49,Tabla1[SERVICIO],Tabla1[VALOR]*D49),0))</f>
        <v>0</v>
      </c>
      <c r="F49" s="145"/>
      <c r="G49" s="56" cm="1">
        <f t="array" ref="G49">IF(F49="X",(_xlfn.XLOOKUP($B49,Tabla1[SERVICIO],Tabla1[VALOR])*1),IF(F49&gt;=1,_xlfn.XLOOKUP($B49,Tabla1[SERVICIO],Tabla1[VALOR]*F49),0))</f>
        <v>0</v>
      </c>
      <c r="H49" s="145"/>
      <c r="I49" s="56" cm="1">
        <f t="array" ref="I49">IF(H49="X",(_xlfn.XLOOKUP($B49,Tabla1[SERVICIO],Tabla1[VALOR])*1),IF(H49&gt;=1,_xlfn.XLOOKUP($B49,Tabla1[SERVICIO],Tabla1[VALOR]*H49),0))</f>
        <v>0</v>
      </c>
      <c r="J49" s="145"/>
      <c r="K49" s="56" cm="1">
        <f t="array" ref="K49">IF(J49="X",(_xlfn.XLOOKUP($B49,Tabla1[SERVICIO],Tabla1[VALOR])*1),IF(J49&gt;=1,_xlfn.XLOOKUP($B49,Tabla1[SERVICIO],Tabla1[VALOR]*J49),0))</f>
        <v>0</v>
      </c>
      <c r="L49" s="145"/>
      <c r="M49" s="56" cm="1">
        <f t="array" ref="M49">IF(L49="X",(_xlfn.XLOOKUP($B49,Tabla1[SERVICIO],Tabla1[VALOR])*1),IF(L49&gt;=1,_xlfn.XLOOKUP($B49,Tabla1[SERVICIO],Tabla1[VALOR]*L49),0))</f>
        <v>0</v>
      </c>
      <c r="N49" s="144">
        <v>1</v>
      </c>
      <c r="O49" s="56" cm="1">
        <f t="array" ref="O49">IF(N49="X",(_xlfn.XLOOKUP($B49,Tabla1[SERVICIO],Tabla1[VALOR])*1),IF(N49&gt;=1,_xlfn.XLOOKUP($B49,Tabla1[SERVICIO],Tabla1[VALOR]*N49),0))</f>
        <v>20414.75585737115</v>
      </c>
      <c r="P49" s="145"/>
      <c r="Q49" s="56" cm="1">
        <f t="array" ref="Q49">IF(P49="X",(_xlfn.XLOOKUP($B49,Tabla1[SERVICIO],Tabla1[VALOR])*1),IF(P49&gt;=1,_xlfn.XLOOKUP($B49,Tabla1[SERVICIO],Tabla1[VALOR]*P49),0))</f>
        <v>0</v>
      </c>
      <c r="R49" s="145"/>
      <c r="S49" s="56" cm="1">
        <f t="array" ref="S49">IF(R49="X",(_xlfn.XLOOKUP($B49,Tabla1[SERVICIO],Tabla1[VALOR])*1),IF(R49&gt;=1,_xlfn.XLOOKUP($B49,Tabla1[SERVICIO],Tabla1[VALOR]*R49),0))</f>
        <v>0</v>
      </c>
      <c r="T49" s="145"/>
      <c r="U49" s="56" cm="1">
        <f t="array" ref="U49">IF(T49="X",(_xlfn.XLOOKUP($B49,Tabla1[SERVICIO],Tabla1[VALOR])*1),IF(T49&gt;=1,_xlfn.XLOOKUP($B49,Tabla1[SERVICIO],Tabla1[VALOR]*T49),0))</f>
        <v>0</v>
      </c>
      <c r="V49" s="145"/>
      <c r="W49" s="56" cm="1">
        <f t="array" ref="W49">IF(V49="X",(_xlfn.XLOOKUP($B49,Tabla1[SERVICIO],Tabla1[VALOR])*1),IF(V49&gt;=1,_xlfn.XLOOKUP($B49,Tabla1[SERVICIO],Tabla1[VALOR]*V49),0))</f>
        <v>0</v>
      </c>
      <c r="X49" s="145"/>
      <c r="Y49" s="56" cm="1">
        <f t="array" ref="Y49">IF(X49="X",(_xlfn.XLOOKUP($B49,Tabla1[SERVICIO],Tabla1[VALOR])*1),IF(X49&gt;=1,_xlfn.XLOOKUP($B49,Tabla1[SERVICIO],Tabla1[VALOR]*X49),0))</f>
        <v>0</v>
      </c>
      <c r="Z49" s="145"/>
      <c r="AA49" s="56" cm="1">
        <f t="array" ref="AA49">IF(Z49="X",(_xlfn.XLOOKUP($B49,Tabla1[SERVICIO],Tabla1[VALOR])*1),IF(Z49&gt;=1,_xlfn.XLOOKUP($B49,Tabla1[SERVICIO],Tabla1[VALOR]*Z49),0))</f>
        <v>0</v>
      </c>
      <c r="AB49" s="145"/>
      <c r="AC49" s="56" cm="1">
        <f t="array" ref="AC49">IF(AB49="X",(_xlfn.XLOOKUP($B49,Tabla1[SERVICIO],Tabla1[VALOR])*1),IF(AB49&gt;=1,_xlfn.XLOOKUP($B49,Tabla1[SERVICIO],Tabla1[VALOR]*AB49),0))</f>
        <v>0</v>
      </c>
      <c r="AD49" s="145"/>
      <c r="AE49" s="56" cm="1">
        <f t="array" ref="AE49">IF(AD49="X",(_xlfn.XLOOKUP($B49,Tabla1[SERVICIO],Tabla1[VALOR])*1),IF(AD49&gt;=1,_xlfn.XLOOKUP($B49,Tabla1[SERVICIO],Tabla1[VALOR]*AD49),0))</f>
        <v>0</v>
      </c>
      <c r="AF49" s="145"/>
      <c r="AG49" s="56" cm="1">
        <f t="array" ref="AG49">IF(AF49="X",(_xlfn.XLOOKUP($B49,Tabla1[SERVICIO],Tabla1[VALOR])*1),IF(AF49&gt;=1,_xlfn.XLOOKUP($B49,Tabla1[SERVICIO],Tabla1[VALOR]*AF49),0))</f>
        <v>0</v>
      </c>
      <c r="AH49" s="145"/>
      <c r="AI49" s="56" cm="1">
        <f t="array" ref="AI49">IF(AH49="X",(_xlfn.XLOOKUP($B49,Tabla1[SERVICIO],Tabla1[VALOR])*1),IF(AH49&gt;=1,_xlfn.XLOOKUP($B49,Tabla1[SERVICIO],Tabla1[VALOR]*AH49),0))</f>
        <v>0</v>
      </c>
      <c r="AJ49" s="145"/>
      <c r="AK49" s="56" cm="1">
        <f t="array" ref="AK49">IF(AJ49="X",(_xlfn.XLOOKUP($B49,Tabla1[SERVICIO],Tabla1[VALOR])*1),IF(AJ49&gt;=1,_xlfn.XLOOKUP($B49,Tabla1[SERVICIO],Tabla1[VALOR]*AJ49),0))</f>
        <v>0</v>
      </c>
      <c r="AL49" s="144">
        <v>1</v>
      </c>
      <c r="AM49" s="56" cm="1">
        <f t="array" ref="AM49">IF(AL49="X",(_xlfn.XLOOKUP($B49,Tabla1[SERVICIO],Tabla1[VALOR])*1),IF(AL49&gt;=1,_xlfn.XLOOKUP($B49,Tabla1[SERVICIO],Tabla1[VALOR]*AL49),0))</f>
        <v>20414.75585737115</v>
      </c>
      <c r="AN49" s="86">
        <f t="shared" si="1"/>
        <v>40829.511714742301</v>
      </c>
      <c r="AO49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49" s="104" t="s">
        <v>319</v>
      </c>
      <c r="AQ49" s="150">
        <v>8.0522306855277476E-2</v>
      </c>
      <c r="AR49" s="121">
        <f>+Tabla46781635[[#This Row],[TOTAL]]*Tabla46781635[[#This Row],[% de las personas que lo usaron]]</f>
        <v>3287.6864710456261</v>
      </c>
      <c r="AS49" s="122" t="s">
        <v>352</v>
      </c>
      <c r="AT49" s="335">
        <v>18</v>
      </c>
    </row>
    <row r="50" spans="1:46" x14ac:dyDescent="0.25">
      <c r="A50" s="7" t="s">
        <v>113</v>
      </c>
      <c r="B50" s="25" t="s">
        <v>116</v>
      </c>
      <c r="C50" s="96" t="str">
        <f>_xlfn.XLOOKUP(Tabla46781635[[#This Row],[Servicios del Programa:]],Tabla151[CODIGO],Tabla151[VALOR])</f>
        <v>Consultas</v>
      </c>
      <c r="D50" s="144">
        <v>1</v>
      </c>
      <c r="E50" s="56" cm="1">
        <f t="array" ref="E50">IF(D50="X",(_xlfn.XLOOKUP($B50,Tabla1[SERVICIO],Tabla1[VALOR])*1),IF(D50&gt;=1,_xlfn.XLOOKUP($B50,Tabla1[SERVICIO],Tabla1[VALOR]*D50),0))</f>
        <v>60236.092716419647</v>
      </c>
      <c r="F50" s="144"/>
      <c r="G50" s="56" cm="1">
        <f t="array" ref="G50">IF(F50="X",(_xlfn.XLOOKUP($B50,Tabla1[SERVICIO],Tabla1[VALOR])*1),IF(F50&gt;=1,_xlfn.XLOOKUP($B50,Tabla1[SERVICIO],Tabla1[VALOR]*F50),0))</f>
        <v>0</v>
      </c>
      <c r="H50" s="144"/>
      <c r="I50" s="56" cm="1">
        <f t="array" ref="I50">IF(H50="X",(_xlfn.XLOOKUP($B50,Tabla1[SERVICIO],Tabla1[VALOR])*1),IF(H50&gt;=1,_xlfn.XLOOKUP($B50,Tabla1[SERVICIO],Tabla1[VALOR]*H50),0))</f>
        <v>0</v>
      </c>
      <c r="J50" s="144"/>
      <c r="K50" s="56" cm="1">
        <f t="array" ref="K50">IF(J50="X",(_xlfn.XLOOKUP($B50,Tabla1[SERVICIO],Tabla1[VALOR])*1),IF(J50&gt;=1,_xlfn.XLOOKUP($B50,Tabla1[SERVICIO],Tabla1[VALOR]*J50),0))</f>
        <v>0</v>
      </c>
      <c r="L50" s="144"/>
      <c r="M50" s="56" cm="1">
        <f t="array" ref="M50">IF(L50="X",(_xlfn.XLOOKUP($B50,Tabla1[SERVICIO],Tabla1[VALOR])*1),IF(L50&gt;=1,_xlfn.XLOOKUP($B50,Tabla1[SERVICIO],Tabla1[VALOR]*L50),0))</f>
        <v>0</v>
      </c>
      <c r="N50" s="144"/>
      <c r="O50" s="56" cm="1">
        <f t="array" ref="O50">IF(N50="X",(_xlfn.XLOOKUP($B50,Tabla1[SERVICIO],Tabla1[VALOR])*1),IF(N50&gt;=1,_xlfn.XLOOKUP($B50,Tabla1[SERVICIO],Tabla1[VALOR]*N50),0))</f>
        <v>0</v>
      </c>
      <c r="P50" s="144"/>
      <c r="Q50" s="56" cm="1">
        <f t="array" ref="Q50">IF(P50="X",(_xlfn.XLOOKUP($B50,Tabla1[SERVICIO],Tabla1[VALOR])*1),IF(P50&gt;=1,_xlfn.XLOOKUP($B50,Tabla1[SERVICIO],Tabla1[VALOR]*P50),0))</f>
        <v>0</v>
      </c>
      <c r="R50" s="144"/>
      <c r="S50" s="56" cm="1">
        <f t="array" ref="S50">IF(R50="X",(_xlfn.XLOOKUP($B50,Tabla1[SERVICIO],Tabla1[VALOR])*1),IF(R50&gt;=1,_xlfn.XLOOKUP($B50,Tabla1[SERVICIO],Tabla1[VALOR]*R50),0))</f>
        <v>0</v>
      </c>
      <c r="T50" s="144"/>
      <c r="U50" s="56" cm="1">
        <f t="array" ref="U50">IF(T50="X",(_xlfn.XLOOKUP($B50,Tabla1[SERVICIO],Tabla1[VALOR])*1),IF(T50&gt;=1,_xlfn.XLOOKUP($B50,Tabla1[SERVICIO],Tabla1[VALOR]*T50),0))</f>
        <v>0</v>
      </c>
      <c r="V50" s="144"/>
      <c r="W50" s="56" cm="1">
        <f t="array" ref="W50">IF(V50="X",(_xlfn.XLOOKUP($B50,Tabla1[SERVICIO],Tabla1[VALOR])*1),IF(V50&gt;=1,_xlfn.XLOOKUP($B50,Tabla1[SERVICIO],Tabla1[VALOR]*V50),0))</f>
        <v>0</v>
      </c>
      <c r="X50" s="144"/>
      <c r="Y50" s="56" cm="1">
        <f t="array" ref="Y50">IF(X50="X",(_xlfn.XLOOKUP($B50,Tabla1[SERVICIO],Tabla1[VALOR])*1),IF(X50&gt;=1,_xlfn.XLOOKUP($B50,Tabla1[SERVICIO],Tabla1[VALOR]*X50),0))</f>
        <v>0</v>
      </c>
      <c r="Z50" s="144"/>
      <c r="AA50" s="56" cm="1">
        <f t="array" ref="AA50">IF(Z50="X",(_xlfn.XLOOKUP($B50,Tabla1[SERVICIO],Tabla1[VALOR])*1),IF(Z50&gt;=1,_xlfn.XLOOKUP($B50,Tabla1[SERVICIO],Tabla1[VALOR]*Z50),0))</f>
        <v>0</v>
      </c>
      <c r="AB50" s="144"/>
      <c r="AC50" s="56" cm="1">
        <f t="array" ref="AC50">IF(AB50="X",(_xlfn.XLOOKUP($B50,Tabla1[SERVICIO],Tabla1[VALOR])*1),IF(AB50&gt;=1,_xlfn.XLOOKUP($B50,Tabla1[SERVICIO],Tabla1[VALOR]*AB50),0))</f>
        <v>0</v>
      </c>
      <c r="AD50" s="144"/>
      <c r="AE50" s="56" cm="1">
        <f t="array" ref="AE50">IF(AD50="X",(_xlfn.XLOOKUP($B50,Tabla1[SERVICIO],Tabla1[VALOR])*1),IF(AD50&gt;=1,_xlfn.XLOOKUP($B50,Tabla1[SERVICIO],Tabla1[VALOR]*AD50),0))</f>
        <v>0</v>
      </c>
      <c r="AF50" s="144"/>
      <c r="AG50" s="56" cm="1">
        <f t="array" ref="AG50">IF(AF50="X",(_xlfn.XLOOKUP($B50,Tabla1[SERVICIO],Tabla1[VALOR])*1),IF(AF50&gt;=1,_xlfn.XLOOKUP($B50,Tabla1[SERVICIO],Tabla1[VALOR]*AF50),0))</f>
        <v>0</v>
      </c>
      <c r="AH50" s="144"/>
      <c r="AI50" s="56" cm="1">
        <f t="array" ref="AI50">IF(AH50="X",(_xlfn.XLOOKUP($B50,Tabla1[SERVICIO],Tabla1[VALOR])*1),IF(AH50&gt;=1,_xlfn.XLOOKUP($B50,Tabla1[SERVICIO],Tabla1[VALOR]*AH50),0))</f>
        <v>0</v>
      </c>
      <c r="AJ50" s="144"/>
      <c r="AK50" s="56" cm="1">
        <f t="array" ref="AK50">IF(AJ50="X",(_xlfn.XLOOKUP($B50,Tabla1[SERVICIO],Tabla1[VALOR])*1),IF(AJ50&gt;=1,_xlfn.XLOOKUP($B50,Tabla1[SERVICIO],Tabla1[VALOR]*AJ50),0))</f>
        <v>0</v>
      </c>
      <c r="AL50" s="144"/>
      <c r="AM50" s="56" cm="1">
        <f t="array" ref="AM50">IF(AL50="X",(_xlfn.XLOOKUP($B50,Tabla1[SERVICIO],Tabla1[VALOR])*1),IF(AL50&gt;=1,_xlfn.XLOOKUP($B50,Tabla1[SERVICIO],Tabla1[VALOR]*AL50),0))</f>
        <v>0</v>
      </c>
      <c r="AN50" s="86">
        <f t="shared" si="1"/>
        <v>60236.092716419647</v>
      </c>
      <c r="AO50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0" s="104" t="s">
        <v>319</v>
      </c>
      <c r="AQ50" s="150">
        <v>6.8552774755168661E-2</v>
      </c>
      <c r="AR50" s="121">
        <f>+Tabla46781635[[#This Row],[TOTAL]]*Tabla46781635[[#This Row],[% de las personas que lo usaron]]</f>
        <v>4129.3512961201714</v>
      </c>
      <c r="AS50" s="122" t="s">
        <v>352</v>
      </c>
      <c r="AT50" s="335">
        <v>18</v>
      </c>
    </row>
    <row r="51" spans="1:46" x14ac:dyDescent="0.25">
      <c r="A51" s="7" t="s">
        <v>114</v>
      </c>
      <c r="B51" s="8" t="s">
        <v>117</v>
      </c>
      <c r="C51" s="96" t="str">
        <f>_xlfn.XLOOKUP(Tabla46781635[[#This Row],[Servicios del Programa:]],Tabla151[CODIGO],Tabla151[VALOR])</f>
        <v>Consultas</v>
      </c>
      <c r="D51" s="144">
        <v>1</v>
      </c>
      <c r="E51" s="56" cm="1">
        <f t="array" ref="E51">IF(D51="X",(_xlfn.XLOOKUP($B51,Tabla1[SERVICIO],Tabla1[VALOR])*1),IF(D51&gt;=1,_xlfn.XLOOKUP($B51,Tabla1[SERVICIO],Tabla1[VALOR]*D51),0))</f>
        <v>62748.232282880919</v>
      </c>
      <c r="F51" s="144"/>
      <c r="G51" s="56" cm="1">
        <f t="array" ref="G51">IF(F51="X",(_xlfn.XLOOKUP($B51,Tabla1[SERVICIO],Tabla1[VALOR])*1),IF(F51&gt;=1,_xlfn.XLOOKUP($B51,Tabla1[SERVICIO],Tabla1[VALOR]*F51),0))</f>
        <v>0</v>
      </c>
      <c r="H51" s="144"/>
      <c r="I51" s="56" cm="1">
        <f t="array" ref="I51">IF(H51="X",(_xlfn.XLOOKUP($B51,Tabla1[SERVICIO],Tabla1[VALOR])*1),IF(H51&gt;=1,_xlfn.XLOOKUP($B51,Tabla1[SERVICIO],Tabla1[VALOR]*H51),0))</f>
        <v>0</v>
      </c>
      <c r="J51" s="144"/>
      <c r="K51" s="56" cm="1">
        <f t="array" ref="K51">IF(J51="X",(_xlfn.XLOOKUP($B51,Tabla1[SERVICIO],Tabla1[VALOR])*1),IF(J51&gt;=1,_xlfn.XLOOKUP($B51,Tabla1[SERVICIO],Tabla1[VALOR]*J51),0))</f>
        <v>0</v>
      </c>
      <c r="L51" s="144"/>
      <c r="M51" s="56" cm="1">
        <f t="array" ref="M51">IF(L51="X",(_xlfn.XLOOKUP($B51,Tabla1[SERVICIO],Tabla1[VALOR])*1),IF(L51&gt;=1,_xlfn.XLOOKUP($B51,Tabla1[SERVICIO],Tabla1[VALOR]*L51),0))</f>
        <v>0</v>
      </c>
      <c r="N51" s="144"/>
      <c r="O51" s="56" cm="1">
        <f t="array" ref="O51">IF(N51="X",(_xlfn.XLOOKUP($B51,Tabla1[SERVICIO],Tabla1[VALOR])*1),IF(N51&gt;=1,_xlfn.XLOOKUP($B51,Tabla1[SERVICIO],Tabla1[VALOR]*N51),0))</f>
        <v>0</v>
      </c>
      <c r="P51" s="144"/>
      <c r="Q51" s="56" cm="1">
        <f t="array" ref="Q51">IF(P51="X",(_xlfn.XLOOKUP($B51,Tabla1[SERVICIO],Tabla1[VALOR])*1),IF(P51&gt;=1,_xlfn.XLOOKUP($B51,Tabla1[SERVICIO],Tabla1[VALOR]*P51),0))</f>
        <v>0</v>
      </c>
      <c r="R51" s="144"/>
      <c r="S51" s="56" cm="1">
        <f t="array" ref="S51">IF(R51="X",(_xlfn.XLOOKUP($B51,Tabla1[SERVICIO],Tabla1[VALOR])*1),IF(R51&gt;=1,_xlfn.XLOOKUP($B51,Tabla1[SERVICIO],Tabla1[VALOR]*R51),0))</f>
        <v>0</v>
      </c>
      <c r="T51" s="144"/>
      <c r="U51" s="56" cm="1">
        <f t="array" ref="U51">IF(T51="X",(_xlfn.XLOOKUP($B51,Tabla1[SERVICIO],Tabla1[VALOR])*1),IF(T51&gt;=1,_xlfn.XLOOKUP($B51,Tabla1[SERVICIO],Tabla1[VALOR]*T51),0))</f>
        <v>0</v>
      </c>
      <c r="V51" s="144"/>
      <c r="W51" s="56" cm="1">
        <f t="array" ref="W51">IF(V51="X",(_xlfn.XLOOKUP($B51,Tabla1[SERVICIO],Tabla1[VALOR])*1),IF(V51&gt;=1,_xlfn.XLOOKUP($B51,Tabla1[SERVICIO],Tabla1[VALOR]*V51),0))</f>
        <v>0</v>
      </c>
      <c r="X51" s="144"/>
      <c r="Y51" s="56" cm="1">
        <f t="array" ref="Y51">IF(X51="X",(_xlfn.XLOOKUP($B51,Tabla1[SERVICIO],Tabla1[VALOR])*1),IF(X51&gt;=1,_xlfn.XLOOKUP($B51,Tabla1[SERVICIO],Tabla1[VALOR]*X51),0))</f>
        <v>0</v>
      </c>
      <c r="Z51" s="144"/>
      <c r="AA51" s="56" cm="1">
        <f t="array" ref="AA51">IF(Z51="X",(_xlfn.XLOOKUP($B51,Tabla1[SERVICIO],Tabla1[VALOR])*1),IF(Z51&gt;=1,_xlfn.XLOOKUP($B51,Tabla1[SERVICIO],Tabla1[VALOR]*Z51),0))</f>
        <v>0</v>
      </c>
      <c r="AB51" s="144"/>
      <c r="AC51" s="56" cm="1">
        <f t="array" ref="AC51">IF(AB51="X",(_xlfn.XLOOKUP($B51,Tabla1[SERVICIO],Tabla1[VALOR])*1),IF(AB51&gt;=1,_xlfn.XLOOKUP($B51,Tabla1[SERVICIO],Tabla1[VALOR]*AB51),0))</f>
        <v>0</v>
      </c>
      <c r="AD51" s="144"/>
      <c r="AE51" s="56" cm="1">
        <f t="array" ref="AE51">IF(AD51="X",(_xlfn.XLOOKUP($B51,Tabla1[SERVICIO],Tabla1[VALOR])*1),IF(AD51&gt;=1,_xlfn.XLOOKUP($B51,Tabla1[SERVICIO],Tabla1[VALOR]*AD51),0))</f>
        <v>0</v>
      </c>
      <c r="AF51" s="144"/>
      <c r="AG51" s="56" cm="1">
        <f t="array" ref="AG51">IF(AF51="X",(_xlfn.XLOOKUP($B51,Tabla1[SERVICIO],Tabla1[VALOR])*1),IF(AF51&gt;=1,_xlfn.XLOOKUP($B51,Tabla1[SERVICIO],Tabla1[VALOR]*AF51),0))</f>
        <v>0</v>
      </c>
      <c r="AH51" s="144"/>
      <c r="AI51" s="56" cm="1">
        <f t="array" ref="AI51">IF(AH51="X",(_xlfn.XLOOKUP($B51,Tabla1[SERVICIO],Tabla1[VALOR])*1),IF(AH51&gt;=1,_xlfn.XLOOKUP($B51,Tabla1[SERVICIO],Tabla1[VALOR]*AH51),0))</f>
        <v>0</v>
      </c>
      <c r="AJ51" s="144"/>
      <c r="AK51" s="56" cm="1">
        <f t="array" ref="AK51">IF(AJ51="X",(_xlfn.XLOOKUP($B51,Tabla1[SERVICIO],Tabla1[VALOR])*1),IF(AJ51&gt;=1,_xlfn.XLOOKUP($B51,Tabla1[SERVICIO],Tabla1[VALOR]*AJ51),0))</f>
        <v>0</v>
      </c>
      <c r="AL51" s="144"/>
      <c r="AM51" s="56" cm="1">
        <f t="array" ref="AM51">IF(AL51="X",(_xlfn.XLOOKUP($B51,Tabla1[SERVICIO],Tabla1[VALOR])*1),IF(AL51&gt;=1,_xlfn.XLOOKUP($B51,Tabla1[SERVICIO],Tabla1[VALOR]*AL51),0))</f>
        <v>0</v>
      </c>
      <c r="AN51" s="86">
        <f t="shared" si="1"/>
        <v>62748.232282880919</v>
      </c>
      <c r="AO51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1" s="104" t="s">
        <v>319</v>
      </c>
      <c r="AQ51" s="150">
        <v>2.176278563656148E-2</v>
      </c>
      <c r="AR51" s="121">
        <f>+Tabla46781635[[#This Row],[TOTAL]]*Tabla46781635[[#This Row],[% de las personas que lo usaron]]</f>
        <v>1365.5763282455043</v>
      </c>
      <c r="AS51" s="122" t="s">
        <v>352</v>
      </c>
      <c r="AT51" s="335">
        <v>18</v>
      </c>
    </row>
    <row r="52" spans="1:46" x14ac:dyDescent="0.25">
      <c r="A52" s="7" t="s">
        <v>115</v>
      </c>
      <c r="B52" s="8" t="s">
        <v>118</v>
      </c>
      <c r="C52" s="96" t="str">
        <f>_xlfn.XLOOKUP(Tabla46781635[[#This Row],[Servicios del Programa:]],Tabla151[CODIGO],Tabla151[VALOR])</f>
        <v>Consultas</v>
      </c>
      <c r="D52" s="144"/>
      <c r="E52" s="56" cm="1">
        <f t="array" ref="E52">IF(D52="X",(_xlfn.XLOOKUP($B52,Tabla1[SERVICIO],Tabla1[VALOR])*1),IF(D52&gt;=1,_xlfn.XLOOKUP($B52,Tabla1[SERVICIO],Tabla1[VALOR]*D52),0))</f>
        <v>0</v>
      </c>
      <c r="F52" s="144"/>
      <c r="G52" s="56" cm="1">
        <f t="array" ref="G52">IF(F52="X",(_xlfn.XLOOKUP($B52,Tabla1[SERVICIO],Tabla1[VALOR])*1),IF(F52&gt;=1,_xlfn.XLOOKUP($B52,Tabla1[SERVICIO],Tabla1[VALOR]*F52),0))</f>
        <v>0</v>
      </c>
      <c r="H52" s="144"/>
      <c r="I52" s="56" cm="1">
        <f t="array" ref="I52">IF(H52="X",(_xlfn.XLOOKUP($B52,Tabla1[SERVICIO],Tabla1[VALOR])*1),IF(H52&gt;=1,_xlfn.XLOOKUP($B52,Tabla1[SERVICIO],Tabla1[VALOR]*H52),0))</f>
        <v>0</v>
      </c>
      <c r="J52" s="144"/>
      <c r="K52" s="56" cm="1">
        <f t="array" ref="K52">IF(J52="X",(_xlfn.XLOOKUP($B52,Tabla1[SERVICIO],Tabla1[VALOR])*1),IF(J52&gt;=1,_xlfn.XLOOKUP($B52,Tabla1[SERVICIO],Tabla1[VALOR]*J52),0))</f>
        <v>0</v>
      </c>
      <c r="L52" s="144"/>
      <c r="M52" s="56" cm="1">
        <f t="array" ref="M52">IF(L52="X",(_xlfn.XLOOKUP($B52,Tabla1[SERVICIO],Tabla1[VALOR])*1),IF(L52&gt;=1,_xlfn.XLOOKUP($B52,Tabla1[SERVICIO],Tabla1[VALOR]*L52),0))</f>
        <v>0</v>
      </c>
      <c r="N52" s="144"/>
      <c r="O52" s="56" cm="1">
        <f t="array" ref="O52">IF(N52="X",(_xlfn.XLOOKUP($B52,Tabla1[SERVICIO],Tabla1[VALOR])*1),IF(N52&gt;=1,_xlfn.XLOOKUP($B52,Tabla1[SERVICIO],Tabla1[VALOR]*N52),0))</f>
        <v>0</v>
      </c>
      <c r="P52" s="144"/>
      <c r="Q52" s="56" cm="1">
        <f t="array" ref="Q52">IF(P52="X",(_xlfn.XLOOKUP($B52,Tabla1[SERVICIO],Tabla1[VALOR])*1),IF(P52&gt;=1,_xlfn.XLOOKUP($B52,Tabla1[SERVICIO],Tabla1[VALOR]*P52),0))</f>
        <v>0</v>
      </c>
      <c r="R52" s="144"/>
      <c r="S52" s="56" cm="1">
        <f t="array" ref="S52">IF(R52="X",(_xlfn.XLOOKUP($B52,Tabla1[SERVICIO],Tabla1[VALOR])*1),IF(R52&gt;=1,_xlfn.XLOOKUP($B52,Tabla1[SERVICIO],Tabla1[VALOR]*R52),0))</f>
        <v>0</v>
      </c>
      <c r="T52" s="144"/>
      <c r="U52" s="56" cm="1">
        <f t="array" ref="U52">IF(T52="X",(_xlfn.XLOOKUP($B52,Tabla1[SERVICIO],Tabla1[VALOR])*1),IF(T52&gt;=1,_xlfn.XLOOKUP($B52,Tabla1[SERVICIO],Tabla1[VALOR]*T52),0))</f>
        <v>0</v>
      </c>
      <c r="V52" s="144"/>
      <c r="W52" s="56" cm="1">
        <f t="array" ref="W52">IF(V52="X",(_xlfn.XLOOKUP($B52,Tabla1[SERVICIO],Tabla1[VALOR])*1),IF(V52&gt;=1,_xlfn.XLOOKUP($B52,Tabla1[SERVICIO],Tabla1[VALOR]*V52),0))</f>
        <v>0</v>
      </c>
      <c r="X52" s="144"/>
      <c r="Y52" s="56" cm="1">
        <f t="array" ref="Y52">IF(X52="X",(_xlfn.XLOOKUP($B52,Tabla1[SERVICIO],Tabla1[VALOR])*1),IF(X52&gt;=1,_xlfn.XLOOKUP($B52,Tabla1[SERVICIO],Tabla1[VALOR]*X52),0))</f>
        <v>0</v>
      </c>
      <c r="Z52" s="144"/>
      <c r="AA52" s="56" cm="1">
        <f t="array" ref="AA52">IF(Z52="X",(_xlfn.XLOOKUP($B52,Tabla1[SERVICIO],Tabla1[VALOR])*1),IF(Z52&gt;=1,_xlfn.XLOOKUP($B52,Tabla1[SERVICIO],Tabla1[VALOR]*Z52),0))</f>
        <v>0</v>
      </c>
      <c r="AB52" s="144"/>
      <c r="AC52" s="56" cm="1">
        <f t="array" ref="AC52">IF(AB52="X",(_xlfn.XLOOKUP($B52,Tabla1[SERVICIO],Tabla1[VALOR])*1),IF(AB52&gt;=1,_xlfn.XLOOKUP($B52,Tabla1[SERVICIO],Tabla1[VALOR]*AB52),0))</f>
        <v>0</v>
      </c>
      <c r="AD52" s="144"/>
      <c r="AE52" s="56" cm="1">
        <f t="array" ref="AE52">IF(AD52="X",(_xlfn.XLOOKUP($B52,Tabla1[SERVICIO],Tabla1[VALOR])*1),IF(AD52&gt;=1,_xlfn.XLOOKUP($B52,Tabla1[SERVICIO],Tabla1[VALOR]*AD52),0))</f>
        <v>0</v>
      </c>
      <c r="AF52" s="144"/>
      <c r="AG52" s="56" cm="1">
        <f t="array" ref="AG52">IF(AF52="X",(_xlfn.XLOOKUP($B52,Tabla1[SERVICIO],Tabla1[VALOR])*1),IF(AF52&gt;=1,_xlfn.XLOOKUP($B52,Tabla1[SERVICIO],Tabla1[VALOR]*AF52),0))</f>
        <v>0</v>
      </c>
      <c r="AH52" s="144"/>
      <c r="AI52" s="56" cm="1">
        <f t="array" ref="AI52">IF(AH52="X",(_xlfn.XLOOKUP($B52,Tabla1[SERVICIO],Tabla1[VALOR])*1),IF(AH52&gt;=1,_xlfn.XLOOKUP($B52,Tabla1[SERVICIO],Tabla1[VALOR]*AH52),0))</f>
        <v>0</v>
      </c>
      <c r="AJ52" s="144"/>
      <c r="AK52" s="56" cm="1">
        <f t="array" ref="AK52">IF(AJ52="X",(_xlfn.XLOOKUP($B52,Tabla1[SERVICIO],Tabla1[VALOR])*1),IF(AJ52&gt;=1,_xlfn.XLOOKUP($B52,Tabla1[SERVICIO],Tabla1[VALOR]*AJ52),0))</f>
        <v>0</v>
      </c>
      <c r="AL52" s="144">
        <v>1</v>
      </c>
      <c r="AM52" s="56" cm="1">
        <f t="array" ref="AM52">IF(AL52="X",(_xlfn.XLOOKUP($B52,Tabla1[SERVICIO],Tabla1[VALOR])*1),IF(AL52&gt;=1,_xlfn.XLOOKUP($B52,Tabla1[SERVICIO],Tabla1[VALOR]*AL52),0))</f>
        <v>62748.232282880919</v>
      </c>
      <c r="AN52" s="86">
        <f t="shared" si="1"/>
        <v>62748.232282880919</v>
      </c>
      <c r="AO52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2" s="104" t="s">
        <v>319</v>
      </c>
      <c r="AQ52" s="150">
        <v>0</v>
      </c>
      <c r="AR52" s="121">
        <f>+Tabla46781635[[#This Row],[TOTAL]]*Tabla46781635[[#This Row],[% de las personas que lo usaron]]</f>
        <v>0</v>
      </c>
      <c r="AS52" s="122" t="s">
        <v>352</v>
      </c>
      <c r="AT52" s="335">
        <v>18</v>
      </c>
    </row>
    <row r="53" spans="1:46" x14ac:dyDescent="0.25">
      <c r="A53" s="7" t="s">
        <v>21</v>
      </c>
      <c r="B53" s="8" t="s">
        <v>221</v>
      </c>
      <c r="C53" s="96" t="str">
        <f>_xlfn.XLOOKUP(Tabla46781635[[#This Row],[Servicios del Programa:]],Tabla151[CODIGO],Tabla151[VALOR])</f>
        <v>Consultas</v>
      </c>
      <c r="D53" s="144">
        <v>1</v>
      </c>
      <c r="E53" s="56" cm="1">
        <f t="array" ref="E53">IF(D53="X",(_xlfn.XLOOKUP($B53,Tabla1[SERVICIO],Tabla1[VALOR])*1),IF(D53&gt;=1,_xlfn.XLOOKUP($B53,Tabla1[SERVICIO],Tabla1[VALOR]*D53),0))</f>
        <v>67398.098568534639</v>
      </c>
      <c r="F53" s="144"/>
      <c r="G53" s="56" cm="1">
        <f t="array" ref="G53">IF(F53="X",(_xlfn.XLOOKUP($B53,Tabla1[SERVICIO],Tabla1[VALOR])*1),IF(F53&gt;=1,_xlfn.XLOOKUP($B53,Tabla1[SERVICIO],Tabla1[VALOR]*F53),0))</f>
        <v>0</v>
      </c>
      <c r="H53" s="144"/>
      <c r="I53" s="56" cm="1">
        <f t="array" ref="I53">IF(H53="X",(_xlfn.XLOOKUP($B53,Tabla1[SERVICIO],Tabla1[VALOR])*1),IF(H53&gt;=1,_xlfn.XLOOKUP($B53,Tabla1[SERVICIO],Tabla1[VALOR]*H53),0))</f>
        <v>0</v>
      </c>
      <c r="J53" s="144"/>
      <c r="K53" s="56" cm="1">
        <f t="array" ref="K53">IF(J53="X",(_xlfn.XLOOKUP($B53,Tabla1[SERVICIO],Tabla1[VALOR])*1),IF(J53&gt;=1,_xlfn.XLOOKUP($B53,Tabla1[SERVICIO],Tabla1[VALOR]*J53),0))</f>
        <v>0</v>
      </c>
      <c r="L53" s="144"/>
      <c r="M53" s="56" cm="1">
        <f t="array" ref="M53">IF(L53="X",(_xlfn.XLOOKUP($B53,Tabla1[SERVICIO],Tabla1[VALOR])*1),IF(L53&gt;=1,_xlfn.XLOOKUP($B53,Tabla1[SERVICIO],Tabla1[VALOR]*L53),0))</f>
        <v>0</v>
      </c>
      <c r="N53" s="144"/>
      <c r="O53" s="56" cm="1">
        <f t="array" ref="O53">IF(N53="X",(_xlfn.XLOOKUP($B53,Tabla1[SERVICIO],Tabla1[VALOR])*1),IF(N53&gt;=1,_xlfn.XLOOKUP($B53,Tabla1[SERVICIO],Tabla1[VALOR]*N53),0))</f>
        <v>0</v>
      </c>
      <c r="P53" s="144"/>
      <c r="Q53" s="56" cm="1">
        <f t="array" ref="Q53">IF(P53="X",(_xlfn.XLOOKUP($B53,Tabla1[SERVICIO],Tabla1[VALOR])*1),IF(P53&gt;=1,_xlfn.XLOOKUP($B53,Tabla1[SERVICIO],Tabla1[VALOR]*P53),0))</f>
        <v>0</v>
      </c>
      <c r="R53" s="144"/>
      <c r="S53" s="56" cm="1">
        <f t="array" ref="S53">IF(R53="X",(_xlfn.XLOOKUP($B53,Tabla1[SERVICIO],Tabla1[VALOR])*1),IF(R53&gt;=1,_xlfn.XLOOKUP($B53,Tabla1[SERVICIO],Tabla1[VALOR]*R53),0))</f>
        <v>0</v>
      </c>
      <c r="T53" s="144"/>
      <c r="U53" s="56" cm="1">
        <f t="array" ref="U53">IF(T53="X",(_xlfn.XLOOKUP($B53,Tabla1[SERVICIO],Tabla1[VALOR])*1),IF(T53&gt;=1,_xlfn.XLOOKUP($B53,Tabla1[SERVICIO],Tabla1[VALOR]*T53),0))</f>
        <v>0</v>
      </c>
      <c r="V53" s="144"/>
      <c r="W53" s="56" cm="1">
        <f t="array" ref="W53">IF(V53="X",(_xlfn.XLOOKUP($B53,Tabla1[SERVICIO],Tabla1[VALOR])*1),IF(V53&gt;=1,_xlfn.XLOOKUP($B53,Tabla1[SERVICIO],Tabla1[VALOR]*V53),0))</f>
        <v>0</v>
      </c>
      <c r="X53" s="144"/>
      <c r="Y53" s="56" cm="1">
        <f t="array" ref="Y53">IF(X53="X",(_xlfn.XLOOKUP($B53,Tabla1[SERVICIO],Tabla1[VALOR])*1),IF(X53&gt;=1,_xlfn.XLOOKUP($B53,Tabla1[SERVICIO],Tabla1[VALOR]*X53),0))</f>
        <v>0</v>
      </c>
      <c r="Z53" s="144"/>
      <c r="AA53" s="56" cm="1">
        <f t="array" ref="AA53">IF(Z53="X",(_xlfn.XLOOKUP($B53,Tabla1[SERVICIO],Tabla1[VALOR])*1),IF(Z53&gt;=1,_xlfn.XLOOKUP($B53,Tabla1[SERVICIO],Tabla1[VALOR]*Z53),0))</f>
        <v>0</v>
      </c>
      <c r="AB53" s="144"/>
      <c r="AC53" s="56" cm="1">
        <f t="array" ref="AC53">IF(AB53="X",(_xlfn.XLOOKUP($B53,Tabla1[SERVICIO],Tabla1[VALOR])*1),IF(AB53&gt;=1,_xlfn.XLOOKUP($B53,Tabla1[SERVICIO],Tabla1[VALOR]*AB53),0))</f>
        <v>0</v>
      </c>
      <c r="AD53" s="144"/>
      <c r="AE53" s="56" cm="1">
        <f t="array" ref="AE53">IF(AD53="X",(_xlfn.XLOOKUP($B53,Tabla1[SERVICIO],Tabla1[VALOR])*1),IF(AD53&gt;=1,_xlfn.XLOOKUP($B53,Tabla1[SERVICIO],Tabla1[VALOR]*AD53),0))</f>
        <v>0</v>
      </c>
      <c r="AF53" s="144"/>
      <c r="AG53" s="56" cm="1">
        <f t="array" ref="AG53">IF(AF53="X",(_xlfn.XLOOKUP($B53,Tabla1[SERVICIO],Tabla1[VALOR])*1),IF(AF53&gt;=1,_xlfn.XLOOKUP($B53,Tabla1[SERVICIO],Tabla1[VALOR]*AF53),0))</f>
        <v>0</v>
      </c>
      <c r="AH53" s="144"/>
      <c r="AI53" s="56" cm="1">
        <f t="array" ref="AI53">IF(AH53="X",(_xlfn.XLOOKUP($B53,Tabla1[SERVICIO],Tabla1[VALOR])*1),IF(AH53&gt;=1,_xlfn.XLOOKUP($B53,Tabla1[SERVICIO],Tabla1[VALOR]*AH53),0))</f>
        <v>0</v>
      </c>
      <c r="AJ53" s="144"/>
      <c r="AK53" s="56" cm="1">
        <f t="array" ref="AK53">IF(AJ53="X",(_xlfn.XLOOKUP($B53,Tabla1[SERVICIO],Tabla1[VALOR])*1),IF(AJ53&gt;=1,_xlfn.XLOOKUP($B53,Tabla1[SERVICIO],Tabla1[VALOR]*AJ53),0))</f>
        <v>0</v>
      </c>
      <c r="AL53" s="144"/>
      <c r="AM53" s="56" cm="1">
        <f t="array" ref="AM53">IF(AL53="X",(_xlfn.XLOOKUP($B53,Tabla1[SERVICIO],Tabla1[VALOR])*1),IF(AL53&gt;=1,_xlfn.XLOOKUP($B53,Tabla1[SERVICIO],Tabla1[VALOR]*AL53),0))</f>
        <v>0</v>
      </c>
      <c r="AN53" s="86">
        <f t="shared" si="1"/>
        <v>67398.098568534639</v>
      </c>
      <c r="AO53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3" s="104" t="s">
        <v>319</v>
      </c>
      <c r="AQ53" s="150">
        <v>0.40587595212187161</v>
      </c>
      <c r="AR53" s="121">
        <f>+Tabla46781635[[#This Row],[TOTAL]]*Tabla46781635[[#This Row],[% de las personas que lo usaron]]</f>
        <v>27355.267427707749</v>
      </c>
      <c r="AS53" s="122" t="s">
        <v>352</v>
      </c>
      <c r="AT53" s="335">
        <v>18</v>
      </c>
    </row>
    <row r="54" spans="1:46" x14ac:dyDescent="0.25">
      <c r="A54" s="7" t="s">
        <v>38</v>
      </c>
      <c r="B54" s="8" t="s">
        <v>102</v>
      </c>
      <c r="C54" s="96" t="str">
        <f>_xlfn.XLOOKUP(Tabla46781635[[#This Row],[Servicios del Programa:]],Tabla151[CODIGO],Tabla151[VALOR])</f>
        <v>Consultas</v>
      </c>
      <c r="D54" s="144">
        <v>1</v>
      </c>
      <c r="E54" s="56" cm="1">
        <f t="array" ref="E54">IF(D54="X",(_xlfn.XLOOKUP($B54,Tabla1[SERVICIO],Tabla1[VALOR])*1),IF(D54&gt;=1,_xlfn.XLOOKUP($B54,Tabla1[SERVICIO],Tabla1[VALOR]*D54),0))</f>
        <v>56420.692787682223</v>
      </c>
      <c r="F54" s="144"/>
      <c r="G54" s="56" cm="1">
        <f t="array" ref="G54">IF(F54="X",(_xlfn.XLOOKUP($B54,Tabla1[SERVICIO],Tabla1[VALOR])*1),IF(F54&gt;=1,_xlfn.XLOOKUP($B54,Tabla1[SERVICIO],Tabla1[VALOR]*F54),0))</f>
        <v>0</v>
      </c>
      <c r="H54" s="144"/>
      <c r="I54" s="56" cm="1">
        <f t="array" ref="I54">IF(H54="X",(_xlfn.XLOOKUP($B54,Tabla1[SERVICIO],Tabla1[VALOR])*1),IF(H54&gt;=1,_xlfn.XLOOKUP($B54,Tabla1[SERVICIO],Tabla1[VALOR]*H54),0))</f>
        <v>0</v>
      </c>
      <c r="J54" s="144"/>
      <c r="K54" s="56" cm="1">
        <f t="array" ref="K54">IF(J54="X",(_xlfn.XLOOKUP($B54,Tabla1[SERVICIO],Tabla1[VALOR])*1),IF(J54&gt;=1,_xlfn.XLOOKUP($B54,Tabla1[SERVICIO],Tabla1[VALOR]*J54),0))</f>
        <v>0</v>
      </c>
      <c r="L54" s="144"/>
      <c r="M54" s="56" cm="1">
        <f t="array" ref="M54">IF(L54="X",(_xlfn.XLOOKUP($B54,Tabla1[SERVICIO],Tabla1[VALOR])*1),IF(L54&gt;=1,_xlfn.XLOOKUP($B54,Tabla1[SERVICIO],Tabla1[VALOR]*L54),0))</f>
        <v>0</v>
      </c>
      <c r="N54" s="144"/>
      <c r="O54" s="56" cm="1">
        <f t="array" ref="O54">IF(N54="X",(_xlfn.XLOOKUP($B54,Tabla1[SERVICIO],Tabla1[VALOR])*1),IF(N54&gt;=1,_xlfn.XLOOKUP($B54,Tabla1[SERVICIO],Tabla1[VALOR]*N54),0))</f>
        <v>0</v>
      </c>
      <c r="P54" s="144"/>
      <c r="Q54" s="56" cm="1">
        <f t="array" ref="Q54">IF(P54="X",(_xlfn.XLOOKUP($B54,Tabla1[SERVICIO],Tabla1[VALOR])*1),IF(P54&gt;=1,_xlfn.XLOOKUP($B54,Tabla1[SERVICIO],Tabla1[VALOR]*P54),0))</f>
        <v>0</v>
      </c>
      <c r="R54" s="144"/>
      <c r="S54" s="56" cm="1">
        <f t="array" ref="S54">IF(R54="X",(_xlfn.XLOOKUP($B54,Tabla1[SERVICIO],Tabla1[VALOR])*1),IF(R54&gt;=1,_xlfn.XLOOKUP($B54,Tabla1[SERVICIO],Tabla1[VALOR]*R54),0))</f>
        <v>0</v>
      </c>
      <c r="T54" s="144"/>
      <c r="U54" s="56" cm="1">
        <f t="array" ref="U54">IF(T54="X",(_xlfn.XLOOKUP($B54,Tabla1[SERVICIO],Tabla1[VALOR])*1),IF(T54&gt;=1,_xlfn.XLOOKUP($B54,Tabla1[SERVICIO],Tabla1[VALOR]*T54),0))</f>
        <v>0</v>
      </c>
      <c r="V54" s="144"/>
      <c r="W54" s="56" cm="1">
        <f t="array" ref="W54">IF(V54="X",(_xlfn.XLOOKUP($B54,Tabla1[SERVICIO],Tabla1[VALOR])*1),IF(V54&gt;=1,_xlfn.XLOOKUP($B54,Tabla1[SERVICIO],Tabla1[VALOR]*V54),0))</f>
        <v>0</v>
      </c>
      <c r="X54" s="144"/>
      <c r="Y54" s="56" cm="1">
        <f t="array" ref="Y54">IF(X54="X",(_xlfn.XLOOKUP($B54,Tabla1[SERVICIO],Tabla1[VALOR])*1),IF(X54&gt;=1,_xlfn.XLOOKUP($B54,Tabla1[SERVICIO],Tabla1[VALOR]*X54),0))</f>
        <v>0</v>
      </c>
      <c r="Z54" s="144"/>
      <c r="AA54" s="56" cm="1">
        <f t="array" ref="AA54">IF(Z54="X",(_xlfn.XLOOKUP($B54,Tabla1[SERVICIO],Tabla1[VALOR])*1),IF(Z54&gt;=1,_xlfn.XLOOKUP($B54,Tabla1[SERVICIO],Tabla1[VALOR]*Z54),0))</f>
        <v>0</v>
      </c>
      <c r="AB54" s="144"/>
      <c r="AC54" s="56" cm="1">
        <f t="array" ref="AC54">IF(AB54="X",(_xlfn.XLOOKUP($B54,Tabla1[SERVICIO],Tabla1[VALOR])*1),IF(AB54&gt;=1,_xlfn.XLOOKUP($B54,Tabla1[SERVICIO],Tabla1[VALOR]*AB54),0))</f>
        <v>0</v>
      </c>
      <c r="AD54" s="144"/>
      <c r="AE54" s="56" cm="1">
        <f t="array" ref="AE54">IF(AD54="X",(_xlfn.XLOOKUP($B54,Tabla1[SERVICIO],Tabla1[VALOR])*1),IF(AD54&gt;=1,_xlfn.XLOOKUP($B54,Tabla1[SERVICIO],Tabla1[VALOR]*AD54),0))</f>
        <v>0</v>
      </c>
      <c r="AF54" s="144"/>
      <c r="AG54" s="56" cm="1">
        <f t="array" ref="AG54">IF(AF54="X",(_xlfn.XLOOKUP($B54,Tabla1[SERVICIO],Tabla1[VALOR])*1),IF(AF54&gt;=1,_xlfn.XLOOKUP($B54,Tabla1[SERVICIO],Tabla1[VALOR]*AF54),0))</f>
        <v>0</v>
      </c>
      <c r="AH54" s="144"/>
      <c r="AI54" s="56" cm="1">
        <f t="array" ref="AI54">IF(AH54="X",(_xlfn.XLOOKUP($B54,Tabla1[SERVICIO],Tabla1[VALOR])*1),IF(AH54&gt;=1,_xlfn.XLOOKUP($B54,Tabla1[SERVICIO],Tabla1[VALOR]*AH54),0))</f>
        <v>0</v>
      </c>
      <c r="AJ54" s="144"/>
      <c r="AK54" s="56" cm="1">
        <f t="array" ref="AK54">IF(AJ54="X",(_xlfn.XLOOKUP($B54,Tabla1[SERVICIO],Tabla1[VALOR])*1),IF(AJ54&gt;=1,_xlfn.XLOOKUP($B54,Tabla1[SERVICIO],Tabla1[VALOR]*AJ54),0))</f>
        <v>0</v>
      </c>
      <c r="AL54" s="144"/>
      <c r="AM54" s="56" cm="1">
        <f t="array" ref="AM54">IF(AL54="X",(_xlfn.XLOOKUP($B54,Tabla1[SERVICIO],Tabla1[VALOR])*1),IF(AL54&gt;=1,_xlfn.XLOOKUP($B54,Tabla1[SERVICIO],Tabla1[VALOR]*AL54),0))</f>
        <v>0</v>
      </c>
      <c r="AN54" s="86">
        <f t="shared" si="1"/>
        <v>56420.692787682223</v>
      </c>
      <c r="AO54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4" s="104" t="s">
        <v>319</v>
      </c>
      <c r="AQ54" s="150">
        <v>4.0261153427638738E-2</v>
      </c>
      <c r="AR54" s="121">
        <f>+Tabla46781635[[#This Row],[TOTAL]]*Tabla46781635[[#This Row],[% de las personas que lo usaron]]</f>
        <v>2271.5621688185443</v>
      </c>
      <c r="AS54" s="122" t="s">
        <v>352</v>
      </c>
      <c r="AT54" s="335">
        <v>18</v>
      </c>
    </row>
    <row r="55" spans="1:46" x14ac:dyDescent="0.25">
      <c r="A55" s="7" t="s">
        <v>1</v>
      </c>
      <c r="B55" s="8" t="s">
        <v>2</v>
      </c>
      <c r="C55" s="96" t="str">
        <f>_xlfn.XLOOKUP(Tabla46781635[[#This Row],[Servicios del Programa:]],Tabla151[CODIGO],Tabla151[VALOR])</f>
        <v>Consultas</v>
      </c>
      <c r="D55" s="145"/>
      <c r="E55" s="56" cm="1">
        <f t="array" ref="E55">IF(D55="X",(_xlfn.XLOOKUP($B55,Tabla1[SERVICIO],Tabla1[VALOR])*1),IF(D55&gt;=1,_xlfn.XLOOKUP($B55,Tabla1[SERVICIO],Tabla1[VALOR]*D55),0))</f>
        <v>0</v>
      </c>
      <c r="F55" s="145"/>
      <c r="G55" s="56" cm="1">
        <f t="array" ref="G55">IF(F55="X",(_xlfn.XLOOKUP($B55,Tabla1[SERVICIO],Tabla1[VALOR])*1),IF(F55&gt;=1,_xlfn.XLOOKUP($B55,Tabla1[SERVICIO],Tabla1[VALOR]*F55),0))</f>
        <v>0</v>
      </c>
      <c r="H55" s="145"/>
      <c r="I55" s="56" cm="1">
        <f t="array" ref="I55">IF(H55="X",(_xlfn.XLOOKUP($B55,Tabla1[SERVICIO],Tabla1[VALOR])*1),IF(H55&gt;=1,_xlfn.XLOOKUP($B55,Tabla1[SERVICIO],Tabla1[VALOR]*H55),0))</f>
        <v>0</v>
      </c>
      <c r="J55" s="145"/>
      <c r="K55" s="56" cm="1">
        <f t="array" ref="K55">IF(J55="X",(_xlfn.XLOOKUP($B55,Tabla1[SERVICIO],Tabla1[VALOR])*1),IF(J55&gt;=1,_xlfn.XLOOKUP($B55,Tabla1[SERVICIO],Tabla1[VALOR]*J55),0))</f>
        <v>0</v>
      </c>
      <c r="L55" s="145"/>
      <c r="M55" s="56" cm="1">
        <f t="array" ref="M55">IF(L55="X",(_xlfn.XLOOKUP($B55,Tabla1[SERVICIO],Tabla1[VALOR])*1),IF(L55&gt;=1,_xlfn.XLOOKUP($B55,Tabla1[SERVICIO],Tabla1[VALOR]*L55),0))</f>
        <v>0</v>
      </c>
      <c r="N55" s="145"/>
      <c r="O55" s="56" cm="1">
        <f t="array" ref="O55">IF(N55="X",(_xlfn.XLOOKUP($B55,Tabla1[SERVICIO],Tabla1[VALOR])*1),IF(N55&gt;=1,_xlfn.XLOOKUP($B55,Tabla1[SERVICIO],Tabla1[VALOR]*N55),0))</f>
        <v>0</v>
      </c>
      <c r="P55" s="145"/>
      <c r="Q55" s="56" cm="1">
        <f t="array" ref="Q55">IF(P55="X",(_xlfn.XLOOKUP($B55,Tabla1[SERVICIO],Tabla1[VALOR])*1),IF(P55&gt;=1,_xlfn.XLOOKUP($B55,Tabla1[SERVICIO],Tabla1[VALOR]*P55),0))</f>
        <v>0</v>
      </c>
      <c r="R55" s="145"/>
      <c r="S55" s="56" cm="1">
        <f t="array" ref="S55">IF(R55="X",(_xlfn.XLOOKUP($B55,Tabla1[SERVICIO],Tabla1[VALOR])*1),IF(R55&gt;=1,_xlfn.XLOOKUP($B55,Tabla1[SERVICIO],Tabla1[VALOR]*R55),0))</f>
        <v>0</v>
      </c>
      <c r="T55" s="145"/>
      <c r="U55" s="56" cm="1">
        <f t="array" ref="U55">IF(T55="X",(_xlfn.XLOOKUP($B55,Tabla1[SERVICIO],Tabla1[VALOR])*1),IF(T55&gt;=1,_xlfn.XLOOKUP($B55,Tabla1[SERVICIO],Tabla1[VALOR]*T55),0))</f>
        <v>0</v>
      </c>
      <c r="V55" s="145"/>
      <c r="W55" s="56" cm="1">
        <f t="array" ref="W55">IF(V55="X",(_xlfn.XLOOKUP($B55,Tabla1[SERVICIO],Tabla1[VALOR])*1),IF(V55&gt;=1,_xlfn.XLOOKUP($B55,Tabla1[SERVICIO],Tabla1[VALOR]*V55),0))</f>
        <v>0</v>
      </c>
      <c r="X55" s="145"/>
      <c r="Y55" s="56" cm="1">
        <f t="array" ref="Y55">IF(X55="X",(_xlfn.XLOOKUP($B55,Tabla1[SERVICIO],Tabla1[VALOR])*1),IF(X55&gt;=1,_xlfn.XLOOKUP($B55,Tabla1[SERVICIO],Tabla1[VALOR]*X55),0))</f>
        <v>0</v>
      </c>
      <c r="Z55" s="145"/>
      <c r="AA55" s="56" cm="1">
        <f t="array" ref="AA55">IF(Z55="X",(_xlfn.XLOOKUP($B55,Tabla1[SERVICIO],Tabla1[VALOR])*1),IF(Z55&gt;=1,_xlfn.XLOOKUP($B55,Tabla1[SERVICIO],Tabla1[VALOR]*Z55),0))</f>
        <v>0</v>
      </c>
      <c r="AB55" s="145"/>
      <c r="AC55" s="56" cm="1">
        <f t="array" ref="AC55">IF(AB55="X",(_xlfn.XLOOKUP($B55,Tabla1[SERVICIO],Tabla1[VALOR])*1),IF(AB55&gt;=1,_xlfn.XLOOKUP($B55,Tabla1[SERVICIO],Tabla1[VALOR]*AB55),0))</f>
        <v>0</v>
      </c>
      <c r="AD55" s="145"/>
      <c r="AE55" s="56" cm="1">
        <f t="array" ref="AE55">IF(AD55="X",(_xlfn.XLOOKUP($B55,Tabla1[SERVICIO],Tabla1[VALOR])*1),IF(AD55&gt;=1,_xlfn.XLOOKUP($B55,Tabla1[SERVICIO],Tabla1[VALOR]*AD55),0))</f>
        <v>0</v>
      </c>
      <c r="AF55" s="145"/>
      <c r="AG55" s="56" cm="1">
        <f t="array" ref="AG55">IF(AF55="X",(_xlfn.XLOOKUP($B55,Tabla1[SERVICIO],Tabla1[VALOR])*1),IF(AF55&gt;=1,_xlfn.XLOOKUP($B55,Tabla1[SERVICIO],Tabla1[VALOR]*AF55),0))</f>
        <v>0</v>
      </c>
      <c r="AH55" s="145"/>
      <c r="AI55" s="56" cm="1">
        <f t="array" ref="AI55">IF(AH55="X",(_xlfn.XLOOKUP($B55,Tabla1[SERVICIO],Tabla1[VALOR])*1),IF(AH55&gt;=1,_xlfn.XLOOKUP($B55,Tabla1[SERVICIO],Tabla1[VALOR]*AH55),0))</f>
        <v>0</v>
      </c>
      <c r="AJ55" s="145"/>
      <c r="AK55" s="56" cm="1">
        <f t="array" ref="AK55">IF(AJ55="X",(_xlfn.XLOOKUP($B55,Tabla1[SERVICIO],Tabla1[VALOR])*1),IF(AJ55&gt;=1,_xlfn.XLOOKUP($B55,Tabla1[SERVICIO],Tabla1[VALOR]*AJ55),0))</f>
        <v>0</v>
      </c>
      <c r="AL55" s="144">
        <v>1</v>
      </c>
      <c r="AM55" s="56" cm="1">
        <f t="array" ref="AM55">IF(AL55="X",(_xlfn.XLOOKUP($B55,Tabla1[SERVICIO],Tabla1[VALOR])*1),IF(AL55&gt;=1,_xlfn.XLOOKUP($B55,Tabla1[SERVICIO],Tabla1[VALOR]*AL55),0))</f>
        <v>21014.39667403782</v>
      </c>
      <c r="AN55" s="86">
        <f t="shared" si="1"/>
        <v>21014.39667403782</v>
      </c>
      <c r="AO55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5" s="158" t="s">
        <v>318</v>
      </c>
      <c r="AQ55" s="150">
        <v>1</v>
      </c>
      <c r="AR55" s="121">
        <f>+Tabla46781635[[#This Row],[TOTAL]]*Tabla46781635[[#This Row],[% de las personas que lo usaron]]</f>
        <v>21014.39667403782</v>
      </c>
      <c r="AS55" s="122" t="s">
        <v>352</v>
      </c>
      <c r="AT55" s="335">
        <v>18</v>
      </c>
    </row>
    <row r="56" spans="1:46" x14ac:dyDescent="0.25">
      <c r="A56" s="7" t="s">
        <v>48</v>
      </c>
      <c r="B56" s="8" t="s">
        <v>222</v>
      </c>
      <c r="C56" s="96" t="str">
        <f>_xlfn.XLOOKUP(Tabla46781635[[#This Row],[Servicios del Programa:]],Tabla151[CODIGO],Tabla151[VALOR])</f>
        <v>Consultas</v>
      </c>
      <c r="D56" s="144">
        <v>1</v>
      </c>
      <c r="E56" s="56" cm="1">
        <f t="array" ref="E56">IF(D56="X",(_xlfn.XLOOKUP($B56,Tabla1[SERVICIO],Tabla1[VALOR])*1),IF(D56&gt;=1,_xlfn.XLOOKUP($B56,Tabla1[SERVICIO],Tabla1[VALOR]*D56),0))</f>
        <v>77398.098568534639</v>
      </c>
      <c r="F56" s="144"/>
      <c r="G56" s="56" cm="1">
        <f t="array" ref="G56">IF(F56="X",(_xlfn.XLOOKUP($B56,Tabla1[SERVICIO],Tabla1[VALOR])*1),IF(F56&gt;=1,_xlfn.XLOOKUP($B56,Tabla1[SERVICIO],Tabla1[VALOR]*F56),0))</f>
        <v>0</v>
      </c>
      <c r="H56" s="144"/>
      <c r="I56" s="56" cm="1">
        <f t="array" ref="I56">IF(H56="X",(_xlfn.XLOOKUP($B56,Tabla1[SERVICIO],Tabla1[VALOR])*1),IF(H56&gt;=1,_xlfn.XLOOKUP($B56,Tabla1[SERVICIO],Tabla1[VALOR]*H56),0))</f>
        <v>0</v>
      </c>
      <c r="J56" s="144"/>
      <c r="K56" s="56" cm="1">
        <f t="array" ref="K56">IF(J56="X",(_xlfn.XLOOKUP($B56,Tabla1[SERVICIO],Tabla1[VALOR])*1),IF(J56&gt;=1,_xlfn.XLOOKUP($B56,Tabla1[SERVICIO],Tabla1[VALOR]*J56),0))</f>
        <v>0</v>
      </c>
      <c r="L56" s="144"/>
      <c r="M56" s="56" cm="1">
        <f t="array" ref="M56">IF(L56="X",(_xlfn.XLOOKUP($B56,Tabla1[SERVICIO],Tabla1[VALOR])*1),IF(L56&gt;=1,_xlfn.XLOOKUP($B56,Tabla1[SERVICIO],Tabla1[VALOR]*L56),0))</f>
        <v>0</v>
      </c>
      <c r="N56" s="144"/>
      <c r="O56" s="56" cm="1">
        <f t="array" ref="O56">IF(N56="X",(_xlfn.XLOOKUP($B56,Tabla1[SERVICIO],Tabla1[VALOR])*1),IF(N56&gt;=1,_xlfn.XLOOKUP($B56,Tabla1[SERVICIO],Tabla1[VALOR]*N56),0))</f>
        <v>0</v>
      </c>
      <c r="P56" s="144"/>
      <c r="Q56" s="56" cm="1">
        <f t="array" ref="Q56">IF(P56="X",(_xlfn.XLOOKUP($B56,Tabla1[SERVICIO],Tabla1[VALOR])*1),IF(P56&gt;=1,_xlfn.XLOOKUP($B56,Tabla1[SERVICIO],Tabla1[VALOR]*P56),0))</f>
        <v>0</v>
      </c>
      <c r="R56" s="144"/>
      <c r="S56" s="56" cm="1">
        <f t="array" ref="S56">IF(R56="X",(_xlfn.XLOOKUP($B56,Tabla1[SERVICIO],Tabla1[VALOR])*1),IF(R56&gt;=1,_xlfn.XLOOKUP($B56,Tabla1[SERVICIO],Tabla1[VALOR]*R56),0))</f>
        <v>0</v>
      </c>
      <c r="T56" s="144"/>
      <c r="U56" s="56" cm="1">
        <f t="array" ref="U56">IF(T56="X",(_xlfn.XLOOKUP($B56,Tabla1[SERVICIO],Tabla1[VALOR])*1),IF(T56&gt;=1,_xlfn.XLOOKUP($B56,Tabla1[SERVICIO],Tabla1[VALOR]*T56),0))</f>
        <v>0</v>
      </c>
      <c r="V56" s="144"/>
      <c r="W56" s="56" cm="1">
        <f t="array" ref="W56">IF(V56="X",(_xlfn.XLOOKUP($B56,Tabla1[SERVICIO],Tabla1[VALOR])*1),IF(V56&gt;=1,_xlfn.XLOOKUP($B56,Tabla1[SERVICIO],Tabla1[VALOR]*V56),0))</f>
        <v>0</v>
      </c>
      <c r="X56" s="144"/>
      <c r="Y56" s="56" cm="1">
        <f t="array" ref="Y56">IF(X56="X",(_xlfn.XLOOKUP($B56,Tabla1[SERVICIO],Tabla1[VALOR])*1),IF(X56&gt;=1,_xlfn.XLOOKUP($B56,Tabla1[SERVICIO],Tabla1[VALOR]*X56),0))</f>
        <v>0</v>
      </c>
      <c r="Z56" s="144"/>
      <c r="AA56" s="56" cm="1">
        <f t="array" ref="AA56">IF(Z56="X",(_xlfn.XLOOKUP($B56,Tabla1[SERVICIO],Tabla1[VALOR])*1),IF(Z56&gt;=1,_xlfn.XLOOKUP($B56,Tabla1[SERVICIO],Tabla1[VALOR]*Z56),0))</f>
        <v>0</v>
      </c>
      <c r="AB56" s="144"/>
      <c r="AC56" s="56" cm="1">
        <f t="array" ref="AC56">IF(AB56="X",(_xlfn.XLOOKUP($B56,Tabla1[SERVICIO],Tabla1[VALOR])*1),IF(AB56&gt;=1,_xlfn.XLOOKUP($B56,Tabla1[SERVICIO],Tabla1[VALOR]*AB56),0))</f>
        <v>0</v>
      </c>
      <c r="AD56" s="144"/>
      <c r="AE56" s="56" cm="1">
        <f t="array" ref="AE56">IF(AD56="X",(_xlfn.XLOOKUP($B56,Tabla1[SERVICIO],Tabla1[VALOR])*1),IF(AD56&gt;=1,_xlfn.XLOOKUP($B56,Tabla1[SERVICIO],Tabla1[VALOR]*AD56),0))</f>
        <v>0</v>
      </c>
      <c r="AF56" s="144"/>
      <c r="AG56" s="56" cm="1">
        <f t="array" ref="AG56">IF(AF56="X",(_xlfn.XLOOKUP($B56,Tabla1[SERVICIO],Tabla1[VALOR])*1),IF(AF56&gt;=1,_xlfn.XLOOKUP($B56,Tabla1[SERVICIO],Tabla1[VALOR]*AF56),0))</f>
        <v>0</v>
      </c>
      <c r="AH56" s="144"/>
      <c r="AI56" s="56" cm="1">
        <f t="array" ref="AI56">IF(AH56="X",(_xlfn.XLOOKUP($B56,Tabla1[SERVICIO],Tabla1[VALOR])*1),IF(AH56&gt;=1,_xlfn.XLOOKUP($B56,Tabla1[SERVICIO],Tabla1[VALOR]*AH56),0))</f>
        <v>0</v>
      </c>
      <c r="AJ56" s="144"/>
      <c r="AK56" s="56" cm="1">
        <f t="array" ref="AK56">IF(AJ56="X",(_xlfn.XLOOKUP($B56,Tabla1[SERVICIO],Tabla1[VALOR])*1),IF(AJ56&gt;=1,_xlfn.XLOOKUP($B56,Tabla1[SERVICIO],Tabla1[VALOR]*AJ56),0))</f>
        <v>0</v>
      </c>
      <c r="AL56" s="144"/>
      <c r="AM56" s="57" cm="1">
        <f t="array" ref="AM56">IF(AL56="X",(_xlfn.XLOOKUP($B56,Tabla1[SERVICIO],Tabla1[VALOR])*1),IF(AL56&gt;=1,_xlfn.XLOOKUP($B56,Tabla1[SERVICIO],Tabla1[VALOR]*AL56),0))</f>
        <v>0</v>
      </c>
      <c r="AN56" s="86">
        <f t="shared" si="1"/>
        <v>77398.098568534639</v>
      </c>
      <c r="AO56" s="149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6" s="110" t="s">
        <v>319</v>
      </c>
      <c r="AQ56" s="160">
        <v>1.088139281828074E-2</v>
      </c>
      <c r="AR56" s="121">
        <f>+Tabla46781635[[#This Row],[TOTAL]]*Tabla46781635[[#This Row],[% de las personas que lo usaron]]</f>
        <v>842.19911391223764</v>
      </c>
      <c r="AS56" s="122" t="s">
        <v>352</v>
      </c>
      <c r="AT56" s="335">
        <v>18</v>
      </c>
    </row>
    <row r="57" spans="1:46" x14ac:dyDescent="0.25">
      <c r="A57" s="195" t="s">
        <v>327</v>
      </c>
      <c r="B57" s="217"/>
      <c r="C57" s="217"/>
      <c r="D57" s="218">
        <f>SUBTOTAL(109,Tabla46781635[MES 1])</f>
        <v>26</v>
      </c>
      <c r="E57" s="218">
        <f>SUBTOTAL(109,Tabla46781635[MES 19])</f>
        <v>804130.98017171351</v>
      </c>
      <c r="F57" s="218">
        <f>SUBTOTAL(109,Tabla46781635[MES 2])</f>
        <v>8</v>
      </c>
      <c r="G57" s="151">
        <f>SUBTOTAL(109,Tabla46781635[MES 22])</f>
        <v>70240.958933331596</v>
      </c>
      <c r="H57" s="218">
        <f>SUBTOTAL(109,Tabla46781635[MES 3])</f>
        <v>8</v>
      </c>
      <c r="I57" s="151">
        <f>SUBTOTAL(109,Tabla46781635[MES 32])</f>
        <v>70240.958933331596</v>
      </c>
      <c r="J57" s="218">
        <f>SUBTOTAL(109,Tabla46781635[MES 4])</f>
        <v>8</v>
      </c>
      <c r="K57" s="151">
        <f>SUBTOTAL(109,Tabla46781635[MES 42])</f>
        <v>70240.958933331596</v>
      </c>
      <c r="L57" s="218">
        <f>SUBTOTAL(109,Tabla46781635[MES 5])</f>
        <v>8</v>
      </c>
      <c r="M57" s="151">
        <f>SUBTOTAL(109,Tabla46781635[MES 52])</f>
        <v>70240.958933331596</v>
      </c>
      <c r="N57" s="218">
        <f>SUBTOTAL(109,Tabla46781635[MES 6])</f>
        <v>12</v>
      </c>
      <c r="O57" s="151">
        <f>SUBTOTAL(109,Tabla46781635[MES 62])</f>
        <v>163982.31466052186</v>
      </c>
      <c r="P57" s="218">
        <f>SUBTOTAL(109,Tabla46781635[MES 7])</f>
        <v>8</v>
      </c>
      <c r="Q57" s="151">
        <f>SUBTOTAL(109,Tabla46781635[MES 72])</f>
        <v>70240.958933331596</v>
      </c>
      <c r="R57" s="218">
        <f>SUBTOTAL(109,Tabla46781635[MES 8])</f>
        <v>8</v>
      </c>
      <c r="S57" s="151">
        <f>SUBTOTAL(109,Tabla46781635[MES 82])</f>
        <v>70240.958933331596</v>
      </c>
      <c r="T57" s="218">
        <f>SUBTOTAL(109,Tabla46781635[MES 9])</f>
        <v>8</v>
      </c>
      <c r="U57" s="151">
        <f>SUBTOTAL(109,Tabla46781635[MES 92])</f>
        <v>70240.958933331596</v>
      </c>
      <c r="V57" s="218">
        <f>SUBTOTAL(109,Tabla46781635[MES 10])</f>
        <v>8</v>
      </c>
      <c r="W57" s="151">
        <f>SUBTOTAL(109,Tabla46781635[MES 102])</f>
        <v>70240.958933331596</v>
      </c>
      <c r="X57" s="218">
        <f>SUBTOTAL(109,Tabla46781635[MES 11])</f>
        <v>8</v>
      </c>
      <c r="Y57" s="151">
        <f>SUBTOTAL(109,Tabla46781635[MES 112])</f>
        <v>70240.958933331596</v>
      </c>
      <c r="Z57" s="218">
        <f>SUBTOTAL(109,Tabla46781635[MES 12])</f>
        <v>8</v>
      </c>
      <c r="AA57" s="151">
        <f>SUBTOTAL(109,Tabla46781635[MES 122])</f>
        <v>70240.958933331596</v>
      </c>
      <c r="AB57" s="218">
        <f>SUBTOTAL(109,Tabla46781635[MES 13])</f>
        <v>8</v>
      </c>
      <c r="AC57" s="151">
        <f>SUBTOTAL(109,Tabla46781635[MES 132])</f>
        <v>70240.958933331596</v>
      </c>
      <c r="AD57" s="218">
        <f>SUBTOTAL(109,Tabla46781635[MES 14])</f>
        <v>8</v>
      </c>
      <c r="AE57" s="151">
        <f>SUBTOTAL(109,Tabla46781635[MES 142])</f>
        <v>70240.958933331596</v>
      </c>
      <c r="AF57" s="218">
        <f>SUBTOTAL(109,Tabla46781635[MES 15])</f>
        <v>8</v>
      </c>
      <c r="AG57" s="151">
        <f>SUBTOTAL(109,Tabla46781635[MES 152])</f>
        <v>70240.958933331596</v>
      </c>
      <c r="AH57" s="218">
        <f>SUBTOTAL(109,Tabla46781635[MES 16])</f>
        <v>8</v>
      </c>
      <c r="AI57" s="151">
        <f>SUBTOTAL(109,Tabla46781635[MES 162])</f>
        <v>70240.958933331596</v>
      </c>
      <c r="AJ57" s="218">
        <f>SUBTOTAL(109,Tabla46781635[MES 17])</f>
        <v>8</v>
      </c>
      <c r="AK57" s="151">
        <f>SUBTOTAL(109,Tabla46781635[MES 172])</f>
        <v>70240.958933331596</v>
      </c>
      <c r="AL57" s="218">
        <f>SUBTOTAL(109,Tabla46781635[MES 18])</f>
        <v>15</v>
      </c>
      <c r="AM57" s="219">
        <f>SUBTOTAL(109,Tabla46781635[MES 1722])</f>
        <v>265632.33242785011</v>
      </c>
      <c r="AN57" s="185">
        <f>SUBTOTAL(109,Tabla46781635[TOTAL])</f>
        <v>2287360.0112600592</v>
      </c>
      <c r="AO57" s="125">
        <f>SUBTOTAL(109,Tabla467834[Columna2])</f>
        <v>125</v>
      </c>
      <c r="AP57" s="125"/>
      <c r="AQ57" s="125"/>
      <c r="AR57" s="125">
        <f>SUBTOTAL(109,Tabla46781635[VALOR COSTO])</f>
        <v>1567726.8780100048</v>
      </c>
      <c r="AS57" s="337"/>
      <c r="AT57" s="337"/>
    </row>
  </sheetData>
  <phoneticPr fontId="13" type="noConversion"/>
  <conditionalFormatting sqref="A4">
    <cfRule type="duplicateValues" dxfId="54" priority="10"/>
  </conditionalFormatting>
  <conditionalFormatting sqref="A5">
    <cfRule type="duplicateValues" dxfId="53" priority="9"/>
  </conditionalFormatting>
  <conditionalFormatting sqref="A21:A23">
    <cfRule type="duplicateValues" dxfId="52" priority="8"/>
  </conditionalFormatting>
  <conditionalFormatting sqref="A33">
    <cfRule type="duplicateValues" dxfId="51" priority="7"/>
  </conditionalFormatting>
  <conditionalFormatting sqref="A34">
    <cfRule type="duplicateValues" dxfId="50" priority="6"/>
  </conditionalFormatting>
  <conditionalFormatting sqref="A50:A52">
    <cfRule type="duplicateValues" dxfId="49" priority="5"/>
  </conditionalFormatting>
  <conditionalFormatting sqref="AF3:AF2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2:AR5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1E67-FFAD-4037-AF60-EB6B4BD93120}">
  <sheetPr codeName="Hoja13">
    <tabColor theme="7" tint="0.39997558519241921"/>
  </sheetPr>
  <dimension ref="A1:AT58"/>
  <sheetViews>
    <sheetView zoomScale="55" zoomScaleNormal="55" workbookViewId="0">
      <selection activeCell="A3" sqref="A3:AH27"/>
    </sheetView>
    <sheetView workbookViewId="1">
      <selection activeCell="B9" sqref="B9"/>
    </sheetView>
  </sheetViews>
  <sheetFormatPr baseColWidth="10" defaultRowHeight="12.75" x14ac:dyDescent="0.2"/>
  <cols>
    <col min="1" max="1" width="10.5703125" style="2" customWidth="1"/>
    <col min="2" max="2" width="53.28515625" style="3" customWidth="1"/>
    <col min="3" max="3" width="20.140625" style="2" bestFit="1" customWidth="1"/>
    <col min="4" max="4" width="12.42578125" style="2" bestFit="1" customWidth="1"/>
    <col min="5" max="5" width="10.7109375" style="2" bestFit="1" customWidth="1"/>
    <col min="6" max="6" width="11.42578125" style="2" customWidth="1"/>
    <col min="7" max="7" width="5.5703125" style="2" customWidth="1"/>
    <col min="8" max="8" width="10.7109375" style="2" customWidth="1"/>
    <col min="9" max="9" width="5.5703125" style="2" customWidth="1"/>
    <col min="10" max="10" width="11.42578125" style="2" customWidth="1"/>
    <col min="11" max="11" width="5.5703125" style="2" customWidth="1"/>
    <col min="12" max="12" width="10.7109375" style="2" customWidth="1"/>
    <col min="13" max="13" width="5.5703125" style="2" customWidth="1"/>
    <col min="14" max="14" width="11.28515625" style="2" customWidth="1"/>
    <col min="15" max="15" width="5.5703125" style="2" customWidth="1"/>
    <col min="16" max="16" width="11.5703125" style="2" customWidth="1"/>
    <col min="17" max="17" width="5.5703125" style="2" customWidth="1"/>
    <col min="18" max="18" width="11.140625" style="2" customWidth="1"/>
    <col min="19" max="19" width="5.5703125" style="2" customWidth="1"/>
    <col min="20" max="20" width="10.5703125" style="2" customWidth="1"/>
    <col min="21" max="21" width="5.5703125" style="3" customWidth="1"/>
    <col min="22" max="22" width="12.42578125" style="3" bestFit="1" customWidth="1"/>
    <col min="23" max="23" width="5.5703125" style="3" customWidth="1"/>
    <col min="24" max="24" width="12.42578125" style="3" bestFit="1" customWidth="1"/>
    <col min="25" max="25" width="5.5703125" style="3" customWidth="1"/>
    <col min="26" max="26" width="12.42578125" style="3" bestFit="1" customWidth="1"/>
    <col min="27" max="27" width="13.85546875" style="3" bestFit="1" customWidth="1"/>
    <col min="28" max="28" width="12.28515625" style="3" bestFit="1" customWidth="1"/>
    <col min="29" max="30" width="11.42578125" style="3"/>
    <col min="31" max="31" width="14.5703125" style="3" bestFit="1" customWidth="1"/>
    <col min="32" max="32" width="12.85546875" style="3" bestFit="1" customWidth="1"/>
    <col min="33" max="38" width="11.42578125" style="3"/>
    <col min="39" max="39" width="15.5703125" style="3" bestFit="1" customWidth="1"/>
    <col min="40" max="42" width="11.42578125" style="3"/>
    <col min="43" max="43" width="15.5703125" style="3" bestFit="1" customWidth="1"/>
    <col min="44" max="16384" width="11.42578125" style="3"/>
  </cols>
  <sheetData>
    <row r="1" spans="1:34" ht="38.25" customHeight="1" x14ac:dyDescent="0.2">
      <c r="A1" s="43" t="s">
        <v>202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48" customFormat="1" ht="38.25" x14ac:dyDescent="0.2">
      <c r="A2" s="20" t="s">
        <v>0</v>
      </c>
      <c r="B2" s="147" t="s">
        <v>203</v>
      </c>
      <c r="C2" s="183" t="s">
        <v>347</v>
      </c>
      <c r="D2" s="94" t="s">
        <v>56</v>
      </c>
      <c r="E2" s="94" t="s">
        <v>68</v>
      </c>
      <c r="F2" s="94" t="s">
        <v>57</v>
      </c>
      <c r="G2" s="94" t="s">
        <v>293</v>
      </c>
      <c r="H2" s="94" t="s">
        <v>58</v>
      </c>
      <c r="I2" s="94" t="s">
        <v>294</v>
      </c>
      <c r="J2" s="94" t="s">
        <v>59</v>
      </c>
      <c r="K2" s="94" t="s">
        <v>295</v>
      </c>
      <c r="L2" s="94" t="s">
        <v>60</v>
      </c>
      <c r="M2" s="94" t="s">
        <v>296</v>
      </c>
      <c r="N2" s="94" t="s">
        <v>61</v>
      </c>
      <c r="O2" s="94" t="s">
        <v>297</v>
      </c>
      <c r="P2" s="94" t="s">
        <v>62</v>
      </c>
      <c r="Q2" s="94" t="s">
        <v>298</v>
      </c>
      <c r="R2" s="94" t="s">
        <v>63</v>
      </c>
      <c r="S2" s="94" t="s">
        <v>299</v>
      </c>
      <c r="T2" s="94" t="s">
        <v>64</v>
      </c>
      <c r="U2" s="94" t="s">
        <v>300</v>
      </c>
      <c r="V2" s="94" t="s">
        <v>65</v>
      </c>
      <c r="W2" s="94" t="s">
        <v>301</v>
      </c>
      <c r="X2" s="94" t="s">
        <v>66</v>
      </c>
      <c r="Y2" s="94" t="s">
        <v>302</v>
      </c>
      <c r="Z2" s="94" t="s">
        <v>67</v>
      </c>
      <c r="AA2" s="105" t="s">
        <v>311</v>
      </c>
      <c r="AB2" s="105" t="s">
        <v>247</v>
      </c>
      <c r="AC2" s="155" t="s">
        <v>313</v>
      </c>
      <c r="AD2" s="156" t="s">
        <v>187</v>
      </c>
      <c r="AE2" s="105" t="s">
        <v>316</v>
      </c>
      <c r="AF2" s="105" t="s">
        <v>317</v>
      </c>
      <c r="AG2" s="105" t="s">
        <v>348</v>
      </c>
      <c r="AH2" s="105" t="s">
        <v>406</v>
      </c>
    </row>
    <row r="3" spans="1:34" ht="15" x14ac:dyDescent="0.25">
      <c r="A3" s="7" t="s">
        <v>13</v>
      </c>
      <c r="B3" s="96" t="s">
        <v>14</v>
      </c>
      <c r="C3" s="96" t="str">
        <f>_xlfn.XLOOKUP(Tabla336[[#This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14"/>
      <c r="G3" s="56" cm="1">
        <f t="array" ref="G3">IF(F3="X",(_xlfn.XLOOKUP($B3,Tabla1[SERVICIO],Tabla1[VALOR])*1),IF(F3&gt;=1,_xlfn.XLOOKUP($B3,Tabla1[SERVICIO],Tabla1[VALOR]*F3),0))</f>
        <v>0</v>
      </c>
      <c r="H3" s="14"/>
      <c r="I3" s="56" cm="1">
        <f t="array" ref="I3">IF(H3="X",(_xlfn.XLOOKUP($B3,Tabla1[SERVICIO],Tabla1[VALOR])*1),IF(H3&gt;=1,_xlfn.XLOOKUP($B3,Tabla1[SERVICIO],Tabla1[VALOR]*H3),0))</f>
        <v>0</v>
      </c>
      <c r="J3" s="14"/>
      <c r="K3" s="56" cm="1">
        <f t="array" ref="K3">IF(J3="X",(_xlfn.XLOOKUP($B3,Tabla1[SERVICIO],Tabla1[VALOR])*1),IF(J3&gt;=1,_xlfn.XLOOKUP($B3,Tabla1[SERVICIO],Tabla1[VALOR]*J3),0))</f>
        <v>0</v>
      </c>
      <c r="L3" s="14"/>
      <c r="M3" s="56" cm="1">
        <f t="array" ref="M3">IF(L3="X",(_xlfn.XLOOKUP($B3,Tabla1[SERVICIO],Tabla1[VALOR])*1),IF(L3&gt;=1,_xlfn.XLOOKUP($B3,Tabla1[SERVICIO],Tabla1[VALOR]*L3),0))</f>
        <v>0</v>
      </c>
      <c r="N3" s="14"/>
      <c r="O3" s="56" cm="1">
        <f t="array" ref="O3">IF(N3="X",(_xlfn.XLOOKUP($B3,Tabla1[SERVICIO],Tabla1[VALOR])*1),IF(N3&gt;=1,_xlfn.XLOOKUP($B3,Tabla1[SERVICIO],Tabla1[VALOR]*N3),0))</f>
        <v>0</v>
      </c>
      <c r="P3" s="14"/>
      <c r="Q3" s="56" cm="1">
        <f t="array" ref="Q3">IF(P3="X",(_xlfn.XLOOKUP($B3,Tabla1[SERVICIO],Tabla1[VALOR])*1),IF(P3&gt;=1,_xlfn.XLOOKUP($B3,Tabla1[SERVICIO],Tabla1[VALOR]*P3),0))</f>
        <v>0</v>
      </c>
      <c r="R3" s="14"/>
      <c r="S3" s="56" cm="1">
        <f t="array" ref="S3">IF(R3="X",(_xlfn.XLOOKUP($B3,Tabla1[SERVICIO],Tabla1[VALOR])*1),IF(R3&gt;=1,_xlfn.XLOOKUP($B3,Tabla1[SERVICIO],Tabla1[VALOR]*R3),0))</f>
        <v>0</v>
      </c>
      <c r="T3" s="14"/>
      <c r="U3" s="56" cm="1">
        <f t="array" ref="U3">IF(T3="X",(_xlfn.XLOOKUP($B3,Tabla1[SERVICIO],Tabla1[VALOR])*1),IF(T3&gt;=1,_xlfn.XLOOKUP($B3,Tabla1[SERVICIO],Tabla1[VALOR]*T3),0))</f>
        <v>0</v>
      </c>
      <c r="V3" s="14"/>
      <c r="W3" s="56" cm="1">
        <f t="array" ref="W3">IF(V3="X",(_xlfn.XLOOKUP($B3,Tabla1[SERVICIO],Tabla1[VALOR])*1),IF(V3&gt;=1,_xlfn.XLOOKUP($B3,Tabla1[SERVICIO],Tabla1[VALOR]*V3),0))</f>
        <v>0</v>
      </c>
      <c r="X3" s="14"/>
      <c r="Y3" s="56" cm="1">
        <f t="array" ref="Y3">IF(X3="X",(_xlfn.XLOOKUP($B3,Tabla1[SERVICIO],Tabla1[VALOR])*1),IF(X3&gt;=1,_xlfn.XLOOKUP($B3,Tabla1[SERVICIO],Tabla1[VALOR]*X3),0))</f>
        <v>0</v>
      </c>
      <c r="Z3" s="14"/>
      <c r="AA3" s="56" cm="1">
        <f t="array" ref="AA3">IF(Z3="X",(_xlfn.XLOOKUP($B3,Tabla1[SERVICIO],Tabla1[VALOR])*1),IF(Z3&gt;=1,_xlfn.XLOOKUP($B3,Tabla1[SERVICIO],Tabla1[VALOR]*Z3),0))</f>
        <v>0</v>
      </c>
      <c r="AB3" s="89">
        <f>SUM(E3,G3,I3,K3+M3,O3,Q3,S3,U3,W3,Y3,AA3)</f>
        <v>20552.755657371155</v>
      </c>
      <c r="AC3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3" s="104" t="s">
        <v>318</v>
      </c>
      <c r="AE3" s="154">
        <v>1</v>
      </c>
      <c r="AF3" s="90">
        <f>+Tabla336[[#This Row],[TOTAL]]*Tabla336[[#This Row],[% de las personas que lo usaron]]</f>
        <v>20552.755657371155</v>
      </c>
      <c r="AG3" s="240" t="s">
        <v>331</v>
      </c>
      <c r="AH3" s="335">
        <v>12</v>
      </c>
    </row>
    <row r="4" spans="1:34" ht="15" x14ac:dyDescent="0.25">
      <c r="A4" s="7" t="s">
        <v>98</v>
      </c>
      <c r="B4" s="96" t="s">
        <v>99</v>
      </c>
      <c r="C4" s="96" t="str">
        <f>_xlfn.XLOOKUP(Tabla336[[#This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8"/>
      <c r="G4" s="56" cm="1">
        <f t="array" ref="G4">IF(F4="X",(_xlfn.XLOOKUP($B4,Tabla1[SERVICIO],Tabla1[VALOR])*1),IF(F4&gt;=1,_xlfn.XLOOKUP($B4,Tabla1[SERVICIO],Tabla1[VALOR]*F4),0))</f>
        <v>0</v>
      </c>
      <c r="H4" s="8"/>
      <c r="I4" s="56" cm="1">
        <f t="array" ref="I4">IF(H4="X",(_xlfn.XLOOKUP($B4,Tabla1[SERVICIO],Tabla1[VALOR])*1),IF(H4&gt;=1,_xlfn.XLOOKUP($B4,Tabla1[SERVICIO],Tabla1[VALOR]*H4),0))</f>
        <v>0</v>
      </c>
      <c r="J4" s="8"/>
      <c r="K4" s="56" cm="1">
        <f t="array" ref="K4">IF(J4="X",(_xlfn.XLOOKUP($B4,Tabla1[SERVICIO],Tabla1[VALOR])*1),IF(J4&gt;=1,_xlfn.XLOOKUP($B4,Tabla1[SERVICIO],Tabla1[VALOR]*J4),0))</f>
        <v>0</v>
      </c>
      <c r="L4" s="8"/>
      <c r="M4" s="56" cm="1">
        <f t="array" ref="M4">IF(L4="X",(_xlfn.XLOOKUP($B4,Tabla1[SERVICIO],Tabla1[VALOR])*1),IF(L4&gt;=1,_xlfn.XLOOKUP($B4,Tabla1[SERVICIO],Tabla1[VALOR]*L4),0))</f>
        <v>0</v>
      </c>
      <c r="N4" s="8"/>
      <c r="O4" s="56" cm="1">
        <f t="array" ref="O4">IF(N4="X",(_xlfn.XLOOKUP($B4,Tabla1[SERVICIO],Tabla1[VALOR])*1),IF(N4&gt;=1,_xlfn.XLOOKUP($B4,Tabla1[SERVICIO],Tabla1[VALOR]*N4),0))</f>
        <v>0</v>
      </c>
      <c r="P4" s="8"/>
      <c r="Q4" s="56" cm="1">
        <f t="array" ref="Q4">IF(P4="X",(_xlfn.XLOOKUP($B4,Tabla1[SERVICIO],Tabla1[VALOR])*1),IF(P4&gt;=1,_xlfn.XLOOKUP($B4,Tabla1[SERVICIO],Tabla1[VALOR]*P4),0))</f>
        <v>0</v>
      </c>
      <c r="R4" s="8"/>
      <c r="S4" s="56" cm="1">
        <f t="array" ref="S4">IF(R4="X",(_xlfn.XLOOKUP($B4,Tabla1[SERVICIO],Tabla1[VALOR])*1),IF(R4&gt;=1,_xlfn.XLOOKUP($B4,Tabla1[SERVICIO],Tabla1[VALOR]*R4),0))</f>
        <v>0</v>
      </c>
      <c r="T4" s="8"/>
      <c r="U4" s="56" cm="1">
        <f t="array" ref="U4">IF(T4="X",(_xlfn.XLOOKUP($B4,Tabla1[SERVICIO],Tabla1[VALOR])*1),IF(T4&gt;=1,_xlfn.XLOOKUP($B4,Tabla1[SERVICIO],Tabla1[VALOR]*T4),0))</f>
        <v>0</v>
      </c>
      <c r="V4" s="8"/>
      <c r="W4" s="56" cm="1">
        <f t="array" ref="W4">IF(V4="X",(_xlfn.XLOOKUP($B4,Tabla1[SERVICIO],Tabla1[VALOR])*1),IF(V4&gt;=1,_xlfn.XLOOKUP($B4,Tabla1[SERVICIO],Tabla1[VALOR]*V4),0))</f>
        <v>0</v>
      </c>
      <c r="X4" s="8"/>
      <c r="Y4" s="56" cm="1">
        <f t="array" ref="Y4">IF(X4="X",(_xlfn.XLOOKUP($B4,Tabla1[SERVICIO],Tabla1[VALOR])*1),IF(X4&gt;=1,_xlfn.XLOOKUP($B4,Tabla1[SERVICIO],Tabla1[VALOR]*X4),0))</f>
        <v>0</v>
      </c>
      <c r="Z4" s="8"/>
      <c r="AA4" s="56" cm="1">
        <f t="array" ref="AA4">IF(Z4="X",(_xlfn.XLOOKUP($B4,Tabla1[SERVICIO],Tabla1[VALOR])*1),IF(Z4&gt;=1,_xlfn.XLOOKUP($B4,Tabla1[SERVICIO],Tabla1[VALOR]*Z4),0))</f>
        <v>0</v>
      </c>
      <c r="AB4" s="89">
        <f t="shared" ref="AB4:AB27" si="0">SUM(E4,G4,I4,K4+M4,O4,Q4,S4,U4,W4,Y4,AA4)</f>
        <v>17887.388810409495</v>
      </c>
      <c r="AC4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4" s="104" t="s">
        <v>318</v>
      </c>
      <c r="AE4" s="154">
        <v>1</v>
      </c>
      <c r="AF4" s="90">
        <f>+Tabla336[[#This Row],[TOTAL]]*Tabla336[[#This Row],[% de las personas que lo usaron]]</f>
        <v>17887.388810409495</v>
      </c>
      <c r="AG4" s="240" t="s">
        <v>331</v>
      </c>
      <c r="AH4" s="335">
        <v>12</v>
      </c>
    </row>
    <row r="5" spans="1:34" s="4" customFormat="1" ht="15" x14ac:dyDescent="0.25">
      <c r="A5" s="7" t="s">
        <v>104</v>
      </c>
      <c r="B5" s="96" t="s">
        <v>105</v>
      </c>
      <c r="C5" s="96" t="str">
        <f>_xlfn.XLOOKUP(Tabla336[[#This Row],[Servicios del Programa:]],Tabla151[CODIGO],Tabla151[VALOR])</f>
        <v>Consultas</v>
      </c>
      <c r="D5" s="14"/>
      <c r="E5" s="56" cm="1">
        <f t="array" ref="E5">IF(D5="X",(_xlfn.XLOOKUP($B5,Tabla1[SERVICIO],Tabla1[VALOR])*1),IF(D5&gt;=1,_xlfn.XLOOKUP($B5,Tabla1[SERVICIO],Tabla1[VALOR]*D5),0))</f>
        <v>0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8"/>
      <c r="I5" s="56" cm="1">
        <f t="array" ref="I5">IF(H5="X",(_xlfn.XLOOKUP($B5,Tabla1[SERVICIO],Tabla1[VALOR])*1),IF(H5&gt;=1,_xlfn.XLOOKUP($B5,Tabla1[SERVICIO],Tabla1[VALOR]*H5),0))</f>
        <v>0</v>
      </c>
      <c r="J5" s="8"/>
      <c r="K5" s="56" cm="1">
        <f t="array" ref="K5">IF(J5="X",(_xlfn.XLOOKUP($B5,Tabla1[SERVICIO],Tabla1[VALOR])*1),IF(J5&gt;=1,_xlfn.XLOOKUP($B5,Tabla1[SERVICIO],Tabla1[VALOR]*J5),0))</f>
        <v>0</v>
      </c>
      <c r="L5" s="8"/>
      <c r="M5" s="56" cm="1">
        <f t="array" ref="M5">IF(L5="X",(_xlfn.XLOOKUP($B5,Tabla1[SERVICIO],Tabla1[VALOR])*1),IF(L5&gt;=1,_xlfn.XLOOKUP($B5,Tabla1[SERVICIO],Tabla1[VALOR]*L5),0))</f>
        <v>0</v>
      </c>
      <c r="N5" s="14"/>
      <c r="O5" s="56" cm="1">
        <f t="array" ref="O5">IF(N5="X",(_xlfn.XLOOKUP($B5,Tabla1[SERVICIO],Tabla1[VALOR])*1),IF(N5&gt;=1,_xlfn.XLOOKUP($B5,Tabla1[SERVICIO],Tabla1[VALOR]*N5),0))</f>
        <v>0</v>
      </c>
      <c r="P5" s="8"/>
      <c r="Q5" s="56" cm="1">
        <f t="array" ref="Q5">IF(P5="X",(_xlfn.XLOOKUP($B5,Tabla1[SERVICIO],Tabla1[VALOR])*1),IF(P5&gt;=1,_xlfn.XLOOKUP($B5,Tabla1[SERVICIO],Tabla1[VALOR]*P5),0))</f>
        <v>0</v>
      </c>
      <c r="R5" s="8"/>
      <c r="S5" s="56" cm="1">
        <f t="array" ref="S5">IF(R5="X",(_xlfn.XLOOKUP($B5,Tabla1[SERVICIO],Tabla1[VALOR])*1),IF(R5&gt;=1,_xlfn.XLOOKUP($B5,Tabla1[SERVICIO],Tabla1[VALOR]*R5),0))</f>
        <v>0</v>
      </c>
      <c r="T5" s="8"/>
      <c r="U5" s="56" cm="1">
        <f t="array" ref="U5">IF(T5="X",(_xlfn.XLOOKUP($B5,Tabla1[SERVICIO],Tabla1[VALOR])*1),IF(T5&gt;=1,_xlfn.XLOOKUP($B5,Tabla1[SERVICIO],Tabla1[VALOR]*T5),0))</f>
        <v>0</v>
      </c>
      <c r="V5" s="8"/>
      <c r="W5" s="56" cm="1">
        <f t="array" ref="W5">IF(V5="X",(_xlfn.XLOOKUP($B5,Tabla1[SERVICIO],Tabla1[VALOR])*1),IF(V5&gt;=1,_xlfn.XLOOKUP($B5,Tabla1[SERVICIO],Tabla1[VALOR]*V5),0))</f>
        <v>0</v>
      </c>
      <c r="X5" s="8"/>
      <c r="Y5" s="56" cm="1">
        <f t="array" ref="Y5">IF(X5="X",(_xlfn.XLOOKUP($B5,Tabla1[SERVICIO],Tabla1[VALOR])*1),IF(X5&gt;=1,_xlfn.XLOOKUP($B5,Tabla1[SERVICIO],Tabla1[VALOR]*X5),0))</f>
        <v>0</v>
      </c>
      <c r="Z5" s="15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89">
        <f t="shared" si="0"/>
        <v>17887.388810409495</v>
      </c>
      <c r="AC5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5" s="104" t="s">
        <v>319</v>
      </c>
      <c r="AE5" s="161">
        <v>0.43016759776536312</v>
      </c>
      <c r="AF5" s="90">
        <f>+Tabla336[[#This Row],[TOTAL]]*Tabla336[[#This Row],[% de las personas que lo usaron]]</f>
        <v>7694.5750748688888</v>
      </c>
      <c r="AG5" s="240" t="s">
        <v>331</v>
      </c>
      <c r="AH5" s="335">
        <v>12</v>
      </c>
    </row>
    <row r="6" spans="1:34" s="4" customFormat="1" ht="15" x14ac:dyDescent="0.25">
      <c r="A6" s="7" t="s">
        <v>25</v>
      </c>
      <c r="B6" s="96" t="s">
        <v>26</v>
      </c>
      <c r="C6" s="96" t="str">
        <f>_xlfn.XLOOKUP(Tabla336[[#This Row],[Servicios del Programa:]],Tabla151[CODIGO],Tabla151[VALOR])</f>
        <v>Diagnosticos</v>
      </c>
      <c r="D6" s="14">
        <v>1</v>
      </c>
      <c r="E6" s="56" cm="1">
        <f t="array" ref="E6">IF(D6="X",(_xlfn.XLOOKUP($B6,Tabla1[SERVICIO],Tabla1[VALOR])*1),IF(D6&gt;=1,_xlfn.XLOOKUP($B6,Tabla1[SERVICIO],Tabla1[VALOR]*D6),0))</f>
        <v>19392.627189167735</v>
      </c>
      <c r="F6" s="8"/>
      <c r="G6" s="56" cm="1">
        <f t="array" ref="G6">IF(F6="X",(_xlfn.XLOOKUP($B6,Tabla1[SERVICIO],Tabla1[VALOR])*1),IF(F6&gt;=1,_xlfn.XLOOKUP($B6,Tabla1[SERVICIO],Tabla1[VALOR]*F6),0))</f>
        <v>0</v>
      </c>
      <c r="H6" s="8"/>
      <c r="I6" s="56" cm="1">
        <f t="array" ref="I6">IF(H6="X",(_xlfn.XLOOKUP($B6,Tabla1[SERVICIO],Tabla1[VALOR])*1),IF(H6&gt;=1,_xlfn.XLOOKUP($B6,Tabla1[SERVICIO],Tabla1[VALOR]*H6),0))</f>
        <v>0</v>
      </c>
      <c r="J6" s="8"/>
      <c r="K6" s="56" cm="1">
        <f t="array" ref="K6">IF(J6="X",(_xlfn.XLOOKUP($B6,Tabla1[SERVICIO],Tabla1[VALOR])*1),IF(J6&gt;=1,_xlfn.XLOOKUP($B6,Tabla1[SERVICIO],Tabla1[VALOR]*J6),0))</f>
        <v>0</v>
      </c>
      <c r="L6" s="8"/>
      <c r="M6" s="56" cm="1">
        <f t="array" ref="M6">IF(L6="X",(_xlfn.XLOOKUP($B6,Tabla1[SERVICIO],Tabla1[VALOR])*1),IF(L6&gt;=1,_xlfn.XLOOKUP($B6,Tabla1[SERVICIO],Tabla1[VALOR]*L6),0))</f>
        <v>0</v>
      </c>
      <c r="N6" s="14">
        <v>1</v>
      </c>
      <c r="O6" s="56" cm="1">
        <f t="array" ref="O6">IF(N6="X",(_xlfn.XLOOKUP($B6,Tabla1[SERVICIO],Tabla1[VALOR])*1),IF(N6&gt;=1,_xlfn.XLOOKUP($B6,Tabla1[SERVICIO],Tabla1[VALOR]*N6),0))</f>
        <v>19392.627189167735</v>
      </c>
      <c r="P6" s="8"/>
      <c r="Q6" s="56" cm="1">
        <f t="array" ref="Q6">IF(P6="X",(_xlfn.XLOOKUP($B6,Tabla1[SERVICIO],Tabla1[VALOR])*1),IF(P6&gt;=1,_xlfn.XLOOKUP($B6,Tabla1[SERVICIO],Tabla1[VALOR]*P6),0))</f>
        <v>0</v>
      </c>
      <c r="R6" s="8"/>
      <c r="S6" s="56" cm="1">
        <f t="array" ref="S6">IF(R6="X",(_xlfn.XLOOKUP($B6,Tabla1[SERVICIO],Tabla1[VALOR])*1),IF(R6&gt;=1,_xlfn.XLOOKUP($B6,Tabla1[SERVICIO],Tabla1[VALOR]*R6),0))</f>
        <v>0</v>
      </c>
      <c r="T6" s="8"/>
      <c r="U6" s="56" cm="1">
        <f t="array" ref="U6">IF(T6="X",(_xlfn.XLOOKUP($B6,Tabla1[SERVICIO],Tabla1[VALOR])*1),IF(T6&gt;=1,_xlfn.XLOOKUP($B6,Tabla1[SERVICIO],Tabla1[VALOR]*T6),0))</f>
        <v>0</v>
      </c>
      <c r="V6" s="8"/>
      <c r="W6" s="56" cm="1">
        <f t="array" ref="W6">IF(V6="X",(_xlfn.XLOOKUP($B6,Tabla1[SERVICIO],Tabla1[VALOR])*1),IF(V6&gt;=1,_xlfn.XLOOKUP($B6,Tabla1[SERVICIO],Tabla1[VALOR]*V6),0))</f>
        <v>0</v>
      </c>
      <c r="X6" s="8"/>
      <c r="Y6" s="56" cm="1">
        <f t="array" ref="Y6">IF(X6="X",(_xlfn.XLOOKUP($B6,Tabla1[SERVICIO],Tabla1[VALOR])*1),IF(X6&gt;=1,_xlfn.XLOOKUP($B6,Tabla1[SERVICIO],Tabla1[VALOR]*X6),0))</f>
        <v>0</v>
      </c>
      <c r="Z6" s="14">
        <v>1</v>
      </c>
      <c r="AA6" s="56" cm="1">
        <f t="array" ref="AA6">IF(Z6="X",(_xlfn.XLOOKUP($B6,Tabla1[SERVICIO],Tabla1[VALOR])*1),IF(Z6&gt;=1,_xlfn.XLOOKUP($B6,Tabla1[SERVICIO],Tabla1[VALOR]*Z6),0))</f>
        <v>19392.627189167735</v>
      </c>
      <c r="AB6" s="89">
        <f t="shared" si="0"/>
        <v>58177.881567503209</v>
      </c>
      <c r="AC6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3</v>
      </c>
      <c r="AD6" s="104" t="s">
        <v>318</v>
      </c>
      <c r="AE6" s="154">
        <v>1</v>
      </c>
      <c r="AF6" s="90">
        <f>+Tabla336[[#This Row],[TOTAL]]*Tabla336[[#This Row],[% de las personas que lo usaron]]</f>
        <v>58177.881567503209</v>
      </c>
      <c r="AG6" s="240" t="s">
        <v>331</v>
      </c>
      <c r="AH6" s="335">
        <v>12</v>
      </c>
    </row>
    <row r="7" spans="1:34" ht="15" x14ac:dyDescent="0.25">
      <c r="A7" s="7" t="s">
        <v>27</v>
      </c>
      <c r="B7" s="96" t="s">
        <v>28</v>
      </c>
      <c r="C7" s="96" t="str">
        <f>_xlfn.XLOOKUP(Tabla336[[#This Row],[Servicios del Programa:]],Tabla151[CODIGO],Tabla151[VALOR])</f>
        <v>Diagnosticos</v>
      </c>
      <c r="D7" s="14">
        <v>1</v>
      </c>
      <c r="E7" s="56" cm="1">
        <f t="array" ref="E7">IF(D7="X",(_xlfn.XLOOKUP($B7,Tabla1[SERVICIO],Tabla1[VALOR])*1),IF(D7&gt;=1,_xlfn.XLOOKUP($B7,Tabla1[SERVICIO],Tabla1[VALOR]*D7),0))</f>
        <v>43480.816890660324</v>
      </c>
      <c r="F7" s="8"/>
      <c r="G7" s="56" cm="1">
        <f t="array" ref="G7">IF(F7="X",(_xlfn.XLOOKUP($B7,Tabla1[SERVICIO],Tabla1[VALOR])*1),IF(F7&gt;=1,_xlfn.XLOOKUP($B7,Tabla1[SERVICIO],Tabla1[VALOR]*F7),0))</f>
        <v>0</v>
      </c>
      <c r="H7" s="8"/>
      <c r="I7" s="56" cm="1">
        <f t="array" ref="I7">IF(H7="X",(_xlfn.XLOOKUP($B7,Tabla1[SERVICIO],Tabla1[VALOR])*1),IF(H7&gt;=1,_xlfn.XLOOKUP($B7,Tabla1[SERVICIO],Tabla1[VALOR]*H7),0))</f>
        <v>0</v>
      </c>
      <c r="J7" s="8"/>
      <c r="K7" s="56" cm="1">
        <f t="array" ref="K7">IF(J7="X",(_xlfn.XLOOKUP($B7,Tabla1[SERVICIO],Tabla1[VALOR])*1),IF(J7&gt;=1,_xlfn.XLOOKUP($B7,Tabla1[SERVICIO],Tabla1[VALOR]*J7),0))</f>
        <v>0</v>
      </c>
      <c r="L7" s="8"/>
      <c r="M7" s="56" cm="1">
        <f t="array" ref="M7">IF(L7="X",(_xlfn.XLOOKUP($B7,Tabla1[SERVICIO],Tabla1[VALOR])*1),IF(L7&gt;=1,_xlfn.XLOOKUP($B7,Tabla1[SERVICIO],Tabla1[VALOR]*L7),0))</f>
        <v>0</v>
      </c>
      <c r="N7" s="14">
        <v>1</v>
      </c>
      <c r="O7" s="56" cm="1">
        <f t="array" ref="O7">IF(N7="X",(_xlfn.XLOOKUP($B7,Tabla1[SERVICIO],Tabla1[VALOR])*1),IF(N7&gt;=1,_xlfn.XLOOKUP($B7,Tabla1[SERVICIO],Tabla1[VALOR]*N7),0))</f>
        <v>43480.816890660324</v>
      </c>
      <c r="P7" s="8"/>
      <c r="Q7" s="56" cm="1">
        <f t="array" ref="Q7">IF(P7="X",(_xlfn.XLOOKUP($B7,Tabla1[SERVICIO],Tabla1[VALOR])*1),IF(P7&gt;=1,_xlfn.XLOOKUP($B7,Tabla1[SERVICIO],Tabla1[VALOR]*P7),0))</f>
        <v>0</v>
      </c>
      <c r="R7" s="8"/>
      <c r="S7" s="56" cm="1">
        <f t="array" ref="S7">IF(R7="X",(_xlfn.XLOOKUP($B7,Tabla1[SERVICIO],Tabla1[VALOR])*1),IF(R7&gt;=1,_xlfn.XLOOKUP($B7,Tabla1[SERVICIO],Tabla1[VALOR]*R7),0))</f>
        <v>0</v>
      </c>
      <c r="T7" s="8"/>
      <c r="U7" s="56" cm="1">
        <f t="array" ref="U7">IF(T7="X",(_xlfn.XLOOKUP($B7,Tabla1[SERVICIO],Tabla1[VALOR])*1),IF(T7&gt;=1,_xlfn.XLOOKUP($B7,Tabla1[SERVICIO],Tabla1[VALOR]*T7),0))</f>
        <v>0</v>
      </c>
      <c r="V7" s="8"/>
      <c r="W7" s="56" cm="1">
        <f t="array" ref="W7">IF(V7="X",(_xlfn.XLOOKUP($B7,Tabla1[SERVICIO],Tabla1[VALOR])*1),IF(V7&gt;=1,_xlfn.XLOOKUP($B7,Tabla1[SERVICIO],Tabla1[VALOR]*V7),0))</f>
        <v>0</v>
      </c>
      <c r="X7" s="8"/>
      <c r="Y7" s="56" cm="1">
        <f t="array" ref="Y7">IF(X7="X",(_xlfn.XLOOKUP($B7,Tabla1[SERVICIO],Tabla1[VALOR])*1),IF(X7&gt;=1,_xlfn.XLOOKUP($B7,Tabla1[SERVICIO],Tabla1[VALOR]*X7),0))</f>
        <v>0</v>
      </c>
      <c r="Z7" s="14">
        <v>1</v>
      </c>
      <c r="AA7" s="56" cm="1">
        <f t="array" ref="AA7">IF(Z7="X",(_xlfn.XLOOKUP($B7,Tabla1[SERVICIO],Tabla1[VALOR])*1),IF(Z7&gt;=1,_xlfn.XLOOKUP($B7,Tabla1[SERVICIO],Tabla1[VALOR]*Z7),0))</f>
        <v>43480.816890660324</v>
      </c>
      <c r="AB7" s="89">
        <f t="shared" si="0"/>
        <v>130442.45067198097</v>
      </c>
      <c r="AC7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3</v>
      </c>
      <c r="AD7" s="104" t="s">
        <v>318</v>
      </c>
      <c r="AE7" s="154">
        <v>1</v>
      </c>
      <c r="AF7" s="90">
        <f>+Tabla336[[#This Row],[TOTAL]]*Tabla336[[#This Row],[% de las personas que lo usaron]]</f>
        <v>130442.45067198097</v>
      </c>
      <c r="AG7" s="240" t="s">
        <v>331</v>
      </c>
      <c r="AH7" s="335">
        <v>12</v>
      </c>
    </row>
    <row r="8" spans="1:34" ht="15" x14ac:dyDescent="0.25">
      <c r="A8" s="7" t="s">
        <v>23</v>
      </c>
      <c r="B8" s="96" t="s">
        <v>24</v>
      </c>
      <c r="C8" s="96" t="str">
        <f>_xlfn.XLOOKUP(Tabla336[[#This Row],[Servicios del Programa:]],Tabla151[CODIGO],Tabla151[VALOR])</f>
        <v>Terapias</v>
      </c>
      <c r="D8" s="14">
        <v>1</v>
      </c>
      <c r="E8" s="56" cm="1">
        <f t="array" ref="E8">IF(D8="X",(_xlfn.XLOOKUP($B8,Tabla1[SERVICIO],Tabla1[VALOR])*1),IF(D8&gt;=1,_xlfn.XLOOKUP($B8,Tabla1[SERVICIO],Tabla1[VALOR]*D8),0))</f>
        <v>31881.451880098426</v>
      </c>
      <c r="F8" s="14"/>
      <c r="G8" s="56" cm="1">
        <f t="array" ref="G8">IF(F8="X",(_xlfn.XLOOKUP($B8,Tabla1[SERVICIO],Tabla1[VALOR])*1),IF(F8&gt;=1,_xlfn.XLOOKUP($B8,Tabla1[SERVICIO],Tabla1[VALOR]*F8),0))</f>
        <v>0</v>
      </c>
      <c r="H8" s="14"/>
      <c r="I8" s="56" cm="1">
        <f t="array" ref="I8">IF(H8="X",(_xlfn.XLOOKUP($B8,Tabla1[SERVICIO],Tabla1[VALOR])*1),IF(H8&gt;=1,_xlfn.XLOOKUP($B8,Tabla1[SERVICIO],Tabla1[VALOR]*H8),0))</f>
        <v>0</v>
      </c>
      <c r="J8" s="14"/>
      <c r="K8" s="56" cm="1">
        <f t="array" ref="K8">IF(J8="X",(_xlfn.XLOOKUP($B8,Tabla1[SERVICIO],Tabla1[VALOR])*1),IF(J8&gt;=1,_xlfn.XLOOKUP($B8,Tabla1[SERVICIO],Tabla1[VALOR]*J8),0))</f>
        <v>0</v>
      </c>
      <c r="L8" s="14"/>
      <c r="M8" s="56" cm="1">
        <f t="array" ref="M8">IF(L8="X",(_xlfn.XLOOKUP($B8,Tabla1[SERVICIO],Tabla1[VALOR])*1),IF(L8&gt;=1,_xlfn.XLOOKUP($B8,Tabla1[SERVICIO],Tabla1[VALOR]*L8),0))</f>
        <v>0</v>
      </c>
      <c r="N8" s="14"/>
      <c r="O8" s="56" cm="1">
        <f t="array" ref="O8">IF(N8="X",(_xlfn.XLOOKUP($B8,Tabla1[SERVICIO],Tabla1[VALOR])*1),IF(N8&gt;=1,_xlfn.XLOOKUP($B8,Tabla1[SERVICIO],Tabla1[VALOR]*N8),0))</f>
        <v>0</v>
      </c>
      <c r="P8" s="14"/>
      <c r="Q8" s="56" cm="1">
        <f t="array" ref="Q8">IF(P8="X",(_xlfn.XLOOKUP($B8,Tabla1[SERVICIO],Tabla1[VALOR])*1),IF(P8&gt;=1,_xlfn.XLOOKUP($B8,Tabla1[SERVICIO],Tabla1[VALOR]*P8),0))</f>
        <v>0</v>
      </c>
      <c r="R8" s="14"/>
      <c r="S8" s="56" cm="1">
        <f t="array" ref="S8">IF(R8="X",(_xlfn.XLOOKUP($B8,Tabla1[SERVICIO],Tabla1[VALOR])*1),IF(R8&gt;=1,_xlfn.XLOOKUP($B8,Tabla1[SERVICIO],Tabla1[VALOR]*R8),0))</f>
        <v>0</v>
      </c>
      <c r="T8" s="14"/>
      <c r="U8" s="56" cm="1">
        <f t="array" ref="U8">IF(T8="X",(_xlfn.XLOOKUP($B8,Tabla1[SERVICIO],Tabla1[VALOR])*1),IF(T8&gt;=1,_xlfn.XLOOKUP($B8,Tabla1[SERVICIO],Tabla1[VALOR]*T8),0))</f>
        <v>0</v>
      </c>
      <c r="V8" s="14"/>
      <c r="W8" s="56" cm="1">
        <f t="array" ref="W8">IF(V8="X",(_xlfn.XLOOKUP($B8,Tabla1[SERVICIO],Tabla1[VALOR])*1),IF(V8&gt;=1,_xlfn.XLOOKUP($B8,Tabla1[SERVICIO],Tabla1[VALOR]*V8),0))</f>
        <v>0</v>
      </c>
      <c r="X8" s="14"/>
      <c r="Y8" s="56" cm="1">
        <f t="array" ref="Y8">IF(X8="X",(_xlfn.XLOOKUP($B8,Tabla1[SERVICIO],Tabla1[VALOR])*1),IF(X8&gt;=1,_xlfn.XLOOKUP($B8,Tabla1[SERVICIO],Tabla1[VALOR]*X8),0))</f>
        <v>0</v>
      </c>
      <c r="Z8" s="14"/>
      <c r="AA8" s="56" cm="1">
        <f t="array" ref="AA8">IF(Z8="X",(_xlfn.XLOOKUP($B8,Tabla1[SERVICIO],Tabla1[VALOR])*1),IF(Z8&gt;=1,_xlfn.XLOOKUP($B8,Tabla1[SERVICIO],Tabla1[VALOR]*Z8),0))</f>
        <v>0</v>
      </c>
      <c r="AB8" s="89">
        <f t="shared" si="0"/>
        <v>31881.451880098426</v>
      </c>
      <c r="AC8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8" s="104" t="s">
        <v>318</v>
      </c>
      <c r="AE8" s="154">
        <v>1</v>
      </c>
      <c r="AF8" s="90">
        <f>+Tabla336[[#This Row],[TOTAL]]*Tabla336[[#This Row],[% de las personas que lo usaron]]</f>
        <v>31881.451880098426</v>
      </c>
      <c r="AG8" s="240" t="s">
        <v>331</v>
      </c>
      <c r="AH8" s="335">
        <v>12</v>
      </c>
    </row>
    <row r="9" spans="1:34" ht="15" x14ac:dyDescent="0.25">
      <c r="A9" s="7" t="s">
        <v>36</v>
      </c>
      <c r="B9" s="96" t="s">
        <v>100</v>
      </c>
      <c r="C9" s="96" t="str">
        <f>_xlfn.XLOOKUP(Tabla336[[#This Row],[Servicios del Programa:]],Tabla151[CODIGO],Tabla151[VALOR])</f>
        <v>Terapias</v>
      </c>
      <c r="D9" s="102">
        <v>8</v>
      </c>
      <c r="E9" s="56" cm="1">
        <f t="array" ref="E9">IF(D9="X",(_xlfn.XLOOKUP($B9,Tabla1[SERVICIO],Tabla1[VALOR])*1),IF(D9&gt;=1,_xlfn.XLOOKUP($B9,Tabla1[SERVICIO],Tabla1[VALOR]*D9),0))</f>
        <v>70240.958933331596</v>
      </c>
      <c r="F9" s="102">
        <v>8</v>
      </c>
      <c r="G9" s="56" cm="1">
        <f t="array" ref="G9">IF(F9="X",(_xlfn.XLOOKUP($B9,Tabla1[SERVICIO],Tabla1[VALOR])*1),IF(F9&gt;=1,_xlfn.XLOOKUP($B9,Tabla1[SERVICIO],Tabla1[VALOR]*F9),0))</f>
        <v>70240.958933331596</v>
      </c>
      <c r="H9" s="102">
        <v>8</v>
      </c>
      <c r="I9" s="56" cm="1">
        <f t="array" ref="I9">IF(H9="X",(_xlfn.XLOOKUP($B9,Tabla1[SERVICIO],Tabla1[VALOR])*1),IF(H9&gt;=1,_xlfn.XLOOKUP($B9,Tabla1[SERVICIO],Tabla1[VALOR]*H9),0))</f>
        <v>70240.958933331596</v>
      </c>
      <c r="J9" s="102">
        <v>8</v>
      </c>
      <c r="K9" s="56" cm="1">
        <f t="array" ref="K9">IF(J9="X",(_xlfn.XLOOKUP($B9,Tabla1[SERVICIO],Tabla1[VALOR])*1),IF(J9&gt;=1,_xlfn.XLOOKUP($B9,Tabla1[SERVICIO],Tabla1[VALOR]*J9),0))</f>
        <v>70240.958933331596</v>
      </c>
      <c r="L9" s="102">
        <v>8</v>
      </c>
      <c r="M9" s="56" cm="1">
        <f t="array" ref="M9">IF(L9="X",(_xlfn.XLOOKUP($B9,Tabla1[SERVICIO],Tabla1[VALOR])*1),IF(L9&gt;=1,_xlfn.XLOOKUP($B9,Tabla1[SERVICIO],Tabla1[VALOR]*L9),0))</f>
        <v>70240.958933331596</v>
      </c>
      <c r="N9" s="102">
        <v>8</v>
      </c>
      <c r="O9" s="56" cm="1">
        <f t="array" ref="O9">IF(N9="X",(_xlfn.XLOOKUP($B9,Tabla1[SERVICIO],Tabla1[VALOR])*1),IF(N9&gt;=1,_xlfn.XLOOKUP($B9,Tabla1[SERVICIO],Tabla1[VALOR]*N9),0))</f>
        <v>70240.958933331596</v>
      </c>
      <c r="P9" s="102">
        <v>8</v>
      </c>
      <c r="Q9" s="56" cm="1">
        <f t="array" ref="Q9">IF(P9="X",(_xlfn.XLOOKUP($B9,Tabla1[SERVICIO],Tabla1[VALOR])*1),IF(P9&gt;=1,_xlfn.XLOOKUP($B9,Tabla1[SERVICIO],Tabla1[VALOR]*P9),0))</f>
        <v>70240.958933331596</v>
      </c>
      <c r="R9" s="102">
        <v>8</v>
      </c>
      <c r="S9" s="56" cm="1">
        <f t="array" ref="S9">IF(R9="X",(_xlfn.XLOOKUP($B9,Tabla1[SERVICIO],Tabla1[VALOR])*1),IF(R9&gt;=1,_xlfn.XLOOKUP($B9,Tabla1[SERVICIO],Tabla1[VALOR]*R9),0))</f>
        <v>70240.958933331596</v>
      </c>
      <c r="T9" s="102">
        <v>8</v>
      </c>
      <c r="U9" s="56" cm="1">
        <f t="array" ref="U9">IF(T9="X",(_xlfn.XLOOKUP($B9,Tabla1[SERVICIO],Tabla1[VALOR])*1),IF(T9&gt;=1,_xlfn.XLOOKUP($B9,Tabla1[SERVICIO],Tabla1[VALOR]*T9),0))</f>
        <v>70240.958933331596</v>
      </c>
      <c r="V9" s="102">
        <v>8</v>
      </c>
      <c r="W9" s="56" cm="1">
        <f t="array" ref="W9">IF(V9="X",(_xlfn.XLOOKUP($B9,Tabla1[SERVICIO],Tabla1[VALOR])*1),IF(V9&gt;=1,_xlfn.XLOOKUP($B9,Tabla1[SERVICIO],Tabla1[VALOR]*V9),0))</f>
        <v>70240.958933331596</v>
      </c>
      <c r="X9" s="102">
        <v>8</v>
      </c>
      <c r="Y9" s="56" cm="1">
        <f t="array" ref="Y9">IF(X9="X",(_xlfn.XLOOKUP($B9,Tabla1[SERVICIO],Tabla1[VALOR])*1),IF(X9&gt;=1,_xlfn.XLOOKUP($B9,Tabla1[SERVICIO],Tabla1[VALOR]*X9),0))</f>
        <v>70240.958933331596</v>
      </c>
      <c r="Z9" s="102">
        <v>8</v>
      </c>
      <c r="AA9" s="56" cm="1">
        <f t="array" ref="AA9">IF(Z9="X",(_xlfn.XLOOKUP($B9,Tabla1[SERVICIO],Tabla1[VALOR])*1),IF(Z9&gt;=1,_xlfn.XLOOKUP($B9,Tabla1[SERVICIO],Tabla1[VALOR]*Z9),0))</f>
        <v>70240.958933331596</v>
      </c>
      <c r="AB9" s="89">
        <f t="shared" si="0"/>
        <v>842891.50719997892</v>
      </c>
      <c r="AC9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96</v>
      </c>
      <c r="AD9" s="104" t="s">
        <v>318</v>
      </c>
      <c r="AE9" s="154">
        <v>1</v>
      </c>
      <c r="AF9" s="90">
        <f>+Tabla336[[#This Row],[TOTAL]]*Tabla336[[#This Row],[% de las personas que lo usaron]]</f>
        <v>842891.50719997892</v>
      </c>
      <c r="AG9" s="240" t="s">
        <v>331</v>
      </c>
      <c r="AH9" s="335">
        <v>12</v>
      </c>
    </row>
    <row r="10" spans="1:34" ht="15" x14ac:dyDescent="0.25">
      <c r="A10" s="7" t="s">
        <v>3</v>
      </c>
      <c r="B10" s="96" t="s">
        <v>4</v>
      </c>
      <c r="C10" s="96" t="str">
        <f>_xlfn.XLOOKUP(Tabla336[[#This Row],[Servicios del Programa:]],Tabla151[CODIGO],Tabla151[VALOR])</f>
        <v>Consultas</v>
      </c>
      <c r="D10" s="14">
        <v>1</v>
      </c>
      <c r="E10" s="56" cm="1">
        <f t="array" ref="E10">IF(D10="X",(_xlfn.XLOOKUP($B10,Tabla1[SERVICIO],Tabla1[VALOR])*1),IF(D10&gt;=1,_xlfn.XLOOKUP($B10,Tabla1[SERVICIO],Tabla1[VALOR]*D10),0))</f>
        <v>20406.13276336317</v>
      </c>
      <c r="F10" s="14"/>
      <c r="G10" s="56" cm="1">
        <f t="array" ref="G10">IF(F10="X",(_xlfn.XLOOKUP($B10,Tabla1[SERVICIO],Tabla1[VALOR])*1),IF(F10&gt;=1,_xlfn.XLOOKUP($B10,Tabla1[SERVICIO],Tabla1[VALOR]*F10),0))</f>
        <v>0</v>
      </c>
      <c r="H10" s="14"/>
      <c r="I10" s="56" cm="1">
        <f t="array" ref="I10">IF(H10="X",(_xlfn.XLOOKUP($B10,Tabla1[SERVICIO],Tabla1[VALOR])*1),IF(H10&gt;=1,_xlfn.XLOOKUP($B10,Tabla1[SERVICIO],Tabla1[VALOR]*H10),0))</f>
        <v>0</v>
      </c>
      <c r="J10" s="14"/>
      <c r="K10" s="56" cm="1">
        <f t="array" ref="K10">IF(J10="X",(_xlfn.XLOOKUP($B10,Tabla1[SERVICIO],Tabla1[VALOR])*1),IF(J10&gt;=1,_xlfn.XLOOKUP($B10,Tabla1[SERVICIO],Tabla1[VALOR]*J10),0))</f>
        <v>0</v>
      </c>
      <c r="L10" s="14"/>
      <c r="M10" s="56" cm="1">
        <f t="array" ref="M10">IF(L10="X",(_xlfn.XLOOKUP($B10,Tabla1[SERVICIO],Tabla1[VALOR])*1),IF(L10&gt;=1,_xlfn.XLOOKUP($B10,Tabla1[SERVICIO],Tabla1[VALOR]*L10),0))</f>
        <v>0</v>
      </c>
      <c r="N10" s="14"/>
      <c r="O10" s="56" cm="1">
        <f t="array" ref="O10">IF(N10="X",(_xlfn.XLOOKUP($B10,Tabla1[SERVICIO],Tabla1[VALOR])*1),IF(N10&gt;=1,_xlfn.XLOOKUP($B10,Tabla1[SERVICIO],Tabla1[VALOR]*N10),0))</f>
        <v>0</v>
      </c>
      <c r="P10" s="14"/>
      <c r="Q10" s="56" cm="1">
        <f t="array" ref="Q10">IF(P10="X",(_xlfn.XLOOKUP($B10,Tabla1[SERVICIO],Tabla1[VALOR])*1),IF(P10&gt;=1,_xlfn.XLOOKUP($B10,Tabla1[SERVICIO],Tabla1[VALOR]*P10),0))</f>
        <v>0</v>
      </c>
      <c r="R10" s="14"/>
      <c r="S10" s="56" cm="1">
        <f t="array" ref="S10">IF(R10="X",(_xlfn.XLOOKUP($B10,Tabla1[SERVICIO],Tabla1[VALOR])*1),IF(R10&gt;=1,_xlfn.XLOOKUP($B10,Tabla1[SERVICIO],Tabla1[VALOR]*R10),0))</f>
        <v>0</v>
      </c>
      <c r="T10" s="14"/>
      <c r="U10" s="56" cm="1">
        <f t="array" ref="U10">IF(T10="X",(_xlfn.XLOOKUP($B10,Tabla1[SERVICIO],Tabla1[VALOR])*1),IF(T10&gt;=1,_xlfn.XLOOKUP($B10,Tabla1[SERVICIO],Tabla1[VALOR]*T10),0))</f>
        <v>0</v>
      </c>
      <c r="V10" s="14"/>
      <c r="W10" s="56" cm="1">
        <f t="array" ref="W10">IF(V10="X",(_xlfn.XLOOKUP($B10,Tabla1[SERVICIO],Tabla1[VALOR])*1),IF(V10&gt;=1,_xlfn.XLOOKUP($B10,Tabla1[SERVICIO],Tabla1[VALOR]*V10),0))</f>
        <v>0</v>
      </c>
      <c r="X10" s="14"/>
      <c r="Y10" s="56" cm="1">
        <f t="array" ref="Y10">IF(X10="X",(_xlfn.XLOOKUP($B10,Tabla1[SERVICIO],Tabla1[VALOR])*1),IF(X10&gt;=1,_xlfn.XLOOKUP($B10,Tabla1[SERVICIO],Tabla1[VALOR]*X10),0))</f>
        <v>0</v>
      </c>
      <c r="Z10" s="14"/>
      <c r="AA10" s="56" cm="1">
        <f t="array" ref="AA10">IF(Z10="X",(_xlfn.XLOOKUP($B10,Tabla1[SERVICIO],Tabla1[VALOR])*1),IF(Z10&gt;=1,_xlfn.XLOOKUP($B10,Tabla1[SERVICIO],Tabla1[VALOR]*Z10),0))</f>
        <v>0</v>
      </c>
      <c r="AB10" s="89">
        <f t="shared" si="0"/>
        <v>20406.13276336317</v>
      </c>
      <c r="AC10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0" s="104" t="s">
        <v>318</v>
      </c>
      <c r="AE10" s="154">
        <v>1</v>
      </c>
      <c r="AF10" s="90">
        <f>+Tabla336[[#This Row],[TOTAL]]*Tabla336[[#This Row],[% de las personas que lo usaron]]</f>
        <v>20406.13276336317</v>
      </c>
      <c r="AG10" s="240" t="s">
        <v>331</v>
      </c>
      <c r="AH10" s="335">
        <v>12</v>
      </c>
    </row>
    <row r="11" spans="1:34" ht="15" x14ac:dyDescent="0.25">
      <c r="A11" s="7" t="s">
        <v>15</v>
      </c>
      <c r="B11" s="96" t="s">
        <v>16</v>
      </c>
      <c r="C11" s="96" t="str">
        <f>_xlfn.XLOOKUP(Tabla336[[#This Row],[Servicios del Programa:]],Tabla151[CODIGO],Tabla151[VALOR])</f>
        <v>Consultas</v>
      </c>
      <c r="D11" s="8"/>
      <c r="E11" s="56" cm="1">
        <f t="array" ref="E11">IF(D11="X",(_xlfn.XLOOKUP($B11,Tabla1[SERVICIO],Tabla1[VALOR])*1),IF(D11&gt;=1,_xlfn.XLOOKUP($B11,Tabla1[SERVICIO],Tabla1[VALOR]*D11),0))</f>
        <v>0</v>
      </c>
      <c r="F11" s="8"/>
      <c r="G11" s="56" cm="1">
        <f t="array" ref="G11">IF(F11="X",(_xlfn.XLOOKUP($B11,Tabla1[SERVICIO],Tabla1[VALOR])*1),IF(F11&gt;=1,_xlfn.XLOOKUP($B11,Tabla1[SERVICIO],Tabla1[VALOR]*F11),0))</f>
        <v>0</v>
      </c>
      <c r="H11" s="8"/>
      <c r="I11" s="56" cm="1">
        <f t="array" ref="I11">IF(H11="X",(_xlfn.XLOOKUP($B11,Tabla1[SERVICIO],Tabla1[VALOR])*1),IF(H11&gt;=1,_xlfn.XLOOKUP($B11,Tabla1[SERVICIO],Tabla1[VALOR]*H11),0))</f>
        <v>0</v>
      </c>
      <c r="J11" s="8"/>
      <c r="K11" s="56" cm="1">
        <f t="array" ref="K11">IF(J11="X",(_xlfn.XLOOKUP($B11,Tabla1[SERVICIO],Tabla1[VALOR])*1),IF(J11&gt;=1,_xlfn.XLOOKUP($B11,Tabla1[SERVICIO],Tabla1[VALOR]*J11),0))</f>
        <v>0</v>
      </c>
      <c r="L11" s="8"/>
      <c r="M11" s="56" cm="1">
        <f t="array" ref="M11">IF(L11="X",(_xlfn.XLOOKUP($B11,Tabla1[SERVICIO],Tabla1[VALOR])*1),IF(L11&gt;=1,_xlfn.XLOOKUP($B11,Tabla1[SERVICIO],Tabla1[VALOR]*L11),0))</f>
        <v>0</v>
      </c>
      <c r="N11" s="14">
        <v>1</v>
      </c>
      <c r="O11" s="56" cm="1">
        <f t="array" ref="O11">IF(N11="X",(_xlfn.XLOOKUP($B11,Tabla1[SERVICIO],Tabla1[VALOR])*1),IF(N11&gt;=1,_xlfn.XLOOKUP($B11,Tabla1[SERVICIO],Tabla1[VALOR]*N11),0))</f>
        <v>22052.520800552971</v>
      </c>
      <c r="P11" s="8"/>
      <c r="Q11" s="56" cm="1">
        <f t="array" ref="Q11">IF(P11="X",(_xlfn.XLOOKUP($B11,Tabla1[SERVICIO],Tabla1[VALOR])*1),IF(P11&gt;=1,_xlfn.XLOOKUP($B11,Tabla1[SERVICIO],Tabla1[VALOR]*P11),0))</f>
        <v>0</v>
      </c>
      <c r="R11" s="8"/>
      <c r="S11" s="56" cm="1">
        <f t="array" ref="S11">IF(R11="X",(_xlfn.XLOOKUP($B11,Tabla1[SERVICIO],Tabla1[VALOR])*1),IF(R11&gt;=1,_xlfn.XLOOKUP($B11,Tabla1[SERVICIO],Tabla1[VALOR]*R11),0))</f>
        <v>0</v>
      </c>
      <c r="T11" s="8"/>
      <c r="U11" s="56" cm="1">
        <f t="array" ref="U11">IF(T11="X",(_xlfn.XLOOKUP($B11,Tabla1[SERVICIO],Tabla1[VALOR])*1),IF(T11&gt;=1,_xlfn.XLOOKUP($B11,Tabla1[SERVICIO],Tabla1[VALOR]*T11),0))</f>
        <v>0</v>
      </c>
      <c r="V11" s="8"/>
      <c r="W11" s="56" cm="1">
        <f t="array" ref="W11">IF(V11="X",(_xlfn.XLOOKUP($B11,Tabla1[SERVICIO],Tabla1[VALOR])*1),IF(V11&gt;=1,_xlfn.XLOOKUP($B11,Tabla1[SERVICIO],Tabla1[VALOR]*V11),0))</f>
        <v>0</v>
      </c>
      <c r="X11" s="8"/>
      <c r="Y11" s="56" cm="1">
        <f t="array" ref="Y11">IF(X11="X",(_xlfn.XLOOKUP($B11,Tabla1[SERVICIO],Tabla1[VALOR])*1),IF(X11&gt;=1,_xlfn.XLOOKUP($B11,Tabla1[SERVICIO],Tabla1[VALOR]*X11),0))</f>
        <v>0</v>
      </c>
      <c r="Z11" s="14">
        <v>1</v>
      </c>
      <c r="AA11" s="56" cm="1">
        <f t="array" ref="AA11">IF(Z11="X",(_xlfn.XLOOKUP($B11,Tabla1[SERVICIO],Tabla1[VALOR])*1),IF(Z11&gt;=1,_xlfn.XLOOKUP($B11,Tabla1[SERVICIO],Tabla1[VALOR]*Z11),0))</f>
        <v>22052.520800552971</v>
      </c>
      <c r="AB11" s="89">
        <f t="shared" si="0"/>
        <v>44105.041601105942</v>
      </c>
      <c r="AC11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11" s="104" t="s">
        <v>318</v>
      </c>
      <c r="AE11" s="154">
        <v>1</v>
      </c>
      <c r="AF11" s="90">
        <f>+Tabla336[[#This Row],[TOTAL]]*Tabla336[[#This Row],[% de las personas que lo usaron]]</f>
        <v>44105.041601105942</v>
      </c>
      <c r="AG11" s="240" t="s">
        <v>331</v>
      </c>
      <c r="AH11" s="335">
        <v>12</v>
      </c>
    </row>
    <row r="12" spans="1:34" ht="15" x14ac:dyDescent="0.25">
      <c r="A12" s="7" t="s">
        <v>1</v>
      </c>
      <c r="B12" s="96" t="s">
        <v>2</v>
      </c>
      <c r="C12" s="96" t="str">
        <f>_xlfn.XLOOKUP(Tabla336[[#This Row],[Servicios del Programa:]],Tabla151[CODIGO],Tabla151[VALOR])</f>
        <v>Consultas</v>
      </c>
      <c r="D12" s="14"/>
      <c r="E12" s="56" cm="1">
        <f t="array" ref="E12">IF(D12="X",(_xlfn.XLOOKUP($B12,Tabla1[SERVICIO],Tabla1[VALOR])*1),IF(D12&gt;=1,_xlfn.XLOOKUP($B12,Tabla1[SERVICIO],Tabla1[VALOR]*D12),0))</f>
        <v>0</v>
      </c>
      <c r="F12" s="14"/>
      <c r="G12" s="56" cm="1">
        <f t="array" ref="G12">IF(F12="X",(_xlfn.XLOOKUP($B12,Tabla1[SERVICIO],Tabla1[VALOR])*1),IF(F12&gt;=1,_xlfn.XLOOKUP($B12,Tabla1[SERVICIO],Tabla1[VALOR]*F12),0))</f>
        <v>0</v>
      </c>
      <c r="H12" s="14"/>
      <c r="I12" s="56" cm="1">
        <f t="array" ref="I12">IF(H12="X",(_xlfn.XLOOKUP($B12,Tabla1[SERVICIO],Tabla1[VALOR])*1),IF(H12&gt;=1,_xlfn.XLOOKUP($B12,Tabla1[SERVICIO],Tabla1[VALOR]*H12),0))</f>
        <v>0</v>
      </c>
      <c r="J12" s="14"/>
      <c r="K12" s="56" cm="1">
        <f t="array" ref="K12">IF(J12="X",(_xlfn.XLOOKUP($B12,Tabla1[SERVICIO],Tabla1[VALOR])*1),IF(J12&gt;=1,_xlfn.XLOOKUP($B12,Tabla1[SERVICIO],Tabla1[VALOR]*J12),0))</f>
        <v>0</v>
      </c>
      <c r="L12" s="14"/>
      <c r="M12" s="56" cm="1">
        <f t="array" ref="M12">IF(L12="X",(_xlfn.XLOOKUP($B12,Tabla1[SERVICIO],Tabla1[VALOR])*1),IF(L12&gt;=1,_xlfn.XLOOKUP($B12,Tabla1[SERVICIO],Tabla1[VALOR]*L12),0))</f>
        <v>0</v>
      </c>
      <c r="N12" s="14"/>
      <c r="O12" s="56" cm="1">
        <f t="array" ref="O12">IF(N12="X",(_xlfn.XLOOKUP($B12,Tabla1[SERVICIO],Tabla1[VALOR])*1),IF(N12&gt;=1,_xlfn.XLOOKUP($B12,Tabla1[SERVICIO],Tabla1[VALOR]*N12),0))</f>
        <v>0</v>
      </c>
      <c r="P12" s="14"/>
      <c r="Q12" s="56" cm="1">
        <f t="array" ref="Q12">IF(P12="X",(_xlfn.XLOOKUP($B12,Tabla1[SERVICIO],Tabla1[VALOR])*1),IF(P12&gt;=1,_xlfn.XLOOKUP($B12,Tabla1[SERVICIO],Tabla1[VALOR]*P12),0))</f>
        <v>0</v>
      </c>
      <c r="R12" s="14"/>
      <c r="S12" s="56" cm="1">
        <f t="array" ref="S12">IF(R12="X",(_xlfn.XLOOKUP($B12,Tabla1[SERVICIO],Tabla1[VALOR])*1),IF(R12&gt;=1,_xlfn.XLOOKUP($B12,Tabla1[SERVICIO],Tabla1[VALOR]*R12),0))</f>
        <v>0</v>
      </c>
      <c r="T12" s="14"/>
      <c r="U12" s="56" cm="1">
        <f t="array" ref="U12">IF(T12="X",(_xlfn.XLOOKUP($B12,Tabla1[SERVICIO],Tabla1[VALOR])*1),IF(T12&gt;=1,_xlfn.XLOOKUP($B12,Tabla1[SERVICIO],Tabla1[VALOR]*T12),0))</f>
        <v>0</v>
      </c>
      <c r="V12" s="14"/>
      <c r="W12" s="56" cm="1">
        <f t="array" ref="W12">IF(V12="X",(_xlfn.XLOOKUP($B12,Tabla1[SERVICIO],Tabla1[VALOR])*1),IF(V12&gt;=1,_xlfn.XLOOKUP($B12,Tabla1[SERVICIO],Tabla1[VALOR]*V12),0))</f>
        <v>0</v>
      </c>
      <c r="X12" s="14"/>
      <c r="Y12" s="56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6" cm="1">
        <f t="array" ref="AA12">IF(Z12="X",(_xlfn.XLOOKUP($B12,Tabla1[SERVICIO],Tabla1[VALOR])*1),IF(Z12&gt;=1,_xlfn.XLOOKUP($B12,Tabla1[SERVICIO],Tabla1[VALOR]*Z12),0))</f>
        <v>21014.39667403782</v>
      </c>
      <c r="AB12" s="89">
        <f t="shared" si="0"/>
        <v>21014.39667403782</v>
      </c>
      <c r="AC12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2" s="104" t="s">
        <v>318</v>
      </c>
      <c r="AE12" s="154">
        <v>1</v>
      </c>
      <c r="AF12" s="90">
        <f>+Tabla336[[#This Row],[TOTAL]]*Tabla336[[#This Row],[% de las personas que lo usaron]]</f>
        <v>21014.39667403782</v>
      </c>
      <c r="AG12" s="240" t="s">
        <v>331</v>
      </c>
      <c r="AH12" s="335">
        <v>12</v>
      </c>
    </row>
    <row r="13" spans="1:34" ht="15" x14ac:dyDescent="0.25">
      <c r="A13" s="7" t="s">
        <v>19</v>
      </c>
      <c r="B13" s="96" t="s">
        <v>20</v>
      </c>
      <c r="C13" s="96" t="str">
        <f>_xlfn.XLOOKUP(Tabla336[[#This Row],[Servicios del Programa:]],Tabla151[CODIGO],Tabla151[VALOR])</f>
        <v>Consultas</v>
      </c>
      <c r="D13" s="14">
        <v>1</v>
      </c>
      <c r="E13" s="56" cm="1">
        <f t="array" ref="E13">IF(D13="X",(_xlfn.XLOOKUP($B13,Tabla1[SERVICIO],Tabla1[VALOR])*1),IF(D13&gt;=1,_xlfn.XLOOKUP($B13,Tabla1[SERVICIO],Tabla1[VALOR]*D13),0))</f>
        <v>67398.098568534639</v>
      </c>
      <c r="F13" s="14"/>
      <c r="G13" s="56" cm="1">
        <f t="array" ref="G13">IF(F13="X",(_xlfn.XLOOKUP($B13,Tabla1[SERVICIO],Tabla1[VALOR])*1),IF(F13&gt;=1,_xlfn.XLOOKUP($B13,Tabla1[SERVICIO],Tabla1[VALOR]*F13),0))</f>
        <v>0</v>
      </c>
      <c r="H13" s="14"/>
      <c r="I13" s="56" cm="1">
        <f t="array" ref="I13">IF(H13="X",(_xlfn.XLOOKUP($B13,Tabla1[SERVICIO],Tabla1[VALOR])*1),IF(H13&gt;=1,_xlfn.XLOOKUP($B13,Tabla1[SERVICIO],Tabla1[VALOR]*H13),0))</f>
        <v>0</v>
      </c>
      <c r="J13" s="14"/>
      <c r="K13" s="56" cm="1">
        <f t="array" ref="K13">IF(J13="X",(_xlfn.XLOOKUP($B13,Tabla1[SERVICIO],Tabla1[VALOR])*1),IF(J13&gt;=1,_xlfn.XLOOKUP($B13,Tabla1[SERVICIO],Tabla1[VALOR]*J13),0))</f>
        <v>0</v>
      </c>
      <c r="L13" s="14"/>
      <c r="M13" s="56" cm="1">
        <f t="array" ref="M13">IF(L13="X",(_xlfn.XLOOKUP($B13,Tabla1[SERVICIO],Tabla1[VALOR])*1),IF(L13&gt;=1,_xlfn.XLOOKUP($B13,Tabla1[SERVICIO],Tabla1[VALOR]*L13),0))</f>
        <v>0</v>
      </c>
      <c r="N13" s="14"/>
      <c r="O13" s="56" cm="1">
        <f t="array" ref="O13">IF(N13="X",(_xlfn.XLOOKUP($B13,Tabla1[SERVICIO],Tabla1[VALOR])*1),IF(N13&gt;=1,_xlfn.XLOOKUP($B13,Tabla1[SERVICIO],Tabla1[VALOR]*N13),0))</f>
        <v>0</v>
      </c>
      <c r="P13" s="14"/>
      <c r="Q13" s="56" cm="1">
        <f t="array" ref="Q13">IF(P13="X",(_xlfn.XLOOKUP($B13,Tabla1[SERVICIO],Tabla1[VALOR])*1),IF(P13&gt;=1,_xlfn.XLOOKUP($B13,Tabla1[SERVICIO],Tabla1[VALOR]*P13),0))</f>
        <v>0</v>
      </c>
      <c r="R13" s="14"/>
      <c r="S13" s="56" cm="1">
        <f t="array" ref="S13">IF(R13="X",(_xlfn.XLOOKUP($B13,Tabla1[SERVICIO],Tabla1[VALOR])*1),IF(R13&gt;=1,_xlfn.XLOOKUP($B13,Tabla1[SERVICIO],Tabla1[VALOR]*R13),0))</f>
        <v>0</v>
      </c>
      <c r="T13" s="14"/>
      <c r="U13" s="56" cm="1">
        <f t="array" ref="U13">IF(T13="X",(_xlfn.XLOOKUP($B13,Tabla1[SERVICIO],Tabla1[VALOR])*1),IF(T13&gt;=1,_xlfn.XLOOKUP($B13,Tabla1[SERVICIO],Tabla1[VALOR]*T13),0))</f>
        <v>0</v>
      </c>
      <c r="V13" s="14"/>
      <c r="W13" s="56" cm="1">
        <f t="array" ref="W13">IF(V13="X",(_xlfn.XLOOKUP($B13,Tabla1[SERVICIO],Tabla1[VALOR])*1),IF(V13&gt;=1,_xlfn.XLOOKUP($B13,Tabla1[SERVICIO],Tabla1[VALOR]*V13),0))</f>
        <v>0</v>
      </c>
      <c r="X13" s="14"/>
      <c r="Y13" s="56" cm="1">
        <f t="array" ref="Y13">IF(X13="X",(_xlfn.XLOOKUP($B13,Tabla1[SERVICIO],Tabla1[VALOR])*1),IF(X13&gt;=1,_xlfn.XLOOKUP($B13,Tabla1[SERVICIO],Tabla1[VALOR]*X13),0))</f>
        <v>0</v>
      </c>
      <c r="Z13" s="14"/>
      <c r="AA13" s="56" cm="1">
        <f t="array" ref="AA13">IF(Z13="X",(_xlfn.XLOOKUP($B13,Tabla1[SERVICIO],Tabla1[VALOR])*1),IF(Z13&gt;=1,_xlfn.XLOOKUP($B13,Tabla1[SERVICIO],Tabla1[VALOR]*Z13),0))</f>
        <v>0</v>
      </c>
      <c r="AB13" s="89">
        <f t="shared" si="0"/>
        <v>67398.098568534639</v>
      </c>
      <c r="AC13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3" s="104" t="s">
        <v>318</v>
      </c>
      <c r="AE13" s="154">
        <v>1</v>
      </c>
      <c r="AF13" s="90">
        <f>+Tabla336[[#This Row],[TOTAL]]*Tabla336[[#This Row],[% de las personas que lo usaron]]</f>
        <v>67398.098568534639</v>
      </c>
      <c r="AG13" s="240" t="s">
        <v>331</v>
      </c>
      <c r="AH13" s="335">
        <v>12</v>
      </c>
    </row>
    <row r="14" spans="1:34" ht="15" x14ac:dyDescent="0.25">
      <c r="A14" s="7" t="s">
        <v>21</v>
      </c>
      <c r="B14" s="96" t="s">
        <v>221</v>
      </c>
      <c r="C14" s="96" t="str">
        <f>_xlfn.XLOOKUP(Tabla336[[#This Row],[Servicios del Programa:]],Tabla151[CODIGO],Tabla151[VALOR])</f>
        <v>Consultas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67398.098568534639</v>
      </c>
      <c r="F14" s="14"/>
      <c r="G14" s="56" cm="1">
        <f t="array" ref="G14">IF(F14="X",(_xlfn.XLOOKUP($B14,Tabla1[SERVICIO],Tabla1[VALOR])*1),IF(F14&gt;=1,_xlfn.XLOOKUP($B14,Tabla1[SERVICIO],Tabla1[VALOR]*F14),0))</f>
        <v>0</v>
      </c>
      <c r="H14" s="14"/>
      <c r="I14" s="56" cm="1">
        <f t="array" ref="I14">IF(H14="X",(_xlfn.XLOOKUP($B14,Tabla1[SERVICIO],Tabla1[VALOR])*1),IF(H14&gt;=1,_xlfn.XLOOKUP($B14,Tabla1[SERVICIO],Tabla1[VALOR]*H14),0))</f>
        <v>0</v>
      </c>
      <c r="J14" s="14"/>
      <c r="K14" s="56" cm="1">
        <f t="array" ref="K14">IF(J14="X",(_xlfn.XLOOKUP($B14,Tabla1[SERVICIO],Tabla1[VALOR])*1),IF(J14&gt;=1,_xlfn.XLOOKUP($B14,Tabla1[SERVICIO],Tabla1[VALOR]*J14),0))</f>
        <v>0</v>
      </c>
      <c r="L14" s="14"/>
      <c r="M14" s="56" cm="1">
        <f t="array" ref="M14">IF(L14="X",(_xlfn.XLOOKUP($B14,Tabla1[SERVICIO],Tabla1[VALOR])*1),IF(L14&gt;=1,_xlfn.XLOOKUP($B14,Tabla1[SERVICIO],Tabla1[VALOR]*L14),0))</f>
        <v>0</v>
      </c>
      <c r="N14" s="14"/>
      <c r="O14" s="56" cm="1">
        <f t="array" ref="O14">IF(N14="X",(_xlfn.XLOOKUP($B14,Tabla1[SERVICIO],Tabla1[VALOR])*1),IF(N14&gt;=1,_xlfn.XLOOKUP($B14,Tabla1[SERVICIO],Tabla1[VALOR]*N14),0))</f>
        <v>0</v>
      </c>
      <c r="P14" s="14"/>
      <c r="Q14" s="56" cm="1">
        <f t="array" ref="Q14">IF(P14="X",(_xlfn.XLOOKUP($B14,Tabla1[SERVICIO],Tabla1[VALOR])*1),IF(P14&gt;=1,_xlfn.XLOOKUP($B14,Tabla1[SERVICIO],Tabla1[VALOR]*P14),0))</f>
        <v>0</v>
      </c>
      <c r="R14" s="14"/>
      <c r="S14" s="56" cm="1">
        <f t="array" ref="S14">IF(R14="X",(_xlfn.XLOOKUP($B14,Tabla1[SERVICIO],Tabla1[VALOR])*1),IF(R14&gt;=1,_xlfn.XLOOKUP($B14,Tabla1[SERVICIO],Tabla1[VALOR]*R14),0))</f>
        <v>0</v>
      </c>
      <c r="T14" s="14"/>
      <c r="U14" s="56" cm="1">
        <f t="array" ref="U14">IF(T14="X",(_xlfn.XLOOKUP($B14,Tabla1[SERVICIO],Tabla1[VALOR])*1),IF(T14&gt;=1,_xlfn.XLOOKUP($B14,Tabla1[SERVICIO],Tabla1[VALOR]*T14),0))</f>
        <v>0</v>
      </c>
      <c r="V14" s="14"/>
      <c r="W14" s="56" cm="1">
        <f t="array" ref="W14">IF(V14="X",(_xlfn.XLOOKUP($B14,Tabla1[SERVICIO],Tabla1[VALOR])*1),IF(V14&gt;=1,_xlfn.XLOOKUP($B14,Tabla1[SERVICIO],Tabla1[VALOR]*V14),0))</f>
        <v>0</v>
      </c>
      <c r="X14" s="14"/>
      <c r="Y14" s="56" cm="1">
        <f t="array" ref="Y14">IF(X14="X",(_xlfn.XLOOKUP($B14,Tabla1[SERVICIO],Tabla1[VALOR])*1),IF(X14&gt;=1,_xlfn.XLOOKUP($B14,Tabla1[SERVICIO],Tabla1[VALOR]*X14),0))</f>
        <v>0</v>
      </c>
      <c r="Z14" s="14"/>
      <c r="AA14" s="56" cm="1">
        <f t="array" ref="AA14">IF(Z14="X",(_xlfn.XLOOKUP($B14,Tabla1[SERVICIO],Tabla1[VALOR])*1),IF(Z14&gt;=1,_xlfn.XLOOKUP($B14,Tabla1[SERVICIO],Tabla1[VALOR]*Z14),0))</f>
        <v>0</v>
      </c>
      <c r="AB14" s="89">
        <f t="shared" si="0"/>
        <v>67398.098568534639</v>
      </c>
      <c r="AC14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4" s="104" t="s">
        <v>319</v>
      </c>
      <c r="AE14" s="161">
        <v>0.52513966480446927</v>
      </c>
      <c r="AF14" s="90">
        <f>+Tabla336[[#This Row],[TOTAL]]*Tabla336[[#This Row],[% de las personas que lo usaron]]</f>
        <v>35393.414890738859</v>
      </c>
      <c r="AG14" s="240" t="s">
        <v>331</v>
      </c>
      <c r="AH14" s="335">
        <v>12</v>
      </c>
    </row>
    <row r="15" spans="1:34" ht="15" x14ac:dyDescent="0.25">
      <c r="A15" s="7" t="s">
        <v>52</v>
      </c>
      <c r="B15" s="96" t="s">
        <v>191</v>
      </c>
      <c r="C15" s="96" t="str">
        <f>_xlfn.XLOOKUP(Tabla336[[#This Row],[Servicios del Programa:]],Tabla151[CODIGO],Tabla151[VALOR])</f>
        <v>Consultas</v>
      </c>
      <c r="D15" s="14">
        <v>1</v>
      </c>
      <c r="E15" s="56" cm="1">
        <f t="array" ref="E15">IF(D15="X",(_xlfn.XLOOKUP($B15,Tabla1[SERVICIO],Tabla1[VALOR])*1),IF(D15&gt;=1,_xlfn.XLOOKUP($B15,Tabla1[SERVICIO],Tabla1[VALOR]*D15),0))</f>
        <v>26897.079640267821</v>
      </c>
      <c r="F15" s="14"/>
      <c r="G15" s="56" cm="1">
        <f t="array" ref="G15">IF(F15="X",(_xlfn.XLOOKUP($B15,Tabla1[SERVICIO],Tabla1[VALOR])*1),IF(F15&gt;=1,_xlfn.XLOOKUP($B15,Tabla1[SERVICIO],Tabla1[VALOR]*F15),0))</f>
        <v>0</v>
      </c>
      <c r="H15" s="14"/>
      <c r="I15" s="56" cm="1">
        <f t="array" ref="I15">IF(H15="X",(_xlfn.XLOOKUP($B15,Tabla1[SERVICIO],Tabla1[VALOR])*1),IF(H15&gt;=1,_xlfn.XLOOKUP($B15,Tabla1[SERVICIO],Tabla1[VALOR]*H15),0))</f>
        <v>0</v>
      </c>
      <c r="J15" s="14"/>
      <c r="K15" s="56" cm="1">
        <f t="array" ref="K15">IF(J15="X",(_xlfn.XLOOKUP($B15,Tabla1[SERVICIO],Tabla1[VALOR])*1),IF(J15&gt;=1,_xlfn.XLOOKUP($B15,Tabla1[SERVICIO],Tabla1[VALOR]*J15),0))</f>
        <v>0</v>
      </c>
      <c r="L15" s="14"/>
      <c r="M15" s="56" cm="1">
        <f t="array" ref="M15">IF(L15="X",(_xlfn.XLOOKUP($B15,Tabla1[SERVICIO],Tabla1[VALOR])*1),IF(L15&gt;=1,_xlfn.XLOOKUP($B15,Tabla1[SERVICIO],Tabla1[VALOR]*L15),0))</f>
        <v>0</v>
      </c>
      <c r="N15" s="14"/>
      <c r="O15" s="56" cm="1">
        <f t="array" ref="O15">IF(N15="X",(_xlfn.XLOOKUP($B15,Tabla1[SERVICIO],Tabla1[VALOR])*1),IF(N15&gt;=1,_xlfn.XLOOKUP($B15,Tabla1[SERVICIO],Tabla1[VALOR]*N15),0))</f>
        <v>0</v>
      </c>
      <c r="P15" s="14"/>
      <c r="Q15" s="56" cm="1">
        <f t="array" ref="Q15">IF(P15="X",(_xlfn.XLOOKUP($B15,Tabla1[SERVICIO],Tabla1[VALOR])*1),IF(P15&gt;=1,_xlfn.XLOOKUP($B15,Tabla1[SERVICIO],Tabla1[VALOR]*P15),0))</f>
        <v>0</v>
      </c>
      <c r="R15" s="14"/>
      <c r="S15" s="56" cm="1">
        <f t="array" ref="S15">IF(R15="X",(_xlfn.XLOOKUP($B15,Tabla1[SERVICIO],Tabla1[VALOR])*1),IF(R15&gt;=1,_xlfn.XLOOKUP($B15,Tabla1[SERVICIO],Tabla1[VALOR]*R15),0))</f>
        <v>0</v>
      </c>
      <c r="T15" s="14"/>
      <c r="U15" s="56" cm="1">
        <f t="array" ref="U15">IF(T15="X",(_xlfn.XLOOKUP($B15,Tabla1[SERVICIO],Tabla1[VALOR])*1),IF(T15&gt;=1,_xlfn.XLOOKUP($B15,Tabla1[SERVICIO],Tabla1[VALOR]*T15),0))</f>
        <v>0</v>
      </c>
      <c r="V15" s="14"/>
      <c r="W15" s="56" cm="1">
        <f t="array" ref="W15">IF(V15="X",(_xlfn.XLOOKUP($B15,Tabla1[SERVICIO],Tabla1[VALOR])*1),IF(V15&gt;=1,_xlfn.XLOOKUP($B15,Tabla1[SERVICIO],Tabla1[VALOR]*V15),0))</f>
        <v>0</v>
      </c>
      <c r="X15" s="14"/>
      <c r="Y15" s="56" cm="1">
        <f t="array" ref="Y15">IF(X15="X",(_xlfn.XLOOKUP($B15,Tabla1[SERVICIO],Tabla1[VALOR])*1),IF(X15&gt;=1,_xlfn.XLOOKUP($B15,Tabla1[SERVICIO],Tabla1[VALOR]*X15),0))</f>
        <v>0</v>
      </c>
      <c r="Z15" s="14"/>
      <c r="AA15" s="56" cm="1">
        <f t="array" ref="AA15">IF(Z15="X",(_xlfn.XLOOKUP($B15,Tabla1[SERVICIO],Tabla1[VALOR])*1),IF(Z15&gt;=1,_xlfn.XLOOKUP($B15,Tabla1[SERVICIO],Tabla1[VALOR]*Z15),0))</f>
        <v>0</v>
      </c>
      <c r="AB15" s="89">
        <f t="shared" si="0"/>
        <v>26897.079640267821</v>
      </c>
      <c r="AC15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5" s="104" t="s">
        <v>319</v>
      </c>
      <c r="AE15" s="154">
        <v>0</v>
      </c>
      <c r="AF15" s="90">
        <f>+Tabla336[[#This Row],[TOTAL]]*Tabla336[[#This Row],[% de las personas que lo usaron]]</f>
        <v>0</v>
      </c>
      <c r="AG15" s="240" t="s">
        <v>331</v>
      </c>
      <c r="AH15" s="335">
        <v>12</v>
      </c>
    </row>
    <row r="16" spans="1:34" ht="15" x14ac:dyDescent="0.25">
      <c r="A16" s="7" t="s">
        <v>53</v>
      </c>
      <c r="B16" s="96" t="s">
        <v>230</v>
      </c>
      <c r="C16" s="96" t="str">
        <f>_xlfn.XLOOKUP(Tabla336[[#This Row],[Servicios del Programa:]],Tabla151[CODIGO],Tabla151[VALOR])</f>
        <v>Consultas</v>
      </c>
      <c r="D16" s="14">
        <v>1</v>
      </c>
      <c r="E16" s="56" cm="1">
        <f t="array" ref="E16">IF(D16="X",(_xlfn.XLOOKUP($B16,Tabla1[SERVICIO],Tabla1[VALOR])*1),IF(D16&gt;=1,_xlfn.XLOOKUP($B16,Tabla1[SERVICIO],Tabla1[VALOR]*D16),0))</f>
        <v>26897.079640267817</v>
      </c>
      <c r="F16" s="14"/>
      <c r="G16" s="56" cm="1">
        <f t="array" ref="G16">IF(F16="X",(_xlfn.XLOOKUP($B16,Tabla1[SERVICIO],Tabla1[VALOR])*1),IF(F16&gt;=1,_xlfn.XLOOKUP($B16,Tabla1[SERVICIO],Tabla1[VALOR]*F16),0))</f>
        <v>0</v>
      </c>
      <c r="H16" s="14"/>
      <c r="I16" s="56" cm="1">
        <f t="array" ref="I16">IF(H16="X",(_xlfn.XLOOKUP($B16,Tabla1[SERVICIO],Tabla1[VALOR])*1),IF(H16&gt;=1,_xlfn.XLOOKUP($B16,Tabla1[SERVICIO],Tabla1[VALOR]*H16),0))</f>
        <v>0</v>
      </c>
      <c r="J16" s="14"/>
      <c r="K16" s="56" cm="1">
        <f t="array" ref="K16">IF(J16="X",(_xlfn.XLOOKUP($B16,Tabla1[SERVICIO],Tabla1[VALOR])*1),IF(J16&gt;=1,_xlfn.XLOOKUP($B16,Tabla1[SERVICIO],Tabla1[VALOR]*J16),0))</f>
        <v>0</v>
      </c>
      <c r="L16" s="14"/>
      <c r="M16" s="56" cm="1">
        <f t="array" ref="M16">IF(L16="X",(_xlfn.XLOOKUP($B16,Tabla1[SERVICIO],Tabla1[VALOR])*1),IF(L16&gt;=1,_xlfn.XLOOKUP($B16,Tabla1[SERVICIO],Tabla1[VALOR]*L16),0))</f>
        <v>0</v>
      </c>
      <c r="N16" s="14"/>
      <c r="O16" s="56" cm="1">
        <f t="array" ref="O16">IF(N16="X",(_xlfn.XLOOKUP($B16,Tabla1[SERVICIO],Tabla1[VALOR])*1),IF(N16&gt;=1,_xlfn.XLOOKUP($B16,Tabla1[SERVICIO],Tabla1[VALOR]*N16),0))</f>
        <v>0</v>
      </c>
      <c r="P16" s="14"/>
      <c r="Q16" s="56" cm="1">
        <f t="array" ref="Q16">IF(P16="X",(_xlfn.XLOOKUP($B16,Tabla1[SERVICIO],Tabla1[VALOR])*1),IF(P16&gt;=1,_xlfn.XLOOKUP($B16,Tabla1[SERVICIO],Tabla1[VALOR]*P16),0))</f>
        <v>0</v>
      </c>
      <c r="R16" s="14"/>
      <c r="S16" s="56" cm="1">
        <f t="array" ref="S16">IF(R16="X",(_xlfn.XLOOKUP($B16,Tabla1[SERVICIO],Tabla1[VALOR])*1),IF(R16&gt;=1,_xlfn.XLOOKUP($B16,Tabla1[SERVICIO],Tabla1[VALOR]*R16),0))</f>
        <v>0</v>
      </c>
      <c r="T16" s="14"/>
      <c r="U16" s="56" cm="1">
        <f t="array" ref="U16">IF(T16="X",(_xlfn.XLOOKUP($B16,Tabla1[SERVICIO],Tabla1[VALOR])*1),IF(T16&gt;=1,_xlfn.XLOOKUP($B16,Tabla1[SERVICIO],Tabla1[VALOR]*T16),0))</f>
        <v>0</v>
      </c>
      <c r="V16" s="14"/>
      <c r="W16" s="56" cm="1">
        <f t="array" ref="W16">IF(V16="X",(_xlfn.XLOOKUP($B16,Tabla1[SERVICIO],Tabla1[VALOR])*1),IF(V16&gt;=1,_xlfn.XLOOKUP($B16,Tabla1[SERVICIO],Tabla1[VALOR]*V16),0))</f>
        <v>0</v>
      </c>
      <c r="X16" s="14"/>
      <c r="Y16" s="56" cm="1">
        <f t="array" ref="Y16">IF(X16="X",(_xlfn.XLOOKUP($B16,Tabla1[SERVICIO],Tabla1[VALOR])*1),IF(X16&gt;=1,_xlfn.XLOOKUP($B16,Tabla1[SERVICIO],Tabla1[VALOR]*X16),0))</f>
        <v>0</v>
      </c>
      <c r="Z16" s="14"/>
      <c r="AA16" s="56" cm="1">
        <f t="array" ref="AA16">IF(Z16="X",(_xlfn.XLOOKUP($B16,Tabla1[SERVICIO],Tabla1[VALOR])*1),IF(Z16&gt;=1,_xlfn.XLOOKUP($B16,Tabla1[SERVICIO],Tabla1[VALOR]*Z16),0))</f>
        <v>0</v>
      </c>
      <c r="AB16" s="89">
        <f t="shared" si="0"/>
        <v>26897.079640267817</v>
      </c>
      <c r="AC16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6" s="104" t="s">
        <v>319</v>
      </c>
      <c r="AE16" s="154">
        <v>5.5865921787709499E-3</v>
      </c>
      <c r="AF16" s="90">
        <f>+Tabla336[[#This Row],[TOTAL]]*Tabla336[[#This Row],[% de las personas que lo usaron]]</f>
        <v>150.26301475009953</v>
      </c>
      <c r="AG16" s="240" t="s">
        <v>331</v>
      </c>
      <c r="AH16" s="335">
        <v>12</v>
      </c>
    </row>
    <row r="17" spans="1:46" ht="15" x14ac:dyDescent="0.25">
      <c r="A17" s="7" t="s">
        <v>5</v>
      </c>
      <c r="B17" s="96" t="s">
        <v>6</v>
      </c>
      <c r="C17" s="96" t="str">
        <f>_xlfn.XLOOKUP(Tabla336[[#This Row],[Servicios del Programa:]],Tabla151[CODIGO],Tabla151[VALOR])</f>
        <v>Consultas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18768.367820181349</v>
      </c>
      <c r="F17" s="14"/>
      <c r="G17" s="56" cm="1">
        <f t="array" ref="G17">IF(F17="X",(_xlfn.XLOOKUP($B17,Tabla1[SERVICIO],Tabla1[VALOR])*1),IF(F17&gt;=1,_xlfn.XLOOKUP($B17,Tabla1[SERVICIO],Tabla1[VALOR]*F17),0))</f>
        <v>0</v>
      </c>
      <c r="H17" s="14"/>
      <c r="I17" s="56" cm="1">
        <f t="array" ref="I17">IF(H17="X",(_xlfn.XLOOKUP($B17,Tabla1[SERVICIO],Tabla1[VALOR])*1),IF(H17&gt;=1,_xlfn.XLOOKUP($B17,Tabla1[SERVICIO],Tabla1[VALOR]*H17),0))</f>
        <v>0</v>
      </c>
      <c r="J17" s="14"/>
      <c r="K17" s="56" cm="1">
        <f t="array" ref="K17">IF(J17="X",(_xlfn.XLOOKUP($B17,Tabla1[SERVICIO],Tabla1[VALOR])*1),IF(J17&gt;=1,_xlfn.XLOOKUP($B17,Tabla1[SERVICIO],Tabla1[VALOR]*J17),0))</f>
        <v>0</v>
      </c>
      <c r="L17" s="14"/>
      <c r="M17" s="56" cm="1">
        <f t="array" ref="M17">IF(L17="X",(_xlfn.XLOOKUP($B17,Tabla1[SERVICIO],Tabla1[VALOR])*1),IF(L17&gt;=1,_xlfn.XLOOKUP($B17,Tabla1[SERVICIO],Tabla1[VALOR]*L17),0))</f>
        <v>0</v>
      </c>
      <c r="N17" s="14"/>
      <c r="O17" s="56" cm="1">
        <f t="array" ref="O17">IF(N17="X",(_xlfn.XLOOKUP($B17,Tabla1[SERVICIO],Tabla1[VALOR])*1),IF(N17&gt;=1,_xlfn.XLOOKUP($B17,Tabla1[SERVICIO],Tabla1[VALOR]*N17),0))</f>
        <v>0</v>
      </c>
      <c r="P17" s="8"/>
      <c r="Q17" s="56" cm="1">
        <f t="array" ref="Q17">IF(P17="X",(_xlfn.XLOOKUP($B17,Tabla1[SERVICIO],Tabla1[VALOR])*1),IF(P17&gt;=1,_xlfn.XLOOKUP($B17,Tabla1[SERVICIO],Tabla1[VALOR]*P17),0))</f>
        <v>0</v>
      </c>
      <c r="R17" s="8"/>
      <c r="S17" s="56" cm="1">
        <f t="array" ref="S17">IF(R17="X",(_xlfn.XLOOKUP($B17,Tabla1[SERVICIO],Tabla1[VALOR])*1),IF(R17&gt;=1,_xlfn.XLOOKUP($B17,Tabla1[SERVICIO],Tabla1[VALOR]*R17),0))</f>
        <v>0</v>
      </c>
      <c r="T17" s="8"/>
      <c r="U17" s="56" cm="1">
        <f t="array" ref="U17">IF(T17="X",(_xlfn.XLOOKUP($B17,Tabla1[SERVICIO],Tabla1[VALOR])*1),IF(T17&gt;=1,_xlfn.XLOOKUP($B17,Tabla1[SERVICIO],Tabla1[VALOR]*T17),0))</f>
        <v>0</v>
      </c>
      <c r="V17" s="8"/>
      <c r="W17" s="56" cm="1">
        <f t="array" ref="W17">IF(V17="X",(_xlfn.XLOOKUP($B17,Tabla1[SERVICIO],Tabla1[VALOR])*1),IF(V17&gt;=1,_xlfn.XLOOKUP($B17,Tabla1[SERVICIO],Tabla1[VALOR]*V17),0))</f>
        <v>0</v>
      </c>
      <c r="X17" s="8"/>
      <c r="Y17" s="56" cm="1">
        <f t="array" ref="Y17">IF(X17="X",(_xlfn.XLOOKUP($B17,Tabla1[SERVICIO],Tabla1[VALOR])*1),IF(X17&gt;=1,_xlfn.XLOOKUP($B17,Tabla1[SERVICIO],Tabla1[VALOR]*X17),0))</f>
        <v>0</v>
      </c>
      <c r="Z17" s="14"/>
      <c r="AA17" s="56" cm="1">
        <f t="array" ref="AA17">IF(Z17="X",(_xlfn.XLOOKUP($B17,Tabla1[SERVICIO],Tabla1[VALOR])*1),IF(Z17&gt;=1,_xlfn.XLOOKUP($B17,Tabla1[SERVICIO],Tabla1[VALOR]*Z17),0))</f>
        <v>0</v>
      </c>
      <c r="AB17" s="89">
        <f t="shared" si="0"/>
        <v>18768.367820181349</v>
      </c>
      <c r="AC17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7" s="104" t="s">
        <v>318</v>
      </c>
      <c r="AE17" s="154">
        <v>1</v>
      </c>
      <c r="AF17" s="90">
        <f>+Tabla336[[#This Row],[TOTAL]]*Tabla336[[#This Row],[% de las personas que lo usaron]]</f>
        <v>18768.367820181349</v>
      </c>
      <c r="AG17" s="240" t="s">
        <v>331</v>
      </c>
      <c r="AH17" s="335">
        <v>12</v>
      </c>
    </row>
    <row r="18" spans="1:46" ht="15" x14ac:dyDescent="0.25">
      <c r="A18" s="7" t="s">
        <v>17</v>
      </c>
      <c r="B18" s="96" t="s">
        <v>18</v>
      </c>
      <c r="C18" s="96" t="str">
        <f>_xlfn.XLOOKUP(Tabla336[[#This Row],[Servicios del Programa:]],Tabla151[CODIGO],Tabla151[VALOR])</f>
        <v>Consultas</v>
      </c>
      <c r="D18" s="14"/>
      <c r="E18" s="56" cm="1">
        <f t="array" ref="E18">IF(D18="X",(_xlfn.XLOOKUP($B18,Tabla1[SERVICIO],Tabla1[VALOR])*1),IF(D18&gt;=1,_xlfn.XLOOKUP($B18,Tabla1[SERVICIO],Tabla1[VALOR]*D18),0))</f>
        <v>0</v>
      </c>
      <c r="F18" s="14"/>
      <c r="G18" s="56" cm="1">
        <f t="array" ref="G18">IF(F18="X",(_xlfn.XLOOKUP($B18,Tabla1[SERVICIO],Tabla1[VALOR])*1),IF(F18&gt;=1,_xlfn.XLOOKUP($B18,Tabla1[SERVICIO],Tabla1[VALOR]*F18),0))</f>
        <v>0</v>
      </c>
      <c r="H18" s="14"/>
      <c r="I18" s="56" cm="1">
        <f t="array" ref="I18">IF(H18="X",(_xlfn.XLOOKUP($B18,Tabla1[SERVICIO],Tabla1[VALOR])*1),IF(H18&gt;=1,_xlfn.XLOOKUP($B18,Tabla1[SERVICIO],Tabla1[VALOR]*H18),0))</f>
        <v>0</v>
      </c>
      <c r="J18" s="14"/>
      <c r="K18" s="56" cm="1">
        <f t="array" ref="K18">IF(J18="X",(_xlfn.XLOOKUP($B18,Tabla1[SERVICIO],Tabla1[VALOR])*1),IF(J18&gt;=1,_xlfn.XLOOKUP($B18,Tabla1[SERVICIO],Tabla1[VALOR]*J18),0))</f>
        <v>0</v>
      </c>
      <c r="L18" s="14"/>
      <c r="M18" s="56" cm="1">
        <f t="array" ref="M18">IF(L18="X",(_xlfn.XLOOKUP($B18,Tabla1[SERVICIO],Tabla1[VALOR])*1),IF(L18&gt;=1,_xlfn.XLOOKUP($B18,Tabla1[SERVICIO],Tabla1[VALOR]*L18),0))</f>
        <v>0</v>
      </c>
      <c r="N18" s="14">
        <v>1</v>
      </c>
      <c r="O18" s="56" cm="1">
        <f t="array" ref="O18">IF(N18="X",(_xlfn.XLOOKUP($B18,Tabla1[SERVICIO],Tabla1[VALOR])*1),IF(N18&gt;=1,_xlfn.XLOOKUP($B18,Tabla1[SERVICIO],Tabla1[VALOR]*N18),0))</f>
        <v>20414.75585737115</v>
      </c>
      <c r="P18" s="8"/>
      <c r="Q18" s="56" cm="1">
        <f t="array" ref="Q18">IF(P18="X",(_xlfn.XLOOKUP($B18,Tabla1[SERVICIO],Tabla1[VALOR])*1),IF(P18&gt;=1,_xlfn.XLOOKUP($B18,Tabla1[SERVICIO],Tabla1[VALOR]*P18),0))</f>
        <v>0</v>
      </c>
      <c r="R18" s="8"/>
      <c r="S18" s="56" cm="1">
        <f t="array" ref="S18">IF(R18="X",(_xlfn.XLOOKUP($B18,Tabla1[SERVICIO],Tabla1[VALOR])*1),IF(R18&gt;=1,_xlfn.XLOOKUP($B18,Tabla1[SERVICIO],Tabla1[VALOR]*R18),0))</f>
        <v>0</v>
      </c>
      <c r="T18" s="8"/>
      <c r="U18" s="56" cm="1">
        <f t="array" ref="U18">IF(T18="X",(_xlfn.XLOOKUP($B18,Tabla1[SERVICIO],Tabla1[VALOR])*1),IF(T18&gt;=1,_xlfn.XLOOKUP($B18,Tabla1[SERVICIO],Tabla1[VALOR]*T18),0))</f>
        <v>0</v>
      </c>
      <c r="V18" s="8"/>
      <c r="W18" s="56" cm="1">
        <f t="array" ref="W18">IF(V18="X",(_xlfn.XLOOKUP($B18,Tabla1[SERVICIO],Tabla1[VALOR])*1),IF(V18&gt;=1,_xlfn.XLOOKUP($B18,Tabla1[SERVICIO],Tabla1[VALOR]*V18),0))</f>
        <v>0</v>
      </c>
      <c r="X18" s="8"/>
      <c r="Y18" s="56" cm="1">
        <f t="array" ref="Y18">IF(X18="X",(_xlfn.XLOOKUP($B18,Tabla1[SERVICIO],Tabla1[VALOR])*1),IF(X18&gt;=1,_xlfn.XLOOKUP($B18,Tabla1[SERVICIO],Tabla1[VALOR]*X18),0))</f>
        <v>0</v>
      </c>
      <c r="Z18" s="14">
        <v>1</v>
      </c>
      <c r="AA18" s="56" cm="1">
        <f t="array" ref="AA18">IF(Z18="X",(_xlfn.XLOOKUP($B18,Tabla1[SERVICIO],Tabla1[VALOR])*1),IF(Z18&gt;=1,_xlfn.XLOOKUP($B18,Tabla1[SERVICIO],Tabla1[VALOR]*Z18),0))</f>
        <v>20414.75585737115</v>
      </c>
      <c r="AB18" s="89">
        <f t="shared" si="0"/>
        <v>40829.511714742301</v>
      </c>
      <c r="AC18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18" s="104" t="s">
        <v>318</v>
      </c>
      <c r="AE18" s="154">
        <v>1</v>
      </c>
      <c r="AF18" s="90">
        <f>+Tabla336[[#This Row],[TOTAL]]*Tabla336[[#This Row],[% de las personas que lo usaron]]</f>
        <v>40829.511714742301</v>
      </c>
      <c r="AG18" s="240" t="s">
        <v>331</v>
      </c>
      <c r="AH18" s="335">
        <v>12</v>
      </c>
    </row>
    <row r="19" spans="1:46" ht="15" x14ac:dyDescent="0.25">
      <c r="A19" s="7" t="s">
        <v>113</v>
      </c>
      <c r="B19" s="98" t="s">
        <v>116</v>
      </c>
      <c r="C19" s="96" t="str">
        <f>_xlfn.XLOOKUP(Tabla336[[#This Row],[Servicios del Programa:]],Tabla151[CODIGO],Tabla151[VALOR])</f>
        <v>Consultas</v>
      </c>
      <c r="D19" s="14">
        <v>1</v>
      </c>
      <c r="E19" s="56" cm="1">
        <f t="array" ref="E19">IF(D19="X",(_xlfn.XLOOKUP($B19,Tabla1[SERVICIO],Tabla1[VALOR])*1),IF(D19&gt;=1,_xlfn.XLOOKUP($B19,Tabla1[SERVICIO],Tabla1[VALOR]*D19),0))</f>
        <v>60236.092716419647</v>
      </c>
      <c r="F19" s="14"/>
      <c r="G19" s="56" cm="1">
        <f t="array" ref="G19">IF(F19="X",(_xlfn.XLOOKUP($B19,Tabla1[SERVICIO],Tabla1[VALOR])*1),IF(F19&gt;=1,_xlfn.XLOOKUP($B19,Tabla1[SERVICIO],Tabla1[VALOR]*F19),0))</f>
        <v>0</v>
      </c>
      <c r="H19" s="14"/>
      <c r="I19" s="56" cm="1">
        <f t="array" ref="I19">IF(H19="X",(_xlfn.XLOOKUP($B19,Tabla1[SERVICIO],Tabla1[VALOR])*1),IF(H19&gt;=1,_xlfn.XLOOKUP($B19,Tabla1[SERVICIO],Tabla1[VALOR]*H19),0))</f>
        <v>0</v>
      </c>
      <c r="J19" s="14"/>
      <c r="K19" s="56" cm="1">
        <f t="array" ref="K19">IF(J19="X",(_xlfn.XLOOKUP($B19,Tabla1[SERVICIO],Tabla1[VALOR])*1),IF(J19&gt;=1,_xlfn.XLOOKUP($B19,Tabla1[SERVICIO],Tabla1[VALOR]*J19),0))</f>
        <v>0</v>
      </c>
      <c r="L19" s="14"/>
      <c r="M19" s="56" cm="1">
        <f t="array" ref="M19">IF(L19="X",(_xlfn.XLOOKUP($B19,Tabla1[SERVICIO],Tabla1[VALOR])*1),IF(L19&gt;=1,_xlfn.XLOOKUP($B19,Tabla1[SERVICIO],Tabla1[VALOR]*L19),0))</f>
        <v>0</v>
      </c>
      <c r="N19" s="14"/>
      <c r="O19" s="56" cm="1">
        <f t="array" ref="O19">IF(N19="X",(_xlfn.XLOOKUP($B19,Tabla1[SERVICIO],Tabla1[VALOR])*1),IF(N19&gt;=1,_xlfn.XLOOKUP($B19,Tabla1[SERVICIO],Tabla1[VALOR]*N19),0))</f>
        <v>0</v>
      </c>
      <c r="P19" s="14"/>
      <c r="Q19" s="56" cm="1">
        <f t="array" ref="Q19">IF(P19="X",(_xlfn.XLOOKUP($B19,Tabla1[SERVICIO],Tabla1[VALOR])*1),IF(P19&gt;=1,_xlfn.XLOOKUP($B19,Tabla1[SERVICIO],Tabla1[VALOR]*P19),0))</f>
        <v>0</v>
      </c>
      <c r="R19" s="14"/>
      <c r="S19" s="56" cm="1">
        <f t="array" ref="S19">IF(R19="X",(_xlfn.XLOOKUP($B19,Tabla1[SERVICIO],Tabla1[VALOR])*1),IF(R19&gt;=1,_xlfn.XLOOKUP($B19,Tabla1[SERVICIO],Tabla1[VALOR]*R19),0))</f>
        <v>0</v>
      </c>
      <c r="T19" s="14"/>
      <c r="U19" s="56" cm="1">
        <f t="array" ref="U19">IF(T19="X",(_xlfn.XLOOKUP($B19,Tabla1[SERVICIO],Tabla1[VALOR])*1),IF(T19&gt;=1,_xlfn.XLOOKUP($B19,Tabla1[SERVICIO],Tabla1[VALOR]*T19),0))</f>
        <v>0</v>
      </c>
      <c r="V19" s="14"/>
      <c r="W19" s="56" cm="1">
        <f t="array" ref="W19">IF(V19="X",(_xlfn.XLOOKUP($B19,Tabla1[SERVICIO],Tabla1[VALOR])*1),IF(V19&gt;=1,_xlfn.XLOOKUP($B19,Tabla1[SERVICIO],Tabla1[VALOR]*V19),0))</f>
        <v>0</v>
      </c>
      <c r="X19" s="14"/>
      <c r="Y19" s="56" cm="1">
        <f t="array" ref="Y19">IF(X19="X",(_xlfn.XLOOKUP($B19,Tabla1[SERVICIO],Tabla1[VALOR])*1),IF(X19&gt;=1,_xlfn.XLOOKUP($B19,Tabla1[SERVICIO],Tabla1[VALOR]*X19),0))</f>
        <v>0</v>
      </c>
      <c r="Z19" s="14"/>
      <c r="AA19" s="56" cm="1">
        <f t="array" ref="AA19">IF(Z19="X",(_xlfn.XLOOKUP($B19,Tabla1[SERVICIO],Tabla1[VALOR])*1),IF(Z19&gt;=1,_xlfn.XLOOKUP($B19,Tabla1[SERVICIO],Tabla1[VALOR]*Z19),0))</f>
        <v>0</v>
      </c>
      <c r="AB19" s="89">
        <f t="shared" si="0"/>
        <v>60236.092716419647</v>
      </c>
      <c r="AC19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9" s="104" t="s">
        <v>319</v>
      </c>
      <c r="AE19" s="154">
        <v>1.11731843575419E-2</v>
      </c>
      <c r="AF19" s="90">
        <f>+Tabla336[[#This Row],[TOTAL]]*Tabla336[[#This Row],[% de las personas que lo usaron]]</f>
        <v>673.02896889854355</v>
      </c>
      <c r="AG19" s="240" t="s">
        <v>331</v>
      </c>
      <c r="AH19" s="335">
        <v>12</v>
      </c>
    </row>
    <row r="20" spans="1:46" ht="15" x14ac:dyDescent="0.25">
      <c r="A20" s="7" t="s">
        <v>114</v>
      </c>
      <c r="B20" s="96" t="s">
        <v>117</v>
      </c>
      <c r="C20" s="96" t="str">
        <f>_xlfn.XLOOKUP(Tabla336[[#This Row],[Servicios del Programa:]],Tabla151[CODIGO],Tabla151[VALOR])</f>
        <v>Consultas</v>
      </c>
      <c r="D20" s="14"/>
      <c r="E20" s="56" cm="1">
        <f t="array" ref="E20">IF(D20="X",(_xlfn.XLOOKUP($B20,Tabla1[SERVICIO],Tabla1[VALOR])*1),IF(D20&gt;=1,_xlfn.XLOOKUP($B20,Tabla1[SERVICIO],Tabla1[VALOR]*D20),0))</f>
        <v>0</v>
      </c>
      <c r="F20" s="14"/>
      <c r="G20" s="56" cm="1">
        <f t="array" ref="G20">IF(F20="X",(_xlfn.XLOOKUP($B20,Tabla1[SERVICIO],Tabla1[VALOR])*1),IF(F20&gt;=1,_xlfn.XLOOKUP($B20,Tabla1[SERVICIO],Tabla1[VALOR]*F20),0))</f>
        <v>0</v>
      </c>
      <c r="H20" s="14"/>
      <c r="I20" s="56" cm="1">
        <f t="array" ref="I20">IF(H20="X",(_xlfn.XLOOKUP($B20,Tabla1[SERVICIO],Tabla1[VALOR])*1),IF(H20&gt;=1,_xlfn.XLOOKUP($B20,Tabla1[SERVICIO],Tabla1[VALOR]*H20),0))</f>
        <v>0</v>
      </c>
      <c r="J20" s="14"/>
      <c r="K20" s="56" cm="1">
        <f t="array" ref="K20">IF(J20="X",(_xlfn.XLOOKUP($B20,Tabla1[SERVICIO],Tabla1[VALOR])*1),IF(J20&gt;=1,_xlfn.XLOOKUP($B20,Tabla1[SERVICIO],Tabla1[VALOR]*J20),0))</f>
        <v>0</v>
      </c>
      <c r="L20" s="14"/>
      <c r="M20" s="56" cm="1">
        <f t="array" ref="M20">IF(L20="X",(_xlfn.XLOOKUP($B20,Tabla1[SERVICIO],Tabla1[VALOR])*1),IF(L20&gt;=1,_xlfn.XLOOKUP($B20,Tabla1[SERVICIO],Tabla1[VALOR]*L20),0))</f>
        <v>0</v>
      </c>
      <c r="N20" s="14"/>
      <c r="O20" s="56" cm="1">
        <f t="array" ref="O20">IF(N20="X",(_xlfn.XLOOKUP($B20,Tabla1[SERVICIO],Tabla1[VALOR])*1),IF(N20&gt;=1,_xlfn.XLOOKUP($B20,Tabla1[SERVICIO],Tabla1[VALOR]*N20),0))</f>
        <v>0</v>
      </c>
      <c r="P20" s="14"/>
      <c r="Q20" s="56" cm="1">
        <f t="array" ref="Q20">IF(P20="X",(_xlfn.XLOOKUP($B20,Tabla1[SERVICIO],Tabla1[VALOR])*1),IF(P20&gt;=1,_xlfn.XLOOKUP($B20,Tabla1[SERVICIO],Tabla1[VALOR]*P20),0))</f>
        <v>0</v>
      </c>
      <c r="R20" s="14"/>
      <c r="S20" s="56" cm="1">
        <f t="array" ref="S20">IF(R20="X",(_xlfn.XLOOKUP($B20,Tabla1[SERVICIO],Tabla1[VALOR])*1),IF(R20&gt;=1,_xlfn.XLOOKUP($B20,Tabla1[SERVICIO],Tabla1[VALOR]*R20),0))</f>
        <v>0</v>
      </c>
      <c r="T20" s="14"/>
      <c r="U20" s="56" cm="1">
        <f t="array" ref="U20">IF(T20="X",(_xlfn.XLOOKUP($B20,Tabla1[SERVICIO],Tabla1[VALOR])*1),IF(T20&gt;=1,_xlfn.XLOOKUP($B20,Tabla1[SERVICIO],Tabla1[VALOR]*T20),0))</f>
        <v>0</v>
      </c>
      <c r="V20" s="14"/>
      <c r="W20" s="56" cm="1">
        <f t="array" ref="W20">IF(V20="X",(_xlfn.XLOOKUP($B20,Tabla1[SERVICIO],Tabla1[VALOR])*1),IF(V20&gt;=1,_xlfn.XLOOKUP($B20,Tabla1[SERVICIO],Tabla1[VALOR]*V20),0))</f>
        <v>0</v>
      </c>
      <c r="X20" s="14"/>
      <c r="Y20" s="56" cm="1">
        <f t="array" ref="Y20">IF(X20="X",(_xlfn.XLOOKUP($B20,Tabla1[SERVICIO],Tabla1[VALOR])*1),IF(X20&gt;=1,_xlfn.XLOOKUP($B20,Tabla1[SERVICIO],Tabla1[VALOR]*X20),0))</f>
        <v>0</v>
      </c>
      <c r="Z20" s="14"/>
      <c r="AA20" s="56" cm="1">
        <f t="array" ref="AA20">IF(Z20="X",(_xlfn.XLOOKUP($B20,Tabla1[SERVICIO],Tabla1[VALOR])*1),IF(Z20&gt;=1,_xlfn.XLOOKUP($B20,Tabla1[SERVICIO],Tabla1[VALOR]*Z20),0))</f>
        <v>0</v>
      </c>
      <c r="AB20" s="89">
        <f t="shared" si="0"/>
        <v>0</v>
      </c>
      <c r="AC20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0</v>
      </c>
      <c r="AD20" s="104" t="s">
        <v>319</v>
      </c>
      <c r="AE20" s="154">
        <v>1</v>
      </c>
      <c r="AF20" s="90">
        <f>+Tabla336[[#This Row],[TOTAL]]*Tabla336[[#This Row],[% de las personas que lo usaron]]</f>
        <v>0</v>
      </c>
      <c r="AG20" s="240" t="s">
        <v>331</v>
      </c>
      <c r="AH20" s="335">
        <v>12</v>
      </c>
    </row>
    <row r="21" spans="1:46" ht="15" x14ac:dyDescent="0.25">
      <c r="A21" s="7" t="s">
        <v>115</v>
      </c>
      <c r="B21" s="96" t="s">
        <v>118</v>
      </c>
      <c r="C21" s="96" t="str">
        <f>_xlfn.XLOOKUP(Tabla336[[#This Row],[Servicios del Programa:]],Tabla151[CODIGO],Tabla151[VALOR])</f>
        <v>Consultas</v>
      </c>
      <c r="D21" s="14"/>
      <c r="E21" s="56" cm="1">
        <f t="array" ref="E21">IF(D21="X",(_xlfn.XLOOKUP($B21,Tabla1[SERVICIO],Tabla1[VALOR])*1),IF(D21&gt;=1,_xlfn.XLOOKUP($B21,Tabla1[SERVICIO],Tabla1[VALOR]*D21),0))</f>
        <v>0</v>
      </c>
      <c r="F21" s="14"/>
      <c r="G21" s="56" cm="1">
        <f t="array" ref="G21">IF(F21="X",(_xlfn.XLOOKUP($B21,Tabla1[SERVICIO],Tabla1[VALOR])*1),IF(F21&gt;=1,_xlfn.XLOOKUP($B21,Tabla1[SERVICIO],Tabla1[VALOR]*F21),0))</f>
        <v>0</v>
      </c>
      <c r="H21" s="14"/>
      <c r="I21" s="56" cm="1">
        <f t="array" ref="I21">IF(H21="X",(_xlfn.XLOOKUP($B21,Tabla1[SERVICIO],Tabla1[VALOR])*1),IF(H21&gt;=1,_xlfn.XLOOKUP($B21,Tabla1[SERVICIO],Tabla1[VALOR]*H21),0))</f>
        <v>0</v>
      </c>
      <c r="J21" s="14"/>
      <c r="K21" s="56" cm="1">
        <f t="array" ref="K21">IF(J21="X",(_xlfn.XLOOKUP($B21,Tabla1[SERVICIO],Tabla1[VALOR])*1),IF(J21&gt;=1,_xlfn.XLOOKUP($B21,Tabla1[SERVICIO],Tabla1[VALOR]*J21),0))</f>
        <v>0</v>
      </c>
      <c r="L21" s="14"/>
      <c r="M21" s="56" cm="1">
        <f t="array" ref="M21">IF(L21="X",(_xlfn.XLOOKUP($B21,Tabla1[SERVICIO],Tabla1[VALOR])*1),IF(L21&gt;=1,_xlfn.XLOOKUP($B21,Tabla1[SERVICIO],Tabla1[VALOR]*L21),0))</f>
        <v>0</v>
      </c>
      <c r="N21" s="14"/>
      <c r="O21" s="56" cm="1">
        <f t="array" ref="O21">IF(N21="X",(_xlfn.XLOOKUP($B21,Tabla1[SERVICIO],Tabla1[VALOR])*1),IF(N21&gt;=1,_xlfn.XLOOKUP($B21,Tabla1[SERVICIO],Tabla1[VALOR]*N21),0))</f>
        <v>0</v>
      </c>
      <c r="P21" s="14"/>
      <c r="Q21" s="56" cm="1">
        <f t="array" ref="Q21">IF(P21="X",(_xlfn.XLOOKUP($B21,Tabla1[SERVICIO],Tabla1[VALOR])*1),IF(P21&gt;=1,_xlfn.XLOOKUP($B21,Tabla1[SERVICIO],Tabla1[VALOR]*P21),0))</f>
        <v>0</v>
      </c>
      <c r="R21" s="14"/>
      <c r="S21" s="56" cm="1">
        <f t="array" ref="S21">IF(R21="X",(_xlfn.XLOOKUP($B21,Tabla1[SERVICIO],Tabla1[VALOR])*1),IF(R21&gt;=1,_xlfn.XLOOKUP($B21,Tabla1[SERVICIO],Tabla1[VALOR]*R21),0))</f>
        <v>0</v>
      </c>
      <c r="T21" s="14"/>
      <c r="U21" s="56" cm="1">
        <f t="array" ref="U21">IF(T21="X",(_xlfn.XLOOKUP($B21,Tabla1[SERVICIO],Tabla1[VALOR])*1),IF(T21&gt;=1,_xlfn.XLOOKUP($B21,Tabla1[SERVICIO],Tabla1[VALOR]*T21),0))</f>
        <v>0</v>
      </c>
      <c r="V21" s="14"/>
      <c r="W21" s="56" cm="1">
        <f t="array" ref="W21">IF(V21="X",(_xlfn.XLOOKUP($B21,Tabla1[SERVICIO],Tabla1[VALOR])*1),IF(V21&gt;=1,_xlfn.XLOOKUP($B21,Tabla1[SERVICIO],Tabla1[VALOR]*V21),0))</f>
        <v>0</v>
      </c>
      <c r="X21" s="14"/>
      <c r="Y21" s="56" cm="1">
        <f t="array" ref="Y21">IF(X21="X",(_xlfn.XLOOKUP($B21,Tabla1[SERVICIO],Tabla1[VALOR])*1),IF(X21&gt;=1,_xlfn.XLOOKUP($B21,Tabla1[SERVICIO],Tabla1[VALOR]*X21),0))</f>
        <v>0</v>
      </c>
      <c r="Z21" s="14">
        <v>1</v>
      </c>
      <c r="AA21" s="56" cm="1">
        <f t="array" ref="AA21">IF(Z21="X",(_xlfn.XLOOKUP($B21,Tabla1[SERVICIO],Tabla1[VALOR])*1),IF(Z21&gt;=1,_xlfn.XLOOKUP($B21,Tabla1[SERVICIO],Tabla1[VALOR]*Z21),0))</f>
        <v>62748.232282880919</v>
      </c>
      <c r="AB21" s="89">
        <f t="shared" si="0"/>
        <v>62748.232282880919</v>
      </c>
      <c r="AC21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1" s="104" t="s">
        <v>319</v>
      </c>
      <c r="AE21" s="154">
        <v>1.11731843575419E-2</v>
      </c>
      <c r="AF21" s="90">
        <f>+Tabla336[[#This Row],[TOTAL]]*Tabla336[[#This Row],[% de las personas que lo usaron]]</f>
        <v>701.09756740649073</v>
      </c>
      <c r="AG21" s="240" t="s">
        <v>331</v>
      </c>
      <c r="AH21" s="335">
        <v>12</v>
      </c>
    </row>
    <row r="22" spans="1:46" ht="15" x14ac:dyDescent="0.25">
      <c r="A22" s="7" t="s">
        <v>34</v>
      </c>
      <c r="B22" s="96" t="s">
        <v>35</v>
      </c>
      <c r="C22" s="96" t="str">
        <f>_xlfn.XLOOKUP(Tabla336[[#This Row],[Servicios del Programa:]],Tabla151[CODIGO],Tabla151[VALOR])</f>
        <v>Consultas</v>
      </c>
      <c r="D22" s="14">
        <v>1</v>
      </c>
      <c r="E22" s="56" cm="1">
        <f t="array" ref="E22">IF(D22="X",(_xlfn.XLOOKUP($B22,Tabla1[SERVICIO],Tabla1[VALOR])*1),IF(D22&gt;=1,_xlfn.XLOOKUP($B22,Tabla1[SERVICIO],Tabla1[VALOR]*D22),0))</f>
        <v>24009.730401318589</v>
      </c>
      <c r="F22" s="14"/>
      <c r="G22" s="56" cm="1">
        <f t="array" ref="G22">IF(F22="X",(_xlfn.XLOOKUP($B22,Tabla1[SERVICIO],Tabla1[VALOR])*1),IF(F22&gt;=1,_xlfn.XLOOKUP($B22,Tabla1[SERVICIO],Tabla1[VALOR]*F22),0))</f>
        <v>0</v>
      </c>
      <c r="H22" s="14"/>
      <c r="I22" s="56" cm="1">
        <f t="array" ref="I22">IF(H22="X",(_xlfn.XLOOKUP($B22,Tabla1[SERVICIO],Tabla1[VALOR])*1),IF(H22&gt;=1,_xlfn.XLOOKUP($B22,Tabla1[SERVICIO],Tabla1[VALOR]*H22),0))</f>
        <v>0</v>
      </c>
      <c r="J22" s="14"/>
      <c r="K22" s="56" cm="1">
        <f t="array" ref="K22">IF(J22="X",(_xlfn.XLOOKUP($B22,Tabla1[SERVICIO],Tabla1[VALOR])*1),IF(J22&gt;=1,_xlfn.XLOOKUP($B22,Tabla1[SERVICIO],Tabla1[VALOR]*J22),0))</f>
        <v>0</v>
      </c>
      <c r="L22" s="14"/>
      <c r="M22" s="56" cm="1">
        <f t="array" ref="M22">IF(L22="X",(_xlfn.XLOOKUP($B22,Tabla1[SERVICIO],Tabla1[VALOR])*1),IF(L22&gt;=1,_xlfn.XLOOKUP($B22,Tabla1[SERVICIO],Tabla1[VALOR]*L22),0))</f>
        <v>0</v>
      </c>
      <c r="N22" s="14"/>
      <c r="O22" s="56" cm="1">
        <f t="array" ref="O22">IF(N22="X",(_xlfn.XLOOKUP($B22,Tabla1[SERVICIO],Tabla1[VALOR])*1),IF(N22&gt;=1,_xlfn.XLOOKUP($B22,Tabla1[SERVICIO],Tabla1[VALOR]*N22),0))</f>
        <v>0</v>
      </c>
      <c r="P22" s="14"/>
      <c r="Q22" s="56" cm="1">
        <f t="array" ref="Q22">IF(P22="X",(_xlfn.XLOOKUP($B22,Tabla1[SERVICIO],Tabla1[VALOR])*1),IF(P22&gt;=1,_xlfn.XLOOKUP($B22,Tabla1[SERVICIO],Tabla1[VALOR]*P22),0))</f>
        <v>0</v>
      </c>
      <c r="R22" s="14"/>
      <c r="S22" s="56" cm="1">
        <f t="array" ref="S22">IF(R22="X",(_xlfn.XLOOKUP($B22,Tabla1[SERVICIO],Tabla1[VALOR])*1),IF(R22&gt;=1,_xlfn.XLOOKUP($B22,Tabla1[SERVICIO],Tabla1[VALOR]*R22),0))</f>
        <v>0</v>
      </c>
      <c r="T22" s="14"/>
      <c r="U22" s="56" cm="1">
        <f t="array" ref="U22">IF(T22="X",(_xlfn.XLOOKUP($B22,Tabla1[SERVICIO],Tabla1[VALOR])*1),IF(T22&gt;=1,_xlfn.XLOOKUP($B22,Tabla1[SERVICIO],Tabla1[VALOR]*T22),0))</f>
        <v>0</v>
      </c>
      <c r="V22" s="14"/>
      <c r="W22" s="56" cm="1">
        <f t="array" ref="W22">IF(V22="X",(_xlfn.XLOOKUP($B22,Tabla1[SERVICIO],Tabla1[VALOR])*1),IF(V22&gt;=1,_xlfn.XLOOKUP($B22,Tabla1[SERVICIO],Tabla1[VALOR]*V22),0))</f>
        <v>0</v>
      </c>
      <c r="X22" s="14"/>
      <c r="Y22" s="56" cm="1">
        <f t="array" ref="Y22">IF(X22="X",(_xlfn.XLOOKUP($B22,Tabla1[SERVICIO],Tabla1[VALOR])*1),IF(X22&gt;=1,_xlfn.XLOOKUP($B22,Tabla1[SERVICIO],Tabla1[VALOR]*X22),0))</f>
        <v>0</v>
      </c>
      <c r="Z22" s="14"/>
      <c r="AA22" s="56" cm="1">
        <f t="array" ref="AA22">IF(Z22="X",(_xlfn.XLOOKUP($B22,Tabla1[SERVICIO],Tabla1[VALOR])*1),IF(Z22&gt;=1,_xlfn.XLOOKUP($B22,Tabla1[SERVICIO],Tabla1[VALOR]*Z22),0))</f>
        <v>0</v>
      </c>
      <c r="AB22" s="89">
        <f t="shared" si="0"/>
        <v>24009.730401318589</v>
      </c>
      <c r="AC22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2" s="104" t="s">
        <v>318</v>
      </c>
      <c r="AE22" s="154">
        <v>1</v>
      </c>
      <c r="AF22" s="90">
        <f>+Tabla336[[#This Row],[TOTAL]]*Tabla336[[#This Row],[% de las personas que lo usaron]]</f>
        <v>24009.730401318589</v>
      </c>
      <c r="AG22" s="240" t="s">
        <v>331</v>
      </c>
      <c r="AH22" s="335">
        <v>12</v>
      </c>
    </row>
    <row r="23" spans="1:46" ht="15" x14ac:dyDescent="0.25">
      <c r="A23" s="7" t="s">
        <v>32</v>
      </c>
      <c r="B23" s="96" t="s">
        <v>103</v>
      </c>
      <c r="C23" s="96" t="str">
        <f>_xlfn.XLOOKUP(Tabla336[[#This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24009.730401318589</v>
      </c>
      <c r="F23" s="14"/>
      <c r="G23" s="56" cm="1">
        <f t="array" ref="G23">IF(F23="X",(_xlfn.XLOOKUP($B23,Tabla1[SERVICIO],Tabla1[VALOR])*1),IF(F23&gt;=1,_xlfn.XLOOKUP($B23,Tabla1[SERVICIO],Tabla1[VALOR]*F23),0))</f>
        <v>0</v>
      </c>
      <c r="H23" s="14"/>
      <c r="I23" s="56" cm="1">
        <f t="array" ref="I23">IF(H23="X",(_xlfn.XLOOKUP($B23,Tabla1[SERVICIO],Tabla1[VALOR])*1),IF(H23&gt;=1,_xlfn.XLOOKUP($B23,Tabla1[SERVICIO],Tabla1[VALOR]*H23),0))</f>
        <v>0</v>
      </c>
      <c r="J23" s="14"/>
      <c r="K23" s="56" cm="1">
        <f t="array" ref="K23">IF(J23="X",(_xlfn.XLOOKUP($B23,Tabla1[SERVICIO],Tabla1[VALOR])*1),IF(J23&gt;=1,_xlfn.XLOOKUP($B23,Tabla1[SERVICIO],Tabla1[VALOR]*J23),0))</f>
        <v>0</v>
      </c>
      <c r="L23" s="14"/>
      <c r="M23" s="56" cm="1">
        <f t="array" ref="M23">IF(L23="X",(_xlfn.XLOOKUP($B23,Tabla1[SERVICIO],Tabla1[VALOR])*1),IF(L23&gt;=1,_xlfn.XLOOKUP($B23,Tabla1[SERVICIO],Tabla1[VALOR]*L23),0))</f>
        <v>0</v>
      </c>
      <c r="N23" s="14"/>
      <c r="O23" s="56" cm="1">
        <f t="array" ref="O23">IF(N23="X",(_xlfn.XLOOKUP($B23,Tabla1[SERVICIO],Tabla1[VALOR])*1),IF(N23&gt;=1,_xlfn.XLOOKUP($B23,Tabla1[SERVICIO],Tabla1[VALOR]*N23),0))</f>
        <v>0</v>
      </c>
      <c r="P23" s="14"/>
      <c r="Q23" s="56" cm="1">
        <f t="array" ref="Q23">IF(P23="X",(_xlfn.XLOOKUP($B23,Tabla1[SERVICIO],Tabla1[VALOR])*1),IF(P23&gt;=1,_xlfn.XLOOKUP($B23,Tabla1[SERVICIO],Tabla1[VALOR]*P23),0))</f>
        <v>0</v>
      </c>
      <c r="R23" s="14"/>
      <c r="S23" s="56" cm="1">
        <f t="array" ref="S23">IF(R23="X",(_xlfn.XLOOKUP($B23,Tabla1[SERVICIO],Tabla1[VALOR])*1),IF(R23&gt;=1,_xlfn.XLOOKUP($B23,Tabla1[SERVICIO],Tabla1[VALOR]*R23),0))</f>
        <v>0</v>
      </c>
      <c r="T23" s="14"/>
      <c r="U23" s="56" cm="1">
        <f t="array" ref="U23">IF(T23="X",(_xlfn.XLOOKUP($B23,Tabla1[SERVICIO],Tabla1[VALOR])*1),IF(T23&gt;=1,_xlfn.XLOOKUP($B23,Tabla1[SERVICIO],Tabla1[VALOR]*T23),0))</f>
        <v>0</v>
      </c>
      <c r="V23" s="14"/>
      <c r="W23" s="56" cm="1">
        <f t="array" ref="W23">IF(V23="X",(_xlfn.XLOOKUP($B23,Tabla1[SERVICIO],Tabla1[VALOR])*1),IF(V23&gt;=1,_xlfn.XLOOKUP($B23,Tabla1[SERVICIO],Tabla1[VALOR]*V23),0))</f>
        <v>0</v>
      </c>
      <c r="X23" s="14"/>
      <c r="Y23" s="56" cm="1">
        <f t="array" ref="Y23">IF(X23="X",(_xlfn.XLOOKUP($B23,Tabla1[SERVICIO],Tabla1[VALOR])*1),IF(X23&gt;=1,_xlfn.XLOOKUP($B23,Tabla1[SERVICIO],Tabla1[VALOR]*X23),0))</f>
        <v>0</v>
      </c>
      <c r="Z23" s="14"/>
      <c r="AA23" s="56" cm="1">
        <f t="array" ref="AA23">IF(Z23="X",(_xlfn.XLOOKUP($B23,Tabla1[SERVICIO],Tabla1[VALOR])*1),IF(Z23&gt;=1,_xlfn.XLOOKUP($B23,Tabla1[SERVICIO],Tabla1[VALOR]*Z23),0))</f>
        <v>0</v>
      </c>
      <c r="AB23" s="89">
        <f t="shared" si="0"/>
        <v>24009.730401318589</v>
      </c>
      <c r="AC23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3" s="104" t="s">
        <v>319</v>
      </c>
      <c r="AE23" s="154">
        <v>1.11731843575419E-2</v>
      </c>
      <c r="AF23" s="90">
        <f>+Tabla336[[#This Row],[TOTAL]]*Tabla336[[#This Row],[% de las personas que lo usaron]]</f>
        <v>268.26514414881109</v>
      </c>
      <c r="AG23" s="240" t="s">
        <v>331</v>
      </c>
      <c r="AH23" s="335">
        <v>12</v>
      </c>
    </row>
    <row r="24" spans="1:46" ht="15" x14ac:dyDescent="0.25">
      <c r="A24" s="7" t="s">
        <v>38</v>
      </c>
      <c r="B24" s="96" t="s">
        <v>102</v>
      </c>
      <c r="C24" s="96" t="str">
        <f>_xlfn.XLOOKUP(Tabla336[[#This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56420.692787682223</v>
      </c>
      <c r="F24" s="14"/>
      <c r="G24" s="56" cm="1">
        <f t="array" ref="G24">IF(F24="X",(_xlfn.XLOOKUP($B24,Tabla1[SERVICIO],Tabla1[VALOR])*1),IF(F24&gt;=1,_xlfn.XLOOKUP($B24,Tabla1[SERVICIO],Tabla1[VALOR]*F24),0))</f>
        <v>0</v>
      </c>
      <c r="H24" s="14"/>
      <c r="I24" s="56" cm="1">
        <f t="array" ref="I24">IF(H24="X",(_xlfn.XLOOKUP($B24,Tabla1[SERVICIO],Tabla1[VALOR])*1),IF(H24&gt;=1,_xlfn.XLOOKUP($B24,Tabla1[SERVICIO],Tabla1[VALOR]*H24),0))</f>
        <v>0</v>
      </c>
      <c r="J24" s="14"/>
      <c r="K24" s="56" cm="1">
        <f t="array" ref="K24">IF(J24="X",(_xlfn.XLOOKUP($B24,Tabla1[SERVICIO],Tabla1[VALOR])*1),IF(J24&gt;=1,_xlfn.XLOOKUP($B24,Tabla1[SERVICIO],Tabla1[VALOR]*J24),0))</f>
        <v>0</v>
      </c>
      <c r="L24" s="14"/>
      <c r="M24" s="56" cm="1">
        <f t="array" ref="M24">IF(L24="X",(_xlfn.XLOOKUP($B24,Tabla1[SERVICIO],Tabla1[VALOR])*1),IF(L24&gt;=1,_xlfn.XLOOKUP($B24,Tabla1[SERVICIO],Tabla1[VALOR]*L24),0))</f>
        <v>0</v>
      </c>
      <c r="N24" s="14"/>
      <c r="O24" s="56" cm="1">
        <f t="array" ref="O24">IF(N24="X",(_xlfn.XLOOKUP($B24,Tabla1[SERVICIO],Tabla1[VALOR])*1),IF(N24&gt;=1,_xlfn.XLOOKUP($B24,Tabla1[SERVICIO],Tabla1[VALOR]*N24),0))</f>
        <v>0</v>
      </c>
      <c r="P24" s="14"/>
      <c r="Q24" s="56" cm="1">
        <f t="array" ref="Q24">IF(P24="X",(_xlfn.XLOOKUP($B24,Tabla1[SERVICIO],Tabla1[VALOR])*1),IF(P24&gt;=1,_xlfn.XLOOKUP($B24,Tabla1[SERVICIO],Tabla1[VALOR]*P24),0))</f>
        <v>0</v>
      </c>
      <c r="R24" s="14"/>
      <c r="S24" s="56" cm="1">
        <f t="array" ref="S24">IF(R24="X",(_xlfn.XLOOKUP($B24,Tabla1[SERVICIO],Tabla1[VALOR])*1),IF(R24&gt;=1,_xlfn.XLOOKUP($B24,Tabla1[SERVICIO],Tabla1[VALOR]*R24),0))</f>
        <v>0</v>
      </c>
      <c r="T24" s="14"/>
      <c r="U24" s="56" cm="1">
        <f t="array" ref="U24">IF(T24="X",(_xlfn.XLOOKUP($B24,Tabla1[SERVICIO],Tabla1[VALOR])*1),IF(T24&gt;=1,_xlfn.XLOOKUP($B24,Tabla1[SERVICIO],Tabla1[VALOR]*T24),0))</f>
        <v>0</v>
      </c>
      <c r="V24" s="14"/>
      <c r="W24" s="56" cm="1">
        <f t="array" ref="W24">IF(V24="X",(_xlfn.XLOOKUP($B24,Tabla1[SERVICIO],Tabla1[VALOR])*1),IF(V24&gt;=1,_xlfn.XLOOKUP($B24,Tabla1[SERVICIO],Tabla1[VALOR]*V24),0))</f>
        <v>0</v>
      </c>
      <c r="X24" s="14"/>
      <c r="Y24" s="56" cm="1">
        <f t="array" ref="Y24">IF(X24="X",(_xlfn.XLOOKUP($B24,Tabla1[SERVICIO],Tabla1[VALOR])*1),IF(X24&gt;=1,_xlfn.XLOOKUP($B24,Tabla1[SERVICIO],Tabla1[VALOR]*X24),0))</f>
        <v>0</v>
      </c>
      <c r="Z24" s="14"/>
      <c r="AA24" s="56" cm="1">
        <f t="array" ref="AA24">IF(Z24="X",(_xlfn.XLOOKUP($B24,Tabla1[SERVICIO],Tabla1[VALOR])*1),IF(Z24&gt;=1,_xlfn.XLOOKUP($B24,Tabla1[SERVICIO],Tabla1[VALOR]*Z24),0))</f>
        <v>0</v>
      </c>
      <c r="AB24" s="89">
        <f t="shared" si="0"/>
        <v>56420.692787682223</v>
      </c>
      <c r="AC24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4" s="104" t="s">
        <v>319</v>
      </c>
      <c r="AE24" s="154">
        <v>0.11173184357541899</v>
      </c>
      <c r="AF24" s="90">
        <f>+Tabla336[[#This Row],[TOTAL]]*Tabla336[[#This Row],[% de las personas que lo usaron]]</f>
        <v>6303.9880209700805</v>
      </c>
      <c r="AG24" s="240" t="s">
        <v>331</v>
      </c>
      <c r="AH24" s="335">
        <v>12</v>
      </c>
    </row>
    <row r="25" spans="1:46" ht="15" x14ac:dyDescent="0.25">
      <c r="A25" s="7" t="s">
        <v>42</v>
      </c>
      <c r="B25" s="96" t="s">
        <v>228</v>
      </c>
      <c r="C25" s="96" t="str">
        <f>_xlfn.XLOOKUP(Tabla336[[#This Row],[Servicios del Programa:]],Tabla151[CODIGO],Tabla151[VALOR])</f>
        <v>Terapias</v>
      </c>
      <c r="D25" s="14">
        <v>1</v>
      </c>
      <c r="E25" s="56" cm="1">
        <f t="array" ref="E25">IF(D25="X",(_xlfn.XLOOKUP($B25,Tabla1[SERVICIO],Tabla1[VALOR])*1),IF(D25&gt;=1,_xlfn.XLOOKUP($B25,Tabla1[SERVICIO],Tabla1[VALOR]*D25),0))</f>
        <v>31714.220952863223</v>
      </c>
      <c r="F25" s="14"/>
      <c r="G25" s="56" cm="1">
        <f t="array" ref="G25">IF(F25="X",(_xlfn.XLOOKUP($B25,Tabla1[SERVICIO],Tabla1[VALOR])*1),IF(F25&gt;=1,_xlfn.XLOOKUP($B25,Tabla1[SERVICIO],Tabla1[VALOR]*F25),0))</f>
        <v>0</v>
      </c>
      <c r="H25" s="14"/>
      <c r="I25" s="56" cm="1">
        <f t="array" ref="I25">IF(H25="X",(_xlfn.XLOOKUP($B25,Tabla1[SERVICIO],Tabla1[VALOR])*1),IF(H25&gt;=1,_xlfn.XLOOKUP($B25,Tabla1[SERVICIO],Tabla1[VALOR]*H25),0))</f>
        <v>0</v>
      </c>
      <c r="J25" s="14"/>
      <c r="K25" s="56" cm="1">
        <f t="array" ref="K25">IF(J25="X",(_xlfn.XLOOKUP($B25,Tabla1[SERVICIO],Tabla1[VALOR])*1),IF(J25&gt;=1,_xlfn.XLOOKUP($B25,Tabla1[SERVICIO],Tabla1[VALOR]*J25),0))</f>
        <v>0</v>
      </c>
      <c r="L25" s="14"/>
      <c r="M25" s="56" cm="1">
        <f t="array" ref="M25">IF(L25="X",(_xlfn.XLOOKUP($B25,Tabla1[SERVICIO],Tabla1[VALOR])*1),IF(L25&gt;=1,_xlfn.XLOOKUP($B25,Tabla1[SERVICIO],Tabla1[VALOR]*L25),0))</f>
        <v>0</v>
      </c>
      <c r="N25" s="14"/>
      <c r="O25" s="56" cm="1">
        <f t="array" ref="O25">IF(N25="X",(_xlfn.XLOOKUP($B25,Tabla1[SERVICIO],Tabla1[VALOR])*1),IF(N25&gt;=1,_xlfn.XLOOKUP($B25,Tabla1[SERVICIO],Tabla1[VALOR]*N25),0))</f>
        <v>0</v>
      </c>
      <c r="P25" s="14"/>
      <c r="Q25" s="56" cm="1">
        <f t="array" ref="Q25">IF(P25="X",(_xlfn.XLOOKUP($B25,Tabla1[SERVICIO],Tabla1[VALOR])*1),IF(P25&gt;=1,_xlfn.XLOOKUP($B25,Tabla1[SERVICIO],Tabla1[VALOR]*P25),0))</f>
        <v>0</v>
      </c>
      <c r="R25" s="14"/>
      <c r="S25" s="56" cm="1">
        <f t="array" ref="S25">IF(R25="X",(_xlfn.XLOOKUP($B25,Tabla1[SERVICIO],Tabla1[VALOR])*1),IF(R25&gt;=1,_xlfn.XLOOKUP($B25,Tabla1[SERVICIO],Tabla1[VALOR]*R25),0))</f>
        <v>0</v>
      </c>
      <c r="T25" s="14"/>
      <c r="U25" s="56" cm="1">
        <f t="array" ref="U25">IF(T25="X",(_xlfn.XLOOKUP($B25,Tabla1[SERVICIO],Tabla1[VALOR])*1),IF(T25&gt;=1,_xlfn.XLOOKUP($B25,Tabla1[SERVICIO],Tabla1[VALOR]*T25),0))</f>
        <v>0</v>
      </c>
      <c r="V25" s="14"/>
      <c r="W25" s="56" cm="1">
        <f t="array" ref="W25">IF(V25="X",(_xlfn.XLOOKUP($B25,Tabla1[SERVICIO],Tabla1[VALOR])*1),IF(V25&gt;=1,_xlfn.XLOOKUP($B25,Tabla1[SERVICIO],Tabla1[VALOR]*V25),0))</f>
        <v>0</v>
      </c>
      <c r="X25" s="14"/>
      <c r="Y25" s="56" cm="1">
        <f t="array" ref="Y25">IF(X25="X",(_xlfn.XLOOKUP($B25,Tabla1[SERVICIO],Tabla1[VALOR])*1),IF(X25&gt;=1,_xlfn.XLOOKUP($B25,Tabla1[SERVICIO],Tabla1[VALOR]*X25),0))</f>
        <v>0</v>
      </c>
      <c r="Z25" s="14"/>
      <c r="AA25" s="56" cm="1">
        <f t="array" ref="AA25">IF(Z25="X",(_xlfn.XLOOKUP($B25,Tabla1[SERVICIO],Tabla1[VALOR])*1),IF(Z25&gt;=1,_xlfn.XLOOKUP($B25,Tabla1[SERVICIO],Tabla1[VALOR]*Z25),0))</f>
        <v>0</v>
      </c>
      <c r="AB25" s="89">
        <f t="shared" si="0"/>
        <v>31714.220952863223</v>
      </c>
      <c r="AC25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5" s="104" t="s">
        <v>319</v>
      </c>
      <c r="AE25" s="154">
        <v>2.793296089385475E-2</v>
      </c>
      <c r="AF25" s="90">
        <f>+Tabla336[[#This Row],[TOTAL]]*Tabla336[[#This Row],[% de las personas que lo usaron]]</f>
        <v>885.87209365539729</v>
      </c>
      <c r="AG25" s="240" t="s">
        <v>331</v>
      </c>
      <c r="AH25" s="335">
        <v>12</v>
      </c>
    </row>
    <row r="26" spans="1:46" ht="15" x14ac:dyDescent="0.25">
      <c r="A26" s="7" t="s">
        <v>44</v>
      </c>
      <c r="B26" s="96" t="s">
        <v>229</v>
      </c>
      <c r="C26" s="96" t="str">
        <f>_xlfn.XLOOKUP(Tabla336[[#This Row],[Servicios del Programa:]],Tabla151[CODIGO],Tabla151[VALOR])</f>
        <v>Terapias</v>
      </c>
      <c r="D26" s="14">
        <v>1</v>
      </c>
      <c r="E26" s="56" cm="1">
        <f t="array" ref="E26">IF(D26="X",(_xlfn.XLOOKUP($B26,Tabla1[SERVICIO],Tabla1[VALOR])*1),IF(D26&gt;=1,_xlfn.XLOOKUP($B26,Tabla1[SERVICIO],Tabla1[VALOR]*D26),0))</f>
        <v>31714.220952863223</v>
      </c>
      <c r="F26" s="14"/>
      <c r="G26" s="56" cm="1">
        <f t="array" ref="G26">IF(F26="X",(_xlfn.XLOOKUP($B26,Tabla1[SERVICIO],Tabla1[VALOR])*1),IF(F26&gt;=1,_xlfn.XLOOKUP($B26,Tabla1[SERVICIO],Tabla1[VALOR]*F26),0))</f>
        <v>0</v>
      </c>
      <c r="H26" s="14"/>
      <c r="I26" s="56" cm="1">
        <f t="array" ref="I26">IF(H26="X",(_xlfn.XLOOKUP($B26,Tabla1[SERVICIO],Tabla1[VALOR])*1),IF(H26&gt;=1,_xlfn.XLOOKUP($B26,Tabla1[SERVICIO],Tabla1[VALOR]*H26),0))</f>
        <v>0</v>
      </c>
      <c r="J26" s="14"/>
      <c r="K26" s="56" cm="1">
        <f t="array" ref="K26">IF(J26="X",(_xlfn.XLOOKUP($B26,Tabla1[SERVICIO],Tabla1[VALOR])*1),IF(J26&gt;=1,_xlfn.XLOOKUP($B26,Tabla1[SERVICIO],Tabla1[VALOR]*J26),0))</f>
        <v>0</v>
      </c>
      <c r="L26" s="14"/>
      <c r="M26" s="56" cm="1">
        <f t="array" ref="M26">IF(L26="X",(_xlfn.XLOOKUP($B26,Tabla1[SERVICIO],Tabla1[VALOR])*1),IF(L26&gt;=1,_xlfn.XLOOKUP($B26,Tabla1[SERVICIO],Tabla1[VALOR]*L26),0))</f>
        <v>0</v>
      </c>
      <c r="N26" s="14"/>
      <c r="O26" s="56" cm="1">
        <f t="array" ref="O26">IF(N26="X",(_xlfn.XLOOKUP($B26,Tabla1[SERVICIO],Tabla1[VALOR])*1),IF(N26&gt;=1,_xlfn.XLOOKUP($B26,Tabla1[SERVICIO],Tabla1[VALOR]*N26),0))</f>
        <v>0</v>
      </c>
      <c r="P26" s="14"/>
      <c r="Q26" s="56" cm="1">
        <f t="array" ref="Q26">IF(P26="X",(_xlfn.XLOOKUP($B26,Tabla1[SERVICIO],Tabla1[VALOR])*1),IF(P26&gt;=1,_xlfn.XLOOKUP($B26,Tabla1[SERVICIO],Tabla1[VALOR]*P26),0))</f>
        <v>0</v>
      </c>
      <c r="R26" s="14"/>
      <c r="S26" s="56" cm="1">
        <f t="array" ref="S26">IF(R26="X",(_xlfn.XLOOKUP($B26,Tabla1[SERVICIO],Tabla1[VALOR])*1),IF(R26&gt;=1,_xlfn.XLOOKUP($B26,Tabla1[SERVICIO],Tabla1[VALOR]*R26),0))</f>
        <v>0</v>
      </c>
      <c r="T26" s="14"/>
      <c r="U26" s="56" cm="1">
        <f t="array" ref="U26">IF(T26="X",(_xlfn.XLOOKUP($B26,Tabla1[SERVICIO],Tabla1[VALOR])*1),IF(T26&gt;=1,_xlfn.XLOOKUP($B26,Tabla1[SERVICIO],Tabla1[VALOR]*T26),0))</f>
        <v>0</v>
      </c>
      <c r="V26" s="14"/>
      <c r="W26" s="56" cm="1">
        <f t="array" ref="W26">IF(V26="X",(_xlfn.XLOOKUP($B26,Tabla1[SERVICIO],Tabla1[VALOR])*1),IF(V26&gt;=1,_xlfn.XLOOKUP($B26,Tabla1[SERVICIO],Tabla1[VALOR]*V26),0))</f>
        <v>0</v>
      </c>
      <c r="X26" s="14"/>
      <c r="Y26" s="56" cm="1">
        <f t="array" ref="Y26">IF(X26="X",(_xlfn.XLOOKUP($B26,Tabla1[SERVICIO],Tabla1[VALOR])*1),IF(X26&gt;=1,_xlfn.XLOOKUP($B26,Tabla1[SERVICIO],Tabla1[VALOR]*X26),0))</f>
        <v>0</v>
      </c>
      <c r="Z26" s="14"/>
      <c r="AA26" s="56" cm="1">
        <f t="array" ref="AA26">IF(Z26="X",(_xlfn.XLOOKUP($B26,Tabla1[SERVICIO],Tabla1[VALOR])*1),IF(Z26&gt;=1,_xlfn.XLOOKUP($B26,Tabla1[SERVICIO],Tabla1[VALOR]*Z26),0))</f>
        <v>0</v>
      </c>
      <c r="AB26" s="89">
        <f t="shared" si="0"/>
        <v>31714.220952863223</v>
      </c>
      <c r="AC26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6" s="104" t="s">
        <v>319</v>
      </c>
      <c r="AE26" s="154">
        <v>8.9385474860335198E-2</v>
      </c>
      <c r="AF26" s="90">
        <f>+Tabla336[[#This Row],[TOTAL]]*Tabla336[[#This Row],[% de las personas que lo usaron]]</f>
        <v>2834.7906996972715</v>
      </c>
      <c r="AG26" s="240" t="s">
        <v>331</v>
      </c>
      <c r="AH26" s="335">
        <v>12</v>
      </c>
    </row>
    <row r="27" spans="1:46" ht="15" x14ac:dyDescent="0.25">
      <c r="A27" s="7" t="s">
        <v>29</v>
      </c>
      <c r="B27" s="8" t="s">
        <v>196</v>
      </c>
      <c r="C27" s="96" t="str">
        <f>_xlfn.XLOOKUP(Tabla336[[#This Row],[Servicios del Programa:]],Tabla151[CODIGO],Tabla151[VALOR])</f>
        <v>Terapias</v>
      </c>
      <c r="D27" s="14"/>
      <c r="E27" s="56" cm="1">
        <f t="array" ref="E27">IF(D27="X",(_xlfn.XLOOKUP($B27,Tabla1[SERVICIO],Tabla1[VALOR])*1),IF(D27&gt;=1,_xlfn.XLOOKUP($B27,Tabla1[SERVICIO],Tabla1[VALOR]*D27),0))</f>
        <v>0</v>
      </c>
      <c r="F27" s="14"/>
      <c r="G27" s="56" cm="1">
        <f t="array" ref="G27">IF(F27="X",(_xlfn.XLOOKUP($B27,Tabla1[SERVICIO],Tabla1[VALOR])*1),IF(F27&gt;=1,_xlfn.XLOOKUP($B27,Tabla1[SERVICIO],Tabla1[VALOR]*F27),0))</f>
        <v>0</v>
      </c>
      <c r="H27" s="14"/>
      <c r="I27" s="56" cm="1">
        <f t="array" ref="I27">IF(H27="X",(_xlfn.XLOOKUP($B27,Tabla1[SERVICIO],Tabla1[VALOR])*1),IF(H27&gt;=1,_xlfn.XLOOKUP($B27,Tabla1[SERVICIO],Tabla1[VALOR]*H27),0))</f>
        <v>0</v>
      </c>
      <c r="J27" s="14"/>
      <c r="K27" s="56" cm="1">
        <f t="array" ref="K27">IF(J27="X",(_xlfn.XLOOKUP($B27,Tabla1[SERVICIO],Tabla1[VALOR])*1),IF(J27&gt;=1,_xlfn.XLOOKUP($B27,Tabla1[SERVICIO],Tabla1[VALOR]*J27),0))</f>
        <v>0</v>
      </c>
      <c r="L27" s="14"/>
      <c r="M27" s="56" cm="1">
        <f t="array" ref="M27">IF(L27="X",(_xlfn.XLOOKUP($B27,Tabla1[SERVICIO],Tabla1[VALOR])*1),IF(L27&gt;=1,_xlfn.XLOOKUP($B27,Tabla1[SERVICIO],Tabla1[VALOR]*L27),0))</f>
        <v>0</v>
      </c>
      <c r="N27" s="14">
        <v>1</v>
      </c>
      <c r="O27" s="56" cm="1">
        <f t="array" ref="O27">IF(N27="X",(_xlfn.XLOOKUP($B27,Tabla1[SERVICIO],Tabla1[VALOR])*1),IF(N27&gt;=1,_xlfn.XLOOKUP($B27,Tabla1[SERVICIO],Tabla1[VALOR]*N27),0))</f>
        <v>31881.451880098426</v>
      </c>
      <c r="P27" s="14"/>
      <c r="Q27" s="56" cm="1">
        <f t="array" ref="Q27">IF(P27="X",(_xlfn.XLOOKUP($B27,Tabla1[SERVICIO],Tabla1[VALOR])*1),IF(P27&gt;=1,_xlfn.XLOOKUP($B27,Tabla1[SERVICIO],Tabla1[VALOR]*P27),0))</f>
        <v>0</v>
      </c>
      <c r="R27" s="14"/>
      <c r="S27" s="56" cm="1">
        <f t="array" ref="S27">IF(R27="X",(_xlfn.XLOOKUP($B27,Tabla1[SERVICIO],Tabla1[VALOR])*1),IF(R27&gt;=1,_xlfn.XLOOKUP($B27,Tabla1[SERVICIO],Tabla1[VALOR]*R27),0))</f>
        <v>0</v>
      </c>
      <c r="T27" s="14"/>
      <c r="U27" s="56" cm="1">
        <f t="array" ref="U27">IF(T27="X",(_xlfn.XLOOKUP($B27,Tabla1[SERVICIO],Tabla1[VALOR])*1),IF(T27&gt;=1,_xlfn.XLOOKUP($B27,Tabla1[SERVICIO],Tabla1[VALOR]*T27),0))</f>
        <v>0</v>
      </c>
      <c r="V27" s="14"/>
      <c r="W27" s="56" cm="1">
        <f t="array" ref="W27">IF(V27="X",(_xlfn.XLOOKUP($B27,Tabla1[SERVICIO],Tabla1[VALOR])*1),IF(V27&gt;=1,_xlfn.XLOOKUP($B27,Tabla1[SERVICIO],Tabla1[VALOR]*V27),0))</f>
        <v>0</v>
      </c>
      <c r="X27" s="14"/>
      <c r="Y27" s="56" cm="1">
        <f t="array" ref="Y27">IF(X27="X",(_xlfn.XLOOKUP($B27,Tabla1[SERVICIO],Tabla1[VALOR])*1),IF(X27&gt;=1,_xlfn.XLOOKUP($B27,Tabla1[SERVICIO],Tabla1[VALOR]*X27),0))</f>
        <v>0</v>
      </c>
      <c r="Z27" s="14">
        <v>1</v>
      </c>
      <c r="AA27" s="56" cm="1">
        <f t="array" ref="AA27">IF(Z27="X",(_xlfn.XLOOKUP($B27,Tabla1[SERVICIO],Tabla1[VALOR])*1),IF(Z27&gt;=1,_xlfn.XLOOKUP($B27,Tabla1[SERVICIO],Tabla1[VALOR]*Z27),0))</f>
        <v>31881.451880098426</v>
      </c>
      <c r="AB27" s="89">
        <f t="shared" si="0"/>
        <v>63762.903760196852</v>
      </c>
      <c r="AC27" s="153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27" s="104" t="s">
        <v>318</v>
      </c>
      <c r="AE27" s="154">
        <v>1</v>
      </c>
      <c r="AF27" s="90">
        <f>+Tabla336[[#This Row],[TOTAL]]*Tabla336[[#This Row],[% de las personas que lo usaron]]</f>
        <v>63762.903760196852</v>
      </c>
      <c r="AG27" s="240" t="s">
        <v>331</v>
      </c>
      <c r="AH27" s="335">
        <v>12</v>
      </c>
    </row>
    <row r="28" spans="1:46" s="1" customFormat="1" ht="15" x14ac:dyDescent="0.25">
      <c r="A28" s="250"/>
      <c r="B28" s="251"/>
      <c r="C28" s="251"/>
      <c r="D28" s="221">
        <f>SUBTOTAL(109,Tabla336[MES 1])</f>
        <v>25</v>
      </c>
      <c r="E28" s="252">
        <f>SUBTOTAL(109,Tabla336[MES 13])</f>
        <v>659305.54457465361</v>
      </c>
      <c r="F28" s="256">
        <f>SUBTOTAL(109,Tabla336[MES 2])</f>
        <v>8</v>
      </c>
      <c r="G28" s="252">
        <f>SUBTOTAL(109,Tabla336[MES 22])</f>
        <v>70240.958933331596</v>
      </c>
      <c r="H28" s="256">
        <f>SUBTOTAL(109,Tabla336[MES 3])</f>
        <v>8</v>
      </c>
      <c r="I28" s="252">
        <f>SUBTOTAL(109,Tabla336[MES 32])</f>
        <v>70240.958933331596</v>
      </c>
      <c r="J28" s="256">
        <f>SUBTOTAL(109,Tabla336[MES 4])</f>
        <v>8</v>
      </c>
      <c r="K28" s="252">
        <f>SUBTOTAL(109,Tabla336[MES 42])</f>
        <v>70240.958933331596</v>
      </c>
      <c r="L28" s="256">
        <f>SUBTOTAL(109,Tabla336[MES 5])</f>
        <v>8</v>
      </c>
      <c r="M28" s="252">
        <f>SUBTOTAL(109,Tabla336[MES 52])</f>
        <v>70240.958933331596</v>
      </c>
      <c r="N28" s="256">
        <f>SUBTOTAL(109,Tabla336[MES 6])</f>
        <v>13</v>
      </c>
      <c r="O28" s="252">
        <f>SUBTOTAL(109,Tabla336[MES 62])</f>
        <v>207463.13155118219</v>
      </c>
      <c r="P28" s="256">
        <f>SUBTOTAL(109,Tabla336[MES 7])</f>
        <v>8</v>
      </c>
      <c r="Q28" s="252">
        <f>SUBTOTAL(109,Tabla336[MES 72])</f>
        <v>70240.958933331596</v>
      </c>
      <c r="R28" s="256">
        <f>SUBTOTAL(109,Tabla336[MES 8])</f>
        <v>8</v>
      </c>
      <c r="S28" s="252">
        <f>SUBTOTAL(109,Tabla336[MES 82])</f>
        <v>70240.958933331596</v>
      </c>
      <c r="T28" s="256">
        <f>SUBTOTAL(109,Tabla336[MES 9])</f>
        <v>8</v>
      </c>
      <c r="U28" s="252">
        <f>SUBTOTAL(109,Tabla336[MES 92])</f>
        <v>70240.958933331596</v>
      </c>
      <c r="V28" s="256">
        <f>SUBTOTAL(109,Tabla336[MES 10])</f>
        <v>8</v>
      </c>
      <c r="W28" s="252">
        <f>SUBTOTAL(109,Tabla336[MES 102])</f>
        <v>70240.958933331596</v>
      </c>
      <c r="X28" s="256">
        <f>SUBTOTAL(109,Tabla336[MES 11])</f>
        <v>8</v>
      </c>
      <c r="Y28" s="252">
        <f>SUBTOTAL(109,Tabla336[MES 112])</f>
        <v>70240.958933331596</v>
      </c>
      <c r="Z28" s="256">
        <f>SUBTOTAL(109,Tabla336[MES 12])</f>
        <v>16</v>
      </c>
      <c r="AA28" s="257">
        <f>SUBTOTAL(109,Tabla336[MES 1122])</f>
        <v>309113.14931851043</v>
      </c>
      <c r="AB28" s="258">
        <f>SUBTOTAL(109,Tabla336[TOTAL])</f>
        <v>1808050.4558443308</v>
      </c>
      <c r="AC28" s="259">
        <f>SUBTOTAL(109,Tabla336[TOTAL SERVICIOS])</f>
        <v>126</v>
      </c>
      <c r="AD28" s="260"/>
      <c r="AE28" s="255"/>
      <c r="AF28" s="196">
        <f>SUBTOTAL(109,Tabla336[VALOR COSTO])</f>
        <v>1457032.9145659576</v>
      </c>
      <c r="AG28" s="255"/>
      <c r="AH28" s="255"/>
    </row>
    <row r="31" spans="1:46" ht="33.75" customHeight="1" x14ac:dyDescent="0.2">
      <c r="A31" s="44" t="s">
        <v>204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6"/>
    </row>
    <row r="32" spans="1:46" ht="33.75" customHeight="1" x14ac:dyDescent="0.2">
      <c r="A32" s="20" t="s">
        <v>0</v>
      </c>
      <c r="B32" s="17" t="s">
        <v>203</v>
      </c>
      <c r="C32" s="183" t="s">
        <v>347</v>
      </c>
      <c r="D32" s="18" t="s">
        <v>56</v>
      </c>
      <c r="E32" s="18" t="s">
        <v>303</v>
      </c>
      <c r="F32" s="18" t="s">
        <v>57</v>
      </c>
      <c r="G32" s="18" t="s">
        <v>293</v>
      </c>
      <c r="H32" s="18" t="s">
        <v>58</v>
      </c>
      <c r="I32" s="18" t="s">
        <v>294</v>
      </c>
      <c r="J32" s="18" t="s">
        <v>59</v>
      </c>
      <c r="K32" s="18" t="s">
        <v>295</v>
      </c>
      <c r="L32" s="18" t="s">
        <v>60</v>
      </c>
      <c r="M32" s="18" t="s">
        <v>296</v>
      </c>
      <c r="N32" s="18" t="s">
        <v>61</v>
      </c>
      <c r="O32" s="18" t="s">
        <v>297</v>
      </c>
      <c r="P32" s="18" t="s">
        <v>62</v>
      </c>
      <c r="Q32" s="18" t="s">
        <v>298</v>
      </c>
      <c r="R32" s="18" t="s">
        <v>63</v>
      </c>
      <c r="S32" s="18" t="s">
        <v>299</v>
      </c>
      <c r="T32" s="18" t="s">
        <v>64</v>
      </c>
      <c r="U32" s="18" t="s">
        <v>300</v>
      </c>
      <c r="V32" s="18" t="s">
        <v>65</v>
      </c>
      <c r="W32" s="18" t="s">
        <v>301</v>
      </c>
      <c r="X32" s="18" t="s">
        <v>66</v>
      </c>
      <c r="Y32" s="18" t="s">
        <v>302</v>
      </c>
      <c r="Z32" s="18" t="s">
        <v>67</v>
      </c>
      <c r="AA32" s="18" t="s">
        <v>304</v>
      </c>
      <c r="AB32" s="18" t="s">
        <v>68</v>
      </c>
      <c r="AC32" s="18" t="s">
        <v>305</v>
      </c>
      <c r="AD32" s="18" t="s">
        <v>69</v>
      </c>
      <c r="AE32" s="18" t="s">
        <v>306</v>
      </c>
      <c r="AF32" s="18" t="s">
        <v>70</v>
      </c>
      <c r="AG32" s="18" t="s">
        <v>307</v>
      </c>
      <c r="AH32" s="18" t="s">
        <v>71</v>
      </c>
      <c r="AI32" s="18" t="s">
        <v>308</v>
      </c>
      <c r="AJ32" s="18" t="s">
        <v>72</v>
      </c>
      <c r="AK32" s="19" t="s">
        <v>309</v>
      </c>
      <c r="AL32" s="19" t="s">
        <v>73</v>
      </c>
      <c r="AM32" s="66" t="s">
        <v>310</v>
      </c>
      <c r="AN32" s="66" t="s">
        <v>247</v>
      </c>
      <c r="AO32" s="155" t="s">
        <v>313</v>
      </c>
      <c r="AP32" s="156" t="s">
        <v>187</v>
      </c>
      <c r="AQ32" s="105" t="s">
        <v>316</v>
      </c>
      <c r="AR32" s="105" t="s">
        <v>317</v>
      </c>
      <c r="AS32" s="66" t="s">
        <v>348</v>
      </c>
      <c r="AT32" s="66" t="s">
        <v>406</v>
      </c>
    </row>
    <row r="33" spans="1:46" ht="14.25" customHeight="1" x14ac:dyDescent="0.25">
      <c r="A33" s="7" t="s">
        <v>13</v>
      </c>
      <c r="B33" s="8" t="s">
        <v>14</v>
      </c>
      <c r="C33" s="96" t="str">
        <f>_xlfn.XLOOKUP(Tabla31737[[#This Row],[Servicios del Programa:]],Tabla151[CODIGO],Tabla151[VALOR])</f>
        <v>Gestion y seguimiento</v>
      </c>
      <c r="D33" s="14">
        <v>1</v>
      </c>
      <c r="E33" s="56" cm="1">
        <f t="array" ref="E33">IF(D33="X",(_xlfn.XLOOKUP($B33,Tabla1[SERVICIO],Tabla1[VALOR])*1),IF(D33&gt;=1,_xlfn.XLOOKUP($B33,Tabla1[SERVICIO],Tabla1[VALOR]*D33),0))</f>
        <v>20552.755657371155</v>
      </c>
      <c r="F33" s="14"/>
      <c r="G33" s="56" cm="1">
        <f t="array" ref="G33">IF(F33="X",(_xlfn.XLOOKUP($B33,Tabla1[SERVICIO],Tabla1[VALOR])*1),IF(F33&gt;=1,_xlfn.XLOOKUP($B33,Tabla1[SERVICIO],Tabla1[VALOR]*F33),0))</f>
        <v>0</v>
      </c>
      <c r="H33" s="14"/>
      <c r="I33" s="56" cm="1">
        <f t="array" ref="I33">IF(H33="X",(_xlfn.XLOOKUP($B33,Tabla1[SERVICIO],Tabla1[VALOR])*1),IF(H33&gt;=1,_xlfn.XLOOKUP($B33,Tabla1[SERVICIO],Tabla1[VALOR]*H33),0))</f>
        <v>0</v>
      </c>
      <c r="J33" s="14"/>
      <c r="K33" s="56" cm="1">
        <f t="array" ref="K33">IF(J33="X",(_xlfn.XLOOKUP($B33,Tabla1[SERVICIO],Tabla1[VALOR])*1),IF(J33&gt;=1,_xlfn.XLOOKUP($B33,Tabla1[SERVICIO],Tabla1[VALOR]*J33),0))</f>
        <v>0</v>
      </c>
      <c r="L33" s="14"/>
      <c r="M33" s="56" cm="1">
        <f t="array" ref="M33">IF(L33="X",(_xlfn.XLOOKUP($B33,Tabla1[SERVICIO],Tabla1[VALOR])*1),IF(L33&gt;=1,_xlfn.XLOOKUP($B33,Tabla1[SERVICIO],Tabla1[VALOR]*L33),0))</f>
        <v>0</v>
      </c>
      <c r="N33" s="14"/>
      <c r="O33" s="56" cm="1">
        <f t="array" ref="O33">IF(N33="X",(_xlfn.XLOOKUP($B33,Tabla1[SERVICIO],Tabla1[VALOR])*1),IF(N33&gt;=1,_xlfn.XLOOKUP($B33,Tabla1[SERVICIO],Tabla1[VALOR]*N33),0))</f>
        <v>0</v>
      </c>
      <c r="P33" s="14"/>
      <c r="Q33" s="56" cm="1">
        <f t="array" ref="Q33">IF(P33="X",(_xlfn.XLOOKUP($B33,Tabla1[SERVICIO],Tabla1[VALOR])*1),IF(P33&gt;=1,_xlfn.XLOOKUP($B33,Tabla1[SERVICIO],Tabla1[VALOR]*P33),0))</f>
        <v>0</v>
      </c>
      <c r="R33" s="14"/>
      <c r="S33" s="56" cm="1">
        <f t="array" ref="S33">IF(R33="X",(_xlfn.XLOOKUP($B33,Tabla1[SERVICIO],Tabla1[VALOR])*1),IF(R33&gt;=1,_xlfn.XLOOKUP($B33,Tabla1[SERVICIO],Tabla1[VALOR]*R33),0))</f>
        <v>0</v>
      </c>
      <c r="T33" s="14"/>
      <c r="U33" s="56" cm="1">
        <f t="array" ref="U33">IF(T33="X",(_xlfn.XLOOKUP($B33,Tabla1[SERVICIO],Tabla1[VALOR])*1),IF(T33&gt;=1,_xlfn.XLOOKUP($B33,Tabla1[SERVICIO],Tabla1[VALOR]*T33),0))</f>
        <v>0</v>
      </c>
      <c r="V33" s="14"/>
      <c r="W33" s="56" cm="1">
        <f t="array" ref="W33">IF(V33="X",(_xlfn.XLOOKUP($B33,Tabla1[SERVICIO],Tabla1[VALOR])*1),IF(V33&gt;=1,_xlfn.XLOOKUP($B33,Tabla1[SERVICIO],Tabla1[VALOR]*V33),0))</f>
        <v>0</v>
      </c>
      <c r="X33" s="14"/>
      <c r="Y33" s="56" cm="1">
        <f t="array" ref="Y33">IF(X33="X",(_xlfn.XLOOKUP($B33,Tabla1[SERVICIO],Tabla1[VALOR])*1),IF(X33&gt;=1,_xlfn.XLOOKUP($B33,Tabla1[SERVICIO],Tabla1[VALOR]*X33),0))</f>
        <v>0</v>
      </c>
      <c r="Z33" s="14"/>
      <c r="AA33" s="56" cm="1">
        <f t="array" ref="AA33">IF(Z33="X",(_xlfn.XLOOKUP($B33,Tabla1[SERVICIO],Tabla1[VALOR])*1),IF(Z33&gt;=1,_xlfn.XLOOKUP($B33,Tabla1[SERVICIO],Tabla1[VALOR]*Z33),0))</f>
        <v>0</v>
      </c>
      <c r="AB33" s="14"/>
      <c r="AC33" s="56" cm="1">
        <f t="array" ref="AC33">IF(AB33="X",(_xlfn.XLOOKUP($B33,Tabla1[SERVICIO],Tabla1[VALOR])*1),IF(AB33&gt;=1,_xlfn.XLOOKUP($B33,Tabla1[SERVICIO],Tabla1[VALOR]*AB33),0))</f>
        <v>0</v>
      </c>
      <c r="AD33" s="14"/>
      <c r="AE33" s="56" cm="1">
        <f t="array" ref="AE33">IF(AD33="X",(_xlfn.XLOOKUP($B33,Tabla1[SERVICIO],Tabla1[VALOR])*1),IF(AD33&gt;=1,_xlfn.XLOOKUP($B33,Tabla1[SERVICIO],Tabla1[VALOR]*AD33),0))</f>
        <v>0</v>
      </c>
      <c r="AF33" s="14"/>
      <c r="AG33" s="56" cm="1">
        <f t="array" ref="AG33">IF(AF33="X",(_xlfn.XLOOKUP($B33,Tabla1[SERVICIO],Tabla1[VALOR])*1),IF(AF33&gt;=1,_xlfn.XLOOKUP($B33,Tabla1[SERVICIO],Tabla1[VALOR]*AF33),0))</f>
        <v>0</v>
      </c>
      <c r="AH33" s="14"/>
      <c r="AI33" s="56" cm="1">
        <f t="array" ref="AI33">IF(AH33="X",(_xlfn.XLOOKUP($B33,Tabla1[SERVICIO],Tabla1[VALOR])*1),IF(AH33&gt;=1,_xlfn.XLOOKUP($B33,Tabla1[SERVICIO],Tabla1[VALOR]*AH33),0))</f>
        <v>0</v>
      </c>
      <c r="AJ33" s="14"/>
      <c r="AK33" s="56" cm="1">
        <f t="array" ref="AK33">IF(AJ33="X",(_xlfn.XLOOKUP($B33,Tabla1[SERVICIO],Tabla1[VALOR])*1),IF(AJ33&gt;=1,_xlfn.XLOOKUP($B33,Tabla1[SERVICIO],Tabla1[VALOR]*AJ33),0))</f>
        <v>0</v>
      </c>
      <c r="AL33" s="14"/>
      <c r="AM33" s="56" cm="1">
        <f t="array" ref="AM33">IF(AL33="X",(_xlfn.XLOOKUP($B33,Tabla1[SERVICIO],Tabla1[VALOR])*1),IF(AL33&gt;=1,_xlfn.XLOOKUP($B33,Tabla1[SERVICIO],Tabla1[VALOR]*AL33),0))</f>
        <v>0</v>
      </c>
      <c r="AN33" s="89">
        <f>SUM(E33,G33,I33,K33,M33,O33,Q33,S33,U33,W33+Y33,AA33,AC33,AE33,AG33,AI33,AK33,AM33)</f>
        <v>20552.755657371155</v>
      </c>
      <c r="AO33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3" s="104" t="s">
        <v>318</v>
      </c>
      <c r="AQ33" s="154">
        <v>1</v>
      </c>
      <c r="AR33" s="90">
        <f>+Tabla31737[[#This Row],[TOTAL]]*Tabla31737[[#This Row],[% de las personas que lo usaron]]</f>
        <v>20552.755657371155</v>
      </c>
      <c r="AS33" s="240" t="s">
        <v>331</v>
      </c>
      <c r="AT33" s="335">
        <v>18</v>
      </c>
    </row>
    <row r="34" spans="1:46" ht="15" x14ac:dyDescent="0.25">
      <c r="A34" s="7" t="s">
        <v>98</v>
      </c>
      <c r="B34" s="8" t="s">
        <v>99</v>
      </c>
      <c r="C34" s="96" t="str">
        <f>_xlfn.XLOOKUP(Tabla31737[[#This Row],[Servicios del Programa:]],Tabla151[CODIGO],Tabla151[VALOR])</f>
        <v>Consultas</v>
      </c>
      <c r="D34" s="14">
        <v>1</v>
      </c>
      <c r="E34" s="56" cm="1">
        <f t="array" ref="E34">IF(D34="X",(_xlfn.XLOOKUP($B34,Tabla1[SERVICIO],Tabla1[VALOR])*1),IF(D34&gt;=1,_xlfn.XLOOKUP($B34,Tabla1[SERVICIO],Tabla1[VALOR]*D34),0))</f>
        <v>17887.388810409495</v>
      </c>
      <c r="F34" s="8"/>
      <c r="G34" s="56" cm="1">
        <f t="array" ref="G34">IF(F34="X",(_xlfn.XLOOKUP($B34,Tabla1[SERVICIO],Tabla1[VALOR])*1),IF(F34&gt;=1,_xlfn.XLOOKUP($B34,Tabla1[SERVICIO],Tabla1[VALOR]*F34),0))</f>
        <v>0</v>
      </c>
      <c r="H34" s="8"/>
      <c r="I34" s="56" cm="1">
        <f t="array" ref="I34">IF(H34="X",(_xlfn.XLOOKUP($B34,Tabla1[SERVICIO],Tabla1[VALOR])*1),IF(H34&gt;=1,_xlfn.XLOOKUP($B34,Tabla1[SERVICIO],Tabla1[VALOR]*H34),0))</f>
        <v>0</v>
      </c>
      <c r="J34" s="8"/>
      <c r="K34" s="56" cm="1">
        <f t="array" ref="K34">IF(J34="X",(_xlfn.XLOOKUP($B34,Tabla1[SERVICIO],Tabla1[VALOR])*1),IF(J34&gt;=1,_xlfn.XLOOKUP($B34,Tabla1[SERVICIO],Tabla1[VALOR]*J34),0))</f>
        <v>0</v>
      </c>
      <c r="L34" s="8"/>
      <c r="M34" s="56" cm="1">
        <f t="array" ref="M34">IF(L34="X",(_xlfn.XLOOKUP($B34,Tabla1[SERVICIO],Tabla1[VALOR])*1),IF(L34&gt;=1,_xlfn.XLOOKUP($B34,Tabla1[SERVICIO],Tabla1[VALOR]*L34),0))</f>
        <v>0</v>
      </c>
      <c r="N34" s="8"/>
      <c r="O34" s="56" cm="1">
        <f t="array" ref="O34">IF(N34="X",(_xlfn.XLOOKUP($B34,Tabla1[SERVICIO],Tabla1[VALOR])*1),IF(N34&gt;=1,_xlfn.XLOOKUP($B34,Tabla1[SERVICIO],Tabla1[VALOR]*N34),0))</f>
        <v>0</v>
      </c>
      <c r="P34" s="8"/>
      <c r="Q34" s="56" cm="1">
        <f t="array" ref="Q34">IF(P34="X",(_xlfn.XLOOKUP($B34,Tabla1[SERVICIO],Tabla1[VALOR])*1),IF(P34&gt;=1,_xlfn.XLOOKUP($B34,Tabla1[SERVICIO],Tabla1[VALOR]*P34),0))</f>
        <v>0</v>
      </c>
      <c r="R34" s="8"/>
      <c r="S34" s="56" cm="1">
        <f t="array" ref="S34">IF(R34="X",(_xlfn.XLOOKUP($B34,Tabla1[SERVICIO],Tabla1[VALOR])*1),IF(R34&gt;=1,_xlfn.XLOOKUP($B34,Tabla1[SERVICIO],Tabla1[VALOR]*R34),0))</f>
        <v>0</v>
      </c>
      <c r="T34" s="8"/>
      <c r="U34" s="56" cm="1">
        <f t="array" ref="U34">IF(T34="X",(_xlfn.XLOOKUP($B34,Tabla1[SERVICIO],Tabla1[VALOR])*1),IF(T34&gt;=1,_xlfn.XLOOKUP($B34,Tabla1[SERVICIO],Tabla1[VALOR]*T34),0))</f>
        <v>0</v>
      </c>
      <c r="V34" s="8"/>
      <c r="W34" s="56" cm="1">
        <f t="array" ref="W34">IF(V34="X",(_xlfn.XLOOKUP($B34,Tabla1[SERVICIO],Tabla1[VALOR])*1),IF(V34&gt;=1,_xlfn.XLOOKUP($B34,Tabla1[SERVICIO],Tabla1[VALOR]*V34),0))</f>
        <v>0</v>
      </c>
      <c r="X34" s="8"/>
      <c r="Y34" s="56" cm="1">
        <f t="array" ref="Y34">IF(X34="X",(_xlfn.XLOOKUP($B34,Tabla1[SERVICIO],Tabla1[VALOR])*1),IF(X34&gt;=1,_xlfn.XLOOKUP($B34,Tabla1[SERVICIO],Tabla1[VALOR]*X34),0))</f>
        <v>0</v>
      </c>
      <c r="Z34" s="8"/>
      <c r="AA34" s="56" cm="1">
        <f t="array" ref="AA34">IF(Z34="X",(_xlfn.XLOOKUP($B34,Tabla1[SERVICIO],Tabla1[VALOR])*1),IF(Z34&gt;=1,_xlfn.XLOOKUP($B34,Tabla1[SERVICIO],Tabla1[VALOR]*Z34),0))</f>
        <v>0</v>
      </c>
      <c r="AB34" s="8"/>
      <c r="AC34" s="56" cm="1">
        <f t="array" ref="AC34">IF(AB34="X",(_xlfn.XLOOKUP($B34,Tabla1[SERVICIO],Tabla1[VALOR])*1),IF(AB34&gt;=1,_xlfn.XLOOKUP($B34,Tabla1[SERVICIO],Tabla1[VALOR]*AB34),0))</f>
        <v>0</v>
      </c>
      <c r="AD34" s="8"/>
      <c r="AE34" s="56" cm="1">
        <f t="array" ref="AE34">IF(AD34="X",(_xlfn.XLOOKUP($B34,Tabla1[SERVICIO],Tabla1[VALOR])*1),IF(AD34&gt;=1,_xlfn.XLOOKUP($B34,Tabla1[SERVICIO],Tabla1[VALOR]*AD34),0))</f>
        <v>0</v>
      </c>
      <c r="AF34" s="8"/>
      <c r="AG34" s="56" cm="1">
        <f t="array" ref="AG34">IF(AF34="X",(_xlfn.XLOOKUP($B34,Tabla1[SERVICIO],Tabla1[VALOR])*1),IF(AF34&gt;=1,_xlfn.XLOOKUP($B34,Tabla1[SERVICIO],Tabla1[VALOR]*AF34),0))</f>
        <v>0</v>
      </c>
      <c r="AH34" s="8"/>
      <c r="AI34" s="56" cm="1">
        <f t="array" ref="AI34">IF(AH34="X",(_xlfn.XLOOKUP($B34,Tabla1[SERVICIO],Tabla1[VALOR])*1),IF(AH34&gt;=1,_xlfn.XLOOKUP($B34,Tabla1[SERVICIO],Tabla1[VALOR]*AH34),0))</f>
        <v>0</v>
      </c>
      <c r="AJ34" s="8"/>
      <c r="AK34" s="56" cm="1">
        <f t="array" ref="AK34">IF(AJ34="X",(_xlfn.XLOOKUP($B34,Tabla1[SERVICIO],Tabla1[VALOR])*1),IF(AJ34&gt;=1,_xlfn.XLOOKUP($B34,Tabla1[SERVICIO],Tabla1[VALOR]*AJ34),0))</f>
        <v>0</v>
      </c>
      <c r="AL34" s="8"/>
      <c r="AM34" s="56" cm="1">
        <f t="array" ref="AM34">IF(AL34="X",(_xlfn.XLOOKUP($B34,Tabla1[SERVICIO],Tabla1[VALOR])*1),IF(AL34&gt;=1,_xlfn.XLOOKUP($B34,Tabla1[SERVICIO],Tabla1[VALOR]*AL34),0))</f>
        <v>0</v>
      </c>
      <c r="AN34" s="89">
        <f t="shared" ref="AN34:AN57" si="1">SUM(E34,G34,I34,K34,M34,O34,Q34,S34,U34,W34+Y34,AA34,AC34,AE34,AG34,AI34,AK34,AM34)</f>
        <v>17887.388810409495</v>
      </c>
      <c r="AO34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4" s="104" t="s">
        <v>318</v>
      </c>
      <c r="AQ34" s="154">
        <v>1</v>
      </c>
      <c r="AR34" s="90">
        <f>+Tabla31737[[#This Row],[TOTAL]]*Tabla31737[[#This Row],[% de las personas que lo usaron]]</f>
        <v>17887.388810409495</v>
      </c>
      <c r="AS34" s="240" t="s">
        <v>331</v>
      </c>
      <c r="AT34" s="335">
        <v>18</v>
      </c>
    </row>
    <row r="35" spans="1:46" ht="15" x14ac:dyDescent="0.25">
      <c r="A35" s="7" t="s">
        <v>104</v>
      </c>
      <c r="B35" s="8" t="s">
        <v>105</v>
      </c>
      <c r="C35" s="96" t="str">
        <f>_xlfn.XLOOKUP(Tabla31737[[#This Row],[Servicios del Programa:]],Tabla151[CODIGO],Tabla151[VALOR])</f>
        <v>Consultas</v>
      </c>
      <c r="D35" s="14"/>
      <c r="E35" s="56" cm="1">
        <f t="array" ref="E35">IF(D35="X",(_xlfn.XLOOKUP($B35,Tabla1[SERVICIO],Tabla1[VALOR])*1),IF(D35&gt;=1,_xlfn.XLOOKUP($B35,Tabla1[SERVICIO],Tabla1[VALOR]*D35),0))</f>
        <v>0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14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6" cm="1">
        <f t="array" ref="AM35">IF(AL35="X",(_xlfn.XLOOKUP($B35,Tabla1[SERVICIO],Tabla1[VALOR])*1),IF(AL35&gt;=1,_xlfn.XLOOKUP($B35,Tabla1[SERVICIO],Tabla1[VALOR]*AL35),0))</f>
        <v>17887.388810409495</v>
      </c>
      <c r="AN35" s="89">
        <f t="shared" si="1"/>
        <v>17887.388810409495</v>
      </c>
      <c r="AO35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5" s="104" t="s">
        <v>319</v>
      </c>
      <c r="AQ35" s="161">
        <v>0.43016759776536312</v>
      </c>
      <c r="AR35" s="90">
        <f>+Tabla31737[[#This Row],[TOTAL]]*Tabla31737[[#This Row],[% de las personas que lo usaron]]</f>
        <v>7694.5750748688888</v>
      </c>
      <c r="AS35" s="240" t="s">
        <v>331</v>
      </c>
      <c r="AT35" s="335">
        <v>18</v>
      </c>
    </row>
    <row r="36" spans="1:46" ht="15" x14ac:dyDescent="0.25">
      <c r="A36" s="7" t="s">
        <v>25</v>
      </c>
      <c r="B36" s="8" t="s">
        <v>26</v>
      </c>
      <c r="C36" s="96" t="str">
        <f>_xlfn.XLOOKUP(Tabla31737[[#This Row],[Servicios del Programa:]],Tabla151[CODIGO],Tabla151[VALOR])</f>
        <v>Diagnosticos</v>
      </c>
      <c r="D36" s="14">
        <v>1</v>
      </c>
      <c r="E36" s="56" cm="1">
        <f t="array" ref="E36">IF(D36="X",(_xlfn.XLOOKUP($B36,Tabla1[SERVICIO],Tabla1[VALOR])*1),IF(D36&gt;=1,_xlfn.XLOOKUP($B36,Tabla1[SERVICIO],Tabla1[VALOR]*D36),0))</f>
        <v>19392.627189167735</v>
      </c>
      <c r="F36" s="8"/>
      <c r="G36" s="56" cm="1">
        <f t="array" ref="G36">IF(F36="X",(_xlfn.XLOOKUP($B36,Tabla1[SERVICIO],Tabla1[VALOR])*1),IF(F36&gt;=1,_xlfn.XLOOKUP($B36,Tabla1[SERVICIO],Tabla1[VALOR]*F36),0))</f>
        <v>0</v>
      </c>
      <c r="H36" s="8"/>
      <c r="I36" s="56" cm="1">
        <f t="array" ref="I36">IF(H36="X",(_xlfn.XLOOKUP($B36,Tabla1[SERVICIO],Tabla1[VALOR])*1),IF(H36&gt;=1,_xlfn.XLOOKUP($B36,Tabla1[SERVICIO],Tabla1[VALOR]*H36),0))</f>
        <v>0</v>
      </c>
      <c r="J36" s="8"/>
      <c r="K36" s="56" cm="1">
        <f t="array" ref="K36">IF(J36="X",(_xlfn.XLOOKUP($B36,Tabla1[SERVICIO],Tabla1[VALOR])*1),IF(J36&gt;=1,_xlfn.XLOOKUP($B36,Tabla1[SERVICIO],Tabla1[VALOR]*J36),0))</f>
        <v>0</v>
      </c>
      <c r="L36" s="8"/>
      <c r="M36" s="56" cm="1">
        <f t="array" ref="M36">IF(L36="X",(_xlfn.XLOOKUP($B36,Tabla1[SERVICIO],Tabla1[VALOR])*1),IF(L36&gt;=1,_xlfn.XLOOKUP($B36,Tabla1[SERVICIO],Tabla1[VALOR]*L36),0))</f>
        <v>0</v>
      </c>
      <c r="N36" s="14">
        <v>1</v>
      </c>
      <c r="O36" s="56" cm="1">
        <f t="array" ref="O36">IF(N36="X",(_xlfn.XLOOKUP($B36,Tabla1[SERVICIO],Tabla1[VALOR])*1),IF(N36&gt;=1,_xlfn.XLOOKUP($B36,Tabla1[SERVICIO],Tabla1[VALOR]*N36),0))</f>
        <v>19392.627189167735</v>
      </c>
      <c r="P36" s="8"/>
      <c r="Q36" s="56" cm="1">
        <f t="array" ref="Q36">IF(P36="X",(_xlfn.XLOOKUP($B36,Tabla1[SERVICIO],Tabla1[VALOR])*1),IF(P36&gt;=1,_xlfn.XLOOKUP($B36,Tabla1[SERVICIO],Tabla1[VALOR]*P36),0))</f>
        <v>0</v>
      </c>
      <c r="R36" s="8"/>
      <c r="S36" s="56" cm="1">
        <f t="array" ref="S36">IF(R36="X",(_xlfn.XLOOKUP($B36,Tabla1[SERVICIO],Tabla1[VALOR])*1),IF(R36&gt;=1,_xlfn.XLOOKUP($B36,Tabla1[SERVICIO],Tabla1[VALOR]*R36),0))</f>
        <v>0</v>
      </c>
      <c r="T36" s="8"/>
      <c r="U36" s="56" cm="1">
        <f t="array" ref="U36">IF(T36="X",(_xlfn.XLOOKUP($B36,Tabla1[SERVICIO],Tabla1[VALOR])*1),IF(T36&gt;=1,_xlfn.XLOOKUP($B36,Tabla1[SERVICIO],Tabla1[VALOR]*T36),0))</f>
        <v>0</v>
      </c>
      <c r="V36" s="8"/>
      <c r="W36" s="56" cm="1">
        <f t="array" ref="W36">IF(V36="X",(_xlfn.XLOOKUP($B36,Tabla1[SERVICIO],Tabla1[VALOR])*1),IF(V36&gt;=1,_xlfn.XLOOKUP($B36,Tabla1[SERVICIO],Tabla1[VALOR]*V36),0))</f>
        <v>0</v>
      </c>
      <c r="X36" s="8"/>
      <c r="Y36" s="56" cm="1">
        <f t="array" ref="Y36">IF(X36="X",(_xlfn.XLOOKUP($B36,Tabla1[SERVICIO],Tabla1[VALOR])*1),IF(X36&gt;=1,_xlfn.XLOOKUP($B36,Tabla1[SERVICIO],Tabla1[VALOR]*X36),0))</f>
        <v>0</v>
      </c>
      <c r="Z36" s="8"/>
      <c r="AA36" s="56" cm="1">
        <f t="array" ref="AA36">IF(Z36="X",(_xlfn.XLOOKUP($B36,Tabla1[SERVICIO],Tabla1[VALOR])*1),IF(Z36&gt;=1,_xlfn.XLOOKUP($B36,Tabla1[SERVICIO],Tabla1[VALOR]*Z36),0))</f>
        <v>0</v>
      </c>
      <c r="AB36" s="8"/>
      <c r="AC36" s="56" cm="1">
        <f t="array" ref="AC36">IF(AB36="X",(_xlfn.XLOOKUP($B36,Tabla1[SERVICIO],Tabla1[VALOR])*1),IF(AB36&gt;=1,_xlfn.XLOOKUP($B36,Tabla1[SERVICIO],Tabla1[VALOR]*AB36),0))</f>
        <v>0</v>
      </c>
      <c r="AD36" s="8"/>
      <c r="AE36" s="56" cm="1">
        <f t="array" ref="AE36">IF(AD36="X",(_xlfn.XLOOKUP($B36,Tabla1[SERVICIO],Tabla1[VALOR])*1),IF(AD36&gt;=1,_xlfn.XLOOKUP($B36,Tabla1[SERVICIO],Tabla1[VALOR]*AD36),0))</f>
        <v>0</v>
      </c>
      <c r="AF36" s="8"/>
      <c r="AG36" s="56" cm="1">
        <f t="array" ref="AG36">IF(AF36="X",(_xlfn.XLOOKUP($B36,Tabla1[SERVICIO],Tabla1[VALOR])*1),IF(AF36&gt;=1,_xlfn.XLOOKUP($B36,Tabla1[SERVICIO],Tabla1[VALOR]*AF36),0))</f>
        <v>0</v>
      </c>
      <c r="AH36" s="8"/>
      <c r="AI36" s="56" cm="1">
        <f t="array" ref="AI36">IF(AH36="X",(_xlfn.XLOOKUP($B36,Tabla1[SERVICIO],Tabla1[VALOR])*1),IF(AH36&gt;=1,_xlfn.XLOOKUP($B36,Tabla1[SERVICIO],Tabla1[VALOR]*AH36),0))</f>
        <v>0</v>
      </c>
      <c r="AJ36" s="8"/>
      <c r="AK36" s="56" cm="1">
        <f t="array" ref="AK36">IF(AJ36="X",(_xlfn.XLOOKUP($B36,Tabla1[SERVICIO],Tabla1[VALOR])*1),IF(AJ36&gt;=1,_xlfn.XLOOKUP($B36,Tabla1[SERVICIO],Tabla1[VALOR]*AJ36),0))</f>
        <v>0</v>
      </c>
      <c r="AL36" s="14">
        <v>1</v>
      </c>
      <c r="AM36" s="56" cm="1">
        <f t="array" ref="AM36">IF(AL36="X",(_xlfn.XLOOKUP($B36,Tabla1[SERVICIO],Tabla1[VALOR])*1),IF(AL36&gt;=1,_xlfn.XLOOKUP($B36,Tabla1[SERVICIO],Tabla1[VALOR]*AL36),0))</f>
        <v>19392.627189167735</v>
      </c>
      <c r="AN36" s="89">
        <f t="shared" si="1"/>
        <v>58177.881567503209</v>
      </c>
      <c r="AO36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3</v>
      </c>
      <c r="AP36" s="104" t="s">
        <v>318</v>
      </c>
      <c r="AQ36" s="154">
        <v>1</v>
      </c>
      <c r="AR36" s="90">
        <f>+Tabla31737[[#This Row],[TOTAL]]*Tabla31737[[#This Row],[% de las personas que lo usaron]]</f>
        <v>58177.881567503209</v>
      </c>
      <c r="AS36" s="240" t="s">
        <v>331</v>
      </c>
      <c r="AT36" s="335">
        <v>18</v>
      </c>
    </row>
    <row r="37" spans="1:46" ht="15" x14ac:dyDescent="0.25">
      <c r="A37" s="7" t="s">
        <v>27</v>
      </c>
      <c r="B37" s="8" t="s">
        <v>28</v>
      </c>
      <c r="C37" s="96" t="str">
        <f>_xlfn.XLOOKUP(Tabla31737[[#This Row],[Servicios del Programa:]],Tabla151[CODIGO],Tabla151[VALOR])</f>
        <v>Diagnosticos</v>
      </c>
      <c r="D37" s="14">
        <v>1</v>
      </c>
      <c r="E37" s="56" cm="1">
        <f t="array" ref="E37">IF(D37="X",(_xlfn.XLOOKUP($B37,Tabla1[SERVICIO],Tabla1[VALOR])*1),IF(D37&gt;=1,_xlfn.XLOOKUP($B37,Tabla1[SERVICIO],Tabla1[VALOR]*D37),0))</f>
        <v>43480.816890660324</v>
      </c>
      <c r="F37" s="8"/>
      <c r="G37" s="56" cm="1">
        <f t="array" ref="G37">IF(F37="X",(_xlfn.XLOOKUP($B37,Tabla1[SERVICIO],Tabla1[VALOR])*1),IF(F37&gt;=1,_xlfn.XLOOKUP($B37,Tabla1[SERVICIO],Tabla1[VALOR]*F37),0))</f>
        <v>0</v>
      </c>
      <c r="H37" s="8"/>
      <c r="I37" s="56" cm="1">
        <f t="array" ref="I37">IF(H37="X",(_xlfn.XLOOKUP($B37,Tabla1[SERVICIO],Tabla1[VALOR])*1),IF(H37&gt;=1,_xlfn.XLOOKUP($B37,Tabla1[SERVICIO],Tabla1[VALOR]*H37),0))</f>
        <v>0</v>
      </c>
      <c r="J37" s="8"/>
      <c r="K37" s="56" cm="1">
        <f t="array" ref="K37">IF(J37="X",(_xlfn.XLOOKUP($B37,Tabla1[SERVICIO],Tabla1[VALOR])*1),IF(J37&gt;=1,_xlfn.XLOOKUP($B37,Tabla1[SERVICIO],Tabla1[VALOR]*J37),0))</f>
        <v>0</v>
      </c>
      <c r="L37" s="8"/>
      <c r="M37" s="56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6" cm="1">
        <f t="array" ref="O37">IF(N37="X",(_xlfn.XLOOKUP($B37,Tabla1[SERVICIO],Tabla1[VALOR])*1),IF(N37&gt;=1,_xlfn.XLOOKUP($B37,Tabla1[SERVICIO],Tabla1[VALOR]*N37),0))</f>
        <v>43480.816890660324</v>
      </c>
      <c r="P37" s="8"/>
      <c r="Q37" s="56" cm="1">
        <f t="array" ref="Q37">IF(P37="X",(_xlfn.XLOOKUP($B37,Tabla1[SERVICIO],Tabla1[VALOR])*1),IF(P37&gt;=1,_xlfn.XLOOKUP($B37,Tabla1[SERVICIO],Tabla1[VALOR]*P37),0))</f>
        <v>0</v>
      </c>
      <c r="R37" s="8"/>
      <c r="S37" s="56" cm="1">
        <f t="array" ref="S37">IF(R37="X",(_xlfn.XLOOKUP($B37,Tabla1[SERVICIO],Tabla1[VALOR])*1),IF(R37&gt;=1,_xlfn.XLOOKUP($B37,Tabla1[SERVICIO],Tabla1[VALOR]*R37),0))</f>
        <v>0</v>
      </c>
      <c r="T37" s="8"/>
      <c r="U37" s="56" cm="1">
        <f t="array" ref="U37">IF(T37="X",(_xlfn.XLOOKUP($B37,Tabla1[SERVICIO],Tabla1[VALOR])*1),IF(T37&gt;=1,_xlfn.XLOOKUP($B37,Tabla1[SERVICIO],Tabla1[VALOR]*T37),0))</f>
        <v>0</v>
      </c>
      <c r="V37" s="8"/>
      <c r="W37" s="56" cm="1">
        <f t="array" ref="W37">IF(V37="X",(_xlfn.XLOOKUP($B37,Tabla1[SERVICIO],Tabla1[VALOR])*1),IF(V37&gt;=1,_xlfn.XLOOKUP($B37,Tabla1[SERVICIO],Tabla1[VALOR]*V37),0))</f>
        <v>0</v>
      </c>
      <c r="X37" s="8"/>
      <c r="Y37" s="56" cm="1">
        <f t="array" ref="Y37">IF(X37="X",(_xlfn.XLOOKUP($B37,Tabla1[SERVICIO],Tabla1[VALOR])*1),IF(X37&gt;=1,_xlfn.XLOOKUP($B37,Tabla1[SERVICIO],Tabla1[VALOR]*X37),0))</f>
        <v>0</v>
      </c>
      <c r="Z37" s="8"/>
      <c r="AA37" s="56" cm="1">
        <f t="array" ref="AA37">IF(Z37="X",(_xlfn.XLOOKUP($B37,Tabla1[SERVICIO],Tabla1[VALOR])*1),IF(Z37&gt;=1,_xlfn.XLOOKUP($B37,Tabla1[SERVICIO],Tabla1[VALOR]*Z37),0))</f>
        <v>0</v>
      </c>
      <c r="AB37" s="8"/>
      <c r="AC37" s="56" cm="1">
        <f t="array" ref="AC37">IF(AB37="X",(_xlfn.XLOOKUP($B37,Tabla1[SERVICIO],Tabla1[VALOR])*1),IF(AB37&gt;=1,_xlfn.XLOOKUP($B37,Tabla1[SERVICIO],Tabla1[VALOR]*AB37),0))</f>
        <v>0</v>
      </c>
      <c r="AD37" s="8"/>
      <c r="AE37" s="56" cm="1">
        <f t="array" ref="AE37">IF(AD37="X",(_xlfn.XLOOKUP($B37,Tabla1[SERVICIO],Tabla1[VALOR])*1),IF(AD37&gt;=1,_xlfn.XLOOKUP($B37,Tabla1[SERVICIO],Tabla1[VALOR]*AD37),0))</f>
        <v>0</v>
      </c>
      <c r="AF37" s="8"/>
      <c r="AG37" s="56" cm="1">
        <f t="array" ref="AG37">IF(AF37="X",(_xlfn.XLOOKUP($B37,Tabla1[SERVICIO],Tabla1[VALOR])*1),IF(AF37&gt;=1,_xlfn.XLOOKUP($B37,Tabla1[SERVICIO],Tabla1[VALOR]*AF37),0))</f>
        <v>0</v>
      </c>
      <c r="AH37" s="8"/>
      <c r="AI37" s="56" cm="1">
        <f t="array" ref="AI37">IF(AH37="X",(_xlfn.XLOOKUP($B37,Tabla1[SERVICIO],Tabla1[VALOR])*1),IF(AH37&gt;=1,_xlfn.XLOOKUP($B37,Tabla1[SERVICIO],Tabla1[VALOR]*AH37),0))</f>
        <v>0</v>
      </c>
      <c r="AJ37" s="8"/>
      <c r="AK37" s="56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6" cm="1">
        <f t="array" ref="AM37">IF(AL37="X",(_xlfn.XLOOKUP($B37,Tabla1[SERVICIO],Tabla1[VALOR])*1),IF(AL37&gt;=1,_xlfn.XLOOKUP($B37,Tabla1[SERVICIO],Tabla1[VALOR]*AL37),0))</f>
        <v>43480.816890660324</v>
      </c>
      <c r="AN37" s="89">
        <f t="shared" si="1"/>
        <v>130442.45067198097</v>
      </c>
      <c r="AO37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3</v>
      </c>
      <c r="AP37" s="104" t="s">
        <v>318</v>
      </c>
      <c r="AQ37" s="154">
        <v>1</v>
      </c>
      <c r="AR37" s="90">
        <f>+Tabla31737[[#This Row],[TOTAL]]*Tabla31737[[#This Row],[% de las personas que lo usaron]]</f>
        <v>130442.45067198097</v>
      </c>
      <c r="AS37" s="240" t="s">
        <v>331</v>
      </c>
      <c r="AT37" s="335">
        <v>18</v>
      </c>
    </row>
    <row r="38" spans="1:46" ht="15" x14ac:dyDescent="0.25">
      <c r="A38" s="7" t="s">
        <v>23</v>
      </c>
      <c r="B38" s="8" t="s">
        <v>24</v>
      </c>
      <c r="C38" s="96" t="str">
        <f>_xlfn.XLOOKUP(Tabla31737[[#This Row],[Servicios del Programa:]],Tabla151[CODIGO],Tabla151[VALOR])</f>
        <v>Terapias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31881.451880098426</v>
      </c>
      <c r="F38" s="14"/>
      <c r="G38" s="56" cm="1">
        <f t="array" ref="G38">IF(F38="X",(_xlfn.XLOOKUP($B38,Tabla1[SERVICIO],Tabla1[VALOR])*1),IF(F38&gt;=1,_xlfn.XLOOKUP($B38,Tabla1[SERVICIO],Tabla1[VALOR]*F38),0))</f>
        <v>0</v>
      </c>
      <c r="H38" s="14"/>
      <c r="I38" s="56" cm="1">
        <f t="array" ref="I38">IF(H38="X",(_xlfn.XLOOKUP($B38,Tabla1[SERVICIO],Tabla1[VALOR])*1),IF(H38&gt;=1,_xlfn.XLOOKUP($B38,Tabla1[SERVICIO],Tabla1[VALOR]*H38),0))</f>
        <v>0</v>
      </c>
      <c r="J38" s="14"/>
      <c r="K38" s="56" cm="1">
        <f t="array" ref="K38">IF(J38="X",(_xlfn.XLOOKUP($B38,Tabla1[SERVICIO],Tabla1[VALOR])*1),IF(J38&gt;=1,_xlfn.XLOOKUP($B38,Tabla1[SERVICIO],Tabla1[VALOR]*J38),0))</f>
        <v>0</v>
      </c>
      <c r="L38" s="14"/>
      <c r="M38" s="56" cm="1">
        <f t="array" ref="M38">IF(L38="X",(_xlfn.XLOOKUP($B38,Tabla1[SERVICIO],Tabla1[VALOR])*1),IF(L38&gt;=1,_xlfn.XLOOKUP($B38,Tabla1[SERVICIO],Tabla1[VALOR]*L38),0))</f>
        <v>0</v>
      </c>
      <c r="N38" s="14"/>
      <c r="O38" s="56" cm="1">
        <f t="array" ref="O38">IF(N38="X",(_xlfn.XLOOKUP($B38,Tabla1[SERVICIO],Tabla1[VALOR])*1),IF(N38&gt;=1,_xlfn.XLOOKUP($B38,Tabla1[SERVICIO],Tabla1[VALOR]*N38),0))</f>
        <v>0</v>
      </c>
      <c r="P38" s="14"/>
      <c r="Q38" s="56" cm="1">
        <f t="array" ref="Q38">IF(P38="X",(_xlfn.XLOOKUP($B38,Tabla1[SERVICIO],Tabla1[VALOR])*1),IF(P38&gt;=1,_xlfn.XLOOKUP($B38,Tabla1[SERVICIO],Tabla1[VALOR]*P38),0))</f>
        <v>0</v>
      </c>
      <c r="R38" s="14"/>
      <c r="S38" s="56" cm="1">
        <f t="array" ref="S38">IF(R38="X",(_xlfn.XLOOKUP($B38,Tabla1[SERVICIO],Tabla1[VALOR])*1),IF(R38&gt;=1,_xlfn.XLOOKUP($B38,Tabla1[SERVICIO],Tabla1[VALOR]*R38),0))</f>
        <v>0</v>
      </c>
      <c r="T38" s="14"/>
      <c r="U38" s="56" cm="1">
        <f t="array" ref="U38">IF(T38="X",(_xlfn.XLOOKUP($B38,Tabla1[SERVICIO],Tabla1[VALOR])*1),IF(T38&gt;=1,_xlfn.XLOOKUP($B38,Tabla1[SERVICIO],Tabla1[VALOR]*T38),0))</f>
        <v>0</v>
      </c>
      <c r="V38" s="14"/>
      <c r="W38" s="56" cm="1">
        <f t="array" ref="W38">IF(V38="X",(_xlfn.XLOOKUP($B38,Tabla1[SERVICIO],Tabla1[VALOR])*1),IF(V38&gt;=1,_xlfn.XLOOKUP($B38,Tabla1[SERVICIO],Tabla1[VALOR]*V38),0))</f>
        <v>0</v>
      </c>
      <c r="X38" s="14"/>
      <c r="Y38" s="56" cm="1">
        <f t="array" ref="Y38">IF(X38="X",(_xlfn.XLOOKUP($B38,Tabla1[SERVICIO],Tabla1[VALOR])*1),IF(X38&gt;=1,_xlfn.XLOOKUP($B38,Tabla1[SERVICIO],Tabla1[VALOR]*X38),0))</f>
        <v>0</v>
      </c>
      <c r="Z38" s="14"/>
      <c r="AA38" s="56" cm="1">
        <f t="array" ref="AA38">IF(Z38="X",(_xlfn.XLOOKUP($B38,Tabla1[SERVICIO],Tabla1[VALOR])*1),IF(Z38&gt;=1,_xlfn.XLOOKUP($B38,Tabla1[SERVICIO],Tabla1[VALOR]*Z38),0))</f>
        <v>0</v>
      </c>
      <c r="AB38" s="14"/>
      <c r="AC38" s="56" cm="1">
        <f t="array" ref="AC38">IF(AB38="X",(_xlfn.XLOOKUP($B38,Tabla1[SERVICIO],Tabla1[VALOR])*1),IF(AB38&gt;=1,_xlfn.XLOOKUP($B38,Tabla1[SERVICIO],Tabla1[VALOR]*AB38),0))</f>
        <v>0</v>
      </c>
      <c r="AD38" s="14"/>
      <c r="AE38" s="56" cm="1">
        <f t="array" ref="AE38">IF(AD38="X",(_xlfn.XLOOKUP($B38,Tabla1[SERVICIO],Tabla1[VALOR])*1),IF(AD38&gt;=1,_xlfn.XLOOKUP($B38,Tabla1[SERVICIO],Tabla1[VALOR]*AD38),0))</f>
        <v>0</v>
      </c>
      <c r="AF38" s="14"/>
      <c r="AG38" s="56" cm="1">
        <f t="array" ref="AG38">IF(AF38="X",(_xlfn.XLOOKUP($B38,Tabla1[SERVICIO],Tabla1[VALOR])*1),IF(AF38&gt;=1,_xlfn.XLOOKUP($B38,Tabla1[SERVICIO],Tabla1[VALOR]*AF38),0))</f>
        <v>0</v>
      </c>
      <c r="AH38" s="14"/>
      <c r="AI38" s="56" cm="1">
        <f t="array" ref="AI38">IF(AH38="X",(_xlfn.XLOOKUP($B38,Tabla1[SERVICIO],Tabla1[VALOR])*1),IF(AH38&gt;=1,_xlfn.XLOOKUP($B38,Tabla1[SERVICIO],Tabla1[VALOR]*AH38),0))</f>
        <v>0</v>
      </c>
      <c r="AJ38" s="14"/>
      <c r="AK38" s="56" cm="1">
        <f t="array" ref="AK38">IF(AJ38="X",(_xlfn.XLOOKUP($B38,Tabla1[SERVICIO],Tabla1[VALOR])*1),IF(AJ38&gt;=1,_xlfn.XLOOKUP($B38,Tabla1[SERVICIO],Tabla1[VALOR]*AJ38),0))</f>
        <v>0</v>
      </c>
      <c r="AL38" s="14"/>
      <c r="AM38" s="56" cm="1">
        <f t="array" ref="AM38">IF(AL38="X",(_xlfn.XLOOKUP($B38,Tabla1[SERVICIO],Tabla1[VALOR])*1),IF(AL38&gt;=1,_xlfn.XLOOKUP($B38,Tabla1[SERVICIO],Tabla1[VALOR]*AL38),0))</f>
        <v>0</v>
      </c>
      <c r="AN38" s="89">
        <f t="shared" si="1"/>
        <v>31881.451880098426</v>
      </c>
      <c r="AO38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8" s="104" t="s">
        <v>318</v>
      </c>
      <c r="AQ38" s="154">
        <v>1</v>
      </c>
      <c r="AR38" s="90">
        <f>+Tabla31737[[#This Row],[TOTAL]]*Tabla31737[[#This Row],[% de las personas que lo usaron]]</f>
        <v>31881.451880098426</v>
      </c>
      <c r="AS38" s="240" t="s">
        <v>331</v>
      </c>
      <c r="AT38" s="335">
        <v>18</v>
      </c>
    </row>
    <row r="39" spans="1:46" ht="15" x14ac:dyDescent="0.25">
      <c r="A39" s="7" t="s">
        <v>36</v>
      </c>
      <c r="B39" s="8" t="s">
        <v>100</v>
      </c>
      <c r="C39" s="96" t="str">
        <f>_xlfn.XLOOKUP(Tabla31737[[#This Row],[Servicios del Programa:]],Tabla151[CODIGO],Tabla151[VALOR])</f>
        <v>Terapias</v>
      </c>
      <c r="D39" s="102">
        <v>8</v>
      </c>
      <c r="E39" s="56" cm="1">
        <f t="array" ref="E39">IF(D39="X",(_xlfn.XLOOKUP($B39,Tabla1[SERVICIO],Tabla1[VALOR])*1),IF(D39&gt;=1,_xlfn.XLOOKUP($B39,Tabla1[SERVICIO],Tabla1[VALOR]*D39),0))</f>
        <v>70240.958933331596</v>
      </c>
      <c r="F39" s="102">
        <v>8</v>
      </c>
      <c r="G39" s="56" cm="1">
        <f t="array" ref="G39">IF(F39="X",(_xlfn.XLOOKUP($B39,Tabla1[SERVICIO],Tabla1[VALOR])*1),IF(F39&gt;=1,_xlfn.XLOOKUP($B39,Tabla1[SERVICIO],Tabla1[VALOR]*F39),0))</f>
        <v>70240.958933331596</v>
      </c>
      <c r="H39" s="102">
        <v>8</v>
      </c>
      <c r="I39" s="56" cm="1">
        <f t="array" ref="I39">IF(H39="X",(_xlfn.XLOOKUP($B39,Tabla1[SERVICIO],Tabla1[VALOR])*1),IF(H39&gt;=1,_xlfn.XLOOKUP($B39,Tabla1[SERVICIO],Tabla1[VALOR]*H39),0))</f>
        <v>70240.958933331596</v>
      </c>
      <c r="J39" s="102">
        <v>8</v>
      </c>
      <c r="K39" s="56" cm="1">
        <f t="array" ref="K39">IF(J39="X",(_xlfn.XLOOKUP($B39,Tabla1[SERVICIO],Tabla1[VALOR])*1),IF(J39&gt;=1,_xlfn.XLOOKUP($B39,Tabla1[SERVICIO],Tabla1[VALOR]*J39),0))</f>
        <v>70240.958933331596</v>
      </c>
      <c r="L39" s="102">
        <v>8</v>
      </c>
      <c r="M39" s="56" cm="1">
        <f t="array" ref="M39">IF(L39="X",(_xlfn.XLOOKUP($B39,Tabla1[SERVICIO],Tabla1[VALOR])*1),IF(L39&gt;=1,_xlfn.XLOOKUP($B39,Tabla1[SERVICIO],Tabla1[VALOR]*L39),0))</f>
        <v>70240.958933331596</v>
      </c>
      <c r="N39" s="102">
        <v>8</v>
      </c>
      <c r="O39" s="56" cm="1">
        <f t="array" ref="O39">IF(N39="X",(_xlfn.XLOOKUP($B39,Tabla1[SERVICIO],Tabla1[VALOR])*1),IF(N39&gt;=1,_xlfn.XLOOKUP($B39,Tabla1[SERVICIO],Tabla1[VALOR]*N39),0))</f>
        <v>70240.958933331596</v>
      </c>
      <c r="P39" s="102">
        <v>8</v>
      </c>
      <c r="Q39" s="56" cm="1">
        <f t="array" ref="Q39">IF(P39="X",(_xlfn.XLOOKUP($B39,Tabla1[SERVICIO],Tabla1[VALOR])*1),IF(P39&gt;=1,_xlfn.XLOOKUP($B39,Tabla1[SERVICIO],Tabla1[VALOR]*P39),0))</f>
        <v>70240.958933331596</v>
      </c>
      <c r="R39" s="102">
        <v>8</v>
      </c>
      <c r="S39" s="56" cm="1">
        <f t="array" ref="S39">IF(R39="X",(_xlfn.XLOOKUP($B39,Tabla1[SERVICIO],Tabla1[VALOR])*1),IF(R39&gt;=1,_xlfn.XLOOKUP($B39,Tabla1[SERVICIO],Tabla1[VALOR]*R39),0))</f>
        <v>70240.958933331596</v>
      </c>
      <c r="T39" s="102">
        <v>8</v>
      </c>
      <c r="U39" s="56" cm="1">
        <f t="array" ref="U39">IF(T39="X",(_xlfn.XLOOKUP($B39,Tabla1[SERVICIO],Tabla1[VALOR])*1),IF(T39&gt;=1,_xlfn.XLOOKUP($B39,Tabla1[SERVICIO],Tabla1[VALOR]*T39),0))</f>
        <v>70240.958933331596</v>
      </c>
      <c r="V39" s="102">
        <v>8</v>
      </c>
      <c r="W39" s="56" cm="1">
        <f t="array" ref="W39">IF(V39="X",(_xlfn.XLOOKUP($B39,Tabla1[SERVICIO],Tabla1[VALOR])*1),IF(V39&gt;=1,_xlfn.XLOOKUP($B39,Tabla1[SERVICIO],Tabla1[VALOR]*V39),0))</f>
        <v>70240.958933331596</v>
      </c>
      <c r="X39" s="102">
        <v>8</v>
      </c>
      <c r="Y39" s="56" cm="1">
        <f t="array" ref="Y39">IF(X39="X",(_xlfn.XLOOKUP($B39,Tabla1[SERVICIO],Tabla1[VALOR])*1),IF(X39&gt;=1,_xlfn.XLOOKUP($B39,Tabla1[SERVICIO],Tabla1[VALOR]*X39),0))</f>
        <v>70240.958933331596</v>
      </c>
      <c r="Z39" s="102">
        <v>8</v>
      </c>
      <c r="AA39" s="56" cm="1">
        <f t="array" ref="AA39">IF(Z39="X",(_xlfn.XLOOKUP($B39,Tabla1[SERVICIO],Tabla1[VALOR])*1),IF(Z39&gt;=1,_xlfn.XLOOKUP($B39,Tabla1[SERVICIO],Tabla1[VALOR]*Z39),0))</f>
        <v>70240.958933331596</v>
      </c>
      <c r="AB39" s="102">
        <v>8</v>
      </c>
      <c r="AC39" s="56" cm="1">
        <f t="array" ref="AC39">IF(AB39="X",(_xlfn.XLOOKUP($B39,Tabla1[SERVICIO],Tabla1[VALOR])*1),IF(AB39&gt;=1,_xlfn.XLOOKUP($B39,Tabla1[SERVICIO],Tabla1[VALOR]*AB39),0))</f>
        <v>70240.958933331596</v>
      </c>
      <c r="AD39" s="102">
        <v>8</v>
      </c>
      <c r="AE39" s="56" cm="1">
        <f t="array" ref="AE39">IF(AD39="X",(_xlfn.XLOOKUP($B39,Tabla1[SERVICIO],Tabla1[VALOR])*1),IF(AD39&gt;=1,_xlfn.XLOOKUP($B39,Tabla1[SERVICIO],Tabla1[VALOR]*AD39),0))</f>
        <v>70240.958933331596</v>
      </c>
      <c r="AF39" s="102">
        <v>8</v>
      </c>
      <c r="AG39" s="56" cm="1">
        <f t="array" ref="AG39">IF(AF39="X",(_xlfn.XLOOKUP($B39,Tabla1[SERVICIO],Tabla1[VALOR])*1),IF(AF39&gt;=1,_xlfn.XLOOKUP($B39,Tabla1[SERVICIO],Tabla1[VALOR]*AF39),0))</f>
        <v>70240.958933331596</v>
      </c>
      <c r="AH39" s="102">
        <v>8</v>
      </c>
      <c r="AI39" s="56" cm="1">
        <f t="array" ref="AI39">IF(AH39="X",(_xlfn.XLOOKUP($B39,Tabla1[SERVICIO],Tabla1[VALOR])*1),IF(AH39&gt;=1,_xlfn.XLOOKUP($B39,Tabla1[SERVICIO],Tabla1[VALOR]*AH39),0))</f>
        <v>70240.958933331596</v>
      </c>
      <c r="AJ39" s="102">
        <v>8</v>
      </c>
      <c r="AK39" s="56" cm="1">
        <f t="array" ref="AK39">IF(AJ39="X",(_xlfn.XLOOKUP($B39,Tabla1[SERVICIO],Tabla1[VALOR])*1),IF(AJ39&gt;=1,_xlfn.XLOOKUP($B39,Tabla1[SERVICIO],Tabla1[VALOR]*AJ39),0))</f>
        <v>70240.958933331596</v>
      </c>
      <c r="AL39" s="102">
        <v>8</v>
      </c>
      <c r="AM39" s="56" cm="1">
        <f t="array" ref="AM39">IF(AL39="X",(_xlfn.XLOOKUP($B39,Tabla1[SERVICIO],Tabla1[VALOR])*1),IF(AL39&gt;=1,_xlfn.XLOOKUP($B39,Tabla1[SERVICIO],Tabla1[VALOR]*AL39),0))</f>
        <v>70240.958933331596</v>
      </c>
      <c r="AN39" s="89">
        <f>SUM(E39,G39,I39,K39,M39,O39,Q39,S39,U39,W39+Y39,AA39,AC39,AE39,AG39,AI39,AK39,AM39)</f>
        <v>1264337.2607999684</v>
      </c>
      <c r="AO39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144</v>
      </c>
      <c r="AP39" s="104" t="s">
        <v>318</v>
      </c>
      <c r="AQ39" s="154">
        <v>1</v>
      </c>
      <c r="AR39" s="90">
        <f>+Tabla31737[[#This Row],[TOTAL]]*Tabla31737[[#This Row],[% de las personas que lo usaron]]</f>
        <v>1264337.2607999684</v>
      </c>
      <c r="AS39" s="240" t="s">
        <v>331</v>
      </c>
      <c r="AT39" s="335">
        <v>18</v>
      </c>
    </row>
    <row r="40" spans="1:46" ht="15" x14ac:dyDescent="0.25">
      <c r="A40" s="7" t="s">
        <v>3</v>
      </c>
      <c r="B40" s="8" t="s">
        <v>4</v>
      </c>
      <c r="C40" s="96" t="str">
        <f>_xlfn.XLOOKUP(Tabla31737[[#This Row],[Servicios del Programa:]],Tabla151[CODIGO],Tabla151[VALOR])</f>
        <v>Consultas</v>
      </c>
      <c r="D40" s="14">
        <v>1</v>
      </c>
      <c r="E40" s="56" cm="1">
        <f t="array" ref="E40">IF(D40="X",(_xlfn.XLOOKUP($B40,Tabla1[SERVICIO],Tabla1[VALOR])*1),IF(D40&gt;=1,_xlfn.XLOOKUP($B40,Tabla1[SERVICIO],Tabla1[VALOR]*D40),0))</f>
        <v>20406.13276336317</v>
      </c>
      <c r="F40" s="14"/>
      <c r="G40" s="56" cm="1">
        <f t="array" ref="G40">IF(F40="X",(_xlfn.XLOOKUP($B40,Tabla1[SERVICIO],Tabla1[VALOR])*1),IF(F40&gt;=1,_xlfn.XLOOKUP($B40,Tabla1[SERVICIO],Tabla1[VALOR]*F40),0))</f>
        <v>0</v>
      </c>
      <c r="H40" s="14"/>
      <c r="I40" s="56" cm="1">
        <f t="array" ref="I40">IF(H40="X",(_xlfn.XLOOKUP($B40,Tabla1[SERVICIO],Tabla1[VALOR])*1),IF(H40&gt;=1,_xlfn.XLOOKUP($B40,Tabla1[SERVICIO],Tabla1[VALOR]*H40),0))</f>
        <v>0</v>
      </c>
      <c r="J40" s="14"/>
      <c r="K40" s="56" cm="1">
        <f t="array" ref="K40">IF(J40="X",(_xlfn.XLOOKUP($B40,Tabla1[SERVICIO],Tabla1[VALOR])*1),IF(J40&gt;=1,_xlfn.XLOOKUP($B40,Tabla1[SERVICIO],Tabla1[VALOR]*J40),0))</f>
        <v>0</v>
      </c>
      <c r="L40" s="14"/>
      <c r="M40" s="56" cm="1">
        <f t="array" ref="M40">IF(L40="X",(_xlfn.XLOOKUP($B40,Tabla1[SERVICIO],Tabla1[VALOR])*1),IF(L40&gt;=1,_xlfn.XLOOKUP($B40,Tabla1[SERVICIO],Tabla1[VALOR]*L40),0))</f>
        <v>0</v>
      </c>
      <c r="N40" s="14"/>
      <c r="O40" s="56" cm="1">
        <f t="array" ref="O40">IF(N40="X",(_xlfn.XLOOKUP($B40,Tabla1[SERVICIO],Tabla1[VALOR])*1),IF(N40&gt;=1,_xlfn.XLOOKUP($B40,Tabla1[SERVICIO],Tabla1[VALOR]*N40),0))</f>
        <v>0</v>
      </c>
      <c r="P40" s="14"/>
      <c r="Q40" s="56" cm="1">
        <f t="array" ref="Q40">IF(P40="X",(_xlfn.XLOOKUP($B40,Tabla1[SERVICIO],Tabla1[VALOR])*1),IF(P40&gt;=1,_xlfn.XLOOKUP($B40,Tabla1[SERVICIO],Tabla1[VALOR]*P40),0))</f>
        <v>0</v>
      </c>
      <c r="R40" s="14"/>
      <c r="S40" s="56" cm="1">
        <f t="array" ref="S40">IF(R40="X",(_xlfn.XLOOKUP($B40,Tabla1[SERVICIO],Tabla1[VALOR])*1),IF(R40&gt;=1,_xlfn.XLOOKUP($B40,Tabla1[SERVICIO],Tabla1[VALOR]*R40),0))</f>
        <v>0</v>
      </c>
      <c r="T40" s="14"/>
      <c r="U40" s="56" cm="1">
        <f t="array" ref="U40">IF(T40="X",(_xlfn.XLOOKUP($B40,Tabla1[SERVICIO],Tabla1[VALOR])*1),IF(T40&gt;=1,_xlfn.XLOOKUP($B40,Tabla1[SERVICIO],Tabla1[VALOR]*T40),0))</f>
        <v>0</v>
      </c>
      <c r="V40" s="14"/>
      <c r="W40" s="56" cm="1">
        <f t="array" ref="W40">IF(V40="X",(_xlfn.XLOOKUP($B40,Tabla1[SERVICIO],Tabla1[VALOR])*1),IF(V40&gt;=1,_xlfn.XLOOKUP($B40,Tabla1[SERVICIO],Tabla1[VALOR]*V40),0))</f>
        <v>0</v>
      </c>
      <c r="X40" s="14"/>
      <c r="Y40" s="56" cm="1">
        <f t="array" ref="Y40">IF(X40="X",(_xlfn.XLOOKUP($B40,Tabla1[SERVICIO],Tabla1[VALOR])*1),IF(X40&gt;=1,_xlfn.XLOOKUP($B40,Tabla1[SERVICIO],Tabla1[VALOR]*X40),0))</f>
        <v>0</v>
      </c>
      <c r="Z40" s="14"/>
      <c r="AA40" s="56" cm="1">
        <f t="array" ref="AA40">IF(Z40="X",(_xlfn.XLOOKUP($B40,Tabla1[SERVICIO],Tabla1[VALOR])*1),IF(Z40&gt;=1,_xlfn.XLOOKUP($B40,Tabla1[SERVICIO],Tabla1[VALOR]*Z40),0))</f>
        <v>0</v>
      </c>
      <c r="AB40" s="14"/>
      <c r="AC40" s="56" cm="1">
        <f t="array" ref="AC40">IF(AB40="X",(_xlfn.XLOOKUP($B40,Tabla1[SERVICIO],Tabla1[VALOR])*1),IF(AB40&gt;=1,_xlfn.XLOOKUP($B40,Tabla1[SERVICIO],Tabla1[VALOR]*AB40),0))</f>
        <v>0</v>
      </c>
      <c r="AD40" s="14"/>
      <c r="AE40" s="56" cm="1">
        <f t="array" ref="AE40">IF(AD40="X",(_xlfn.XLOOKUP($B40,Tabla1[SERVICIO],Tabla1[VALOR])*1),IF(AD40&gt;=1,_xlfn.XLOOKUP($B40,Tabla1[SERVICIO],Tabla1[VALOR]*AD40),0))</f>
        <v>0</v>
      </c>
      <c r="AF40" s="14"/>
      <c r="AG40" s="56" cm="1">
        <f t="array" ref="AG40">IF(AF40="X",(_xlfn.XLOOKUP($B40,Tabla1[SERVICIO],Tabla1[VALOR])*1),IF(AF40&gt;=1,_xlfn.XLOOKUP($B40,Tabla1[SERVICIO],Tabla1[VALOR]*AF40),0))</f>
        <v>0</v>
      </c>
      <c r="AH40" s="14"/>
      <c r="AI40" s="56" cm="1">
        <f t="array" ref="AI40">IF(AH40="X",(_xlfn.XLOOKUP($B40,Tabla1[SERVICIO],Tabla1[VALOR])*1),IF(AH40&gt;=1,_xlfn.XLOOKUP($B40,Tabla1[SERVICIO],Tabla1[VALOR]*AH40),0))</f>
        <v>0</v>
      </c>
      <c r="AJ40" s="14"/>
      <c r="AK40" s="56" cm="1">
        <f t="array" ref="AK40">IF(AJ40="X",(_xlfn.XLOOKUP($B40,Tabla1[SERVICIO],Tabla1[VALOR])*1),IF(AJ40&gt;=1,_xlfn.XLOOKUP($B40,Tabla1[SERVICIO],Tabla1[VALOR]*AJ40),0))</f>
        <v>0</v>
      </c>
      <c r="AL40" s="14"/>
      <c r="AM40" s="56" cm="1">
        <f t="array" ref="AM40">IF(AL40="X",(_xlfn.XLOOKUP($B40,Tabla1[SERVICIO],Tabla1[VALOR])*1),IF(AL40&gt;=1,_xlfn.XLOOKUP($B40,Tabla1[SERVICIO],Tabla1[VALOR]*AL40),0))</f>
        <v>0</v>
      </c>
      <c r="AN40" s="89">
        <f t="shared" si="1"/>
        <v>20406.13276336317</v>
      </c>
      <c r="AO40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0" s="104" t="s">
        <v>318</v>
      </c>
      <c r="AQ40" s="154">
        <v>1</v>
      </c>
      <c r="AR40" s="90">
        <f>+Tabla31737[[#This Row],[TOTAL]]*Tabla31737[[#This Row],[% de las personas que lo usaron]]</f>
        <v>20406.13276336317</v>
      </c>
      <c r="AS40" s="240" t="s">
        <v>331</v>
      </c>
      <c r="AT40" s="335">
        <v>18</v>
      </c>
    </row>
    <row r="41" spans="1:46" ht="15" x14ac:dyDescent="0.25">
      <c r="A41" s="7" t="s">
        <v>15</v>
      </c>
      <c r="B41" s="8" t="s">
        <v>16</v>
      </c>
      <c r="C41" s="96" t="str">
        <f>_xlfn.XLOOKUP(Tabla31737[[#This Row],[Servicios del Programa:]],Tabla151[CODIGO],Tabla151[VALOR])</f>
        <v>Consultas</v>
      </c>
      <c r="D41" s="8"/>
      <c r="E41" s="56" cm="1">
        <f t="array" ref="E41">IF(D41="X",(_xlfn.XLOOKUP($B41,Tabla1[SERVICIO],Tabla1[VALOR])*1),IF(D41&gt;=1,_xlfn.XLOOKUP($B41,Tabla1[SERVICIO],Tabla1[VALOR]*D41),0))</f>
        <v>0</v>
      </c>
      <c r="F41" s="8"/>
      <c r="G41" s="56" cm="1">
        <f t="array" ref="G41">IF(F41="X",(_xlfn.XLOOKUP($B41,Tabla1[SERVICIO],Tabla1[VALOR])*1),IF(F41&gt;=1,_xlfn.XLOOKUP($B41,Tabla1[SERVICIO],Tabla1[VALOR]*F41),0))</f>
        <v>0</v>
      </c>
      <c r="H41" s="8"/>
      <c r="I41" s="56" cm="1">
        <f t="array" ref="I41">IF(H41="X",(_xlfn.XLOOKUP($B41,Tabla1[SERVICIO],Tabla1[VALOR])*1),IF(H41&gt;=1,_xlfn.XLOOKUP($B41,Tabla1[SERVICIO],Tabla1[VALOR]*H41),0))</f>
        <v>0</v>
      </c>
      <c r="J41" s="8"/>
      <c r="K41" s="56" cm="1">
        <f t="array" ref="K41">IF(J41="X",(_xlfn.XLOOKUP($B41,Tabla1[SERVICIO],Tabla1[VALOR])*1),IF(J41&gt;=1,_xlfn.XLOOKUP($B41,Tabla1[SERVICIO],Tabla1[VALOR]*J41),0))</f>
        <v>0</v>
      </c>
      <c r="L41" s="8"/>
      <c r="M41" s="56" cm="1">
        <f t="array" ref="M41">IF(L41="X",(_xlfn.XLOOKUP($B41,Tabla1[SERVICIO],Tabla1[VALOR])*1),IF(L41&gt;=1,_xlfn.XLOOKUP($B41,Tabla1[SERVICIO],Tabla1[VALOR]*L41),0))</f>
        <v>0</v>
      </c>
      <c r="N41" s="14">
        <v>1</v>
      </c>
      <c r="O41" s="56" cm="1">
        <f t="array" ref="O41">IF(N41="X",(_xlfn.XLOOKUP($B41,Tabla1[SERVICIO],Tabla1[VALOR])*1),IF(N41&gt;=1,_xlfn.XLOOKUP($B41,Tabla1[SERVICIO],Tabla1[VALOR]*N41),0))</f>
        <v>22052.520800552971</v>
      </c>
      <c r="P41" s="8"/>
      <c r="Q41" s="56" cm="1">
        <f t="array" ref="Q41">IF(P41="X",(_xlfn.XLOOKUP($B41,Tabla1[SERVICIO],Tabla1[VALOR])*1),IF(P41&gt;=1,_xlfn.XLOOKUP($B41,Tabla1[SERVICIO],Tabla1[VALOR]*P41),0))</f>
        <v>0</v>
      </c>
      <c r="R41" s="8"/>
      <c r="S41" s="56" cm="1">
        <f t="array" ref="S41">IF(R41="X",(_xlfn.XLOOKUP($B41,Tabla1[SERVICIO],Tabla1[VALOR])*1),IF(R41&gt;=1,_xlfn.XLOOKUP($B41,Tabla1[SERVICIO],Tabla1[VALOR]*R41),0))</f>
        <v>0</v>
      </c>
      <c r="T41" s="8"/>
      <c r="U41" s="56" cm="1">
        <f t="array" ref="U41">IF(T41="X",(_xlfn.XLOOKUP($B41,Tabla1[SERVICIO],Tabla1[VALOR])*1),IF(T41&gt;=1,_xlfn.XLOOKUP($B41,Tabla1[SERVICIO],Tabla1[VALOR]*T41),0))</f>
        <v>0</v>
      </c>
      <c r="V41" s="8"/>
      <c r="W41" s="56" cm="1">
        <f t="array" ref="W41">IF(V41="X",(_xlfn.XLOOKUP($B41,Tabla1[SERVICIO],Tabla1[VALOR])*1),IF(V41&gt;=1,_xlfn.XLOOKUP($B41,Tabla1[SERVICIO],Tabla1[VALOR]*V41),0))</f>
        <v>0</v>
      </c>
      <c r="X41" s="8"/>
      <c r="Y41" s="56" cm="1">
        <f t="array" ref="Y41">IF(X41="X",(_xlfn.XLOOKUP($B41,Tabla1[SERVICIO],Tabla1[VALOR])*1),IF(X41&gt;=1,_xlfn.XLOOKUP($B41,Tabla1[SERVICIO],Tabla1[VALOR]*X41),0))</f>
        <v>0</v>
      </c>
      <c r="Z41" s="8"/>
      <c r="AA41" s="56" cm="1">
        <f t="array" ref="AA41">IF(Z41="X",(_xlfn.XLOOKUP($B41,Tabla1[SERVICIO],Tabla1[VALOR])*1),IF(Z41&gt;=1,_xlfn.XLOOKUP($B41,Tabla1[SERVICIO],Tabla1[VALOR]*Z41),0))</f>
        <v>0</v>
      </c>
      <c r="AB41" s="8"/>
      <c r="AC41" s="56" cm="1">
        <f t="array" ref="AC41">IF(AB41="X",(_xlfn.XLOOKUP($B41,Tabla1[SERVICIO],Tabla1[VALOR])*1),IF(AB41&gt;=1,_xlfn.XLOOKUP($B41,Tabla1[SERVICIO],Tabla1[VALOR]*AB41),0))</f>
        <v>0</v>
      </c>
      <c r="AD41" s="8"/>
      <c r="AE41" s="56" cm="1">
        <f t="array" ref="AE41">IF(AD41="X",(_xlfn.XLOOKUP($B41,Tabla1[SERVICIO],Tabla1[VALOR])*1),IF(AD41&gt;=1,_xlfn.XLOOKUP($B41,Tabla1[SERVICIO],Tabla1[VALOR]*AD41),0))</f>
        <v>0</v>
      </c>
      <c r="AF41" s="8"/>
      <c r="AG41" s="56" cm="1">
        <f t="array" ref="AG41">IF(AF41="X",(_xlfn.XLOOKUP($B41,Tabla1[SERVICIO],Tabla1[VALOR])*1),IF(AF41&gt;=1,_xlfn.XLOOKUP($B41,Tabla1[SERVICIO],Tabla1[VALOR]*AF41),0))</f>
        <v>0</v>
      </c>
      <c r="AH41" s="8"/>
      <c r="AI41" s="56" cm="1">
        <f t="array" ref="AI41">IF(AH41="X",(_xlfn.XLOOKUP($B41,Tabla1[SERVICIO],Tabla1[VALOR])*1),IF(AH41&gt;=1,_xlfn.XLOOKUP($B41,Tabla1[SERVICIO],Tabla1[VALOR]*AH41),0))</f>
        <v>0</v>
      </c>
      <c r="AJ41" s="8"/>
      <c r="AK41" s="56" cm="1">
        <f t="array" ref="AK41">IF(AJ41="X",(_xlfn.XLOOKUP($B41,Tabla1[SERVICIO],Tabla1[VALOR])*1),IF(AJ41&gt;=1,_xlfn.XLOOKUP($B41,Tabla1[SERVICIO],Tabla1[VALOR]*AJ41),0))</f>
        <v>0</v>
      </c>
      <c r="AL41" s="14">
        <v>1</v>
      </c>
      <c r="AM41" s="56" cm="1">
        <f t="array" ref="AM41">IF(AL41="X",(_xlfn.XLOOKUP($B41,Tabla1[SERVICIO],Tabla1[VALOR])*1),IF(AL41&gt;=1,_xlfn.XLOOKUP($B41,Tabla1[SERVICIO],Tabla1[VALOR]*AL41),0))</f>
        <v>22052.520800552971</v>
      </c>
      <c r="AN41" s="89">
        <f t="shared" si="1"/>
        <v>44105.041601105942</v>
      </c>
      <c r="AO41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41" s="104" t="s">
        <v>318</v>
      </c>
      <c r="AQ41" s="154">
        <v>1</v>
      </c>
      <c r="AR41" s="90">
        <f>+Tabla31737[[#This Row],[TOTAL]]*Tabla31737[[#This Row],[% de las personas que lo usaron]]</f>
        <v>44105.041601105942</v>
      </c>
      <c r="AS41" s="240" t="s">
        <v>331</v>
      </c>
      <c r="AT41" s="335">
        <v>18</v>
      </c>
    </row>
    <row r="42" spans="1:46" ht="15" x14ac:dyDescent="0.25">
      <c r="A42" s="7" t="s">
        <v>1</v>
      </c>
      <c r="B42" s="8" t="s">
        <v>2</v>
      </c>
      <c r="C42" s="96" t="str">
        <f>_xlfn.XLOOKUP(Tabla31737[[#This Row],[Servicios del Programa:]],Tabla151[CODIGO],Tabla151[VALOR])</f>
        <v>Consultas</v>
      </c>
      <c r="D42" s="14"/>
      <c r="E42" s="56" cm="1">
        <f t="array" ref="E42">IF(D42="X",(_xlfn.XLOOKUP($B42,Tabla1[SERVICIO],Tabla1[VALOR])*1),IF(D42&gt;=1,_xlfn.XLOOKUP($B42,Tabla1[SERVICIO],Tabla1[VALOR]*D42),0))</f>
        <v>0</v>
      </c>
      <c r="F42" s="14"/>
      <c r="G42" s="56" cm="1">
        <f t="array" ref="G42">IF(F42="X",(_xlfn.XLOOKUP($B42,Tabla1[SERVICIO],Tabla1[VALOR])*1),IF(F42&gt;=1,_xlfn.XLOOKUP($B42,Tabla1[SERVICIO],Tabla1[VALOR]*F42),0))</f>
        <v>0</v>
      </c>
      <c r="H42" s="14"/>
      <c r="I42" s="56" cm="1">
        <f t="array" ref="I42">IF(H42="X",(_xlfn.XLOOKUP($B42,Tabla1[SERVICIO],Tabla1[VALOR])*1),IF(H42&gt;=1,_xlfn.XLOOKUP($B42,Tabla1[SERVICIO],Tabla1[VALOR]*H42),0))</f>
        <v>0</v>
      </c>
      <c r="J42" s="14"/>
      <c r="K42" s="56" cm="1">
        <f t="array" ref="K42">IF(J42="X",(_xlfn.XLOOKUP($B42,Tabla1[SERVICIO],Tabla1[VALOR])*1),IF(J42&gt;=1,_xlfn.XLOOKUP($B42,Tabla1[SERVICIO],Tabla1[VALOR]*J42),0))</f>
        <v>0</v>
      </c>
      <c r="L42" s="14"/>
      <c r="M42" s="56" cm="1">
        <f t="array" ref="M42">IF(L42="X",(_xlfn.XLOOKUP($B42,Tabla1[SERVICIO],Tabla1[VALOR])*1),IF(L42&gt;=1,_xlfn.XLOOKUP($B42,Tabla1[SERVICIO],Tabla1[VALOR]*L42),0))</f>
        <v>0</v>
      </c>
      <c r="N42" s="14"/>
      <c r="O42" s="56" cm="1">
        <f t="array" ref="O42">IF(N42="X",(_xlfn.XLOOKUP($B42,Tabla1[SERVICIO],Tabla1[VALOR])*1),IF(N42&gt;=1,_xlfn.XLOOKUP($B42,Tabla1[SERVICIO],Tabla1[VALOR]*N42),0))</f>
        <v>0</v>
      </c>
      <c r="P42" s="14"/>
      <c r="Q42" s="56" cm="1">
        <f t="array" ref="Q42">IF(P42="X",(_xlfn.XLOOKUP($B42,Tabla1[SERVICIO],Tabla1[VALOR])*1),IF(P42&gt;=1,_xlfn.XLOOKUP($B42,Tabla1[SERVICIO],Tabla1[VALOR]*P42),0))</f>
        <v>0</v>
      </c>
      <c r="R42" s="14"/>
      <c r="S42" s="56" cm="1">
        <f t="array" ref="S42">IF(R42="X",(_xlfn.XLOOKUP($B42,Tabla1[SERVICIO],Tabla1[VALOR])*1),IF(R42&gt;=1,_xlfn.XLOOKUP($B42,Tabla1[SERVICIO],Tabla1[VALOR]*R42),0))</f>
        <v>0</v>
      </c>
      <c r="T42" s="14"/>
      <c r="U42" s="56" cm="1">
        <f t="array" ref="U42">IF(T42="X",(_xlfn.XLOOKUP($B42,Tabla1[SERVICIO],Tabla1[VALOR])*1),IF(T42&gt;=1,_xlfn.XLOOKUP($B42,Tabla1[SERVICIO],Tabla1[VALOR]*T42),0))</f>
        <v>0</v>
      </c>
      <c r="V42" s="14"/>
      <c r="W42" s="56" cm="1">
        <f t="array" ref="W42">IF(V42="X",(_xlfn.XLOOKUP($B42,Tabla1[SERVICIO],Tabla1[VALOR])*1),IF(V42&gt;=1,_xlfn.XLOOKUP($B42,Tabla1[SERVICIO],Tabla1[VALOR]*V42),0))</f>
        <v>0</v>
      </c>
      <c r="X42" s="14"/>
      <c r="Y42" s="56" cm="1">
        <f t="array" ref="Y42">IF(X42="X",(_xlfn.XLOOKUP($B42,Tabla1[SERVICIO],Tabla1[VALOR])*1),IF(X42&gt;=1,_xlfn.XLOOKUP($B42,Tabla1[SERVICIO],Tabla1[VALOR]*X42),0))</f>
        <v>0</v>
      </c>
      <c r="Z42" s="14"/>
      <c r="AA42" s="56" cm="1">
        <f t="array" ref="AA42">IF(Z42="X",(_xlfn.XLOOKUP($B42,Tabla1[SERVICIO],Tabla1[VALOR])*1),IF(Z42&gt;=1,_xlfn.XLOOKUP($B42,Tabla1[SERVICIO],Tabla1[VALOR]*Z42),0))</f>
        <v>0</v>
      </c>
      <c r="AB42" s="14"/>
      <c r="AC42" s="56" cm="1">
        <f t="array" ref="AC42">IF(AB42="X",(_xlfn.XLOOKUP($B42,Tabla1[SERVICIO],Tabla1[VALOR])*1),IF(AB42&gt;=1,_xlfn.XLOOKUP($B42,Tabla1[SERVICIO],Tabla1[VALOR]*AB42),0))</f>
        <v>0</v>
      </c>
      <c r="AD42" s="14"/>
      <c r="AE42" s="56" cm="1">
        <f t="array" ref="AE42">IF(AD42="X",(_xlfn.XLOOKUP($B42,Tabla1[SERVICIO],Tabla1[VALOR])*1),IF(AD42&gt;=1,_xlfn.XLOOKUP($B42,Tabla1[SERVICIO],Tabla1[VALOR]*AD42),0))</f>
        <v>0</v>
      </c>
      <c r="AF42" s="14"/>
      <c r="AG42" s="56" cm="1">
        <f t="array" ref="AG42">IF(AF42="X",(_xlfn.XLOOKUP($B42,Tabla1[SERVICIO],Tabla1[VALOR])*1),IF(AF42&gt;=1,_xlfn.XLOOKUP($B42,Tabla1[SERVICIO],Tabla1[VALOR]*AF42),0))</f>
        <v>0</v>
      </c>
      <c r="AH42" s="14"/>
      <c r="AI42" s="56" cm="1">
        <f t="array" ref="AI42">IF(AH42="X",(_xlfn.XLOOKUP($B42,Tabla1[SERVICIO],Tabla1[VALOR])*1),IF(AH42&gt;=1,_xlfn.XLOOKUP($B42,Tabla1[SERVICIO],Tabla1[VALOR]*AH42),0))</f>
        <v>0</v>
      </c>
      <c r="AJ42" s="14"/>
      <c r="AK42" s="56" cm="1">
        <f t="array" ref="AK42">IF(AJ42="X",(_xlfn.XLOOKUP($B42,Tabla1[SERVICIO],Tabla1[VALOR])*1),IF(AJ42&gt;=1,_xlfn.XLOOKUP($B42,Tabla1[SERVICIO],Tabla1[VALOR]*AJ42),0))</f>
        <v>0</v>
      </c>
      <c r="AL42" s="14">
        <v>1</v>
      </c>
      <c r="AM42" s="56" cm="1">
        <f t="array" ref="AM42">IF(AL42="X",(_xlfn.XLOOKUP($B42,Tabla1[SERVICIO],Tabla1[VALOR])*1),IF(AL42&gt;=1,_xlfn.XLOOKUP($B42,Tabla1[SERVICIO],Tabla1[VALOR]*AL42),0))</f>
        <v>21014.39667403782</v>
      </c>
      <c r="AN42" s="89">
        <f t="shared" si="1"/>
        <v>21014.39667403782</v>
      </c>
      <c r="AO42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2" s="104" t="s">
        <v>318</v>
      </c>
      <c r="AQ42" s="154">
        <v>1</v>
      </c>
      <c r="AR42" s="90">
        <f>+Tabla31737[[#This Row],[TOTAL]]*Tabla31737[[#This Row],[% de las personas que lo usaron]]</f>
        <v>21014.39667403782</v>
      </c>
      <c r="AS42" s="240" t="s">
        <v>331</v>
      </c>
      <c r="AT42" s="335">
        <v>18</v>
      </c>
    </row>
    <row r="43" spans="1:46" ht="15" x14ac:dyDescent="0.25">
      <c r="A43" s="7" t="s">
        <v>19</v>
      </c>
      <c r="B43" s="8" t="s">
        <v>20</v>
      </c>
      <c r="C43" s="96" t="str">
        <f>_xlfn.XLOOKUP(Tabla31737[[#This Row],[Servicios del Programa:]],Tabla151[CODIGO],Tabla151[VALOR])</f>
        <v>Consultas</v>
      </c>
      <c r="D43" s="14">
        <v>1</v>
      </c>
      <c r="E43" s="56" cm="1">
        <f t="array" ref="E43">IF(D43="X",(_xlfn.XLOOKUP($B43,Tabla1[SERVICIO],Tabla1[VALOR])*1),IF(D43&gt;=1,_xlfn.XLOOKUP($B43,Tabla1[SERVICIO],Tabla1[VALOR]*D43),0))</f>
        <v>67398.098568534639</v>
      </c>
      <c r="F43" s="14"/>
      <c r="G43" s="56" cm="1">
        <f t="array" ref="G43">IF(F43="X",(_xlfn.XLOOKUP($B43,Tabla1[SERVICIO],Tabla1[VALOR])*1),IF(F43&gt;=1,_xlfn.XLOOKUP($B43,Tabla1[SERVICIO],Tabla1[VALOR]*F43),0))</f>
        <v>0</v>
      </c>
      <c r="H43" s="14"/>
      <c r="I43" s="56" cm="1">
        <f t="array" ref="I43">IF(H43="X",(_xlfn.XLOOKUP($B43,Tabla1[SERVICIO],Tabla1[VALOR])*1),IF(H43&gt;=1,_xlfn.XLOOKUP($B43,Tabla1[SERVICIO],Tabla1[VALOR]*H43),0))</f>
        <v>0</v>
      </c>
      <c r="J43" s="14"/>
      <c r="K43" s="56" cm="1">
        <f t="array" ref="K43">IF(J43="X",(_xlfn.XLOOKUP($B43,Tabla1[SERVICIO],Tabla1[VALOR])*1),IF(J43&gt;=1,_xlfn.XLOOKUP($B43,Tabla1[SERVICIO],Tabla1[VALOR]*J43),0))</f>
        <v>0</v>
      </c>
      <c r="L43" s="14"/>
      <c r="M43" s="56" cm="1">
        <f t="array" ref="M43">IF(L43="X",(_xlfn.XLOOKUP($B43,Tabla1[SERVICIO],Tabla1[VALOR])*1),IF(L43&gt;=1,_xlfn.XLOOKUP($B43,Tabla1[SERVICIO],Tabla1[VALOR]*L43),0))</f>
        <v>0</v>
      </c>
      <c r="N43" s="14"/>
      <c r="O43" s="56" cm="1">
        <f t="array" ref="O43">IF(N43="X",(_xlfn.XLOOKUP($B43,Tabla1[SERVICIO],Tabla1[VALOR])*1),IF(N43&gt;=1,_xlfn.XLOOKUP($B43,Tabla1[SERVICIO],Tabla1[VALOR]*N43),0))</f>
        <v>0</v>
      </c>
      <c r="P43" s="14"/>
      <c r="Q43" s="56" cm="1">
        <f t="array" ref="Q43">IF(P43="X",(_xlfn.XLOOKUP($B43,Tabla1[SERVICIO],Tabla1[VALOR])*1),IF(P43&gt;=1,_xlfn.XLOOKUP($B43,Tabla1[SERVICIO],Tabla1[VALOR]*P43),0))</f>
        <v>0</v>
      </c>
      <c r="R43" s="14"/>
      <c r="S43" s="56" cm="1">
        <f t="array" ref="S43">IF(R43="X",(_xlfn.XLOOKUP($B43,Tabla1[SERVICIO],Tabla1[VALOR])*1),IF(R43&gt;=1,_xlfn.XLOOKUP($B43,Tabla1[SERVICIO],Tabla1[VALOR]*R43),0))</f>
        <v>0</v>
      </c>
      <c r="T43" s="14"/>
      <c r="U43" s="56" cm="1">
        <f t="array" ref="U43">IF(T43="X",(_xlfn.XLOOKUP($B43,Tabla1[SERVICIO],Tabla1[VALOR])*1),IF(T43&gt;=1,_xlfn.XLOOKUP($B43,Tabla1[SERVICIO],Tabla1[VALOR]*T43),0))</f>
        <v>0</v>
      </c>
      <c r="V43" s="14"/>
      <c r="W43" s="56" cm="1">
        <f t="array" ref="W43">IF(V43="X",(_xlfn.XLOOKUP($B43,Tabla1[SERVICIO],Tabla1[VALOR])*1),IF(V43&gt;=1,_xlfn.XLOOKUP($B43,Tabla1[SERVICIO],Tabla1[VALOR]*V43),0))</f>
        <v>0</v>
      </c>
      <c r="X43" s="14"/>
      <c r="Y43" s="56" cm="1">
        <f t="array" ref="Y43">IF(X43="X",(_xlfn.XLOOKUP($B43,Tabla1[SERVICIO],Tabla1[VALOR])*1),IF(X43&gt;=1,_xlfn.XLOOKUP($B43,Tabla1[SERVICIO],Tabla1[VALOR]*X43),0))</f>
        <v>0</v>
      </c>
      <c r="Z43" s="14"/>
      <c r="AA43" s="56" cm="1">
        <f t="array" ref="AA43">IF(Z43="X",(_xlfn.XLOOKUP($B43,Tabla1[SERVICIO],Tabla1[VALOR])*1),IF(Z43&gt;=1,_xlfn.XLOOKUP($B43,Tabla1[SERVICIO],Tabla1[VALOR]*Z43),0))</f>
        <v>0</v>
      </c>
      <c r="AB43" s="14"/>
      <c r="AC43" s="56" cm="1">
        <f t="array" ref="AC43">IF(AB43="X",(_xlfn.XLOOKUP($B43,Tabla1[SERVICIO],Tabla1[VALOR])*1),IF(AB43&gt;=1,_xlfn.XLOOKUP($B43,Tabla1[SERVICIO],Tabla1[VALOR]*AB43),0))</f>
        <v>0</v>
      </c>
      <c r="AD43" s="14"/>
      <c r="AE43" s="56" cm="1">
        <f t="array" ref="AE43">IF(AD43="X",(_xlfn.XLOOKUP($B43,Tabla1[SERVICIO],Tabla1[VALOR])*1),IF(AD43&gt;=1,_xlfn.XLOOKUP($B43,Tabla1[SERVICIO],Tabla1[VALOR]*AD43),0))</f>
        <v>0</v>
      </c>
      <c r="AF43" s="14"/>
      <c r="AG43" s="56" cm="1">
        <f t="array" ref="AG43">IF(AF43="X",(_xlfn.XLOOKUP($B43,Tabla1[SERVICIO],Tabla1[VALOR])*1),IF(AF43&gt;=1,_xlfn.XLOOKUP($B43,Tabla1[SERVICIO],Tabla1[VALOR]*AF43),0))</f>
        <v>0</v>
      </c>
      <c r="AH43" s="14"/>
      <c r="AI43" s="56" cm="1">
        <f t="array" ref="AI43">IF(AH43="X",(_xlfn.XLOOKUP($B43,Tabla1[SERVICIO],Tabla1[VALOR])*1),IF(AH43&gt;=1,_xlfn.XLOOKUP($B43,Tabla1[SERVICIO],Tabla1[VALOR]*AH43),0))</f>
        <v>0</v>
      </c>
      <c r="AJ43" s="14"/>
      <c r="AK43" s="56" cm="1">
        <f t="array" ref="AK43">IF(AJ43="X",(_xlfn.XLOOKUP($B43,Tabla1[SERVICIO],Tabla1[VALOR])*1),IF(AJ43&gt;=1,_xlfn.XLOOKUP($B43,Tabla1[SERVICIO],Tabla1[VALOR]*AJ43),0))</f>
        <v>0</v>
      </c>
      <c r="AL43" s="14"/>
      <c r="AM43" s="56" cm="1">
        <f t="array" ref="AM43">IF(AL43="X",(_xlfn.XLOOKUP($B43,Tabla1[SERVICIO],Tabla1[VALOR])*1),IF(AL43&gt;=1,_xlfn.XLOOKUP($B43,Tabla1[SERVICIO],Tabla1[VALOR]*AL43),0))</f>
        <v>0</v>
      </c>
      <c r="AN43" s="89">
        <f t="shared" si="1"/>
        <v>67398.098568534639</v>
      </c>
      <c r="AO43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3" s="104" t="s">
        <v>318</v>
      </c>
      <c r="AQ43" s="154">
        <v>1</v>
      </c>
      <c r="AR43" s="90">
        <f>+Tabla31737[[#This Row],[TOTAL]]*Tabla31737[[#This Row],[% de las personas que lo usaron]]</f>
        <v>67398.098568534639</v>
      </c>
      <c r="AS43" s="240" t="s">
        <v>331</v>
      </c>
      <c r="AT43" s="335">
        <v>18</v>
      </c>
    </row>
    <row r="44" spans="1:46" ht="15" x14ac:dyDescent="0.25">
      <c r="A44" s="7" t="s">
        <v>21</v>
      </c>
      <c r="B44" s="8" t="s">
        <v>221</v>
      </c>
      <c r="C44" s="96" t="str">
        <f>_xlfn.XLOOKUP(Tabla31737[[#This Row],[Servicios del Programa:]],Tabla151[CODIGO],Tabla151[VALOR])</f>
        <v>Consultas</v>
      </c>
      <c r="D44" s="14">
        <v>1</v>
      </c>
      <c r="E44" s="56" cm="1">
        <f t="array" ref="E44">IF(D44="X",(_xlfn.XLOOKUP($B44,Tabla1[SERVICIO],Tabla1[VALOR])*1),IF(D44&gt;=1,_xlfn.XLOOKUP($B44,Tabla1[SERVICIO],Tabla1[VALOR]*D44),0))</f>
        <v>67398.098568534639</v>
      </c>
      <c r="F44" s="14"/>
      <c r="G44" s="56" cm="1">
        <f t="array" ref="G44">IF(F44="X",(_xlfn.XLOOKUP($B44,Tabla1[SERVICIO],Tabla1[VALOR])*1),IF(F44&gt;=1,_xlfn.XLOOKUP($B44,Tabla1[SERVICIO],Tabla1[VALOR]*F44),0))</f>
        <v>0</v>
      </c>
      <c r="H44" s="14"/>
      <c r="I44" s="56" cm="1">
        <f t="array" ref="I44">IF(H44="X",(_xlfn.XLOOKUP($B44,Tabla1[SERVICIO],Tabla1[VALOR])*1),IF(H44&gt;=1,_xlfn.XLOOKUP($B44,Tabla1[SERVICIO],Tabla1[VALOR]*H44),0))</f>
        <v>0</v>
      </c>
      <c r="J44" s="14"/>
      <c r="K44" s="56" cm="1">
        <f t="array" ref="K44">IF(J44="X",(_xlfn.XLOOKUP($B44,Tabla1[SERVICIO],Tabla1[VALOR])*1),IF(J44&gt;=1,_xlfn.XLOOKUP($B44,Tabla1[SERVICIO],Tabla1[VALOR]*J44),0))</f>
        <v>0</v>
      </c>
      <c r="L44" s="14"/>
      <c r="M44" s="56" cm="1">
        <f t="array" ref="M44">IF(L44="X",(_xlfn.XLOOKUP($B44,Tabla1[SERVICIO],Tabla1[VALOR])*1),IF(L44&gt;=1,_xlfn.XLOOKUP($B44,Tabla1[SERVICIO],Tabla1[VALOR]*L44),0))</f>
        <v>0</v>
      </c>
      <c r="N44" s="14"/>
      <c r="O44" s="56" cm="1">
        <f t="array" ref="O44">IF(N44="X",(_xlfn.XLOOKUP($B44,Tabla1[SERVICIO],Tabla1[VALOR])*1),IF(N44&gt;=1,_xlfn.XLOOKUP($B44,Tabla1[SERVICIO],Tabla1[VALOR]*N44),0))</f>
        <v>0</v>
      </c>
      <c r="P44" s="14"/>
      <c r="Q44" s="56" cm="1">
        <f t="array" ref="Q44">IF(P44="X",(_xlfn.XLOOKUP($B44,Tabla1[SERVICIO],Tabla1[VALOR])*1),IF(P44&gt;=1,_xlfn.XLOOKUP($B44,Tabla1[SERVICIO],Tabla1[VALOR]*P44),0))</f>
        <v>0</v>
      </c>
      <c r="R44" s="14"/>
      <c r="S44" s="56" cm="1">
        <f t="array" ref="S44">IF(R44="X",(_xlfn.XLOOKUP($B44,Tabla1[SERVICIO],Tabla1[VALOR])*1),IF(R44&gt;=1,_xlfn.XLOOKUP($B44,Tabla1[SERVICIO],Tabla1[VALOR]*R44),0))</f>
        <v>0</v>
      </c>
      <c r="T44" s="14"/>
      <c r="U44" s="56" cm="1">
        <f t="array" ref="U44">IF(T44="X",(_xlfn.XLOOKUP($B44,Tabla1[SERVICIO],Tabla1[VALOR])*1),IF(T44&gt;=1,_xlfn.XLOOKUP($B44,Tabla1[SERVICIO],Tabla1[VALOR]*T44),0))</f>
        <v>0</v>
      </c>
      <c r="V44" s="14"/>
      <c r="W44" s="56" cm="1">
        <f t="array" ref="W44">IF(V44="X",(_xlfn.XLOOKUP($B44,Tabla1[SERVICIO],Tabla1[VALOR])*1),IF(V44&gt;=1,_xlfn.XLOOKUP($B44,Tabla1[SERVICIO],Tabla1[VALOR]*V44),0))</f>
        <v>0</v>
      </c>
      <c r="X44" s="14"/>
      <c r="Y44" s="56" cm="1">
        <f t="array" ref="Y44">IF(X44="X",(_xlfn.XLOOKUP($B44,Tabla1[SERVICIO],Tabla1[VALOR])*1),IF(X44&gt;=1,_xlfn.XLOOKUP($B44,Tabla1[SERVICIO],Tabla1[VALOR]*X44),0))</f>
        <v>0</v>
      </c>
      <c r="Z44" s="14"/>
      <c r="AA44" s="56" cm="1">
        <f t="array" ref="AA44">IF(Z44="X",(_xlfn.XLOOKUP($B44,Tabla1[SERVICIO],Tabla1[VALOR])*1),IF(Z44&gt;=1,_xlfn.XLOOKUP($B44,Tabla1[SERVICIO],Tabla1[VALOR]*Z44),0))</f>
        <v>0</v>
      </c>
      <c r="AB44" s="14"/>
      <c r="AC44" s="56" cm="1">
        <f t="array" ref="AC44">IF(AB44="X",(_xlfn.XLOOKUP($B44,Tabla1[SERVICIO],Tabla1[VALOR])*1),IF(AB44&gt;=1,_xlfn.XLOOKUP($B44,Tabla1[SERVICIO],Tabla1[VALOR]*AB44),0))</f>
        <v>0</v>
      </c>
      <c r="AD44" s="14"/>
      <c r="AE44" s="56" cm="1">
        <f t="array" ref="AE44">IF(AD44="X",(_xlfn.XLOOKUP($B44,Tabla1[SERVICIO],Tabla1[VALOR])*1),IF(AD44&gt;=1,_xlfn.XLOOKUP($B44,Tabla1[SERVICIO],Tabla1[VALOR]*AD44),0))</f>
        <v>0</v>
      </c>
      <c r="AF44" s="14"/>
      <c r="AG44" s="56" cm="1">
        <f t="array" ref="AG44">IF(AF44="X",(_xlfn.XLOOKUP($B44,Tabla1[SERVICIO],Tabla1[VALOR])*1),IF(AF44&gt;=1,_xlfn.XLOOKUP($B44,Tabla1[SERVICIO],Tabla1[VALOR]*AF44),0))</f>
        <v>0</v>
      </c>
      <c r="AH44" s="14"/>
      <c r="AI44" s="56" cm="1">
        <f t="array" ref="AI44">IF(AH44="X",(_xlfn.XLOOKUP($B44,Tabla1[SERVICIO],Tabla1[VALOR])*1),IF(AH44&gt;=1,_xlfn.XLOOKUP($B44,Tabla1[SERVICIO],Tabla1[VALOR]*AH44),0))</f>
        <v>0</v>
      </c>
      <c r="AJ44" s="14"/>
      <c r="AK44" s="56" cm="1">
        <f t="array" ref="AK44">IF(AJ44="X",(_xlfn.XLOOKUP($B44,Tabla1[SERVICIO],Tabla1[VALOR])*1),IF(AJ44&gt;=1,_xlfn.XLOOKUP($B44,Tabla1[SERVICIO],Tabla1[VALOR]*AJ44),0))</f>
        <v>0</v>
      </c>
      <c r="AL44" s="14"/>
      <c r="AM44" s="56" cm="1">
        <f t="array" ref="AM44">IF(AL44="X",(_xlfn.XLOOKUP($B44,Tabla1[SERVICIO],Tabla1[VALOR])*1),IF(AL44&gt;=1,_xlfn.XLOOKUP($B44,Tabla1[SERVICIO],Tabla1[VALOR]*AL44),0))</f>
        <v>0</v>
      </c>
      <c r="AN44" s="89">
        <f t="shared" si="1"/>
        <v>67398.098568534639</v>
      </c>
      <c r="AO44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4" s="104" t="s">
        <v>319</v>
      </c>
      <c r="AQ44" s="161">
        <v>0.52513966480446927</v>
      </c>
      <c r="AR44" s="90">
        <f>+Tabla31737[[#This Row],[TOTAL]]*Tabla31737[[#This Row],[% de las personas que lo usaron]]</f>
        <v>35393.414890738859</v>
      </c>
      <c r="AS44" s="240" t="s">
        <v>331</v>
      </c>
      <c r="AT44" s="335">
        <v>18</v>
      </c>
    </row>
    <row r="45" spans="1:46" ht="15" x14ac:dyDescent="0.25">
      <c r="A45" s="7" t="s">
        <v>52</v>
      </c>
      <c r="B45" s="8" t="s">
        <v>191</v>
      </c>
      <c r="C45" s="96" t="str">
        <f>_xlfn.XLOOKUP(Tabla31737[[#This Row],[Servicios del Programa:]],Tabla151[CODIGO],Tabla151[VALOR])</f>
        <v>Consultas</v>
      </c>
      <c r="D45" s="14">
        <v>1</v>
      </c>
      <c r="E45" s="56" cm="1">
        <f t="array" ref="E45">IF(D45="X",(_xlfn.XLOOKUP($B45,Tabla1[SERVICIO],Tabla1[VALOR])*1),IF(D45&gt;=1,_xlfn.XLOOKUP($B45,Tabla1[SERVICIO],Tabla1[VALOR]*D45),0))</f>
        <v>26897.079640267821</v>
      </c>
      <c r="F45" s="14"/>
      <c r="G45" s="56" cm="1">
        <f t="array" ref="G45">IF(F45="X",(_xlfn.XLOOKUP($B45,Tabla1[SERVICIO],Tabla1[VALOR])*1),IF(F45&gt;=1,_xlfn.XLOOKUP($B45,Tabla1[SERVICIO],Tabla1[VALOR]*F45),0))</f>
        <v>0</v>
      </c>
      <c r="H45" s="14"/>
      <c r="I45" s="56" cm="1">
        <f t="array" ref="I45">IF(H45="X",(_xlfn.XLOOKUP($B45,Tabla1[SERVICIO],Tabla1[VALOR])*1),IF(H45&gt;=1,_xlfn.XLOOKUP($B45,Tabla1[SERVICIO],Tabla1[VALOR]*H45),0))</f>
        <v>0</v>
      </c>
      <c r="J45" s="14"/>
      <c r="K45" s="56" cm="1">
        <f t="array" ref="K45">IF(J45="X",(_xlfn.XLOOKUP($B45,Tabla1[SERVICIO],Tabla1[VALOR])*1),IF(J45&gt;=1,_xlfn.XLOOKUP($B45,Tabla1[SERVICIO],Tabla1[VALOR]*J45),0))</f>
        <v>0</v>
      </c>
      <c r="L45" s="14"/>
      <c r="M45" s="56" cm="1">
        <f t="array" ref="M45">IF(L45="X",(_xlfn.XLOOKUP($B45,Tabla1[SERVICIO],Tabla1[VALOR])*1),IF(L45&gt;=1,_xlfn.XLOOKUP($B45,Tabla1[SERVICIO],Tabla1[VALOR]*L45),0))</f>
        <v>0</v>
      </c>
      <c r="N45" s="14"/>
      <c r="O45" s="56" cm="1">
        <f t="array" ref="O45">IF(N45="X",(_xlfn.XLOOKUP($B45,Tabla1[SERVICIO],Tabla1[VALOR])*1),IF(N45&gt;=1,_xlfn.XLOOKUP($B45,Tabla1[SERVICIO],Tabla1[VALOR]*N45),0))</f>
        <v>0</v>
      </c>
      <c r="P45" s="14"/>
      <c r="Q45" s="56" cm="1">
        <f t="array" ref="Q45">IF(P45="X",(_xlfn.XLOOKUP($B45,Tabla1[SERVICIO],Tabla1[VALOR])*1),IF(P45&gt;=1,_xlfn.XLOOKUP($B45,Tabla1[SERVICIO],Tabla1[VALOR]*P45),0))</f>
        <v>0</v>
      </c>
      <c r="R45" s="14"/>
      <c r="S45" s="56" cm="1">
        <f t="array" ref="S45">IF(R45="X",(_xlfn.XLOOKUP($B45,Tabla1[SERVICIO],Tabla1[VALOR])*1),IF(R45&gt;=1,_xlfn.XLOOKUP($B45,Tabla1[SERVICIO],Tabla1[VALOR]*R45),0))</f>
        <v>0</v>
      </c>
      <c r="T45" s="14"/>
      <c r="U45" s="56" cm="1">
        <f t="array" ref="U45">IF(T45="X",(_xlfn.XLOOKUP($B45,Tabla1[SERVICIO],Tabla1[VALOR])*1),IF(T45&gt;=1,_xlfn.XLOOKUP($B45,Tabla1[SERVICIO],Tabla1[VALOR]*T45),0))</f>
        <v>0</v>
      </c>
      <c r="V45" s="14"/>
      <c r="W45" s="56" cm="1">
        <f t="array" ref="W45">IF(V45="X",(_xlfn.XLOOKUP($B45,Tabla1[SERVICIO],Tabla1[VALOR])*1),IF(V45&gt;=1,_xlfn.XLOOKUP($B45,Tabla1[SERVICIO],Tabla1[VALOR]*V45),0))</f>
        <v>0</v>
      </c>
      <c r="X45" s="14"/>
      <c r="Y45" s="56" cm="1">
        <f t="array" ref="Y45">IF(X45="X",(_xlfn.XLOOKUP($B45,Tabla1[SERVICIO],Tabla1[VALOR])*1),IF(X45&gt;=1,_xlfn.XLOOKUP($B45,Tabla1[SERVICIO],Tabla1[VALOR]*X45),0))</f>
        <v>0</v>
      </c>
      <c r="Z45" s="14"/>
      <c r="AA45" s="56" cm="1">
        <f t="array" ref="AA45">IF(Z45="X",(_xlfn.XLOOKUP($B45,Tabla1[SERVICIO],Tabla1[VALOR])*1),IF(Z45&gt;=1,_xlfn.XLOOKUP($B45,Tabla1[SERVICIO],Tabla1[VALOR]*Z45),0))</f>
        <v>0</v>
      </c>
      <c r="AB45" s="14"/>
      <c r="AC45" s="56" cm="1">
        <f t="array" ref="AC45">IF(AB45="X",(_xlfn.XLOOKUP($B45,Tabla1[SERVICIO],Tabla1[VALOR])*1),IF(AB45&gt;=1,_xlfn.XLOOKUP($B45,Tabla1[SERVICIO],Tabla1[VALOR]*AB45),0))</f>
        <v>0</v>
      </c>
      <c r="AD45" s="14"/>
      <c r="AE45" s="56" cm="1">
        <f t="array" ref="AE45">IF(AD45="X",(_xlfn.XLOOKUP($B45,Tabla1[SERVICIO],Tabla1[VALOR])*1),IF(AD45&gt;=1,_xlfn.XLOOKUP($B45,Tabla1[SERVICIO],Tabla1[VALOR]*AD45),0))</f>
        <v>0</v>
      </c>
      <c r="AF45" s="14"/>
      <c r="AG45" s="56" cm="1">
        <f t="array" ref="AG45">IF(AF45="X",(_xlfn.XLOOKUP($B45,Tabla1[SERVICIO],Tabla1[VALOR])*1),IF(AF45&gt;=1,_xlfn.XLOOKUP($B45,Tabla1[SERVICIO],Tabla1[VALOR]*AF45),0))</f>
        <v>0</v>
      </c>
      <c r="AH45" s="14"/>
      <c r="AI45" s="56" cm="1">
        <f t="array" ref="AI45">IF(AH45="X",(_xlfn.XLOOKUP($B45,Tabla1[SERVICIO],Tabla1[VALOR])*1),IF(AH45&gt;=1,_xlfn.XLOOKUP($B45,Tabla1[SERVICIO],Tabla1[VALOR]*AH45),0))</f>
        <v>0</v>
      </c>
      <c r="AJ45" s="14"/>
      <c r="AK45" s="56" cm="1">
        <f t="array" ref="AK45">IF(AJ45="X",(_xlfn.XLOOKUP($B45,Tabla1[SERVICIO],Tabla1[VALOR])*1),IF(AJ45&gt;=1,_xlfn.XLOOKUP($B45,Tabla1[SERVICIO],Tabla1[VALOR]*AJ45),0))</f>
        <v>0</v>
      </c>
      <c r="AL45" s="14"/>
      <c r="AM45" s="56" cm="1">
        <f t="array" ref="AM45">IF(AL45="X",(_xlfn.XLOOKUP($B45,Tabla1[SERVICIO],Tabla1[VALOR])*1),IF(AL45&gt;=1,_xlfn.XLOOKUP($B45,Tabla1[SERVICIO],Tabla1[VALOR]*AL45),0))</f>
        <v>0</v>
      </c>
      <c r="AN45" s="89">
        <f t="shared" si="1"/>
        <v>26897.079640267821</v>
      </c>
      <c r="AO45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5" s="104" t="s">
        <v>319</v>
      </c>
      <c r="AQ45" s="154">
        <v>0</v>
      </c>
      <c r="AR45" s="90">
        <f>+Tabla31737[[#This Row],[TOTAL]]*Tabla31737[[#This Row],[% de las personas que lo usaron]]</f>
        <v>0</v>
      </c>
      <c r="AS45" s="240" t="s">
        <v>331</v>
      </c>
      <c r="AT45" s="335">
        <v>18</v>
      </c>
    </row>
    <row r="46" spans="1:46" ht="15" x14ac:dyDescent="0.25">
      <c r="A46" s="7" t="s">
        <v>53</v>
      </c>
      <c r="B46" s="8" t="s">
        <v>230</v>
      </c>
      <c r="C46" s="96" t="str">
        <f>_xlfn.XLOOKUP(Tabla31737[[#This Row],[Servicios del Programa:]],Tabla151[CODIGO],Tabla151[VALOR])</f>
        <v>Consultas</v>
      </c>
      <c r="D46" s="14">
        <v>1</v>
      </c>
      <c r="E46" s="56" cm="1">
        <f t="array" ref="E46">IF(D46="X",(_xlfn.XLOOKUP($B46,Tabla1[SERVICIO],Tabla1[VALOR])*1),IF(D46&gt;=1,_xlfn.XLOOKUP($B46,Tabla1[SERVICIO],Tabla1[VALOR]*D46),0))</f>
        <v>26897.079640267817</v>
      </c>
      <c r="F46" s="14"/>
      <c r="G46" s="56" cm="1">
        <f t="array" ref="G46">IF(F46="X",(_xlfn.XLOOKUP($B46,Tabla1[SERVICIO],Tabla1[VALOR])*1),IF(F46&gt;=1,_xlfn.XLOOKUP($B46,Tabla1[SERVICIO],Tabla1[VALOR]*F46),0))</f>
        <v>0</v>
      </c>
      <c r="H46" s="14"/>
      <c r="I46" s="56" cm="1">
        <f t="array" ref="I46">IF(H46="X",(_xlfn.XLOOKUP($B46,Tabla1[SERVICIO],Tabla1[VALOR])*1),IF(H46&gt;=1,_xlfn.XLOOKUP($B46,Tabla1[SERVICIO],Tabla1[VALOR]*H46),0))</f>
        <v>0</v>
      </c>
      <c r="J46" s="14"/>
      <c r="K46" s="56" cm="1">
        <f t="array" ref="K46">IF(J46="X",(_xlfn.XLOOKUP($B46,Tabla1[SERVICIO],Tabla1[VALOR])*1),IF(J46&gt;=1,_xlfn.XLOOKUP($B46,Tabla1[SERVICIO],Tabla1[VALOR]*J46),0))</f>
        <v>0</v>
      </c>
      <c r="L46" s="14"/>
      <c r="M46" s="56" cm="1">
        <f t="array" ref="M46">IF(L46="X",(_xlfn.XLOOKUP($B46,Tabla1[SERVICIO],Tabla1[VALOR])*1),IF(L46&gt;=1,_xlfn.XLOOKUP($B46,Tabla1[SERVICIO],Tabla1[VALOR]*L46),0))</f>
        <v>0</v>
      </c>
      <c r="N46" s="14"/>
      <c r="O46" s="56" cm="1">
        <f t="array" ref="O46">IF(N46="X",(_xlfn.XLOOKUP($B46,Tabla1[SERVICIO],Tabla1[VALOR])*1),IF(N46&gt;=1,_xlfn.XLOOKUP($B46,Tabla1[SERVICIO],Tabla1[VALOR]*N46),0))</f>
        <v>0</v>
      </c>
      <c r="P46" s="14"/>
      <c r="Q46" s="56" cm="1">
        <f t="array" ref="Q46">IF(P46="X",(_xlfn.XLOOKUP($B46,Tabla1[SERVICIO],Tabla1[VALOR])*1),IF(P46&gt;=1,_xlfn.XLOOKUP($B46,Tabla1[SERVICIO],Tabla1[VALOR]*P46),0))</f>
        <v>0</v>
      </c>
      <c r="R46" s="14"/>
      <c r="S46" s="56" cm="1">
        <f t="array" ref="S46">IF(R46="X",(_xlfn.XLOOKUP($B46,Tabla1[SERVICIO],Tabla1[VALOR])*1),IF(R46&gt;=1,_xlfn.XLOOKUP($B46,Tabla1[SERVICIO],Tabla1[VALOR]*R46),0))</f>
        <v>0</v>
      </c>
      <c r="T46" s="14"/>
      <c r="U46" s="56" cm="1">
        <f t="array" ref="U46">IF(T46="X",(_xlfn.XLOOKUP($B46,Tabla1[SERVICIO],Tabla1[VALOR])*1),IF(T46&gt;=1,_xlfn.XLOOKUP($B46,Tabla1[SERVICIO],Tabla1[VALOR]*T46),0))</f>
        <v>0</v>
      </c>
      <c r="V46" s="14"/>
      <c r="W46" s="56" cm="1">
        <f t="array" ref="W46">IF(V46="X",(_xlfn.XLOOKUP($B46,Tabla1[SERVICIO],Tabla1[VALOR])*1),IF(V46&gt;=1,_xlfn.XLOOKUP($B46,Tabla1[SERVICIO],Tabla1[VALOR]*V46),0))</f>
        <v>0</v>
      </c>
      <c r="X46" s="14"/>
      <c r="Y46" s="56" cm="1">
        <f t="array" ref="Y46">IF(X46="X",(_xlfn.XLOOKUP($B46,Tabla1[SERVICIO],Tabla1[VALOR])*1),IF(X46&gt;=1,_xlfn.XLOOKUP($B46,Tabla1[SERVICIO],Tabla1[VALOR]*X46),0))</f>
        <v>0</v>
      </c>
      <c r="Z46" s="14"/>
      <c r="AA46" s="56" cm="1">
        <f t="array" ref="AA46">IF(Z46="X",(_xlfn.XLOOKUP($B46,Tabla1[SERVICIO],Tabla1[VALOR])*1),IF(Z46&gt;=1,_xlfn.XLOOKUP($B46,Tabla1[SERVICIO],Tabla1[VALOR]*Z46),0))</f>
        <v>0</v>
      </c>
      <c r="AB46" s="14"/>
      <c r="AC46" s="56" cm="1">
        <f t="array" ref="AC46">IF(AB46="X",(_xlfn.XLOOKUP($B46,Tabla1[SERVICIO],Tabla1[VALOR])*1),IF(AB46&gt;=1,_xlfn.XLOOKUP($B46,Tabla1[SERVICIO],Tabla1[VALOR]*AB46),0))</f>
        <v>0</v>
      </c>
      <c r="AD46" s="14"/>
      <c r="AE46" s="56" cm="1">
        <f t="array" ref="AE46">IF(AD46="X",(_xlfn.XLOOKUP($B46,Tabla1[SERVICIO],Tabla1[VALOR])*1),IF(AD46&gt;=1,_xlfn.XLOOKUP($B46,Tabla1[SERVICIO],Tabla1[VALOR]*AD46),0))</f>
        <v>0</v>
      </c>
      <c r="AF46" s="14"/>
      <c r="AG46" s="56" cm="1">
        <f t="array" ref="AG46">IF(AF46="X",(_xlfn.XLOOKUP($B46,Tabla1[SERVICIO],Tabla1[VALOR])*1),IF(AF46&gt;=1,_xlfn.XLOOKUP($B46,Tabla1[SERVICIO],Tabla1[VALOR]*AF46),0))</f>
        <v>0</v>
      </c>
      <c r="AH46" s="14"/>
      <c r="AI46" s="56" cm="1">
        <f t="array" ref="AI46">IF(AH46="X",(_xlfn.XLOOKUP($B46,Tabla1[SERVICIO],Tabla1[VALOR])*1),IF(AH46&gt;=1,_xlfn.XLOOKUP($B46,Tabla1[SERVICIO],Tabla1[VALOR]*AH46),0))</f>
        <v>0</v>
      </c>
      <c r="AJ46" s="14"/>
      <c r="AK46" s="56" cm="1">
        <f t="array" ref="AK46">IF(AJ46="X",(_xlfn.XLOOKUP($B46,Tabla1[SERVICIO],Tabla1[VALOR])*1),IF(AJ46&gt;=1,_xlfn.XLOOKUP($B46,Tabla1[SERVICIO],Tabla1[VALOR]*AJ46),0))</f>
        <v>0</v>
      </c>
      <c r="AL46" s="14"/>
      <c r="AM46" s="56" cm="1">
        <f t="array" ref="AM46">IF(AL46="X",(_xlfn.XLOOKUP($B46,Tabla1[SERVICIO],Tabla1[VALOR])*1),IF(AL46&gt;=1,_xlfn.XLOOKUP($B46,Tabla1[SERVICIO],Tabla1[VALOR]*AL46),0))</f>
        <v>0</v>
      </c>
      <c r="AN46" s="89">
        <f t="shared" si="1"/>
        <v>26897.079640267817</v>
      </c>
      <c r="AO46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6" s="104" t="s">
        <v>319</v>
      </c>
      <c r="AQ46" s="154">
        <v>5.5865921787709499E-3</v>
      </c>
      <c r="AR46" s="90">
        <f>+Tabla31737[[#This Row],[TOTAL]]*Tabla31737[[#This Row],[% de las personas que lo usaron]]</f>
        <v>150.26301475009953</v>
      </c>
      <c r="AS46" s="240" t="s">
        <v>331</v>
      </c>
      <c r="AT46" s="335">
        <v>18</v>
      </c>
    </row>
    <row r="47" spans="1:46" ht="15" x14ac:dyDescent="0.25">
      <c r="A47" s="7" t="s">
        <v>5</v>
      </c>
      <c r="B47" s="8" t="s">
        <v>6</v>
      </c>
      <c r="C47" s="96" t="str">
        <f>_xlfn.XLOOKUP(Tabla31737[[#This Row],[Servicios del Programa:]],Tabla151[CODIGO],Tabla151[VALOR])</f>
        <v>Consultas</v>
      </c>
      <c r="D47" s="14">
        <v>1</v>
      </c>
      <c r="E47" s="56" cm="1">
        <f t="array" ref="E47">IF(D47="X",(_xlfn.XLOOKUP($B47,Tabla1[SERVICIO],Tabla1[VALOR])*1),IF(D47&gt;=1,_xlfn.XLOOKUP($B47,Tabla1[SERVICIO],Tabla1[VALOR]*D47),0))</f>
        <v>18768.367820181349</v>
      </c>
      <c r="F47" s="14"/>
      <c r="G47" s="56" cm="1">
        <f t="array" ref="G47">IF(F47="X",(_xlfn.XLOOKUP($B47,Tabla1[SERVICIO],Tabla1[VALOR])*1),IF(F47&gt;=1,_xlfn.XLOOKUP($B47,Tabla1[SERVICIO],Tabla1[VALOR]*F47),0))</f>
        <v>0</v>
      </c>
      <c r="H47" s="14"/>
      <c r="I47" s="56" cm="1">
        <f t="array" ref="I47">IF(H47="X",(_xlfn.XLOOKUP($B47,Tabla1[SERVICIO],Tabla1[VALOR])*1),IF(H47&gt;=1,_xlfn.XLOOKUP($B47,Tabla1[SERVICIO],Tabla1[VALOR]*H47),0))</f>
        <v>0</v>
      </c>
      <c r="J47" s="14"/>
      <c r="K47" s="56" cm="1">
        <f t="array" ref="K47">IF(J47="X",(_xlfn.XLOOKUP($B47,Tabla1[SERVICIO],Tabla1[VALOR])*1),IF(J47&gt;=1,_xlfn.XLOOKUP($B47,Tabla1[SERVICIO],Tabla1[VALOR]*J47),0))</f>
        <v>0</v>
      </c>
      <c r="L47" s="14"/>
      <c r="M47" s="56" cm="1">
        <f t="array" ref="M47">IF(L47="X",(_xlfn.XLOOKUP($B47,Tabla1[SERVICIO],Tabla1[VALOR])*1),IF(L47&gt;=1,_xlfn.XLOOKUP($B47,Tabla1[SERVICIO],Tabla1[VALOR]*L47),0))</f>
        <v>0</v>
      </c>
      <c r="N47" s="14"/>
      <c r="O47" s="56" cm="1">
        <f t="array" ref="O47">IF(N47="X",(_xlfn.XLOOKUP($B47,Tabla1[SERVICIO],Tabla1[VALOR])*1),IF(N47&gt;=1,_xlfn.XLOOKUP($B47,Tabla1[SERVICIO],Tabla1[VALOR]*N47),0))</f>
        <v>0</v>
      </c>
      <c r="P47" s="8"/>
      <c r="Q47" s="56" cm="1">
        <f t="array" ref="Q47">IF(P47="X",(_xlfn.XLOOKUP($B47,Tabla1[SERVICIO],Tabla1[VALOR])*1),IF(P47&gt;=1,_xlfn.XLOOKUP($B47,Tabla1[SERVICIO],Tabla1[VALOR]*P47),0))</f>
        <v>0</v>
      </c>
      <c r="R47" s="8"/>
      <c r="S47" s="56" cm="1">
        <f t="array" ref="S47">IF(R47="X",(_xlfn.XLOOKUP($B47,Tabla1[SERVICIO],Tabla1[VALOR])*1),IF(R47&gt;=1,_xlfn.XLOOKUP($B47,Tabla1[SERVICIO],Tabla1[VALOR]*R47),0))</f>
        <v>0</v>
      </c>
      <c r="T47" s="8"/>
      <c r="U47" s="56" cm="1">
        <f t="array" ref="U47">IF(T47="X",(_xlfn.XLOOKUP($B47,Tabla1[SERVICIO],Tabla1[VALOR])*1),IF(T47&gt;=1,_xlfn.XLOOKUP($B47,Tabla1[SERVICIO],Tabla1[VALOR]*T47),0))</f>
        <v>0</v>
      </c>
      <c r="V47" s="8"/>
      <c r="W47" s="56" cm="1">
        <f t="array" ref="W47">IF(V47="X",(_xlfn.XLOOKUP($B47,Tabla1[SERVICIO],Tabla1[VALOR])*1),IF(V47&gt;=1,_xlfn.XLOOKUP($B47,Tabla1[SERVICIO],Tabla1[VALOR]*V47),0))</f>
        <v>0</v>
      </c>
      <c r="X47" s="8"/>
      <c r="Y47" s="56" cm="1">
        <f t="array" ref="Y47">IF(X47="X",(_xlfn.XLOOKUP($B47,Tabla1[SERVICIO],Tabla1[VALOR])*1),IF(X47&gt;=1,_xlfn.XLOOKUP($B47,Tabla1[SERVICIO],Tabla1[VALOR]*X47),0))</f>
        <v>0</v>
      </c>
      <c r="Z47" s="8"/>
      <c r="AA47" s="56" cm="1">
        <f t="array" ref="AA47">IF(Z47="X",(_xlfn.XLOOKUP($B47,Tabla1[SERVICIO],Tabla1[VALOR])*1),IF(Z47&gt;=1,_xlfn.XLOOKUP($B47,Tabla1[SERVICIO],Tabla1[VALOR]*Z47),0))</f>
        <v>0</v>
      </c>
      <c r="AB47" s="8"/>
      <c r="AC47" s="56" cm="1">
        <f t="array" ref="AC47">IF(AB47="X",(_xlfn.XLOOKUP($B47,Tabla1[SERVICIO],Tabla1[VALOR])*1),IF(AB47&gt;=1,_xlfn.XLOOKUP($B47,Tabla1[SERVICIO],Tabla1[VALOR]*AB47),0))</f>
        <v>0</v>
      </c>
      <c r="AD47" s="8"/>
      <c r="AE47" s="56" cm="1">
        <f t="array" ref="AE47">IF(AD47="X",(_xlfn.XLOOKUP($B47,Tabla1[SERVICIO],Tabla1[VALOR])*1),IF(AD47&gt;=1,_xlfn.XLOOKUP($B47,Tabla1[SERVICIO],Tabla1[VALOR]*AD47),0))</f>
        <v>0</v>
      </c>
      <c r="AF47" s="8"/>
      <c r="AG47" s="56" cm="1">
        <f t="array" ref="AG47">IF(AF47="X",(_xlfn.XLOOKUP($B47,Tabla1[SERVICIO],Tabla1[VALOR])*1),IF(AF47&gt;=1,_xlfn.XLOOKUP($B47,Tabla1[SERVICIO],Tabla1[VALOR]*AF47),0))</f>
        <v>0</v>
      </c>
      <c r="AH47" s="8"/>
      <c r="AI47" s="56" cm="1">
        <f t="array" ref="AI47">IF(AH47="X",(_xlfn.XLOOKUP($B47,Tabla1[SERVICIO],Tabla1[VALOR])*1),IF(AH47&gt;=1,_xlfn.XLOOKUP($B47,Tabla1[SERVICIO],Tabla1[VALOR]*AH47),0))</f>
        <v>0</v>
      </c>
      <c r="AJ47" s="8"/>
      <c r="AK47" s="56" cm="1">
        <f t="array" ref="AK47">IF(AJ47="X",(_xlfn.XLOOKUP($B47,Tabla1[SERVICIO],Tabla1[VALOR])*1),IF(AJ47&gt;=1,_xlfn.XLOOKUP($B47,Tabla1[SERVICIO],Tabla1[VALOR]*AJ47),0))</f>
        <v>0</v>
      </c>
      <c r="AL47" s="14"/>
      <c r="AM47" s="56" cm="1">
        <f t="array" ref="AM47">IF(AL47="X",(_xlfn.XLOOKUP($B47,Tabla1[SERVICIO],Tabla1[VALOR])*1),IF(AL47&gt;=1,_xlfn.XLOOKUP($B47,Tabla1[SERVICIO],Tabla1[VALOR]*AL47),0))</f>
        <v>0</v>
      </c>
      <c r="AN47" s="89">
        <f t="shared" si="1"/>
        <v>18768.367820181349</v>
      </c>
      <c r="AO47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7" s="104" t="s">
        <v>318</v>
      </c>
      <c r="AQ47" s="154">
        <v>1</v>
      </c>
      <c r="AR47" s="90">
        <f>+Tabla31737[[#This Row],[TOTAL]]*Tabla31737[[#This Row],[% de las personas que lo usaron]]</f>
        <v>18768.367820181349</v>
      </c>
      <c r="AS47" s="240" t="s">
        <v>331</v>
      </c>
      <c r="AT47" s="335">
        <v>18</v>
      </c>
    </row>
    <row r="48" spans="1:46" ht="15" x14ac:dyDescent="0.25">
      <c r="A48" s="7" t="s">
        <v>17</v>
      </c>
      <c r="B48" s="8" t="s">
        <v>18</v>
      </c>
      <c r="C48" s="96" t="str">
        <f>_xlfn.XLOOKUP(Tabla31737[[#This Row],[Servicios del Programa:]],Tabla151[CODIGO],Tabla151[VALOR])</f>
        <v>Consultas</v>
      </c>
      <c r="D48" s="14"/>
      <c r="E48" s="56" cm="1">
        <f t="array" ref="E48">IF(D48="X",(_xlfn.XLOOKUP($B48,Tabla1[SERVICIO],Tabla1[VALOR])*1),IF(D48&gt;=1,_xlfn.XLOOKUP($B48,Tabla1[SERVICIO],Tabla1[VALOR]*D48),0))</f>
        <v>0</v>
      </c>
      <c r="F48" s="14"/>
      <c r="G48" s="56" cm="1">
        <f t="array" ref="G48">IF(F48="X",(_xlfn.XLOOKUP($B48,Tabla1[SERVICIO],Tabla1[VALOR])*1),IF(F48&gt;=1,_xlfn.XLOOKUP($B48,Tabla1[SERVICIO],Tabla1[VALOR]*F48),0))</f>
        <v>0</v>
      </c>
      <c r="H48" s="14"/>
      <c r="I48" s="56" cm="1">
        <f t="array" ref="I48">IF(H48="X",(_xlfn.XLOOKUP($B48,Tabla1[SERVICIO],Tabla1[VALOR])*1),IF(H48&gt;=1,_xlfn.XLOOKUP($B48,Tabla1[SERVICIO],Tabla1[VALOR]*H48),0))</f>
        <v>0</v>
      </c>
      <c r="J48" s="14"/>
      <c r="K48" s="56" cm="1">
        <f t="array" ref="K48">IF(J48="X",(_xlfn.XLOOKUP($B48,Tabla1[SERVICIO],Tabla1[VALOR])*1),IF(J48&gt;=1,_xlfn.XLOOKUP($B48,Tabla1[SERVICIO],Tabla1[VALOR]*J48),0))</f>
        <v>0</v>
      </c>
      <c r="L48" s="14"/>
      <c r="M48" s="56" cm="1">
        <f t="array" ref="M48">IF(L48="X",(_xlfn.XLOOKUP($B48,Tabla1[SERVICIO],Tabla1[VALOR])*1),IF(L48&gt;=1,_xlfn.XLOOKUP($B48,Tabla1[SERVICIO],Tabla1[VALOR]*L48),0))</f>
        <v>0</v>
      </c>
      <c r="N48" s="14">
        <v>1</v>
      </c>
      <c r="O48" s="56" cm="1">
        <f t="array" ref="O48">IF(N48="X",(_xlfn.XLOOKUP($B48,Tabla1[SERVICIO],Tabla1[VALOR])*1),IF(N48&gt;=1,_xlfn.XLOOKUP($B48,Tabla1[SERVICIO],Tabla1[VALOR]*N48),0))</f>
        <v>20414.75585737115</v>
      </c>
      <c r="P48" s="8"/>
      <c r="Q48" s="56" cm="1">
        <f t="array" ref="Q48">IF(P48="X",(_xlfn.XLOOKUP($B48,Tabla1[SERVICIO],Tabla1[VALOR])*1),IF(P48&gt;=1,_xlfn.XLOOKUP($B48,Tabla1[SERVICIO],Tabla1[VALOR]*P48),0))</f>
        <v>0</v>
      </c>
      <c r="R48" s="8"/>
      <c r="S48" s="56" cm="1">
        <f t="array" ref="S48">IF(R48="X",(_xlfn.XLOOKUP($B48,Tabla1[SERVICIO],Tabla1[VALOR])*1),IF(R48&gt;=1,_xlfn.XLOOKUP($B48,Tabla1[SERVICIO],Tabla1[VALOR]*R48),0))</f>
        <v>0</v>
      </c>
      <c r="T48" s="8"/>
      <c r="U48" s="56" cm="1">
        <f t="array" ref="U48">IF(T48="X",(_xlfn.XLOOKUP($B48,Tabla1[SERVICIO],Tabla1[VALOR])*1),IF(T48&gt;=1,_xlfn.XLOOKUP($B48,Tabla1[SERVICIO],Tabla1[VALOR]*T48),0))</f>
        <v>0</v>
      </c>
      <c r="V48" s="8"/>
      <c r="W48" s="56" cm="1">
        <f t="array" ref="W48">IF(V48="X",(_xlfn.XLOOKUP($B48,Tabla1[SERVICIO],Tabla1[VALOR])*1),IF(V48&gt;=1,_xlfn.XLOOKUP($B48,Tabla1[SERVICIO],Tabla1[VALOR]*V48),0))</f>
        <v>0</v>
      </c>
      <c r="X48" s="8"/>
      <c r="Y48" s="56" cm="1">
        <f t="array" ref="Y48">IF(X48="X",(_xlfn.XLOOKUP($B48,Tabla1[SERVICIO],Tabla1[VALOR])*1),IF(X48&gt;=1,_xlfn.XLOOKUP($B48,Tabla1[SERVICIO],Tabla1[VALOR]*X48),0))</f>
        <v>0</v>
      </c>
      <c r="Z48" s="8"/>
      <c r="AA48" s="56" cm="1">
        <f t="array" ref="AA48">IF(Z48="X",(_xlfn.XLOOKUP($B48,Tabla1[SERVICIO],Tabla1[VALOR])*1),IF(Z48&gt;=1,_xlfn.XLOOKUP($B48,Tabla1[SERVICIO],Tabla1[VALOR]*Z48),0))</f>
        <v>0</v>
      </c>
      <c r="AB48" s="8"/>
      <c r="AC48" s="56" cm="1">
        <f t="array" ref="AC48">IF(AB48="X",(_xlfn.XLOOKUP($B48,Tabla1[SERVICIO],Tabla1[VALOR])*1),IF(AB48&gt;=1,_xlfn.XLOOKUP($B48,Tabla1[SERVICIO],Tabla1[VALOR]*AB48),0))</f>
        <v>0</v>
      </c>
      <c r="AD48" s="8"/>
      <c r="AE48" s="56" cm="1">
        <f t="array" ref="AE48">IF(AD48="X",(_xlfn.XLOOKUP($B48,Tabla1[SERVICIO],Tabla1[VALOR])*1),IF(AD48&gt;=1,_xlfn.XLOOKUP($B48,Tabla1[SERVICIO],Tabla1[VALOR]*AD48),0))</f>
        <v>0</v>
      </c>
      <c r="AF48" s="8"/>
      <c r="AG48" s="56" cm="1">
        <f t="array" ref="AG48">IF(AF48="X",(_xlfn.XLOOKUP($B48,Tabla1[SERVICIO],Tabla1[VALOR])*1),IF(AF48&gt;=1,_xlfn.XLOOKUP($B48,Tabla1[SERVICIO],Tabla1[VALOR]*AF48),0))</f>
        <v>0</v>
      </c>
      <c r="AH48" s="8"/>
      <c r="AI48" s="56" cm="1">
        <f t="array" ref="AI48">IF(AH48="X",(_xlfn.XLOOKUP($B48,Tabla1[SERVICIO],Tabla1[VALOR])*1),IF(AH48&gt;=1,_xlfn.XLOOKUP($B48,Tabla1[SERVICIO],Tabla1[VALOR]*AH48),0))</f>
        <v>0</v>
      </c>
      <c r="AJ48" s="8"/>
      <c r="AK48" s="56" cm="1">
        <f t="array" ref="AK48">IF(AJ48="X",(_xlfn.XLOOKUP($B48,Tabla1[SERVICIO],Tabla1[VALOR])*1),IF(AJ48&gt;=1,_xlfn.XLOOKUP($B48,Tabla1[SERVICIO],Tabla1[VALOR]*AJ48),0))</f>
        <v>0</v>
      </c>
      <c r="AL48" s="14">
        <v>1</v>
      </c>
      <c r="AM48" s="56" cm="1">
        <f t="array" ref="AM48">IF(AL48="X",(_xlfn.XLOOKUP($B48,Tabla1[SERVICIO],Tabla1[VALOR])*1),IF(AL48&gt;=1,_xlfn.XLOOKUP($B48,Tabla1[SERVICIO],Tabla1[VALOR]*AL48),0))</f>
        <v>20414.75585737115</v>
      </c>
      <c r="AN48" s="89">
        <f t="shared" si="1"/>
        <v>40829.511714742301</v>
      </c>
      <c r="AO48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48" s="104" t="s">
        <v>318</v>
      </c>
      <c r="AQ48" s="154">
        <v>1</v>
      </c>
      <c r="AR48" s="90">
        <f>+Tabla31737[[#This Row],[TOTAL]]*Tabla31737[[#This Row],[% de las personas que lo usaron]]</f>
        <v>40829.511714742301</v>
      </c>
      <c r="AS48" s="240" t="s">
        <v>331</v>
      </c>
      <c r="AT48" s="335">
        <v>18</v>
      </c>
    </row>
    <row r="49" spans="1:46" ht="15" x14ac:dyDescent="0.25">
      <c r="A49" s="7" t="s">
        <v>113</v>
      </c>
      <c r="B49" s="25" t="s">
        <v>116</v>
      </c>
      <c r="C49" s="96" t="str">
        <f>_xlfn.XLOOKUP(Tabla31737[[#This Row],[Servicios del Programa:]],Tabla151[CODIGO],Tabla151[VALOR])</f>
        <v>Consultas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60236.092716419647</v>
      </c>
      <c r="F49" s="14"/>
      <c r="G49" s="56" cm="1">
        <f t="array" ref="G49">IF(F49="X",(_xlfn.XLOOKUP($B49,Tabla1[SERVICIO],Tabla1[VALOR])*1),IF(F49&gt;=1,_xlfn.XLOOKUP($B49,Tabla1[SERVICIO],Tabla1[VALOR]*F49),0))</f>
        <v>0</v>
      </c>
      <c r="H49" s="14"/>
      <c r="I49" s="56" cm="1">
        <f t="array" ref="I49">IF(H49="X",(_xlfn.XLOOKUP($B49,Tabla1[SERVICIO],Tabla1[VALOR])*1),IF(H49&gt;=1,_xlfn.XLOOKUP($B49,Tabla1[SERVICIO],Tabla1[VALOR]*H49),0))</f>
        <v>0</v>
      </c>
      <c r="J49" s="14"/>
      <c r="K49" s="56" cm="1">
        <f t="array" ref="K49">IF(J49="X",(_xlfn.XLOOKUP($B49,Tabla1[SERVICIO],Tabla1[VALOR])*1),IF(J49&gt;=1,_xlfn.XLOOKUP($B49,Tabla1[SERVICIO],Tabla1[VALOR]*J49),0))</f>
        <v>0</v>
      </c>
      <c r="L49" s="14"/>
      <c r="M49" s="56" cm="1">
        <f t="array" ref="M49">IF(L49="X",(_xlfn.XLOOKUP($B49,Tabla1[SERVICIO],Tabla1[VALOR])*1),IF(L49&gt;=1,_xlfn.XLOOKUP($B49,Tabla1[SERVICIO],Tabla1[VALOR]*L49),0))</f>
        <v>0</v>
      </c>
      <c r="N49" s="14"/>
      <c r="O49" s="56" cm="1">
        <f t="array" ref="O49">IF(N49="X",(_xlfn.XLOOKUP($B49,Tabla1[SERVICIO],Tabla1[VALOR])*1),IF(N49&gt;=1,_xlfn.XLOOKUP($B49,Tabla1[SERVICIO],Tabla1[VALOR]*N49),0))</f>
        <v>0</v>
      </c>
      <c r="P49" s="14"/>
      <c r="Q49" s="56" cm="1">
        <f t="array" ref="Q49">IF(P49="X",(_xlfn.XLOOKUP($B49,Tabla1[SERVICIO],Tabla1[VALOR])*1),IF(P49&gt;=1,_xlfn.XLOOKUP($B49,Tabla1[SERVICIO],Tabla1[VALOR]*P49),0))</f>
        <v>0</v>
      </c>
      <c r="R49" s="14"/>
      <c r="S49" s="56" cm="1">
        <f t="array" ref="S49">IF(R49="X",(_xlfn.XLOOKUP($B49,Tabla1[SERVICIO],Tabla1[VALOR])*1),IF(R49&gt;=1,_xlfn.XLOOKUP($B49,Tabla1[SERVICIO],Tabla1[VALOR]*R49),0))</f>
        <v>0</v>
      </c>
      <c r="T49" s="14"/>
      <c r="U49" s="56" cm="1">
        <f t="array" ref="U49">IF(T49="X",(_xlfn.XLOOKUP($B49,Tabla1[SERVICIO],Tabla1[VALOR])*1),IF(T49&gt;=1,_xlfn.XLOOKUP($B49,Tabla1[SERVICIO],Tabla1[VALOR]*T49),0))</f>
        <v>0</v>
      </c>
      <c r="V49" s="14"/>
      <c r="W49" s="56" cm="1">
        <f t="array" ref="W49">IF(V49="X",(_xlfn.XLOOKUP($B49,Tabla1[SERVICIO],Tabla1[VALOR])*1),IF(V49&gt;=1,_xlfn.XLOOKUP($B49,Tabla1[SERVICIO],Tabla1[VALOR]*V49),0))</f>
        <v>0</v>
      </c>
      <c r="X49" s="14"/>
      <c r="Y49" s="56" cm="1">
        <f t="array" ref="Y49">IF(X49="X",(_xlfn.XLOOKUP($B49,Tabla1[SERVICIO],Tabla1[VALOR])*1),IF(X49&gt;=1,_xlfn.XLOOKUP($B49,Tabla1[SERVICIO],Tabla1[VALOR]*X49),0))</f>
        <v>0</v>
      </c>
      <c r="Z49" s="14"/>
      <c r="AA49" s="56" cm="1">
        <f t="array" ref="AA49">IF(Z49="X",(_xlfn.XLOOKUP($B49,Tabla1[SERVICIO],Tabla1[VALOR])*1),IF(Z49&gt;=1,_xlfn.XLOOKUP($B49,Tabla1[SERVICIO],Tabla1[VALOR]*Z49),0))</f>
        <v>0</v>
      </c>
      <c r="AB49" s="14"/>
      <c r="AC49" s="56" cm="1">
        <f t="array" ref="AC49">IF(AB49="X",(_xlfn.XLOOKUP($B49,Tabla1[SERVICIO],Tabla1[VALOR])*1),IF(AB49&gt;=1,_xlfn.XLOOKUP($B49,Tabla1[SERVICIO],Tabla1[VALOR]*AB49),0))</f>
        <v>0</v>
      </c>
      <c r="AD49" s="14"/>
      <c r="AE49" s="56" cm="1">
        <f t="array" ref="AE49">IF(AD49="X",(_xlfn.XLOOKUP($B49,Tabla1[SERVICIO],Tabla1[VALOR])*1),IF(AD49&gt;=1,_xlfn.XLOOKUP($B49,Tabla1[SERVICIO],Tabla1[VALOR]*AD49),0))</f>
        <v>0</v>
      </c>
      <c r="AF49" s="14"/>
      <c r="AG49" s="56" cm="1">
        <f t="array" ref="AG49">IF(AF49="X",(_xlfn.XLOOKUP($B49,Tabla1[SERVICIO],Tabla1[VALOR])*1),IF(AF49&gt;=1,_xlfn.XLOOKUP($B49,Tabla1[SERVICIO],Tabla1[VALOR]*AF49),0))</f>
        <v>0</v>
      </c>
      <c r="AH49" s="14"/>
      <c r="AI49" s="56" cm="1">
        <f t="array" ref="AI49">IF(AH49="X",(_xlfn.XLOOKUP($B49,Tabla1[SERVICIO],Tabla1[VALOR])*1),IF(AH49&gt;=1,_xlfn.XLOOKUP($B49,Tabla1[SERVICIO],Tabla1[VALOR]*AH49),0))</f>
        <v>0</v>
      </c>
      <c r="AJ49" s="14"/>
      <c r="AK49" s="56" cm="1">
        <f t="array" ref="AK49">IF(AJ49="X",(_xlfn.XLOOKUP($B49,Tabla1[SERVICIO],Tabla1[VALOR])*1),IF(AJ49&gt;=1,_xlfn.XLOOKUP($B49,Tabla1[SERVICIO],Tabla1[VALOR]*AJ49),0))</f>
        <v>0</v>
      </c>
      <c r="AL49" s="14"/>
      <c r="AM49" s="56" cm="1">
        <f t="array" ref="AM49">IF(AL49="X",(_xlfn.XLOOKUP($B49,Tabla1[SERVICIO],Tabla1[VALOR])*1),IF(AL49&gt;=1,_xlfn.XLOOKUP($B49,Tabla1[SERVICIO],Tabla1[VALOR]*AL49),0))</f>
        <v>0</v>
      </c>
      <c r="AN49" s="89">
        <f t="shared" si="1"/>
        <v>60236.092716419647</v>
      </c>
      <c r="AO49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9" s="104" t="s">
        <v>319</v>
      </c>
      <c r="AQ49" s="154">
        <v>1.11731843575419E-2</v>
      </c>
      <c r="AR49" s="90">
        <f>+Tabla31737[[#This Row],[TOTAL]]*Tabla31737[[#This Row],[% de las personas que lo usaron]]</f>
        <v>673.02896889854355</v>
      </c>
      <c r="AS49" s="240" t="s">
        <v>331</v>
      </c>
      <c r="AT49" s="335">
        <v>18</v>
      </c>
    </row>
    <row r="50" spans="1:46" ht="15" x14ac:dyDescent="0.25">
      <c r="A50" s="7" t="s">
        <v>114</v>
      </c>
      <c r="B50" s="8" t="s">
        <v>117</v>
      </c>
      <c r="C50" s="96" t="str">
        <f>_xlfn.XLOOKUP(Tabla31737[[#This Row],[Servicios del Programa:]],Tabla151[CODIGO],Tabla151[VALOR])</f>
        <v>Consultas</v>
      </c>
      <c r="D50" s="14"/>
      <c r="E50" s="56" cm="1">
        <f t="array" ref="E50">IF(D50="X",(_xlfn.XLOOKUP($B50,Tabla1[SERVICIO],Tabla1[VALOR])*1),IF(D50&gt;=1,_xlfn.XLOOKUP($B50,Tabla1[SERVICIO],Tabla1[VALOR]*D50),0))</f>
        <v>0</v>
      </c>
      <c r="F50" s="14"/>
      <c r="G50" s="56" cm="1">
        <f t="array" ref="G50">IF(F50="X",(_xlfn.XLOOKUP($B50,Tabla1[SERVICIO],Tabla1[VALOR])*1),IF(F50&gt;=1,_xlfn.XLOOKUP($B50,Tabla1[SERVICIO],Tabla1[VALOR]*F50),0))</f>
        <v>0</v>
      </c>
      <c r="H50" s="14"/>
      <c r="I50" s="56" cm="1">
        <f t="array" ref="I50">IF(H50="X",(_xlfn.XLOOKUP($B50,Tabla1[SERVICIO],Tabla1[VALOR])*1),IF(H50&gt;=1,_xlfn.XLOOKUP($B50,Tabla1[SERVICIO],Tabla1[VALOR]*H50),0))</f>
        <v>0</v>
      </c>
      <c r="J50" s="14"/>
      <c r="K50" s="56" cm="1">
        <f t="array" ref="K50">IF(J50="X",(_xlfn.XLOOKUP($B50,Tabla1[SERVICIO],Tabla1[VALOR])*1),IF(J50&gt;=1,_xlfn.XLOOKUP($B50,Tabla1[SERVICIO],Tabla1[VALOR]*J50),0))</f>
        <v>0</v>
      </c>
      <c r="L50" s="14"/>
      <c r="M50" s="56" cm="1">
        <f t="array" ref="M50">IF(L50="X",(_xlfn.XLOOKUP($B50,Tabla1[SERVICIO],Tabla1[VALOR])*1),IF(L50&gt;=1,_xlfn.XLOOKUP($B50,Tabla1[SERVICIO],Tabla1[VALOR]*L50),0))</f>
        <v>0</v>
      </c>
      <c r="N50" s="14"/>
      <c r="O50" s="56" cm="1">
        <f t="array" ref="O50">IF(N50="X",(_xlfn.XLOOKUP($B50,Tabla1[SERVICIO],Tabla1[VALOR])*1),IF(N50&gt;=1,_xlfn.XLOOKUP($B50,Tabla1[SERVICIO],Tabla1[VALOR]*N50),0))</f>
        <v>0</v>
      </c>
      <c r="P50" s="14"/>
      <c r="Q50" s="56" cm="1">
        <f t="array" ref="Q50">IF(P50="X",(_xlfn.XLOOKUP($B50,Tabla1[SERVICIO],Tabla1[VALOR])*1),IF(P50&gt;=1,_xlfn.XLOOKUP($B50,Tabla1[SERVICIO],Tabla1[VALOR]*P50),0))</f>
        <v>0</v>
      </c>
      <c r="R50" s="14"/>
      <c r="S50" s="56" cm="1">
        <f t="array" ref="S50">IF(R50="X",(_xlfn.XLOOKUP($B50,Tabla1[SERVICIO],Tabla1[VALOR])*1),IF(R50&gt;=1,_xlfn.XLOOKUP($B50,Tabla1[SERVICIO],Tabla1[VALOR]*R50),0))</f>
        <v>0</v>
      </c>
      <c r="T50" s="14"/>
      <c r="U50" s="56" cm="1">
        <f t="array" ref="U50">IF(T50="X",(_xlfn.XLOOKUP($B50,Tabla1[SERVICIO],Tabla1[VALOR])*1),IF(T50&gt;=1,_xlfn.XLOOKUP($B50,Tabla1[SERVICIO],Tabla1[VALOR]*T50),0))</f>
        <v>0</v>
      </c>
      <c r="V50" s="14"/>
      <c r="W50" s="56" cm="1">
        <f t="array" ref="W50">IF(V50="X",(_xlfn.XLOOKUP($B50,Tabla1[SERVICIO],Tabla1[VALOR])*1),IF(V50&gt;=1,_xlfn.XLOOKUP($B50,Tabla1[SERVICIO],Tabla1[VALOR]*V50),0))</f>
        <v>0</v>
      </c>
      <c r="X50" s="14"/>
      <c r="Y50" s="56" cm="1">
        <f t="array" ref="Y50">IF(X50="X",(_xlfn.XLOOKUP($B50,Tabla1[SERVICIO],Tabla1[VALOR])*1),IF(X50&gt;=1,_xlfn.XLOOKUP($B50,Tabla1[SERVICIO],Tabla1[VALOR]*X50),0))</f>
        <v>0</v>
      </c>
      <c r="Z50" s="14"/>
      <c r="AA50" s="56" cm="1">
        <f t="array" ref="AA50">IF(Z50="X",(_xlfn.XLOOKUP($B50,Tabla1[SERVICIO],Tabla1[VALOR])*1),IF(Z50&gt;=1,_xlfn.XLOOKUP($B50,Tabla1[SERVICIO],Tabla1[VALOR]*Z50),0))</f>
        <v>0</v>
      </c>
      <c r="AB50" s="14"/>
      <c r="AC50" s="56" cm="1">
        <f t="array" ref="AC50">IF(AB50="X",(_xlfn.XLOOKUP($B50,Tabla1[SERVICIO],Tabla1[VALOR])*1),IF(AB50&gt;=1,_xlfn.XLOOKUP($B50,Tabla1[SERVICIO],Tabla1[VALOR]*AB50),0))</f>
        <v>0</v>
      </c>
      <c r="AD50" s="14"/>
      <c r="AE50" s="56" cm="1">
        <f t="array" ref="AE50">IF(AD50="X",(_xlfn.XLOOKUP($B50,Tabla1[SERVICIO],Tabla1[VALOR])*1),IF(AD50&gt;=1,_xlfn.XLOOKUP($B50,Tabla1[SERVICIO],Tabla1[VALOR]*AD50),0))</f>
        <v>0</v>
      </c>
      <c r="AF50" s="14"/>
      <c r="AG50" s="56" cm="1">
        <f t="array" ref="AG50">IF(AF50="X",(_xlfn.XLOOKUP($B50,Tabla1[SERVICIO],Tabla1[VALOR])*1),IF(AF50&gt;=1,_xlfn.XLOOKUP($B50,Tabla1[SERVICIO],Tabla1[VALOR]*AF50),0))</f>
        <v>0</v>
      </c>
      <c r="AH50" s="14"/>
      <c r="AI50" s="56" cm="1">
        <f t="array" ref="AI50">IF(AH50="X",(_xlfn.XLOOKUP($B50,Tabla1[SERVICIO],Tabla1[VALOR])*1),IF(AH50&gt;=1,_xlfn.XLOOKUP($B50,Tabla1[SERVICIO],Tabla1[VALOR]*AH50),0))</f>
        <v>0</v>
      </c>
      <c r="AJ50" s="14"/>
      <c r="AK50" s="56" cm="1">
        <f t="array" ref="AK50">IF(AJ50="X",(_xlfn.XLOOKUP($B50,Tabla1[SERVICIO],Tabla1[VALOR])*1),IF(AJ50&gt;=1,_xlfn.XLOOKUP($B50,Tabla1[SERVICIO],Tabla1[VALOR]*AJ50),0))</f>
        <v>0</v>
      </c>
      <c r="AL50" s="14"/>
      <c r="AM50" s="56" cm="1">
        <f t="array" ref="AM50">IF(AL50="X",(_xlfn.XLOOKUP($B50,Tabla1[SERVICIO],Tabla1[VALOR])*1),IF(AL50&gt;=1,_xlfn.XLOOKUP($B50,Tabla1[SERVICIO],Tabla1[VALOR]*AL50),0))</f>
        <v>0</v>
      </c>
      <c r="AN50" s="89">
        <f t="shared" si="1"/>
        <v>0</v>
      </c>
      <c r="AO50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0</v>
      </c>
      <c r="AP50" s="104" t="s">
        <v>319</v>
      </c>
      <c r="AQ50" s="154">
        <v>1</v>
      </c>
      <c r="AR50" s="90">
        <f>+Tabla31737[[#This Row],[TOTAL]]*Tabla31737[[#This Row],[% de las personas que lo usaron]]</f>
        <v>0</v>
      </c>
      <c r="AS50" s="240" t="s">
        <v>331</v>
      </c>
      <c r="AT50" s="335">
        <v>18</v>
      </c>
    </row>
    <row r="51" spans="1:46" ht="15" x14ac:dyDescent="0.25">
      <c r="A51" s="7" t="s">
        <v>115</v>
      </c>
      <c r="B51" s="8" t="s">
        <v>118</v>
      </c>
      <c r="C51" s="96" t="str">
        <f>_xlfn.XLOOKUP(Tabla31737[[#This Row],[Servicios del Programa:]],Tabla151[CODIGO],Tabla151[VALOR])</f>
        <v>Consultas</v>
      </c>
      <c r="D51" s="14"/>
      <c r="E51" s="56" cm="1">
        <f t="array" ref="E51">IF(D51="X",(_xlfn.XLOOKUP($B51,Tabla1[SERVICIO],Tabla1[VALOR])*1),IF(D51&gt;=1,_xlfn.XLOOKUP($B51,Tabla1[SERVICIO],Tabla1[VALOR]*D51),0))</f>
        <v>0</v>
      </c>
      <c r="F51" s="14"/>
      <c r="G51" s="56" cm="1">
        <f t="array" ref="G51">IF(F51="X",(_xlfn.XLOOKUP($B51,Tabla1[SERVICIO],Tabla1[VALOR])*1),IF(F51&gt;=1,_xlfn.XLOOKUP($B51,Tabla1[SERVICIO],Tabla1[VALOR]*F51),0))</f>
        <v>0</v>
      </c>
      <c r="H51" s="14"/>
      <c r="I51" s="56" cm="1">
        <f t="array" ref="I51">IF(H51="X",(_xlfn.XLOOKUP($B51,Tabla1[SERVICIO],Tabla1[VALOR])*1),IF(H51&gt;=1,_xlfn.XLOOKUP($B51,Tabla1[SERVICIO],Tabla1[VALOR]*H51),0))</f>
        <v>0</v>
      </c>
      <c r="J51" s="14"/>
      <c r="K51" s="56" cm="1">
        <f t="array" ref="K51">IF(J51="X",(_xlfn.XLOOKUP($B51,Tabla1[SERVICIO],Tabla1[VALOR])*1),IF(J51&gt;=1,_xlfn.XLOOKUP($B51,Tabla1[SERVICIO],Tabla1[VALOR]*J51),0))</f>
        <v>0</v>
      </c>
      <c r="L51" s="14"/>
      <c r="M51" s="56" cm="1">
        <f t="array" ref="M51">IF(L51="X",(_xlfn.XLOOKUP($B51,Tabla1[SERVICIO],Tabla1[VALOR])*1),IF(L51&gt;=1,_xlfn.XLOOKUP($B51,Tabla1[SERVICIO],Tabla1[VALOR]*L51),0))</f>
        <v>0</v>
      </c>
      <c r="N51" s="14"/>
      <c r="O51" s="56" cm="1">
        <f t="array" ref="O51">IF(N51="X",(_xlfn.XLOOKUP($B51,Tabla1[SERVICIO],Tabla1[VALOR])*1),IF(N51&gt;=1,_xlfn.XLOOKUP($B51,Tabla1[SERVICIO],Tabla1[VALOR]*N51),0))</f>
        <v>0</v>
      </c>
      <c r="P51" s="14"/>
      <c r="Q51" s="56" cm="1">
        <f t="array" ref="Q51">IF(P51="X",(_xlfn.XLOOKUP($B51,Tabla1[SERVICIO],Tabla1[VALOR])*1),IF(P51&gt;=1,_xlfn.XLOOKUP($B51,Tabla1[SERVICIO],Tabla1[VALOR]*P51),0))</f>
        <v>0</v>
      </c>
      <c r="R51" s="14"/>
      <c r="S51" s="56" cm="1">
        <f t="array" ref="S51">IF(R51="X",(_xlfn.XLOOKUP($B51,Tabla1[SERVICIO],Tabla1[VALOR])*1),IF(R51&gt;=1,_xlfn.XLOOKUP($B51,Tabla1[SERVICIO],Tabla1[VALOR]*R51),0))</f>
        <v>0</v>
      </c>
      <c r="T51" s="14"/>
      <c r="U51" s="56" cm="1">
        <f t="array" ref="U51">IF(T51="X",(_xlfn.XLOOKUP($B51,Tabla1[SERVICIO],Tabla1[VALOR])*1),IF(T51&gt;=1,_xlfn.XLOOKUP($B51,Tabla1[SERVICIO],Tabla1[VALOR]*T51),0))</f>
        <v>0</v>
      </c>
      <c r="V51" s="14"/>
      <c r="W51" s="56" cm="1">
        <f t="array" ref="W51">IF(V51="X",(_xlfn.XLOOKUP($B51,Tabla1[SERVICIO],Tabla1[VALOR])*1),IF(V51&gt;=1,_xlfn.XLOOKUP($B51,Tabla1[SERVICIO],Tabla1[VALOR]*V51),0))</f>
        <v>0</v>
      </c>
      <c r="X51" s="14"/>
      <c r="Y51" s="56" cm="1">
        <f t="array" ref="Y51">IF(X51="X",(_xlfn.XLOOKUP($B51,Tabla1[SERVICIO],Tabla1[VALOR])*1),IF(X51&gt;=1,_xlfn.XLOOKUP($B51,Tabla1[SERVICIO],Tabla1[VALOR]*X51),0))</f>
        <v>0</v>
      </c>
      <c r="Z51" s="14"/>
      <c r="AA51" s="56" cm="1">
        <f t="array" ref="AA51">IF(Z51="X",(_xlfn.XLOOKUP($B51,Tabla1[SERVICIO],Tabla1[VALOR])*1),IF(Z51&gt;=1,_xlfn.XLOOKUP($B51,Tabla1[SERVICIO],Tabla1[VALOR]*Z51),0))</f>
        <v>0</v>
      </c>
      <c r="AB51" s="14"/>
      <c r="AC51" s="56" cm="1">
        <f t="array" ref="AC51">IF(AB51="X",(_xlfn.XLOOKUP($B51,Tabla1[SERVICIO],Tabla1[VALOR])*1),IF(AB51&gt;=1,_xlfn.XLOOKUP($B51,Tabla1[SERVICIO],Tabla1[VALOR]*AB51),0))</f>
        <v>0</v>
      </c>
      <c r="AD51" s="14"/>
      <c r="AE51" s="56" cm="1">
        <f t="array" ref="AE51">IF(AD51="X",(_xlfn.XLOOKUP($B51,Tabla1[SERVICIO],Tabla1[VALOR])*1),IF(AD51&gt;=1,_xlfn.XLOOKUP($B51,Tabla1[SERVICIO],Tabla1[VALOR]*AD51),0))</f>
        <v>0</v>
      </c>
      <c r="AF51" s="14"/>
      <c r="AG51" s="56" cm="1">
        <f t="array" ref="AG51">IF(AF51="X",(_xlfn.XLOOKUP($B51,Tabla1[SERVICIO],Tabla1[VALOR])*1),IF(AF51&gt;=1,_xlfn.XLOOKUP($B51,Tabla1[SERVICIO],Tabla1[VALOR]*AF51),0))</f>
        <v>0</v>
      </c>
      <c r="AH51" s="14"/>
      <c r="AI51" s="56" cm="1">
        <f t="array" ref="AI51">IF(AH51="X",(_xlfn.XLOOKUP($B51,Tabla1[SERVICIO],Tabla1[VALOR])*1),IF(AH51&gt;=1,_xlfn.XLOOKUP($B51,Tabla1[SERVICIO],Tabla1[VALOR]*AH51),0))</f>
        <v>0</v>
      </c>
      <c r="AJ51" s="14"/>
      <c r="AK51" s="56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6" cm="1">
        <f t="array" ref="AM51">IF(AL51="X",(_xlfn.XLOOKUP($B51,Tabla1[SERVICIO],Tabla1[VALOR])*1),IF(AL51&gt;=1,_xlfn.XLOOKUP($B51,Tabla1[SERVICIO],Tabla1[VALOR]*AL51),0))</f>
        <v>62748.232282880919</v>
      </c>
      <c r="AN51" s="89">
        <f t="shared" si="1"/>
        <v>62748.232282880919</v>
      </c>
      <c r="AO51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1" s="104" t="s">
        <v>319</v>
      </c>
      <c r="AQ51" s="154">
        <v>1.11731843575419E-2</v>
      </c>
      <c r="AR51" s="90">
        <f>+Tabla31737[[#This Row],[TOTAL]]*Tabla31737[[#This Row],[% de las personas que lo usaron]]</f>
        <v>701.09756740649073</v>
      </c>
      <c r="AS51" s="240" t="s">
        <v>331</v>
      </c>
      <c r="AT51" s="335">
        <v>18</v>
      </c>
    </row>
    <row r="52" spans="1:46" ht="15" x14ac:dyDescent="0.25">
      <c r="A52" s="7" t="s">
        <v>34</v>
      </c>
      <c r="B52" s="8" t="s">
        <v>35</v>
      </c>
      <c r="C52" s="96" t="str">
        <f>_xlfn.XLOOKUP(Tabla31737[[#This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24009.730401318589</v>
      </c>
      <c r="F52" s="14"/>
      <c r="G52" s="56" cm="1">
        <f t="array" ref="G52">IF(F52="X",(_xlfn.XLOOKUP($B52,Tabla1[SERVICIO],Tabla1[VALOR])*1),IF(F52&gt;=1,_xlfn.XLOOKUP($B52,Tabla1[SERVICIO],Tabla1[VALOR]*F52),0))</f>
        <v>0</v>
      </c>
      <c r="H52" s="14"/>
      <c r="I52" s="56" cm="1">
        <f t="array" ref="I52">IF(H52="X",(_xlfn.XLOOKUP($B52,Tabla1[SERVICIO],Tabla1[VALOR])*1),IF(H52&gt;=1,_xlfn.XLOOKUP($B52,Tabla1[SERVICIO],Tabla1[VALOR]*H52),0))</f>
        <v>0</v>
      </c>
      <c r="J52" s="14"/>
      <c r="K52" s="56" cm="1">
        <f t="array" ref="K52">IF(J52="X",(_xlfn.XLOOKUP($B52,Tabla1[SERVICIO],Tabla1[VALOR])*1),IF(J52&gt;=1,_xlfn.XLOOKUP($B52,Tabla1[SERVICIO],Tabla1[VALOR]*J52),0))</f>
        <v>0</v>
      </c>
      <c r="L52" s="14"/>
      <c r="M52" s="56" cm="1">
        <f t="array" ref="M52">IF(L52="X",(_xlfn.XLOOKUP($B52,Tabla1[SERVICIO],Tabla1[VALOR])*1),IF(L52&gt;=1,_xlfn.XLOOKUP($B52,Tabla1[SERVICIO],Tabla1[VALOR]*L52),0))</f>
        <v>0</v>
      </c>
      <c r="N52" s="14"/>
      <c r="O52" s="56" cm="1">
        <f t="array" ref="O52">IF(N52="X",(_xlfn.XLOOKUP($B52,Tabla1[SERVICIO],Tabla1[VALOR])*1),IF(N52&gt;=1,_xlfn.XLOOKUP($B52,Tabla1[SERVICIO],Tabla1[VALOR]*N52),0))</f>
        <v>0</v>
      </c>
      <c r="P52" s="14"/>
      <c r="Q52" s="56" cm="1">
        <f t="array" ref="Q52">IF(P52="X",(_xlfn.XLOOKUP($B52,Tabla1[SERVICIO],Tabla1[VALOR])*1),IF(P52&gt;=1,_xlfn.XLOOKUP($B52,Tabla1[SERVICIO],Tabla1[VALOR]*P52),0))</f>
        <v>0</v>
      </c>
      <c r="R52" s="14"/>
      <c r="S52" s="56" cm="1">
        <f t="array" ref="S52">IF(R52="X",(_xlfn.XLOOKUP($B52,Tabla1[SERVICIO],Tabla1[VALOR])*1),IF(R52&gt;=1,_xlfn.XLOOKUP($B52,Tabla1[SERVICIO],Tabla1[VALOR]*R52),0))</f>
        <v>0</v>
      </c>
      <c r="T52" s="14"/>
      <c r="U52" s="56" cm="1">
        <f t="array" ref="U52">IF(T52="X",(_xlfn.XLOOKUP($B52,Tabla1[SERVICIO],Tabla1[VALOR])*1),IF(T52&gt;=1,_xlfn.XLOOKUP($B52,Tabla1[SERVICIO],Tabla1[VALOR]*T52),0))</f>
        <v>0</v>
      </c>
      <c r="V52" s="14"/>
      <c r="W52" s="56" cm="1">
        <f t="array" ref="W52">IF(V52="X",(_xlfn.XLOOKUP($B52,Tabla1[SERVICIO],Tabla1[VALOR])*1),IF(V52&gt;=1,_xlfn.XLOOKUP($B52,Tabla1[SERVICIO],Tabla1[VALOR]*V52),0))</f>
        <v>0</v>
      </c>
      <c r="X52" s="14"/>
      <c r="Y52" s="56" cm="1">
        <f t="array" ref="Y52">IF(X52="X",(_xlfn.XLOOKUP($B52,Tabla1[SERVICIO],Tabla1[VALOR])*1),IF(X52&gt;=1,_xlfn.XLOOKUP($B52,Tabla1[SERVICIO],Tabla1[VALOR]*X52),0))</f>
        <v>0</v>
      </c>
      <c r="Z52" s="14"/>
      <c r="AA52" s="56" cm="1">
        <f t="array" ref="AA52">IF(Z52="X",(_xlfn.XLOOKUP($B52,Tabla1[SERVICIO],Tabla1[VALOR])*1),IF(Z52&gt;=1,_xlfn.XLOOKUP($B52,Tabla1[SERVICIO],Tabla1[VALOR]*Z52),0))</f>
        <v>0</v>
      </c>
      <c r="AB52" s="14"/>
      <c r="AC52" s="56" cm="1">
        <f t="array" ref="AC52">IF(AB52="X",(_xlfn.XLOOKUP($B52,Tabla1[SERVICIO],Tabla1[VALOR])*1),IF(AB52&gt;=1,_xlfn.XLOOKUP($B52,Tabla1[SERVICIO],Tabla1[VALOR]*AB52),0))</f>
        <v>0</v>
      </c>
      <c r="AD52" s="14"/>
      <c r="AE52" s="56" cm="1">
        <f t="array" ref="AE52">IF(AD52="X",(_xlfn.XLOOKUP($B52,Tabla1[SERVICIO],Tabla1[VALOR])*1),IF(AD52&gt;=1,_xlfn.XLOOKUP($B52,Tabla1[SERVICIO],Tabla1[VALOR]*AD52),0))</f>
        <v>0</v>
      </c>
      <c r="AF52" s="14"/>
      <c r="AG52" s="56" cm="1">
        <f t="array" ref="AG52">IF(AF52="X",(_xlfn.XLOOKUP($B52,Tabla1[SERVICIO],Tabla1[VALOR])*1),IF(AF52&gt;=1,_xlfn.XLOOKUP($B52,Tabla1[SERVICIO],Tabla1[VALOR]*AF52),0))</f>
        <v>0</v>
      </c>
      <c r="AH52" s="14"/>
      <c r="AI52" s="56" cm="1">
        <f t="array" ref="AI52">IF(AH52="X",(_xlfn.XLOOKUP($B52,Tabla1[SERVICIO],Tabla1[VALOR])*1),IF(AH52&gt;=1,_xlfn.XLOOKUP($B52,Tabla1[SERVICIO],Tabla1[VALOR]*AH52),0))</f>
        <v>0</v>
      </c>
      <c r="AJ52" s="14"/>
      <c r="AK52" s="56" cm="1">
        <f t="array" ref="AK52">IF(AJ52="X",(_xlfn.XLOOKUP($B52,Tabla1[SERVICIO],Tabla1[VALOR])*1),IF(AJ52&gt;=1,_xlfn.XLOOKUP($B52,Tabla1[SERVICIO],Tabla1[VALOR]*AJ52),0))</f>
        <v>0</v>
      </c>
      <c r="AL52" s="14"/>
      <c r="AM52" s="56" cm="1">
        <f t="array" ref="AM52">IF(AL52="X",(_xlfn.XLOOKUP($B52,Tabla1[SERVICIO],Tabla1[VALOR])*1),IF(AL52&gt;=1,_xlfn.XLOOKUP($B52,Tabla1[SERVICIO],Tabla1[VALOR]*AL52),0))</f>
        <v>0</v>
      </c>
      <c r="AN52" s="89">
        <f t="shared" si="1"/>
        <v>24009.730401318589</v>
      </c>
      <c r="AO52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2" s="104" t="s">
        <v>318</v>
      </c>
      <c r="AQ52" s="154">
        <v>1</v>
      </c>
      <c r="AR52" s="90">
        <f>+Tabla31737[[#This Row],[TOTAL]]*Tabla31737[[#This Row],[% de las personas que lo usaron]]</f>
        <v>24009.730401318589</v>
      </c>
      <c r="AS52" s="240" t="s">
        <v>331</v>
      </c>
      <c r="AT52" s="335">
        <v>18</v>
      </c>
    </row>
    <row r="53" spans="1:46" ht="15" x14ac:dyDescent="0.25">
      <c r="A53" s="7" t="s">
        <v>32</v>
      </c>
      <c r="B53" s="8" t="s">
        <v>103</v>
      </c>
      <c r="C53" s="96" t="str">
        <f>_xlfn.XLOOKUP(Tabla31737[[#This Row],[Servicios del Programa:]],Tabla151[CODIGO],Tabla151[VALOR])</f>
        <v>Consultas</v>
      </c>
      <c r="D53" s="14">
        <v>1</v>
      </c>
      <c r="E53" s="56" cm="1">
        <f t="array" ref="E53">IF(D53="X",(_xlfn.XLOOKUP($B53,Tabla1[SERVICIO],Tabla1[VALOR])*1),IF(D53&gt;=1,_xlfn.XLOOKUP($B53,Tabla1[SERVICIO],Tabla1[VALOR]*D53),0))</f>
        <v>24009.730401318589</v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/>
      <c r="O53" s="56" cm="1">
        <f t="array" ref="O53">IF(N53="X",(_xlfn.XLOOKUP($B53,Tabla1[SERVICIO],Tabla1[VALOR])*1),IF(N53&gt;=1,_xlfn.XLOOKUP($B53,Tabla1[SERVICIO],Tabla1[VALOR]*N53),0))</f>
        <v>0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/>
      <c r="AM53" s="56" cm="1">
        <f t="array" ref="AM53">IF(AL53="X",(_xlfn.XLOOKUP($B53,Tabla1[SERVICIO],Tabla1[VALOR])*1),IF(AL53&gt;=1,_xlfn.XLOOKUP($B53,Tabla1[SERVICIO],Tabla1[VALOR]*AL53),0))</f>
        <v>0</v>
      </c>
      <c r="AN53" s="89">
        <f t="shared" si="1"/>
        <v>24009.730401318589</v>
      </c>
      <c r="AO53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3" s="104" t="s">
        <v>319</v>
      </c>
      <c r="AQ53" s="154">
        <v>1.11731843575419E-2</v>
      </c>
      <c r="AR53" s="90">
        <f>+Tabla31737[[#This Row],[TOTAL]]*Tabla31737[[#This Row],[% de las personas que lo usaron]]</f>
        <v>268.26514414881109</v>
      </c>
      <c r="AS53" s="240" t="s">
        <v>331</v>
      </c>
      <c r="AT53" s="335">
        <v>18</v>
      </c>
    </row>
    <row r="54" spans="1:46" ht="15" x14ac:dyDescent="0.25">
      <c r="A54" s="7" t="s">
        <v>38</v>
      </c>
      <c r="B54" s="8" t="s">
        <v>102</v>
      </c>
      <c r="C54" s="96" t="str">
        <f>_xlfn.XLOOKUP(Tabla31737[[#This Row],[Servicios del Programa:]],Tabla151[CODIGO],Tabla151[VALOR])</f>
        <v>Consultas</v>
      </c>
      <c r="D54" s="14">
        <v>1</v>
      </c>
      <c r="E54" s="56" cm="1">
        <f t="array" ref="E54">IF(D54="X",(_xlfn.XLOOKUP($B54,Tabla1[SERVICIO],Tabla1[VALOR])*1),IF(D54&gt;=1,_xlfn.XLOOKUP($B54,Tabla1[SERVICIO],Tabla1[VALOR]*D54),0))</f>
        <v>56420.692787682223</v>
      </c>
      <c r="F54" s="14"/>
      <c r="G54" s="56" cm="1">
        <f t="array" ref="G54">IF(F54="X",(_xlfn.XLOOKUP($B54,Tabla1[SERVICIO],Tabla1[VALOR])*1),IF(F54&gt;=1,_xlfn.XLOOKUP($B54,Tabla1[SERVICIO],Tabla1[VALOR]*F54),0))</f>
        <v>0</v>
      </c>
      <c r="H54" s="14"/>
      <c r="I54" s="56" cm="1">
        <f t="array" ref="I54">IF(H54="X",(_xlfn.XLOOKUP($B54,Tabla1[SERVICIO],Tabla1[VALOR])*1),IF(H54&gt;=1,_xlfn.XLOOKUP($B54,Tabla1[SERVICIO],Tabla1[VALOR]*H54),0))</f>
        <v>0</v>
      </c>
      <c r="J54" s="14"/>
      <c r="K54" s="56" cm="1">
        <f t="array" ref="K54">IF(J54="X",(_xlfn.XLOOKUP($B54,Tabla1[SERVICIO],Tabla1[VALOR])*1),IF(J54&gt;=1,_xlfn.XLOOKUP($B54,Tabla1[SERVICIO],Tabla1[VALOR]*J54),0))</f>
        <v>0</v>
      </c>
      <c r="L54" s="14"/>
      <c r="M54" s="56" cm="1">
        <f t="array" ref="M54">IF(L54="X",(_xlfn.XLOOKUP($B54,Tabla1[SERVICIO],Tabla1[VALOR])*1),IF(L54&gt;=1,_xlfn.XLOOKUP($B54,Tabla1[SERVICIO],Tabla1[VALOR]*L54),0))</f>
        <v>0</v>
      </c>
      <c r="N54" s="14"/>
      <c r="O54" s="56" cm="1">
        <f t="array" ref="O54">IF(N54="X",(_xlfn.XLOOKUP($B54,Tabla1[SERVICIO],Tabla1[VALOR])*1),IF(N54&gt;=1,_xlfn.XLOOKUP($B54,Tabla1[SERVICIO],Tabla1[VALOR]*N54),0))</f>
        <v>0</v>
      </c>
      <c r="P54" s="14"/>
      <c r="Q54" s="56" cm="1">
        <f t="array" ref="Q54">IF(P54="X",(_xlfn.XLOOKUP($B54,Tabla1[SERVICIO],Tabla1[VALOR])*1),IF(P54&gt;=1,_xlfn.XLOOKUP($B54,Tabla1[SERVICIO],Tabla1[VALOR]*P54),0))</f>
        <v>0</v>
      </c>
      <c r="R54" s="14"/>
      <c r="S54" s="56" cm="1">
        <f t="array" ref="S54">IF(R54="X",(_xlfn.XLOOKUP($B54,Tabla1[SERVICIO],Tabla1[VALOR])*1),IF(R54&gt;=1,_xlfn.XLOOKUP($B54,Tabla1[SERVICIO],Tabla1[VALOR]*R54),0))</f>
        <v>0</v>
      </c>
      <c r="T54" s="14"/>
      <c r="U54" s="56" cm="1">
        <f t="array" ref="U54">IF(T54="X",(_xlfn.XLOOKUP($B54,Tabla1[SERVICIO],Tabla1[VALOR])*1),IF(T54&gt;=1,_xlfn.XLOOKUP($B54,Tabla1[SERVICIO],Tabla1[VALOR]*T54),0))</f>
        <v>0</v>
      </c>
      <c r="V54" s="14"/>
      <c r="W54" s="56" cm="1">
        <f t="array" ref="W54">IF(V54="X",(_xlfn.XLOOKUP($B54,Tabla1[SERVICIO],Tabla1[VALOR])*1),IF(V54&gt;=1,_xlfn.XLOOKUP($B54,Tabla1[SERVICIO],Tabla1[VALOR]*V54),0))</f>
        <v>0</v>
      </c>
      <c r="X54" s="14"/>
      <c r="Y54" s="56" cm="1">
        <f t="array" ref="Y54">IF(X54="X",(_xlfn.XLOOKUP($B54,Tabla1[SERVICIO],Tabla1[VALOR])*1),IF(X54&gt;=1,_xlfn.XLOOKUP($B54,Tabla1[SERVICIO],Tabla1[VALOR]*X54),0))</f>
        <v>0</v>
      </c>
      <c r="Z54" s="14"/>
      <c r="AA54" s="56" cm="1">
        <f t="array" ref="AA54">IF(Z54="X",(_xlfn.XLOOKUP($B54,Tabla1[SERVICIO],Tabla1[VALOR])*1),IF(Z54&gt;=1,_xlfn.XLOOKUP($B54,Tabla1[SERVICIO],Tabla1[VALOR]*Z54),0))</f>
        <v>0</v>
      </c>
      <c r="AB54" s="14"/>
      <c r="AC54" s="56" cm="1">
        <f t="array" ref="AC54">IF(AB54="X",(_xlfn.XLOOKUP($B54,Tabla1[SERVICIO],Tabla1[VALOR])*1),IF(AB54&gt;=1,_xlfn.XLOOKUP($B54,Tabla1[SERVICIO],Tabla1[VALOR]*AB54),0))</f>
        <v>0</v>
      </c>
      <c r="AD54" s="14"/>
      <c r="AE54" s="56" cm="1">
        <f t="array" ref="AE54">IF(AD54="X",(_xlfn.XLOOKUP($B54,Tabla1[SERVICIO],Tabla1[VALOR])*1),IF(AD54&gt;=1,_xlfn.XLOOKUP($B54,Tabla1[SERVICIO],Tabla1[VALOR]*AD54),0))</f>
        <v>0</v>
      </c>
      <c r="AF54" s="14"/>
      <c r="AG54" s="56" cm="1">
        <f t="array" ref="AG54">IF(AF54="X",(_xlfn.XLOOKUP($B54,Tabla1[SERVICIO],Tabla1[VALOR])*1),IF(AF54&gt;=1,_xlfn.XLOOKUP($B54,Tabla1[SERVICIO],Tabla1[VALOR]*AF54),0))</f>
        <v>0</v>
      </c>
      <c r="AH54" s="14"/>
      <c r="AI54" s="56" cm="1">
        <f t="array" ref="AI54">IF(AH54="X",(_xlfn.XLOOKUP($B54,Tabla1[SERVICIO],Tabla1[VALOR])*1),IF(AH54&gt;=1,_xlfn.XLOOKUP($B54,Tabla1[SERVICIO],Tabla1[VALOR]*AH54),0))</f>
        <v>0</v>
      </c>
      <c r="AJ54" s="14"/>
      <c r="AK54" s="56" cm="1">
        <f t="array" ref="AK54">IF(AJ54="X",(_xlfn.XLOOKUP($B54,Tabla1[SERVICIO],Tabla1[VALOR])*1),IF(AJ54&gt;=1,_xlfn.XLOOKUP($B54,Tabla1[SERVICIO],Tabla1[VALOR]*AJ54),0))</f>
        <v>0</v>
      </c>
      <c r="AL54" s="14"/>
      <c r="AM54" s="56" cm="1">
        <f t="array" ref="AM54">IF(AL54="X",(_xlfn.XLOOKUP($B54,Tabla1[SERVICIO],Tabla1[VALOR])*1),IF(AL54&gt;=1,_xlfn.XLOOKUP($B54,Tabla1[SERVICIO],Tabla1[VALOR]*AL54),0))</f>
        <v>0</v>
      </c>
      <c r="AN54" s="89">
        <f t="shared" si="1"/>
        <v>56420.692787682223</v>
      </c>
      <c r="AO54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4" s="104" t="s">
        <v>319</v>
      </c>
      <c r="AQ54" s="154">
        <v>0.11173184357541899</v>
      </c>
      <c r="AR54" s="90">
        <f>+Tabla31737[[#This Row],[TOTAL]]*Tabla31737[[#This Row],[% de las personas que lo usaron]]</f>
        <v>6303.9880209700805</v>
      </c>
      <c r="AS54" s="240" t="s">
        <v>331</v>
      </c>
      <c r="AT54" s="335">
        <v>18</v>
      </c>
    </row>
    <row r="55" spans="1:46" ht="15" x14ac:dyDescent="0.25">
      <c r="A55" s="7" t="s">
        <v>42</v>
      </c>
      <c r="B55" s="8" t="s">
        <v>228</v>
      </c>
      <c r="C55" s="96" t="str">
        <f>_xlfn.XLOOKUP(Tabla31737[[#This Row],[Servicios del Programa:]],Tabla151[CODIGO],Tabla151[VALOR])</f>
        <v>Terapias</v>
      </c>
      <c r="D55" s="14">
        <v>1</v>
      </c>
      <c r="E55" s="56" cm="1">
        <f t="array" ref="E55">IF(D55="X",(_xlfn.XLOOKUP($B55,Tabla1[SERVICIO],Tabla1[VALOR])*1),IF(D55&gt;=1,_xlfn.XLOOKUP($B55,Tabla1[SERVICIO],Tabla1[VALOR]*D55),0))</f>
        <v>31714.220952863223</v>
      </c>
      <c r="F55" s="14"/>
      <c r="G55" s="56" cm="1">
        <f t="array" ref="G55">IF(F55="X",(_xlfn.XLOOKUP($B55,Tabla1[SERVICIO],Tabla1[VALOR])*1),IF(F55&gt;=1,_xlfn.XLOOKUP($B55,Tabla1[SERVICIO],Tabla1[VALOR]*F55),0))</f>
        <v>0</v>
      </c>
      <c r="H55" s="14"/>
      <c r="I55" s="56" cm="1">
        <f t="array" ref="I55">IF(H55="X",(_xlfn.XLOOKUP($B55,Tabla1[SERVICIO],Tabla1[VALOR])*1),IF(H55&gt;=1,_xlfn.XLOOKUP($B55,Tabla1[SERVICIO],Tabla1[VALOR]*H55),0))</f>
        <v>0</v>
      </c>
      <c r="J55" s="14"/>
      <c r="K55" s="56" cm="1">
        <f t="array" ref="K55">IF(J55="X",(_xlfn.XLOOKUP($B55,Tabla1[SERVICIO],Tabla1[VALOR])*1),IF(J55&gt;=1,_xlfn.XLOOKUP($B55,Tabla1[SERVICIO],Tabla1[VALOR]*J55),0))</f>
        <v>0</v>
      </c>
      <c r="L55" s="14"/>
      <c r="M55" s="56" cm="1">
        <f t="array" ref="M55">IF(L55="X",(_xlfn.XLOOKUP($B55,Tabla1[SERVICIO],Tabla1[VALOR])*1),IF(L55&gt;=1,_xlfn.XLOOKUP($B55,Tabla1[SERVICIO],Tabla1[VALOR]*L55),0))</f>
        <v>0</v>
      </c>
      <c r="N55" s="14"/>
      <c r="O55" s="56" cm="1">
        <f t="array" ref="O55">IF(N55="X",(_xlfn.XLOOKUP($B55,Tabla1[SERVICIO],Tabla1[VALOR])*1),IF(N55&gt;=1,_xlfn.XLOOKUP($B55,Tabla1[SERVICIO],Tabla1[VALOR]*N55),0))</f>
        <v>0</v>
      </c>
      <c r="P55" s="14"/>
      <c r="Q55" s="56" cm="1">
        <f t="array" ref="Q55">IF(P55="X",(_xlfn.XLOOKUP($B55,Tabla1[SERVICIO],Tabla1[VALOR])*1),IF(P55&gt;=1,_xlfn.XLOOKUP($B55,Tabla1[SERVICIO],Tabla1[VALOR]*P55),0))</f>
        <v>0</v>
      </c>
      <c r="R55" s="14"/>
      <c r="S55" s="56" cm="1">
        <f t="array" ref="S55">IF(R55="X",(_xlfn.XLOOKUP($B55,Tabla1[SERVICIO],Tabla1[VALOR])*1),IF(R55&gt;=1,_xlfn.XLOOKUP($B55,Tabla1[SERVICIO],Tabla1[VALOR]*R55),0))</f>
        <v>0</v>
      </c>
      <c r="T55" s="14"/>
      <c r="U55" s="56" cm="1">
        <f t="array" ref="U55">IF(T55="X",(_xlfn.XLOOKUP($B55,Tabla1[SERVICIO],Tabla1[VALOR])*1),IF(T55&gt;=1,_xlfn.XLOOKUP($B55,Tabla1[SERVICIO],Tabla1[VALOR]*T55),0))</f>
        <v>0</v>
      </c>
      <c r="V55" s="14"/>
      <c r="W55" s="56" cm="1">
        <f t="array" ref="W55">IF(V55="X",(_xlfn.XLOOKUP($B55,Tabla1[SERVICIO],Tabla1[VALOR])*1),IF(V55&gt;=1,_xlfn.XLOOKUP($B55,Tabla1[SERVICIO],Tabla1[VALOR]*V55),0))</f>
        <v>0</v>
      </c>
      <c r="X55" s="14"/>
      <c r="Y55" s="56" cm="1">
        <f t="array" ref="Y55">IF(X55="X",(_xlfn.XLOOKUP($B55,Tabla1[SERVICIO],Tabla1[VALOR])*1),IF(X55&gt;=1,_xlfn.XLOOKUP($B55,Tabla1[SERVICIO],Tabla1[VALOR]*X55),0))</f>
        <v>0</v>
      </c>
      <c r="Z55" s="14"/>
      <c r="AA55" s="56" cm="1">
        <f t="array" ref="AA55">IF(Z55="X",(_xlfn.XLOOKUP($B55,Tabla1[SERVICIO],Tabla1[VALOR])*1),IF(Z55&gt;=1,_xlfn.XLOOKUP($B55,Tabla1[SERVICIO],Tabla1[VALOR]*Z55),0))</f>
        <v>0</v>
      </c>
      <c r="AB55" s="14"/>
      <c r="AC55" s="56" cm="1">
        <f t="array" ref="AC55">IF(AB55="X",(_xlfn.XLOOKUP($B55,Tabla1[SERVICIO],Tabla1[VALOR])*1),IF(AB55&gt;=1,_xlfn.XLOOKUP($B55,Tabla1[SERVICIO],Tabla1[VALOR]*AB55),0))</f>
        <v>0</v>
      </c>
      <c r="AD55" s="14"/>
      <c r="AE55" s="56" cm="1">
        <f t="array" ref="AE55">IF(AD55="X",(_xlfn.XLOOKUP($B55,Tabla1[SERVICIO],Tabla1[VALOR])*1),IF(AD55&gt;=1,_xlfn.XLOOKUP($B55,Tabla1[SERVICIO],Tabla1[VALOR]*AD55),0))</f>
        <v>0</v>
      </c>
      <c r="AF55" s="14"/>
      <c r="AG55" s="56" cm="1">
        <f t="array" ref="AG55">IF(AF55="X",(_xlfn.XLOOKUP($B55,Tabla1[SERVICIO],Tabla1[VALOR])*1),IF(AF55&gt;=1,_xlfn.XLOOKUP($B55,Tabla1[SERVICIO],Tabla1[VALOR]*AF55),0))</f>
        <v>0</v>
      </c>
      <c r="AH55" s="14"/>
      <c r="AI55" s="56" cm="1">
        <f t="array" ref="AI55">IF(AH55="X",(_xlfn.XLOOKUP($B55,Tabla1[SERVICIO],Tabla1[VALOR])*1),IF(AH55&gt;=1,_xlfn.XLOOKUP($B55,Tabla1[SERVICIO],Tabla1[VALOR]*AH55),0))</f>
        <v>0</v>
      </c>
      <c r="AJ55" s="14"/>
      <c r="AK55" s="56" cm="1">
        <f t="array" ref="AK55">IF(AJ55="X",(_xlfn.XLOOKUP($B55,Tabla1[SERVICIO],Tabla1[VALOR])*1),IF(AJ55&gt;=1,_xlfn.XLOOKUP($B55,Tabla1[SERVICIO],Tabla1[VALOR]*AJ55),0))</f>
        <v>0</v>
      </c>
      <c r="AL55" s="14"/>
      <c r="AM55" s="56" cm="1">
        <f t="array" ref="AM55">IF(AL55="X",(_xlfn.XLOOKUP($B55,Tabla1[SERVICIO],Tabla1[VALOR])*1),IF(AL55&gt;=1,_xlfn.XLOOKUP($B55,Tabla1[SERVICIO],Tabla1[VALOR]*AL55),0))</f>
        <v>0</v>
      </c>
      <c r="AN55" s="89">
        <f t="shared" si="1"/>
        <v>31714.220952863223</v>
      </c>
      <c r="AO55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5" s="104" t="s">
        <v>319</v>
      </c>
      <c r="AQ55" s="154">
        <v>2.793296089385475E-2</v>
      </c>
      <c r="AR55" s="90">
        <f>+Tabla31737[[#This Row],[TOTAL]]*Tabla31737[[#This Row],[% de las personas que lo usaron]]</f>
        <v>885.87209365539729</v>
      </c>
      <c r="AS55" s="240" t="s">
        <v>331</v>
      </c>
      <c r="AT55" s="335">
        <v>18</v>
      </c>
    </row>
    <row r="56" spans="1:46" ht="15" x14ac:dyDescent="0.25">
      <c r="A56" s="7" t="s">
        <v>44</v>
      </c>
      <c r="B56" s="8" t="s">
        <v>229</v>
      </c>
      <c r="C56" s="96" t="str">
        <f>_xlfn.XLOOKUP(Tabla31737[[#This Row],[Servicios del Programa:]],Tabla151[CODIGO],Tabla151[VALOR])</f>
        <v>Terapias</v>
      </c>
      <c r="D56" s="14">
        <v>1</v>
      </c>
      <c r="E56" s="56" cm="1">
        <f t="array" ref="E56">IF(D56="X",(_xlfn.XLOOKUP($B56,Tabla1[SERVICIO],Tabla1[VALOR])*1),IF(D56&gt;=1,_xlfn.XLOOKUP($B56,Tabla1[SERVICIO],Tabla1[VALOR]*D56),0))</f>
        <v>31714.220952863223</v>
      </c>
      <c r="F56" s="14"/>
      <c r="G56" s="56" cm="1">
        <f t="array" ref="G56">IF(F56="X",(_xlfn.XLOOKUP($B56,Tabla1[SERVICIO],Tabla1[VALOR])*1),IF(F56&gt;=1,_xlfn.XLOOKUP($B56,Tabla1[SERVICIO],Tabla1[VALOR]*F56),0))</f>
        <v>0</v>
      </c>
      <c r="H56" s="14"/>
      <c r="I56" s="56" cm="1">
        <f t="array" ref="I56">IF(H56="X",(_xlfn.XLOOKUP($B56,Tabla1[SERVICIO],Tabla1[VALOR])*1),IF(H56&gt;=1,_xlfn.XLOOKUP($B56,Tabla1[SERVICIO],Tabla1[VALOR]*H56),0))</f>
        <v>0</v>
      </c>
      <c r="J56" s="14"/>
      <c r="K56" s="56" cm="1">
        <f t="array" ref="K56">IF(J56="X",(_xlfn.XLOOKUP($B56,Tabla1[SERVICIO],Tabla1[VALOR])*1),IF(J56&gt;=1,_xlfn.XLOOKUP($B56,Tabla1[SERVICIO],Tabla1[VALOR]*J56),0))</f>
        <v>0</v>
      </c>
      <c r="L56" s="14"/>
      <c r="M56" s="56" cm="1">
        <f t="array" ref="M56">IF(L56="X",(_xlfn.XLOOKUP($B56,Tabla1[SERVICIO],Tabla1[VALOR])*1),IF(L56&gt;=1,_xlfn.XLOOKUP($B56,Tabla1[SERVICIO],Tabla1[VALOR]*L56),0))</f>
        <v>0</v>
      </c>
      <c r="N56" s="14"/>
      <c r="O56" s="56" cm="1">
        <f t="array" ref="O56">IF(N56="X",(_xlfn.XLOOKUP($B56,Tabla1[SERVICIO],Tabla1[VALOR])*1),IF(N56&gt;=1,_xlfn.XLOOKUP($B56,Tabla1[SERVICIO],Tabla1[VALOR]*N56),0))</f>
        <v>0</v>
      </c>
      <c r="P56" s="14"/>
      <c r="Q56" s="56" cm="1">
        <f t="array" ref="Q56">IF(P56="X",(_xlfn.XLOOKUP($B56,Tabla1[SERVICIO],Tabla1[VALOR])*1),IF(P56&gt;=1,_xlfn.XLOOKUP($B56,Tabla1[SERVICIO],Tabla1[VALOR]*P56),0))</f>
        <v>0</v>
      </c>
      <c r="R56" s="14"/>
      <c r="S56" s="56" cm="1">
        <f t="array" ref="S56">IF(R56="X",(_xlfn.XLOOKUP($B56,Tabla1[SERVICIO],Tabla1[VALOR])*1),IF(R56&gt;=1,_xlfn.XLOOKUP($B56,Tabla1[SERVICIO],Tabla1[VALOR]*R56),0))</f>
        <v>0</v>
      </c>
      <c r="T56" s="14"/>
      <c r="U56" s="56" cm="1">
        <f t="array" ref="U56">IF(T56="X",(_xlfn.XLOOKUP($B56,Tabla1[SERVICIO],Tabla1[VALOR])*1),IF(T56&gt;=1,_xlfn.XLOOKUP($B56,Tabla1[SERVICIO],Tabla1[VALOR]*T56),0))</f>
        <v>0</v>
      </c>
      <c r="V56" s="14"/>
      <c r="W56" s="56" cm="1">
        <f t="array" ref="W56">IF(V56="X",(_xlfn.XLOOKUP($B56,Tabla1[SERVICIO],Tabla1[VALOR])*1),IF(V56&gt;=1,_xlfn.XLOOKUP($B56,Tabla1[SERVICIO],Tabla1[VALOR]*V56),0))</f>
        <v>0</v>
      </c>
      <c r="X56" s="14"/>
      <c r="Y56" s="56" cm="1">
        <f t="array" ref="Y56">IF(X56="X",(_xlfn.XLOOKUP($B56,Tabla1[SERVICIO],Tabla1[VALOR])*1),IF(X56&gt;=1,_xlfn.XLOOKUP($B56,Tabla1[SERVICIO],Tabla1[VALOR]*X56),0))</f>
        <v>0</v>
      </c>
      <c r="Z56" s="14"/>
      <c r="AA56" s="56" cm="1">
        <f t="array" ref="AA56">IF(Z56="X",(_xlfn.XLOOKUP($B56,Tabla1[SERVICIO],Tabla1[VALOR])*1),IF(Z56&gt;=1,_xlfn.XLOOKUP($B56,Tabla1[SERVICIO],Tabla1[VALOR]*Z56),0))</f>
        <v>0</v>
      </c>
      <c r="AB56" s="14"/>
      <c r="AC56" s="56" cm="1">
        <f t="array" ref="AC56">IF(AB56="X",(_xlfn.XLOOKUP($B56,Tabla1[SERVICIO],Tabla1[VALOR])*1),IF(AB56&gt;=1,_xlfn.XLOOKUP($B56,Tabla1[SERVICIO],Tabla1[VALOR]*AB56),0))</f>
        <v>0</v>
      </c>
      <c r="AD56" s="14"/>
      <c r="AE56" s="56" cm="1">
        <f t="array" ref="AE56">IF(AD56="X",(_xlfn.XLOOKUP($B56,Tabla1[SERVICIO],Tabla1[VALOR])*1),IF(AD56&gt;=1,_xlfn.XLOOKUP($B56,Tabla1[SERVICIO],Tabla1[VALOR]*AD56),0))</f>
        <v>0</v>
      </c>
      <c r="AF56" s="14"/>
      <c r="AG56" s="56" cm="1">
        <f t="array" ref="AG56">IF(AF56="X",(_xlfn.XLOOKUP($B56,Tabla1[SERVICIO],Tabla1[VALOR])*1),IF(AF56&gt;=1,_xlfn.XLOOKUP($B56,Tabla1[SERVICIO],Tabla1[VALOR]*AF56),0))</f>
        <v>0</v>
      </c>
      <c r="AH56" s="14"/>
      <c r="AI56" s="56" cm="1">
        <f t="array" ref="AI56">IF(AH56="X",(_xlfn.XLOOKUP($B56,Tabla1[SERVICIO],Tabla1[VALOR])*1),IF(AH56&gt;=1,_xlfn.XLOOKUP($B56,Tabla1[SERVICIO],Tabla1[VALOR]*AH56),0))</f>
        <v>0</v>
      </c>
      <c r="AJ56" s="14"/>
      <c r="AK56" s="56" cm="1">
        <f t="array" ref="AK56">IF(AJ56="X",(_xlfn.XLOOKUP($B56,Tabla1[SERVICIO],Tabla1[VALOR])*1),IF(AJ56&gt;=1,_xlfn.XLOOKUP($B56,Tabla1[SERVICIO],Tabla1[VALOR]*AJ56),0))</f>
        <v>0</v>
      </c>
      <c r="AL56" s="14"/>
      <c r="AM56" s="56" cm="1">
        <f t="array" ref="AM56">IF(AL56="X",(_xlfn.XLOOKUP($B56,Tabla1[SERVICIO],Tabla1[VALOR])*1),IF(AL56&gt;=1,_xlfn.XLOOKUP($B56,Tabla1[SERVICIO],Tabla1[VALOR]*AL56),0))</f>
        <v>0</v>
      </c>
      <c r="AN56" s="89">
        <f t="shared" si="1"/>
        <v>31714.220952863223</v>
      </c>
      <c r="AO56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6" s="104" t="s">
        <v>319</v>
      </c>
      <c r="AQ56" s="154">
        <v>8.9385474860335198E-2</v>
      </c>
      <c r="AR56" s="90">
        <f>+Tabla31737[[#This Row],[TOTAL]]*Tabla31737[[#This Row],[% de las personas que lo usaron]]</f>
        <v>2834.7906996972715</v>
      </c>
      <c r="AS56" s="240" t="s">
        <v>331</v>
      </c>
      <c r="AT56" s="335">
        <v>18</v>
      </c>
    </row>
    <row r="57" spans="1:46" ht="15" x14ac:dyDescent="0.25">
      <c r="A57" s="7" t="s">
        <v>29</v>
      </c>
      <c r="B57" s="8" t="s">
        <v>196</v>
      </c>
      <c r="C57" s="96" t="str">
        <f>_xlfn.XLOOKUP(Tabla31737[[#This Row],[Servicios del Programa:]],Tabla151[CODIGO],Tabla151[VALOR])</f>
        <v>Terapias</v>
      </c>
      <c r="D57" s="14"/>
      <c r="E57" s="56" cm="1">
        <f t="array" ref="E57">IF(D57="X",(_xlfn.XLOOKUP($B57,Tabla1[SERVICIO],Tabla1[VALOR])*1),IF(D57&gt;=1,_xlfn.XLOOKUP($B57,Tabla1[SERVICIO],Tabla1[VALOR]*D57),0))</f>
        <v>0</v>
      </c>
      <c r="F57" s="14"/>
      <c r="G57" s="56" cm="1">
        <f t="array" ref="G57">IF(F57="X",(_xlfn.XLOOKUP($B57,Tabla1[SERVICIO],Tabla1[VALOR])*1),IF(F57&gt;=1,_xlfn.XLOOKUP($B57,Tabla1[SERVICIO],Tabla1[VALOR]*F57),0))</f>
        <v>0</v>
      </c>
      <c r="H57" s="14"/>
      <c r="I57" s="56" cm="1">
        <f t="array" ref="I57">IF(H57="X",(_xlfn.XLOOKUP($B57,Tabla1[SERVICIO],Tabla1[VALOR])*1),IF(H57&gt;=1,_xlfn.XLOOKUP($B57,Tabla1[SERVICIO],Tabla1[VALOR]*H57),0))</f>
        <v>0</v>
      </c>
      <c r="J57" s="14"/>
      <c r="K57" s="56" cm="1">
        <f t="array" ref="K57">IF(J57="X",(_xlfn.XLOOKUP($B57,Tabla1[SERVICIO],Tabla1[VALOR])*1),IF(J57&gt;=1,_xlfn.XLOOKUP($B57,Tabla1[SERVICIO],Tabla1[VALOR]*J57),0))</f>
        <v>0</v>
      </c>
      <c r="L57" s="14"/>
      <c r="M57" s="56" cm="1">
        <f t="array" ref="M57">IF(L57="X",(_xlfn.XLOOKUP($B57,Tabla1[SERVICIO],Tabla1[VALOR])*1),IF(L57&gt;=1,_xlfn.XLOOKUP($B57,Tabla1[SERVICIO],Tabla1[VALOR]*L57),0))</f>
        <v>0</v>
      </c>
      <c r="N57" s="14">
        <v>1</v>
      </c>
      <c r="O57" s="56" cm="1">
        <f t="array" ref="O57">IF(N57="X",(_xlfn.XLOOKUP($B57,Tabla1[SERVICIO],Tabla1[VALOR])*1),IF(N57&gt;=1,_xlfn.XLOOKUP($B57,Tabla1[SERVICIO],Tabla1[VALOR]*N57),0))</f>
        <v>31881.451880098426</v>
      </c>
      <c r="P57" s="14"/>
      <c r="Q57" s="56" cm="1">
        <f t="array" ref="Q57">IF(P57="X",(_xlfn.XLOOKUP($B57,Tabla1[SERVICIO],Tabla1[VALOR])*1),IF(P57&gt;=1,_xlfn.XLOOKUP($B57,Tabla1[SERVICIO],Tabla1[VALOR]*P57),0))</f>
        <v>0</v>
      </c>
      <c r="R57" s="14"/>
      <c r="S57" s="56" cm="1">
        <f t="array" ref="S57">IF(R57="X",(_xlfn.XLOOKUP($B57,Tabla1[SERVICIO],Tabla1[VALOR])*1),IF(R57&gt;=1,_xlfn.XLOOKUP($B57,Tabla1[SERVICIO],Tabla1[VALOR]*R57),0))</f>
        <v>0</v>
      </c>
      <c r="T57" s="14"/>
      <c r="U57" s="56" cm="1">
        <f t="array" ref="U57">IF(T57="X",(_xlfn.XLOOKUP($B57,Tabla1[SERVICIO],Tabla1[VALOR])*1),IF(T57&gt;=1,_xlfn.XLOOKUP($B57,Tabla1[SERVICIO],Tabla1[VALOR]*T57),0))</f>
        <v>0</v>
      </c>
      <c r="V57" s="14"/>
      <c r="W57" s="56" cm="1">
        <f t="array" ref="W57">IF(V57="X",(_xlfn.XLOOKUP($B57,Tabla1[SERVICIO],Tabla1[VALOR])*1),IF(V57&gt;=1,_xlfn.XLOOKUP($B57,Tabla1[SERVICIO],Tabla1[VALOR]*V57),0))</f>
        <v>0</v>
      </c>
      <c r="X57" s="14"/>
      <c r="Y57" s="56" cm="1">
        <f t="array" ref="Y57">IF(X57="X",(_xlfn.XLOOKUP($B57,Tabla1[SERVICIO],Tabla1[VALOR])*1),IF(X57&gt;=1,_xlfn.XLOOKUP($B57,Tabla1[SERVICIO],Tabla1[VALOR]*X57),0))</f>
        <v>0</v>
      </c>
      <c r="Z57" s="14"/>
      <c r="AA57" s="56" cm="1">
        <f t="array" ref="AA57">IF(Z57="X",(_xlfn.XLOOKUP($B57,Tabla1[SERVICIO],Tabla1[VALOR])*1),IF(Z57&gt;=1,_xlfn.XLOOKUP($B57,Tabla1[SERVICIO],Tabla1[VALOR]*Z57),0))</f>
        <v>0</v>
      </c>
      <c r="AB57" s="14"/>
      <c r="AC57" s="56" cm="1">
        <f t="array" ref="AC57">IF(AB57="X",(_xlfn.XLOOKUP($B57,Tabla1[SERVICIO],Tabla1[VALOR])*1),IF(AB57&gt;=1,_xlfn.XLOOKUP($B57,Tabla1[SERVICIO],Tabla1[VALOR]*AB57),0))</f>
        <v>0</v>
      </c>
      <c r="AD57" s="14"/>
      <c r="AE57" s="56" cm="1">
        <f t="array" ref="AE57">IF(AD57="X",(_xlfn.XLOOKUP($B57,Tabla1[SERVICIO],Tabla1[VALOR])*1),IF(AD57&gt;=1,_xlfn.XLOOKUP($B57,Tabla1[SERVICIO],Tabla1[VALOR]*AD57),0))</f>
        <v>0</v>
      </c>
      <c r="AF57" s="14"/>
      <c r="AG57" s="56" cm="1">
        <f t="array" ref="AG57">IF(AF57="X",(_xlfn.XLOOKUP($B57,Tabla1[SERVICIO],Tabla1[VALOR])*1),IF(AF57&gt;=1,_xlfn.XLOOKUP($B57,Tabla1[SERVICIO],Tabla1[VALOR]*AF57),0))</f>
        <v>0</v>
      </c>
      <c r="AH57" s="14"/>
      <c r="AI57" s="56" cm="1">
        <f t="array" ref="AI57">IF(AH57="X",(_xlfn.XLOOKUP($B57,Tabla1[SERVICIO],Tabla1[VALOR])*1),IF(AH57&gt;=1,_xlfn.XLOOKUP($B57,Tabla1[SERVICIO],Tabla1[VALOR]*AH57),0))</f>
        <v>0</v>
      </c>
      <c r="AJ57" s="14"/>
      <c r="AK57" s="56" cm="1">
        <f t="array" ref="AK57">IF(AJ57="X",(_xlfn.XLOOKUP($B57,Tabla1[SERVICIO],Tabla1[VALOR])*1),IF(AJ57&gt;=1,_xlfn.XLOOKUP($B57,Tabla1[SERVICIO],Tabla1[VALOR]*AJ57),0))</f>
        <v>0</v>
      </c>
      <c r="AL57" s="14">
        <v>1</v>
      </c>
      <c r="AM57" s="56" cm="1">
        <f t="array" ref="AM57">IF(AL57="X",(_xlfn.XLOOKUP($B57,Tabla1[SERVICIO],Tabla1[VALOR])*1),IF(AL57&gt;=1,_xlfn.XLOOKUP($B57,Tabla1[SERVICIO],Tabla1[VALOR]*AL57),0))</f>
        <v>31881.451880098426</v>
      </c>
      <c r="AN57" s="89">
        <f t="shared" si="1"/>
        <v>63762.903760196852</v>
      </c>
      <c r="AO57" s="153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57" s="104" t="s">
        <v>318</v>
      </c>
      <c r="AQ57" s="154">
        <v>1</v>
      </c>
      <c r="AR57" s="90">
        <f>+Tabla31737[[#This Row],[TOTAL]]*Tabla31737[[#This Row],[% de las personas que lo usaron]]</f>
        <v>63762.903760196852</v>
      </c>
      <c r="AS57" s="240" t="s">
        <v>331</v>
      </c>
      <c r="AT57" s="335">
        <v>18</v>
      </c>
    </row>
    <row r="58" spans="1:46" s="1" customFormat="1" ht="15" x14ac:dyDescent="0.25">
      <c r="A58" s="250"/>
      <c r="B58" s="251"/>
      <c r="C58" s="251"/>
      <c r="D58" s="221"/>
      <c r="E58" s="252">
        <f>SUBTOTAL(109,Tabla31737[MES 19])</f>
        <v>659305.54457465361</v>
      </c>
      <c r="F58" s="221"/>
      <c r="G58" s="252">
        <f>SUBTOTAL(109,Tabla31737[MES 22])</f>
        <v>70240.958933331596</v>
      </c>
      <c r="H58" s="221"/>
      <c r="I58" s="252">
        <f>SUBTOTAL(109,Tabla31737[MES 32])</f>
        <v>70240.958933331596</v>
      </c>
      <c r="J58" s="221"/>
      <c r="K58" s="252">
        <f>SUBTOTAL(109,Tabla31737[MES 42])</f>
        <v>70240.958933331596</v>
      </c>
      <c r="L58" s="221"/>
      <c r="M58" s="252">
        <f>SUBTOTAL(109,Tabla31737[MES 52])</f>
        <v>70240.958933331596</v>
      </c>
      <c r="N58" s="221"/>
      <c r="O58" s="252">
        <f>SUBTOTAL(109,Tabla31737[MES 62])</f>
        <v>207463.13155118219</v>
      </c>
      <c r="P58" s="221"/>
      <c r="Q58" s="252">
        <f>SUBTOTAL(109,Tabla31737[MES 72])</f>
        <v>70240.958933331596</v>
      </c>
      <c r="R58" s="221"/>
      <c r="S58" s="252">
        <f>SUBTOTAL(109,Tabla31737[MES 82])</f>
        <v>70240.958933331596</v>
      </c>
      <c r="T58" s="221"/>
      <c r="U58" s="252">
        <f>SUBTOTAL(109,Tabla31737[MES 92])</f>
        <v>70240.958933331596</v>
      </c>
      <c r="V58" s="221"/>
      <c r="W58" s="252">
        <f>SUBTOTAL(109,Tabla31737[MES 102])</f>
        <v>70240.958933331596</v>
      </c>
      <c r="X58" s="221"/>
      <c r="Y58" s="252">
        <f>SUBTOTAL(109,Tabla31737[MES 112])</f>
        <v>70240.958933331596</v>
      </c>
      <c r="Z58" s="221"/>
      <c r="AA58" s="252">
        <f>SUBTOTAL(109,Tabla31737[MES 122])</f>
        <v>70240.958933331596</v>
      </c>
      <c r="AB58" s="221"/>
      <c r="AC58" s="252">
        <f>SUBTOTAL(109,Tabla31737[MES 132])</f>
        <v>70240.958933331596</v>
      </c>
      <c r="AD58" s="221"/>
      <c r="AE58" s="252">
        <f>SUBTOTAL(109,Tabla31737[MES 142])</f>
        <v>70240.958933331596</v>
      </c>
      <c r="AF58" s="221"/>
      <c r="AG58" s="252">
        <f>SUBTOTAL(109,Tabla31737[MES 152])</f>
        <v>70240.958933331596</v>
      </c>
      <c r="AH58" s="221"/>
      <c r="AI58" s="252">
        <f>SUBTOTAL(109,Tabla31737[MES 162])</f>
        <v>70240.958933331596</v>
      </c>
      <c r="AJ58" s="221"/>
      <c r="AK58" s="252">
        <f>SUBTOTAL(109,Tabla31737[MES 172])</f>
        <v>70240.958933331596</v>
      </c>
      <c r="AL58" s="253"/>
      <c r="AM58" s="254">
        <f>SUBTOTAL(109,Tabla31737[MES 1722])</f>
        <v>309113.14931851043</v>
      </c>
      <c r="AN58" s="196">
        <f>SUBTOTAL(109,Tabla31737[TOTAL])</f>
        <v>2229496.2094443203</v>
      </c>
      <c r="AO58" s="255">
        <f>SUBTOTAL(109,Tabla31737[TOTAL SERVICIOS])</f>
        <v>174</v>
      </c>
      <c r="AP58" s="255"/>
      <c r="AQ58" s="255"/>
      <c r="AR58" s="196">
        <f>SUBTOTAL(109,Tabla31737[VALOR COSTO])</f>
        <v>1878478.6681659468</v>
      </c>
      <c r="AS58" s="255"/>
      <c r="AT58" s="255"/>
    </row>
  </sheetData>
  <phoneticPr fontId="13" type="noConversion"/>
  <conditionalFormatting sqref="A5">
    <cfRule type="duplicateValues" dxfId="48" priority="8"/>
  </conditionalFormatting>
  <conditionalFormatting sqref="A19:A21">
    <cfRule type="duplicateValues" dxfId="47" priority="7"/>
  </conditionalFormatting>
  <conditionalFormatting sqref="A22:A27 A3:A4 A7:A18">
    <cfRule type="duplicateValues" dxfId="46" priority="9"/>
  </conditionalFormatting>
  <conditionalFormatting sqref="A35">
    <cfRule type="duplicateValues" dxfId="45" priority="5"/>
  </conditionalFormatting>
  <conditionalFormatting sqref="A49:A51">
    <cfRule type="duplicateValues" dxfId="44" priority="4"/>
  </conditionalFormatting>
  <conditionalFormatting sqref="A52:A57 A33:A34 A37:A48">
    <cfRule type="duplicateValues" dxfId="43" priority="6"/>
  </conditionalFormatting>
  <conditionalFormatting sqref="AF3:AF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3:AR5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9BBD-6B14-4E85-8A1A-49BFE51B88C3}">
  <sheetPr codeName="Hoja15">
    <tabColor theme="7" tint="0.39997558519241921"/>
  </sheetPr>
  <dimension ref="A1:AT59"/>
  <sheetViews>
    <sheetView topLeftCell="C1" zoomScale="55" zoomScaleNormal="55" workbookViewId="0">
      <selection activeCell="A3" sqref="A3:AH28"/>
    </sheetView>
    <sheetView workbookViewId="1"/>
  </sheetViews>
  <sheetFormatPr baseColWidth="10" defaultRowHeight="12.75" x14ac:dyDescent="0.2"/>
  <cols>
    <col min="1" max="1" width="11.7109375" style="2" customWidth="1"/>
    <col min="2" max="2" width="70.85546875" style="3" customWidth="1"/>
    <col min="3" max="3" width="20.28515625" style="2" bestFit="1" customWidth="1"/>
    <col min="4" max="4" width="10" style="2" bestFit="1" customWidth="1"/>
    <col min="5" max="5" width="13.140625" style="2" bestFit="1" customWidth="1"/>
    <col min="6" max="6" width="10" style="2" bestFit="1" customWidth="1"/>
    <col min="7" max="7" width="13.140625" style="2" bestFit="1" customWidth="1"/>
    <col min="8" max="8" width="10" style="2" bestFit="1" customWidth="1"/>
    <col min="9" max="9" width="13.140625" style="2" bestFit="1" customWidth="1"/>
    <col min="10" max="10" width="10" style="2" bestFit="1" customWidth="1"/>
    <col min="11" max="11" width="13.140625" style="2" bestFit="1" customWidth="1"/>
    <col min="12" max="12" width="10" style="2" bestFit="1" customWidth="1"/>
    <col min="13" max="13" width="13.140625" style="2" bestFit="1" customWidth="1"/>
    <col min="14" max="14" width="10" style="2" bestFit="1" customWidth="1"/>
    <col min="15" max="15" width="13.140625" style="2" bestFit="1" customWidth="1"/>
    <col min="16" max="16" width="10" style="2" bestFit="1" customWidth="1"/>
    <col min="17" max="17" width="13.140625" style="2" bestFit="1" customWidth="1"/>
    <col min="18" max="18" width="10" style="2" bestFit="1" customWidth="1"/>
    <col min="19" max="19" width="13.140625" style="2" bestFit="1" customWidth="1"/>
    <col min="20" max="20" width="10" style="2" bestFit="1" customWidth="1"/>
    <col min="21" max="21" width="13.140625" style="3" bestFit="1" customWidth="1"/>
    <col min="22" max="22" width="11.42578125" style="3"/>
    <col min="23" max="23" width="13.140625" style="3" bestFit="1" customWidth="1"/>
    <col min="24" max="24" width="11.42578125" style="3"/>
    <col min="25" max="25" width="13.140625" style="3" bestFit="1" customWidth="1"/>
    <col min="26" max="26" width="11.42578125" style="3"/>
    <col min="27" max="27" width="17.7109375" style="3" customWidth="1"/>
    <col min="28" max="28" width="15.7109375" style="3" bestFit="1" customWidth="1"/>
    <col min="29" max="30" width="11.42578125" style="3"/>
    <col min="31" max="31" width="11.85546875" style="3" customWidth="1"/>
    <col min="32" max="32" width="18" style="3" customWidth="1"/>
    <col min="33" max="33" width="23.42578125" style="3" bestFit="1" customWidth="1"/>
    <col min="34" max="38" width="11.42578125" style="3"/>
    <col min="39" max="39" width="17.5703125" style="3" customWidth="1"/>
    <col min="40" max="42" width="11.42578125" style="3"/>
    <col min="43" max="43" width="17.7109375" style="3" bestFit="1" customWidth="1"/>
    <col min="44" max="16384" width="11.42578125" style="3"/>
  </cols>
  <sheetData>
    <row r="1" spans="1:35" ht="36" customHeight="1" x14ac:dyDescent="0.2">
      <c r="A1" s="43" t="s">
        <v>205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5" s="1" customFormat="1" ht="27.75" customHeight="1" x14ac:dyDescent="0.2">
      <c r="A2" s="21" t="s">
        <v>0</v>
      </c>
      <c r="B2" s="6" t="s">
        <v>206</v>
      </c>
      <c r="C2" s="183" t="s">
        <v>347</v>
      </c>
      <c r="D2" s="163" t="s">
        <v>56</v>
      </c>
      <c r="E2" s="163" t="s">
        <v>68</v>
      </c>
      <c r="F2" s="163" t="s">
        <v>57</v>
      </c>
      <c r="G2" s="163" t="s">
        <v>293</v>
      </c>
      <c r="H2" s="163" t="s">
        <v>58</v>
      </c>
      <c r="I2" s="163" t="s">
        <v>294</v>
      </c>
      <c r="J2" s="163" t="s">
        <v>59</v>
      </c>
      <c r="K2" s="163" t="s">
        <v>295</v>
      </c>
      <c r="L2" s="163" t="s">
        <v>60</v>
      </c>
      <c r="M2" s="163" t="s">
        <v>296</v>
      </c>
      <c r="N2" s="163" t="s">
        <v>61</v>
      </c>
      <c r="O2" s="163" t="s">
        <v>297</v>
      </c>
      <c r="P2" s="163" t="s">
        <v>62</v>
      </c>
      <c r="Q2" s="163" t="s">
        <v>298</v>
      </c>
      <c r="R2" s="163" t="s">
        <v>63</v>
      </c>
      <c r="S2" s="163" t="s">
        <v>299</v>
      </c>
      <c r="T2" s="163" t="s">
        <v>64</v>
      </c>
      <c r="U2" s="163" t="s">
        <v>300</v>
      </c>
      <c r="V2" s="163" t="s">
        <v>65</v>
      </c>
      <c r="W2" s="163" t="s">
        <v>301</v>
      </c>
      <c r="X2" s="163" t="s">
        <v>66</v>
      </c>
      <c r="Y2" s="163" t="s">
        <v>302</v>
      </c>
      <c r="Z2" s="163" t="s">
        <v>67</v>
      </c>
      <c r="AA2" s="162" t="s">
        <v>311</v>
      </c>
      <c r="AB2" s="76" t="s">
        <v>247</v>
      </c>
      <c r="AC2" s="162" t="s">
        <v>313</v>
      </c>
      <c r="AD2" s="76" t="s">
        <v>187</v>
      </c>
      <c r="AE2" s="162" t="s">
        <v>316</v>
      </c>
      <c r="AF2" s="76" t="s">
        <v>317</v>
      </c>
      <c r="AG2" s="143" t="s">
        <v>348</v>
      </c>
      <c r="AH2" s="143" t="s">
        <v>406</v>
      </c>
    </row>
    <row r="3" spans="1:35" ht="15" x14ac:dyDescent="0.25">
      <c r="A3" s="99" t="s">
        <v>78</v>
      </c>
      <c r="B3" s="96" t="s">
        <v>194</v>
      </c>
      <c r="C3" s="96" t="str">
        <f>_xlfn.XLOOKUP(Tabla238[[#This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32019.45168009842</v>
      </c>
      <c r="F3" s="14"/>
      <c r="G3" s="56" cm="1">
        <f t="array" ref="G3">IF(F3="X",(_xlfn.XLOOKUP($B3,Tabla1[SERVICIO],Tabla1[VALOR])*1),IF(F3&gt;=1,_xlfn.XLOOKUP($B3,Tabla1[SERVICIO],Tabla1[VALOR]*F3),0))</f>
        <v>0</v>
      </c>
      <c r="H3" s="14"/>
      <c r="I3" s="56" cm="1">
        <f t="array" ref="I3">IF(H3="X",(_xlfn.XLOOKUP($B3,Tabla1[SERVICIO],Tabla1[VALOR])*1),IF(H3&gt;=1,_xlfn.XLOOKUP($B3,Tabla1[SERVICIO],Tabla1[VALOR]*H3),0))</f>
        <v>0</v>
      </c>
      <c r="J3" s="14"/>
      <c r="K3" s="56" cm="1">
        <f t="array" ref="K3">IF(J3="X",(_xlfn.XLOOKUP($B3,Tabla1[SERVICIO],Tabla1[VALOR])*1),IF(J3&gt;=1,_xlfn.XLOOKUP($B3,Tabla1[SERVICIO],Tabla1[VALOR]*J3),0))</f>
        <v>0</v>
      </c>
      <c r="L3" s="14"/>
      <c r="M3" s="56" cm="1">
        <f t="array" ref="M3">IF(L3="X",(_xlfn.XLOOKUP($B3,Tabla1[SERVICIO],Tabla1[VALOR])*1),IF(L3&gt;=1,_xlfn.XLOOKUP($B3,Tabla1[SERVICIO],Tabla1[VALOR]*L3),0))</f>
        <v>0</v>
      </c>
      <c r="N3" s="14"/>
      <c r="O3" s="56" cm="1">
        <f t="array" ref="O3">IF(N3="X",(_xlfn.XLOOKUP($B3,Tabla1[SERVICIO],Tabla1[VALOR])*1),IF(N3&gt;=1,_xlfn.XLOOKUP($B3,Tabla1[SERVICIO],Tabla1[VALOR]*N3),0))</f>
        <v>0</v>
      </c>
      <c r="P3" s="14"/>
      <c r="Q3" s="56" cm="1">
        <f t="array" ref="Q3">IF(P3="X",(_xlfn.XLOOKUP($B3,Tabla1[SERVICIO],Tabla1[VALOR])*1),IF(P3&gt;=1,_xlfn.XLOOKUP($B3,Tabla1[SERVICIO],Tabla1[VALOR]*P3),0))</f>
        <v>0</v>
      </c>
      <c r="R3" s="14"/>
      <c r="S3" s="56" cm="1">
        <f t="array" ref="S3">IF(R3="X",(_xlfn.XLOOKUP($B3,Tabla1[SERVICIO],Tabla1[VALOR])*1),IF(R3&gt;=1,_xlfn.XLOOKUP($B3,Tabla1[SERVICIO],Tabla1[VALOR]*R3),0))</f>
        <v>0</v>
      </c>
      <c r="T3" s="14"/>
      <c r="U3" s="56" cm="1">
        <f t="array" ref="U3">IF(T3="X",(_xlfn.XLOOKUP($B3,Tabla1[SERVICIO],Tabla1[VALOR])*1),IF(T3&gt;=1,_xlfn.XLOOKUP($B3,Tabla1[SERVICIO],Tabla1[VALOR]*T3),0))</f>
        <v>0</v>
      </c>
      <c r="V3" s="14"/>
      <c r="W3" s="56" cm="1">
        <f t="array" ref="W3">IF(V3="X",(_xlfn.XLOOKUP($B3,Tabla1[SERVICIO],Tabla1[VALOR])*1),IF(V3&gt;=1,_xlfn.XLOOKUP($B3,Tabla1[SERVICIO],Tabla1[VALOR]*V3),0))</f>
        <v>0</v>
      </c>
      <c r="X3" s="14"/>
      <c r="Y3" s="56" cm="1">
        <f t="array" ref="Y3">IF(X3="X",(_xlfn.XLOOKUP($B3,Tabla1[SERVICIO],Tabla1[VALOR])*1),IF(X3&gt;=1,_xlfn.XLOOKUP($B3,Tabla1[SERVICIO],Tabla1[VALOR]*X3),0))</f>
        <v>0</v>
      </c>
      <c r="Z3" s="14"/>
      <c r="AA3" s="56" cm="1">
        <f t="array" ref="AA3">IF(Z3="X",(_xlfn.XLOOKUP($B3,Tabla1[SERVICIO],Tabla1[VALOR])*1),IF(Z3&gt;=1,_xlfn.XLOOKUP($B3,Tabla1[SERVICIO],Tabla1[VALOR]*Z3),0))</f>
        <v>0</v>
      </c>
      <c r="AB3" s="89">
        <f>SUM(E3,G3,I3,K3+M3,O3,Q3,S3,U3,W3,Y3,AA3)</f>
        <v>32019.45168009842</v>
      </c>
      <c r="AC3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3" s="104" t="s">
        <v>318</v>
      </c>
      <c r="AE3" s="154">
        <v>1</v>
      </c>
      <c r="AF3" s="90">
        <f>+Tabla238[[#This Row],[TOTAL]]*Tabla238[[#This Row],[% de las personas que lo usaron]]</f>
        <v>32019.45168009842</v>
      </c>
      <c r="AG3" s="242" t="s">
        <v>353</v>
      </c>
      <c r="AH3" s="338">
        <v>12</v>
      </c>
    </row>
    <row r="4" spans="1:35" s="4" customFormat="1" ht="15" x14ac:dyDescent="0.25">
      <c r="A4" s="7" t="s">
        <v>98</v>
      </c>
      <c r="B4" s="96" t="s">
        <v>99</v>
      </c>
      <c r="C4" s="96" t="str">
        <f>_xlfn.XLOOKUP(Tabla238[[#This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8"/>
      <c r="G4" s="56" cm="1">
        <f t="array" ref="G4">IF(F4="X",(_xlfn.XLOOKUP($B4,Tabla1[SERVICIO],Tabla1[VALOR])*1),IF(F4&gt;=1,_xlfn.XLOOKUP($B4,Tabla1[SERVICIO],Tabla1[VALOR]*F4),0))</f>
        <v>0</v>
      </c>
      <c r="H4" s="8"/>
      <c r="I4" s="56" cm="1">
        <f t="array" ref="I4">IF(H4="X",(_xlfn.XLOOKUP($B4,Tabla1[SERVICIO],Tabla1[VALOR])*1),IF(H4&gt;=1,_xlfn.XLOOKUP($B4,Tabla1[SERVICIO],Tabla1[VALOR]*H4),0))</f>
        <v>0</v>
      </c>
      <c r="J4" s="8"/>
      <c r="K4" s="56" cm="1">
        <f t="array" ref="K4">IF(J4="X",(_xlfn.XLOOKUP($B4,Tabla1[SERVICIO],Tabla1[VALOR])*1),IF(J4&gt;=1,_xlfn.XLOOKUP($B4,Tabla1[SERVICIO],Tabla1[VALOR]*J4),0))</f>
        <v>0</v>
      </c>
      <c r="L4" s="8"/>
      <c r="M4" s="56" cm="1">
        <f t="array" ref="M4">IF(L4="X",(_xlfn.XLOOKUP($B4,Tabla1[SERVICIO],Tabla1[VALOR])*1),IF(L4&gt;=1,_xlfn.XLOOKUP($B4,Tabla1[SERVICIO],Tabla1[VALOR]*L4),0))</f>
        <v>0</v>
      </c>
      <c r="N4" s="8"/>
      <c r="O4" s="56" cm="1">
        <f t="array" ref="O4">IF(N4="X",(_xlfn.XLOOKUP($B4,Tabla1[SERVICIO],Tabla1[VALOR])*1),IF(N4&gt;=1,_xlfn.XLOOKUP($B4,Tabla1[SERVICIO],Tabla1[VALOR]*N4),0))</f>
        <v>0</v>
      </c>
      <c r="P4" s="8"/>
      <c r="Q4" s="56" cm="1">
        <f t="array" ref="Q4">IF(P4="X",(_xlfn.XLOOKUP($B4,Tabla1[SERVICIO],Tabla1[VALOR])*1),IF(P4&gt;=1,_xlfn.XLOOKUP($B4,Tabla1[SERVICIO],Tabla1[VALOR]*P4),0))</f>
        <v>0</v>
      </c>
      <c r="R4" s="8"/>
      <c r="S4" s="56" cm="1">
        <f t="array" ref="S4">IF(R4="X",(_xlfn.XLOOKUP($B4,Tabla1[SERVICIO],Tabla1[VALOR])*1),IF(R4&gt;=1,_xlfn.XLOOKUP($B4,Tabla1[SERVICIO],Tabla1[VALOR]*R4),0))</f>
        <v>0</v>
      </c>
      <c r="T4" s="8"/>
      <c r="U4" s="56" cm="1">
        <f t="array" ref="U4">IF(T4="X",(_xlfn.XLOOKUP($B4,Tabla1[SERVICIO],Tabla1[VALOR])*1),IF(T4&gt;=1,_xlfn.XLOOKUP($B4,Tabla1[SERVICIO],Tabla1[VALOR]*T4),0))</f>
        <v>0</v>
      </c>
      <c r="V4" s="8"/>
      <c r="W4" s="56" cm="1">
        <f t="array" ref="W4">IF(V4="X",(_xlfn.XLOOKUP($B4,Tabla1[SERVICIO],Tabla1[VALOR])*1),IF(V4&gt;=1,_xlfn.XLOOKUP($B4,Tabla1[SERVICIO],Tabla1[VALOR]*V4),0))</f>
        <v>0</v>
      </c>
      <c r="X4" s="8"/>
      <c r="Y4" s="56" cm="1">
        <f t="array" ref="Y4">IF(X4="X",(_xlfn.XLOOKUP($B4,Tabla1[SERVICIO],Tabla1[VALOR])*1),IF(X4&gt;=1,_xlfn.XLOOKUP($B4,Tabla1[SERVICIO],Tabla1[VALOR]*X4),0))</f>
        <v>0</v>
      </c>
      <c r="Z4" s="8"/>
      <c r="AA4" s="56" cm="1">
        <f t="array" ref="AA4">IF(Z4="X",(_xlfn.XLOOKUP($B4,Tabla1[SERVICIO],Tabla1[VALOR])*1),IF(Z4&gt;=1,_xlfn.XLOOKUP($B4,Tabla1[SERVICIO],Tabla1[VALOR]*Z4),0))</f>
        <v>0</v>
      </c>
      <c r="AB4" s="89">
        <f t="shared" ref="AB4:AB28" si="0">SUM(E4,G4,I4,K4+M4,O4,Q4,S4,U4,W4,Y4,AA4)</f>
        <v>17887.388810409495</v>
      </c>
      <c r="AC4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4" s="104" t="s">
        <v>318</v>
      </c>
      <c r="AE4" s="154">
        <v>1</v>
      </c>
      <c r="AF4" s="90">
        <f>+Tabla238[[#This Row],[TOTAL]]*Tabla238[[#This Row],[% de las personas que lo usaron]]</f>
        <v>17887.388810409495</v>
      </c>
      <c r="AG4" s="242" t="s">
        <v>353</v>
      </c>
      <c r="AH4" s="338">
        <v>12</v>
      </c>
    </row>
    <row r="5" spans="1:35" s="4" customFormat="1" ht="15" x14ac:dyDescent="0.25">
      <c r="A5" s="7" t="s">
        <v>104</v>
      </c>
      <c r="B5" s="96" t="s">
        <v>105</v>
      </c>
      <c r="C5" s="96" t="str">
        <f>_xlfn.XLOOKUP(Tabla238[[#This Row],[Servicios del Programa:]],Tabla151[CODIGO],Tabla151[VALOR])</f>
        <v>Consultas</v>
      </c>
      <c r="D5" s="14"/>
      <c r="E5" s="56" cm="1">
        <f t="array" ref="E5">IF(D5="X",(_xlfn.XLOOKUP($B5,Tabla1[SERVICIO],Tabla1[VALOR])*1),IF(D5&gt;=1,_xlfn.XLOOKUP($B5,Tabla1[SERVICIO],Tabla1[VALOR]*D5),0))</f>
        <v>0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8"/>
      <c r="I5" s="56" cm="1">
        <f t="array" ref="I5">IF(H5="X",(_xlfn.XLOOKUP($B5,Tabla1[SERVICIO],Tabla1[VALOR])*1),IF(H5&gt;=1,_xlfn.XLOOKUP($B5,Tabla1[SERVICIO],Tabla1[VALOR]*H5),0))</f>
        <v>0</v>
      </c>
      <c r="J5" s="8"/>
      <c r="K5" s="56" cm="1">
        <f t="array" ref="K5">IF(J5="X",(_xlfn.XLOOKUP($B5,Tabla1[SERVICIO],Tabla1[VALOR])*1),IF(J5&gt;=1,_xlfn.XLOOKUP($B5,Tabla1[SERVICIO],Tabla1[VALOR]*J5),0))</f>
        <v>0</v>
      </c>
      <c r="L5" s="8"/>
      <c r="M5" s="56" cm="1">
        <f t="array" ref="M5">IF(L5="X",(_xlfn.XLOOKUP($B5,Tabla1[SERVICIO],Tabla1[VALOR])*1),IF(L5&gt;=1,_xlfn.XLOOKUP($B5,Tabla1[SERVICIO],Tabla1[VALOR]*L5),0))</f>
        <v>0</v>
      </c>
      <c r="N5" s="14"/>
      <c r="O5" s="56" cm="1">
        <f t="array" ref="O5">IF(N5="X",(_xlfn.XLOOKUP($B5,Tabla1[SERVICIO],Tabla1[VALOR])*1),IF(N5&gt;=1,_xlfn.XLOOKUP($B5,Tabla1[SERVICIO],Tabla1[VALOR]*N5),0))</f>
        <v>0</v>
      </c>
      <c r="P5" s="8"/>
      <c r="Q5" s="56" cm="1">
        <f t="array" ref="Q5">IF(P5="X",(_xlfn.XLOOKUP($B5,Tabla1[SERVICIO],Tabla1[VALOR])*1),IF(P5&gt;=1,_xlfn.XLOOKUP($B5,Tabla1[SERVICIO],Tabla1[VALOR]*P5),0))</f>
        <v>0</v>
      </c>
      <c r="R5" s="8"/>
      <c r="S5" s="56" cm="1">
        <f t="array" ref="S5">IF(R5="X",(_xlfn.XLOOKUP($B5,Tabla1[SERVICIO],Tabla1[VALOR])*1),IF(R5&gt;=1,_xlfn.XLOOKUP($B5,Tabla1[SERVICIO],Tabla1[VALOR]*R5),0))</f>
        <v>0</v>
      </c>
      <c r="T5" s="8"/>
      <c r="U5" s="56" cm="1">
        <f t="array" ref="U5">IF(T5="X",(_xlfn.XLOOKUP($B5,Tabla1[SERVICIO],Tabla1[VALOR])*1),IF(T5&gt;=1,_xlfn.XLOOKUP($B5,Tabla1[SERVICIO],Tabla1[VALOR]*T5),0))</f>
        <v>0</v>
      </c>
      <c r="V5" s="8"/>
      <c r="W5" s="56" cm="1">
        <f t="array" ref="W5">IF(V5="X",(_xlfn.XLOOKUP($B5,Tabla1[SERVICIO],Tabla1[VALOR])*1),IF(V5&gt;=1,_xlfn.XLOOKUP($B5,Tabla1[SERVICIO],Tabla1[VALOR]*V5),0))</f>
        <v>0</v>
      </c>
      <c r="X5" s="8"/>
      <c r="Y5" s="56" cm="1">
        <f t="array" ref="Y5">IF(X5="X",(_xlfn.XLOOKUP($B5,Tabla1[SERVICIO],Tabla1[VALOR])*1),IF(X5&gt;=1,_xlfn.XLOOKUP($B5,Tabla1[SERVICIO],Tabla1[VALOR]*X5),0))</f>
        <v>0</v>
      </c>
      <c r="Z5" s="15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89">
        <f t="shared" si="0"/>
        <v>17887.388810409495</v>
      </c>
      <c r="AC5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5" s="104" t="s">
        <v>319</v>
      </c>
      <c r="AE5" s="161">
        <v>2.5000000000000001E-2</v>
      </c>
      <c r="AF5" s="90">
        <f>+Tabla238[[#This Row],[TOTAL]]*Tabla238[[#This Row],[% de las personas que lo usaron]]</f>
        <v>447.18472026023738</v>
      </c>
      <c r="AG5" s="242" t="s">
        <v>353</v>
      </c>
      <c r="AH5" s="338">
        <v>12</v>
      </c>
    </row>
    <row r="6" spans="1:35" ht="15" x14ac:dyDescent="0.25">
      <c r="A6" s="7" t="s">
        <v>3</v>
      </c>
      <c r="B6" s="96" t="s">
        <v>4</v>
      </c>
      <c r="C6" s="96" t="str">
        <f>_xlfn.XLOOKUP(Tabla238[[#This Row],[Servicios del Programa:]],Tabla151[CODIGO],Tabla151[VALOR])</f>
        <v>Consultas</v>
      </c>
      <c r="D6" s="14">
        <v>1</v>
      </c>
      <c r="E6" s="56" cm="1">
        <f t="array" ref="E6">IF(D6="X",(_xlfn.XLOOKUP($B6,Tabla1[SERVICIO],Tabla1[VALOR])*1),IF(D6&gt;=1,_xlfn.XLOOKUP($B6,Tabla1[SERVICIO],Tabla1[VALOR]*D6),0))</f>
        <v>20406.13276336317</v>
      </c>
      <c r="F6" s="14"/>
      <c r="G6" s="56" cm="1">
        <f t="array" ref="G6">IF(F6="X",(_xlfn.XLOOKUP($B6,Tabla1[SERVICIO],Tabla1[VALOR])*1),IF(F6&gt;=1,_xlfn.XLOOKUP($B6,Tabla1[SERVICIO],Tabla1[VALOR]*F6),0))</f>
        <v>0</v>
      </c>
      <c r="H6" s="14"/>
      <c r="I6" s="56" cm="1">
        <f t="array" ref="I6">IF(H6="X",(_xlfn.XLOOKUP($B6,Tabla1[SERVICIO],Tabla1[VALOR])*1),IF(H6&gt;=1,_xlfn.XLOOKUP($B6,Tabla1[SERVICIO],Tabla1[VALOR]*H6),0))</f>
        <v>0</v>
      </c>
      <c r="J6" s="14"/>
      <c r="K6" s="56" cm="1">
        <f t="array" ref="K6">IF(J6="X",(_xlfn.XLOOKUP($B6,Tabla1[SERVICIO],Tabla1[VALOR])*1),IF(J6&gt;=1,_xlfn.XLOOKUP($B6,Tabla1[SERVICIO],Tabla1[VALOR]*J6),0))</f>
        <v>0</v>
      </c>
      <c r="L6" s="14"/>
      <c r="M6" s="56" cm="1">
        <f t="array" ref="M6">IF(L6="X",(_xlfn.XLOOKUP($B6,Tabla1[SERVICIO],Tabla1[VALOR])*1),IF(L6&gt;=1,_xlfn.XLOOKUP($B6,Tabla1[SERVICIO],Tabla1[VALOR]*L6),0))</f>
        <v>0</v>
      </c>
      <c r="N6" s="14"/>
      <c r="O6" s="56" cm="1">
        <f t="array" ref="O6">IF(N6="X",(_xlfn.XLOOKUP($B6,Tabla1[SERVICIO],Tabla1[VALOR])*1),IF(N6&gt;=1,_xlfn.XLOOKUP($B6,Tabla1[SERVICIO],Tabla1[VALOR]*N6),0))</f>
        <v>0</v>
      </c>
      <c r="P6" s="14"/>
      <c r="Q6" s="56" cm="1">
        <f t="array" ref="Q6">IF(P6="X",(_xlfn.XLOOKUP($B6,Tabla1[SERVICIO],Tabla1[VALOR])*1),IF(P6&gt;=1,_xlfn.XLOOKUP($B6,Tabla1[SERVICIO],Tabla1[VALOR]*P6),0))</f>
        <v>0</v>
      </c>
      <c r="R6" s="14"/>
      <c r="S6" s="56" cm="1">
        <f t="array" ref="S6">IF(R6="X",(_xlfn.XLOOKUP($B6,Tabla1[SERVICIO],Tabla1[VALOR])*1),IF(R6&gt;=1,_xlfn.XLOOKUP($B6,Tabla1[SERVICIO],Tabla1[VALOR]*R6),0))</f>
        <v>0</v>
      </c>
      <c r="T6" s="14"/>
      <c r="U6" s="56" cm="1">
        <f t="array" ref="U6">IF(T6="X",(_xlfn.XLOOKUP($B6,Tabla1[SERVICIO],Tabla1[VALOR])*1),IF(T6&gt;=1,_xlfn.XLOOKUP($B6,Tabla1[SERVICIO],Tabla1[VALOR]*T6),0))</f>
        <v>0</v>
      </c>
      <c r="V6" s="14"/>
      <c r="W6" s="56" cm="1">
        <f t="array" ref="W6">IF(V6="X",(_xlfn.XLOOKUP($B6,Tabla1[SERVICIO],Tabla1[VALOR])*1),IF(V6&gt;=1,_xlfn.XLOOKUP($B6,Tabla1[SERVICIO],Tabla1[VALOR]*V6),0))</f>
        <v>0</v>
      </c>
      <c r="X6" s="14"/>
      <c r="Y6" s="56" cm="1">
        <f t="array" ref="Y6">IF(X6="X",(_xlfn.XLOOKUP($B6,Tabla1[SERVICIO],Tabla1[VALOR])*1),IF(X6&gt;=1,_xlfn.XLOOKUP($B6,Tabla1[SERVICIO],Tabla1[VALOR]*X6),0))</f>
        <v>0</v>
      </c>
      <c r="Z6" s="14"/>
      <c r="AA6" s="56" cm="1">
        <f t="array" ref="AA6">IF(Z6="X",(_xlfn.XLOOKUP($B6,Tabla1[SERVICIO],Tabla1[VALOR])*1),IF(Z6&gt;=1,_xlfn.XLOOKUP($B6,Tabla1[SERVICIO],Tabla1[VALOR]*Z6),0))</f>
        <v>0</v>
      </c>
      <c r="AB6" s="89">
        <f t="shared" si="0"/>
        <v>20406.13276336317</v>
      </c>
      <c r="AC6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6" s="104" t="s">
        <v>318</v>
      </c>
      <c r="AE6" s="154">
        <v>1</v>
      </c>
      <c r="AF6" s="90">
        <f>+Tabla238[[#This Row],[TOTAL]]*Tabla238[[#This Row],[% de las personas que lo usaron]]</f>
        <v>20406.13276336317</v>
      </c>
      <c r="AG6" s="242" t="s">
        <v>353</v>
      </c>
      <c r="AH6" s="338">
        <v>12</v>
      </c>
    </row>
    <row r="7" spans="1:35" ht="15" x14ac:dyDescent="0.25">
      <c r="A7" s="7" t="s">
        <v>15</v>
      </c>
      <c r="B7" s="96" t="s">
        <v>16</v>
      </c>
      <c r="C7" s="96" t="str">
        <f>_xlfn.XLOOKUP(Tabla238[[#This Row],[Servicios del Programa:]],Tabla151[CODIGO],Tabla151[VALOR])</f>
        <v>Consultas</v>
      </c>
      <c r="D7" s="14"/>
      <c r="E7" s="56" cm="1">
        <f t="array" ref="E7">IF(D7="X",(_xlfn.XLOOKUP($B7,Tabla1[SERVICIO],Tabla1[VALOR])*1),IF(D7&gt;=1,_xlfn.XLOOKUP($B7,Tabla1[SERVICIO],Tabla1[VALOR]*D7),0))</f>
        <v>0</v>
      </c>
      <c r="F7" s="14"/>
      <c r="G7" s="56" cm="1">
        <f t="array" ref="G7">IF(F7="X",(_xlfn.XLOOKUP($B7,Tabla1[SERVICIO],Tabla1[VALOR])*1),IF(F7&gt;=1,_xlfn.XLOOKUP($B7,Tabla1[SERVICIO],Tabla1[VALOR]*F7),0))</f>
        <v>0</v>
      </c>
      <c r="H7" s="14"/>
      <c r="I7" s="56" cm="1">
        <f t="array" ref="I7">IF(H7="X",(_xlfn.XLOOKUP($B7,Tabla1[SERVICIO],Tabla1[VALOR])*1),IF(H7&gt;=1,_xlfn.XLOOKUP($B7,Tabla1[SERVICIO],Tabla1[VALOR]*H7),0))</f>
        <v>0</v>
      </c>
      <c r="J7" s="14"/>
      <c r="K7" s="56" cm="1">
        <f t="array" ref="K7">IF(J7="X",(_xlfn.XLOOKUP($B7,Tabla1[SERVICIO],Tabla1[VALOR])*1),IF(J7&gt;=1,_xlfn.XLOOKUP($B7,Tabla1[SERVICIO],Tabla1[VALOR]*J7),0))</f>
        <v>0</v>
      </c>
      <c r="L7" s="14"/>
      <c r="M7" s="56" cm="1">
        <f t="array" ref="M7">IF(L7="X",(_xlfn.XLOOKUP($B7,Tabla1[SERVICIO],Tabla1[VALOR])*1),IF(L7&gt;=1,_xlfn.XLOOKUP($B7,Tabla1[SERVICIO],Tabla1[VALOR]*L7),0))</f>
        <v>0</v>
      </c>
      <c r="N7" s="14">
        <v>1</v>
      </c>
      <c r="O7" s="56" cm="1">
        <f t="array" ref="O7">IF(N7="X",(_xlfn.XLOOKUP($B7,Tabla1[SERVICIO],Tabla1[VALOR])*1),IF(N7&gt;=1,_xlfn.XLOOKUP($B7,Tabla1[SERVICIO],Tabla1[VALOR]*N7),0))</f>
        <v>22052.520800552971</v>
      </c>
      <c r="P7" s="14"/>
      <c r="Q7" s="56" cm="1">
        <f t="array" ref="Q7">IF(P7="X",(_xlfn.XLOOKUP($B7,Tabla1[SERVICIO],Tabla1[VALOR])*1),IF(P7&gt;=1,_xlfn.XLOOKUP($B7,Tabla1[SERVICIO],Tabla1[VALOR]*P7),0))</f>
        <v>0</v>
      </c>
      <c r="R7" s="14"/>
      <c r="S7" s="56" cm="1">
        <f t="array" ref="S7">IF(R7="X",(_xlfn.XLOOKUP($B7,Tabla1[SERVICIO],Tabla1[VALOR])*1),IF(R7&gt;=1,_xlfn.XLOOKUP($B7,Tabla1[SERVICIO],Tabla1[VALOR]*R7),0))</f>
        <v>0</v>
      </c>
      <c r="T7" s="14"/>
      <c r="U7" s="56" cm="1">
        <f t="array" ref="U7">IF(T7="X",(_xlfn.XLOOKUP($B7,Tabla1[SERVICIO],Tabla1[VALOR])*1),IF(T7&gt;=1,_xlfn.XLOOKUP($B7,Tabla1[SERVICIO],Tabla1[VALOR]*T7),0))</f>
        <v>0</v>
      </c>
      <c r="V7" s="14"/>
      <c r="W7" s="56" cm="1">
        <f t="array" ref="W7">IF(V7="X",(_xlfn.XLOOKUP($B7,Tabla1[SERVICIO],Tabla1[VALOR])*1),IF(V7&gt;=1,_xlfn.XLOOKUP($B7,Tabla1[SERVICIO],Tabla1[VALOR]*V7),0))</f>
        <v>0</v>
      </c>
      <c r="X7" s="14"/>
      <c r="Y7" s="56" cm="1">
        <f t="array" ref="Y7">IF(X7="X",(_xlfn.XLOOKUP($B7,Tabla1[SERVICIO],Tabla1[VALOR])*1),IF(X7&gt;=1,_xlfn.XLOOKUP($B7,Tabla1[SERVICIO],Tabla1[VALOR]*X7),0))</f>
        <v>0</v>
      </c>
      <c r="Z7" s="14">
        <v>1</v>
      </c>
      <c r="AA7" s="56" cm="1">
        <f t="array" ref="AA7">IF(Z7="X",(_xlfn.XLOOKUP($B7,Tabla1[SERVICIO],Tabla1[VALOR])*1),IF(Z7&gt;=1,_xlfn.XLOOKUP($B7,Tabla1[SERVICIO],Tabla1[VALOR]*Z7),0))</f>
        <v>22052.520800552971</v>
      </c>
      <c r="AB7" s="89">
        <f t="shared" si="0"/>
        <v>44105.041601105942</v>
      </c>
      <c r="AC7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7" s="104" t="s">
        <v>318</v>
      </c>
      <c r="AE7" s="154">
        <v>1</v>
      </c>
      <c r="AF7" s="90">
        <f>+Tabla238[[#This Row],[TOTAL]]*Tabla238[[#This Row],[% de las personas que lo usaron]]</f>
        <v>44105.041601105942</v>
      </c>
      <c r="AG7" s="242" t="s">
        <v>353</v>
      </c>
      <c r="AH7" s="338">
        <v>12</v>
      </c>
    </row>
    <row r="8" spans="1:35" ht="15" x14ac:dyDescent="0.25">
      <c r="A8" s="7" t="s">
        <v>74</v>
      </c>
      <c r="B8" s="96" t="s">
        <v>75</v>
      </c>
      <c r="C8" s="96" t="str">
        <f>_xlfn.XLOOKUP(Tabla238[[#This Row],[Servicios del Programa:]],Tabla151[CODIGO],Tabla151[VALOR])</f>
        <v>Consultas</v>
      </c>
      <c r="D8" s="14">
        <v>1</v>
      </c>
      <c r="E8" s="56" cm="1">
        <f t="array" ref="E8">IF(D8="X",(_xlfn.XLOOKUP($B8,Tabla1[SERVICIO],Tabla1[VALOR])*1),IF(D8&gt;=1,_xlfn.XLOOKUP($B8,Tabla1[SERVICIO],Tabla1[VALOR]*D8),0))</f>
        <v>19368.008636848015</v>
      </c>
      <c r="F8" s="14"/>
      <c r="G8" s="56" cm="1">
        <f t="array" ref="G8">IF(F8="X",(_xlfn.XLOOKUP($B8,Tabla1[SERVICIO],Tabla1[VALOR])*1),IF(F8&gt;=1,_xlfn.XLOOKUP($B8,Tabla1[SERVICIO],Tabla1[VALOR]*F8),0))</f>
        <v>0</v>
      </c>
      <c r="H8" s="14"/>
      <c r="I8" s="56" cm="1">
        <f t="array" ref="I8">IF(H8="X",(_xlfn.XLOOKUP($B8,Tabla1[SERVICIO],Tabla1[VALOR])*1),IF(H8&gt;=1,_xlfn.XLOOKUP($B8,Tabla1[SERVICIO],Tabla1[VALOR]*H8),0))</f>
        <v>0</v>
      </c>
      <c r="J8" s="14"/>
      <c r="K8" s="56" cm="1">
        <f t="array" ref="K8">IF(J8="X",(_xlfn.XLOOKUP($B8,Tabla1[SERVICIO],Tabla1[VALOR])*1),IF(J8&gt;=1,_xlfn.XLOOKUP($B8,Tabla1[SERVICIO],Tabla1[VALOR]*J8),0))</f>
        <v>0</v>
      </c>
      <c r="L8" s="14"/>
      <c r="M8" s="56" cm="1">
        <f t="array" ref="M8">IF(L8="X",(_xlfn.XLOOKUP($B8,Tabla1[SERVICIO],Tabla1[VALOR])*1),IF(L8&gt;=1,_xlfn.XLOOKUP($B8,Tabla1[SERVICIO],Tabla1[VALOR]*L8),0))</f>
        <v>0</v>
      </c>
      <c r="N8" s="14"/>
      <c r="O8" s="56" cm="1">
        <f t="array" ref="O8">IF(N8="X",(_xlfn.XLOOKUP($B8,Tabla1[SERVICIO],Tabla1[VALOR])*1),IF(N8&gt;=1,_xlfn.XLOOKUP($B8,Tabla1[SERVICIO],Tabla1[VALOR]*N8),0))</f>
        <v>0</v>
      </c>
      <c r="P8" s="14"/>
      <c r="Q8" s="56" cm="1">
        <f t="array" ref="Q8">IF(P8="X",(_xlfn.XLOOKUP($B8,Tabla1[SERVICIO],Tabla1[VALOR])*1),IF(P8&gt;=1,_xlfn.XLOOKUP($B8,Tabla1[SERVICIO],Tabla1[VALOR]*P8),0))</f>
        <v>0</v>
      </c>
      <c r="R8" s="14"/>
      <c r="S8" s="56" cm="1">
        <f t="array" ref="S8">IF(R8="X",(_xlfn.XLOOKUP($B8,Tabla1[SERVICIO],Tabla1[VALOR])*1),IF(R8&gt;=1,_xlfn.XLOOKUP($B8,Tabla1[SERVICIO],Tabla1[VALOR]*R8),0))</f>
        <v>0</v>
      </c>
      <c r="T8" s="14"/>
      <c r="U8" s="56" cm="1">
        <f t="array" ref="U8">IF(T8="X",(_xlfn.XLOOKUP($B8,Tabla1[SERVICIO],Tabla1[VALOR])*1),IF(T8&gt;=1,_xlfn.XLOOKUP($B8,Tabla1[SERVICIO],Tabla1[VALOR]*T8),0))</f>
        <v>0</v>
      </c>
      <c r="V8" s="14"/>
      <c r="W8" s="56" cm="1">
        <f t="array" ref="W8">IF(V8="X",(_xlfn.XLOOKUP($B8,Tabla1[SERVICIO],Tabla1[VALOR])*1),IF(V8&gt;=1,_xlfn.XLOOKUP($B8,Tabla1[SERVICIO],Tabla1[VALOR]*V8),0))</f>
        <v>0</v>
      </c>
      <c r="X8" s="14"/>
      <c r="Y8" s="56" cm="1">
        <f t="array" ref="Y8">IF(X8="X",(_xlfn.XLOOKUP($B8,Tabla1[SERVICIO],Tabla1[VALOR])*1),IF(X8&gt;=1,_xlfn.XLOOKUP($B8,Tabla1[SERVICIO],Tabla1[VALOR]*X8),0))</f>
        <v>0</v>
      </c>
      <c r="Z8" s="14"/>
      <c r="AA8" s="56" cm="1">
        <f t="array" ref="AA8">IF(Z8="X",(_xlfn.XLOOKUP($B8,Tabla1[SERVICIO],Tabla1[VALOR])*1),IF(Z8&gt;=1,_xlfn.XLOOKUP($B8,Tabla1[SERVICIO],Tabla1[VALOR]*Z8),0))</f>
        <v>0</v>
      </c>
      <c r="AB8" s="89">
        <f t="shared" si="0"/>
        <v>19368.008636848015</v>
      </c>
      <c r="AC8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8" s="104" t="s">
        <v>319</v>
      </c>
      <c r="AE8" s="161">
        <v>0</v>
      </c>
      <c r="AF8" s="90">
        <f>+Tabla238[[#This Row],[TOTAL]]*Tabla238[[#This Row],[% de las personas que lo usaron]]</f>
        <v>0</v>
      </c>
      <c r="AG8" s="242" t="s">
        <v>353</v>
      </c>
      <c r="AH8" s="338">
        <v>12</v>
      </c>
    </row>
    <row r="9" spans="1:35" ht="15" x14ac:dyDescent="0.25">
      <c r="A9" s="7" t="s">
        <v>23</v>
      </c>
      <c r="B9" s="96" t="s">
        <v>24</v>
      </c>
      <c r="C9" s="96" t="str">
        <f>_xlfn.XLOOKUP(Tabla238[[#This Row],[Servicios del Programa:]],Tabla151[CODIGO],Tabla151[VALOR])</f>
        <v>Terapias</v>
      </c>
      <c r="D9" s="14">
        <v>1</v>
      </c>
      <c r="E9" s="56" cm="1">
        <f t="array" ref="E9">IF(D9="X",(_xlfn.XLOOKUP($B9,Tabla1[SERVICIO],Tabla1[VALOR])*1),IF(D9&gt;=1,_xlfn.XLOOKUP($B9,Tabla1[SERVICIO],Tabla1[VALOR]*D9),0))</f>
        <v>31881.451880098426</v>
      </c>
      <c r="F9" s="14"/>
      <c r="G9" s="56" cm="1">
        <f t="array" ref="G9">IF(F9="X",(_xlfn.XLOOKUP($B9,Tabla1[SERVICIO],Tabla1[VALOR])*1),IF(F9&gt;=1,_xlfn.XLOOKUP($B9,Tabla1[SERVICIO],Tabla1[VALOR]*F9),0))</f>
        <v>0</v>
      </c>
      <c r="H9" s="14"/>
      <c r="I9" s="56" cm="1">
        <f t="array" ref="I9">IF(H9="X",(_xlfn.XLOOKUP($B9,Tabla1[SERVICIO],Tabla1[VALOR])*1),IF(H9&gt;=1,_xlfn.XLOOKUP($B9,Tabla1[SERVICIO],Tabla1[VALOR]*H9),0))</f>
        <v>0</v>
      </c>
      <c r="J9" s="14"/>
      <c r="K9" s="56" cm="1">
        <f t="array" ref="K9">IF(J9="X",(_xlfn.XLOOKUP($B9,Tabla1[SERVICIO],Tabla1[VALOR])*1),IF(J9&gt;=1,_xlfn.XLOOKUP($B9,Tabla1[SERVICIO],Tabla1[VALOR]*J9),0))</f>
        <v>0</v>
      </c>
      <c r="L9" s="14"/>
      <c r="M9" s="56" cm="1">
        <f t="array" ref="M9">IF(L9="X",(_xlfn.XLOOKUP($B9,Tabla1[SERVICIO],Tabla1[VALOR])*1),IF(L9&gt;=1,_xlfn.XLOOKUP($B9,Tabla1[SERVICIO],Tabla1[VALOR]*L9),0))</f>
        <v>0</v>
      </c>
      <c r="N9" s="14"/>
      <c r="O9" s="56" cm="1">
        <f t="array" ref="O9">IF(N9="X",(_xlfn.XLOOKUP($B9,Tabla1[SERVICIO],Tabla1[VALOR])*1),IF(N9&gt;=1,_xlfn.XLOOKUP($B9,Tabla1[SERVICIO],Tabla1[VALOR]*N9),0))</f>
        <v>0</v>
      </c>
      <c r="P9" s="14"/>
      <c r="Q9" s="56" cm="1">
        <f t="array" ref="Q9">IF(P9="X",(_xlfn.XLOOKUP($B9,Tabla1[SERVICIO],Tabla1[VALOR])*1),IF(P9&gt;=1,_xlfn.XLOOKUP($B9,Tabla1[SERVICIO],Tabla1[VALOR]*P9),0))</f>
        <v>0</v>
      </c>
      <c r="R9" s="14"/>
      <c r="S9" s="56" cm="1">
        <f t="array" ref="S9">IF(R9="X",(_xlfn.XLOOKUP($B9,Tabla1[SERVICIO],Tabla1[VALOR])*1),IF(R9&gt;=1,_xlfn.XLOOKUP($B9,Tabla1[SERVICIO],Tabla1[VALOR]*R9),0))</f>
        <v>0</v>
      </c>
      <c r="T9" s="14"/>
      <c r="U9" s="56" cm="1">
        <f t="array" ref="U9">IF(T9="X",(_xlfn.XLOOKUP($B9,Tabla1[SERVICIO],Tabla1[VALOR])*1),IF(T9&gt;=1,_xlfn.XLOOKUP($B9,Tabla1[SERVICIO],Tabla1[VALOR]*T9),0))</f>
        <v>0</v>
      </c>
      <c r="V9" s="14"/>
      <c r="W9" s="56" cm="1">
        <f t="array" ref="W9">IF(V9="X",(_xlfn.XLOOKUP($B9,Tabla1[SERVICIO],Tabla1[VALOR])*1),IF(V9&gt;=1,_xlfn.XLOOKUP($B9,Tabla1[SERVICIO],Tabla1[VALOR]*V9),0))</f>
        <v>0</v>
      </c>
      <c r="X9" s="14"/>
      <c r="Y9" s="56" cm="1">
        <f t="array" ref="Y9">IF(X9="X",(_xlfn.XLOOKUP($B9,Tabla1[SERVICIO],Tabla1[VALOR])*1),IF(X9&gt;=1,_xlfn.XLOOKUP($B9,Tabla1[SERVICIO],Tabla1[VALOR]*X9),0))</f>
        <v>0</v>
      </c>
      <c r="Z9" s="14"/>
      <c r="AA9" s="56" cm="1">
        <f t="array" ref="AA9">IF(Z9="X",(_xlfn.XLOOKUP($B9,Tabla1[SERVICIO],Tabla1[VALOR])*1),IF(Z9&gt;=1,_xlfn.XLOOKUP($B9,Tabla1[SERVICIO],Tabla1[VALOR]*Z9),0))</f>
        <v>0</v>
      </c>
      <c r="AB9" s="89">
        <f t="shared" si="0"/>
        <v>31881.451880098426</v>
      </c>
      <c r="AC9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9" s="104" t="s">
        <v>318</v>
      </c>
      <c r="AE9" s="154">
        <v>1</v>
      </c>
      <c r="AF9" s="90">
        <f>+Tabla238[[#This Row],[TOTAL]]*Tabla238[[#This Row],[% de las personas que lo usaron]]</f>
        <v>31881.451880098426</v>
      </c>
      <c r="AG9" s="242" t="s">
        <v>353</v>
      </c>
      <c r="AH9" s="338">
        <v>12</v>
      </c>
    </row>
    <row r="10" spans="1:35" ht="15" x14ac:dyDescent="0.25">
      <c r="A10" s="7" t="s">
        <v>36</v>
      </c>
      <c r="B10" s="96" t="s">
        <v>100</v>
      </c>
      <c r="C10" s="96" t="str">
        <f>_xlfn.XLOOKUP(Tabla238[[#This Row],[Servicios del Programa:]],Tabla151[CODIGO],Tabla151[VALOR])</f>
        <v>Terapias</v>
      </c>
      <c r="D10" s="102">
        <v>8</v>
      </c>
      <c r="E10" s="56" cm="1">
        <f t="array" ref="E10">IF(D10="X",(_xlfn.XLOOKUP($B10,Tabla1[SERVICIO],Tabla1[VALOR])*1),IF(D10&gt;=1,_xlfn.XLOOKUP($B10,Tabla1[SERVICIO],Tabla1[VALOR]*D10),0))</f>
        <v>70240.958933331596</v>
      </c>
      <c r="F10" s="102">
        <v>8</v>
      </c>
      <c r="G10" s="56" cm="1">
        <f t="array" ref="G10">IF(F10="X",(_xlfn.XLOOKUP($B10,Tabla1[SERVICIO],Tabla1[VALOR])*1),IF(F10&gt;=1,_xlfn.XLOOKUP($B10,Tabla1[SERVICIO],Tabla1[VALOR]*F10),0))</f>
        <v>70240.958933331596</v>
      </c>
      <c r="H10" s="102">
        <v>8</v>
      </c>
      <c r="I10" s="56" cm="1">
        <f t="array" ref="I10">IF(H10="X",(_xlfn.XLOOKUP($B10,Tabla1[SERVICIO],Tabla1[VALOR])*1),IF(H10&gt;=1,_xlfn.XLOOKUP($B10,Tabla1[SERVICIO],Tabla1[VALOR]*H10),0))</f>
        <v>70240.958933331596</v>
      </c>
      <c r="J10" s="102">
        <v>8</v>
      </c>
      <c r="K10" s="56" cm="1">
        <f t="array" ref="K10">IF(J10="X",(_xlfn.XLOOKUP($B10,Tabla1[SERVICIO],Tabla1[VALOR])*1),IF(J10&gt;=1,_xlfn.XLOOKUP($B10,Tabla1[SERVICIO],Tabla1[VALOR]*J10),0))</f>
        <v>70240.958933331596</v>
      </c>
      <c r="L10" s="102">
        <v>8</v>
      </c>
      <c r="M10" s="56" cm="1">
        <f t="array" ref="M10">IF(L10="X",(_xlfn.XLOOKUP($B10,Tabla1[SERVICIO],Tabla1[VALOR])*1),IF(L10&gt;=1,_xlfn.XLOOKUP($B10,Tabla1[SERVICIO],Tabla1[VALOR]*L10),0))</f>
        <v>70240.958933331596</v>
      </c>
      <c r="N10" s="102">
        <v>8</v>
      </c>
      <c r="O10" s="56" cm="1">
        <f t="array" ref="O10">IF(N10="X",(_xlfn.XLOOKUP($B10,Tabla1[SERVICIO],Tabla1[VALOR])*1),IF(N10&gt;=1,_xlfn.XLOOKUP($B10,Tabla1[SERVICIO],Tabla1[VALOR]*N10),0))</f>
        <v>70240.958933331596</v>
      </c>
      <c r="P10" s="102">
        <v>8</v>
      </c>
      <c r="Q10" s="56" cm="1">
        <f t="array" ref="Q10">IF(P10="X",(_xlfn.XLOOKUP($B10,Tabla1[SERVICIO],Tabla1[VALOR])*1),IF(P10&gt;=1,_xlfn.XLOOKUP($B10,Tabla1[SERVICIO],Tabla1[VALOR]*P10),0))</f>
        <v>70240.958933331596</v>
      </c>
      <c r="R10" s="102">
        <v>8</v>
      </c>
      <c r="S10" s="56" cm="1">
        <f t="array" ref="S10">IF(R10="X",(_xlfn.XLOOKUP($B10,Tabla1[SERVICIO],Tabla1[VALOR])*1),IF(R10&gt;=1,_xlfn.XLOOKUP($B10,Tabla1[SERVICIO],Tabla1[VALOR]*R10),0))</f>
        <v>70240.958933331596</v>
      </c>
      <c r="T10" s="102">
        <v>8</v>
      </c>
      <c r="U10" s="56" cm="1">
        <f t="array" ref="U10">IF(T10="X",(_xlfn.XLOOKUP($B10,Tabla1[SERVICIO],Tabla1[VALOR])*1),IF(T10&gt;=1,_xlfn.XLOOKUP($B10,Tabla1[SERVICIO],Tabla1[VALOR]*T10),0))</f>
        <v>70240.958933331596</v>
      </c>
      <c r="V10" s="102">
        <v>8</v>
      </c>
      <c r="W10" s="56" cm="1">
        <f t="array" ref="W10">IF(V10="X",(_xlfn.XLOOKUP($B10,Tabla1[SERVICIO],Tabla1[VALOR])*1),IF(V10&gt;=1,_xlfn.XLOOKUP($B10,Tabla1[SERVICIO],Tabla1[VALOR]*V10),0))</f>
        <v>70240.958933331596</v>
      </c>
      <c r="X10" s="102">
        <v>8</v>
      </c>
      <c r="Y10" s="56" cm="1">
        <f t="array" ref="Y10">IF(X10="X",(_xlfn.XLOOKUP($B10,Tabla1[SERVICIO],Tabla1[VALOR])*1),IF(X10&gt;=1,_xlfn.XLOOKUP($B10,Tabla1[SERVICIO],Tabla1[VALOR]*X10),0))</f>
        <v>70240.958933331596</v>
      </c>
      <c r="Z10" s="102">
        <v>8</v>
      </c>
      <c r="AA10" s="56" cm="1">
        <f t="array" ref="AA10">IF(Z10="X",(_xlfn.XLOOKUP($B10,Tabla1[SERVICIO],Tabla1[VALOR])*1),IF(Z10&gt;=1,_xlfn.XLOOKUP($B10,Tabla1[SERVICIO],Tabla1[VALOR]*Z10),0))</f>
        <v>70240.958933331596</v>
      </c>
      <c r="AB10" s="89">
        <f t="shared" si="0"/>
        <v>842891.50719997892</v>
      </c>
      <c r="AC10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96</v>
      </c>
      <c r="AD10" s="104" t="s">
        <v>318</v>
      </c>
      <c r="AE10" s="154">
        <v>1</v>
      </c>
      <c r="AF10" s="90">
        <f>+Tabla238[[#This Row],[TOTAL]]*Tabla238[[#This Row],[% de las personas que lo usaron]]</f>
        <v>842891.50719997892</v>
      </c>
      <c r="AG10" s="242" t="s">
        <v>353</v>
      </c>
      <c r="AH10" s="338">
        <v>12</v>
      </c>
      <c r="AI10" s="164" t="s">
        <v>324</v>
      </c>
    </row>
    <row r="11" spans="1:35" ht="15" x14ac:dyDescent="0.25">
      <c r="A11" s="7" t="s">
        <v>11</v>
      </c>
      <c r="B11" s="96" t="s">
        <v>122</v>
      </c>
      <c r="C11" s="96" t="str">
        <f>_xlfn.XLOOKUP(Tabla238[[#This Row],[Servicios del Programa:]],Tabla151[CODIGO],Tabla151[VALOR])</f>
        <v>Educacion</v>
      </c>
      <c r="D11" s="14">
        <v>2</v>
      </c>
      <c r="E11" s="56" cm="1">
        <f t="array" ref="E11">IF(D11="X",(_xlfn.XLOOKUP($B11,Tabla1[SERVICIO],Tabla1[VALOR])*1),IF(D11&gt;=1,_xlfn.XLOOKUP($B11,Tabla1[SERVICIO],Tabla1[VALOR]*D11),0))</f>
        <v>25486.843284439274</v>
      </c>
      <c r="F11" s="14">
        <v>2</v>
      </c>
      <c r="G11" s="56" cm="1">
        <f t="array" ref="G11">IF(F11="X",(_xlfn.XLOOKUP($B11,Tabla1[SERVICIO],Tabla1[VALOR])*1),IF(F11&gt;=1,_xlfn.XLOOKUP($B11,Tabla1[SERVICIO],Tabla1[VALOR]*F11),0))</f>
        <v>25486.843284439274</v>
      </c>
      <c r="H11" s="14">
        <v>2</v>
      </c>
      <c r="I11" s="56" cm="1">
        <f t="array" ref="I11">IF(H11="X",(_xlfn.XLOOKUP($B11,Tabla1[SERVICIO],Tabla1[VALOR])*1),IF(H11&gt;=1,_xlfn.XLOOKUP($B11,Tabla1[SERVICIO],Tabla1[VALOR]*H11),0))</f>
        <v>25486.843284439274</v>
      </c>
      <c r="J11" s="14">
        <v>2</v>
      </c>
      <c r="K11" s="56" cm="1">
        <f t="array" ref="K11">IF(J11="X",(_xlfn.XLOOKUP($B11,Tabla1[SERVICIO],Tabla1[VALOR])*1),IF(J11&gt;=1,_xlfn.XLOOKUP($B11,Tabla1[SERVICIO],Tabla1[VALOR]*J11),0))</f>
        <v>25486.843284439274</v>
      </c>
      <c r="L11" s="14">
        <v>2</v>
      </c>
      <c r="M11" s="56" cm="1">
        <f t="array" ref="M11">IF(L11="X",(_xlfn.XLOOKUP($B11,Tabla1[SERVICIO],Tabla1[VALOR])*1),IF(L11&gt;=1,_xlfn.XLOOKUP($B11,Tabla1[SERVICIO],Tabla1[VALOR]*L11),0))</f>
        <v>25486.843284439274</v>
      </c>
      <c r="N11" s="14">
        <v>2</v>
      </c>
      <c r="O11" s="56" cm="1">
        <f t="array" ref="O11">IF(N11="X",(_xlfn.XLOOKUP($B11,Tabla1[SERVICIO],Tabla1[VALOR])*1),IF(N11&gt;=1,_xlfn.XLOOKUP($B11,Tabla1[SERVICIO],Tabla1[VALOR]*N11),0))</f>
        <v>25486.843284439274</v>
      </c>
      <c r="P11" s="14">
        <v>2</v>
      </c>
      <c r="Q11" s="56" cm="1">
        <f t="array" ref="Q11">IF(P11="X",(_xlfn.XLOOKUP($B11,Tabla1[SERVICIO],Tabla1[VALOR])*1),IF(P11&gt;=1,_xlfn.XLOOKUP($B11,Tabla1[SERVICIO],Tabla1[VALOR]*P11),0))</f>
        <v>25486.843284439274</v>
      </c>
      <c r="R11" s="14">
        <v>2</v>
      </c>
      <c r="S11" s="56" cm="1">
        <f t="array" ref="S11">IF(R11="X",(_xlfn.XLOOKUP($B11,Tabla1[SERVICIO],Tabla1[VALOR])*1),IF(R11&gt;=1,_xlfn.XLOOKUP($B11,Tabla1[SERVICIO],Tabla1[VALOR]*R11),0))</f>
        <v>25486.843284439274</v>
      </c>
      <c r="T11" s="14">
        <v>2</v>
      </c>
      <c r="U11" s="56" cm="1">
        <f t="array" ref="U11">IF(T11="X",(_xlfn.XLOOKUP($B11,Tabla1[SERVICIO],Tabla1[VALOR])*1),IF(T11&gt;=1,_xlfn.XLOOKUP($B11,Tabla1[SERVICIO],Tabla1[VALOR]*T11),0))</f>
        <v>25486.843284439274</v>
      </c>
      <c r="V11" s="14">
        <v>2</v>
      </c>
      <c r="W11" s="56" cm="1">
        <f t="array" ref="W11">IF(V11="X",(_xlfn.XLOOKUP($B11,Tabla1[SERVICIO],Tabla1[VALOR])*1),IF(V11&gt;=1,_xlfn.XLOOKUP($B11,Tabla1[SERVICIO],Tabla1[VALOR]*V11),0))</f>
        <v>25486.843284439274</v>
      </c>
      <c r="X11" s="14">
        <v>2</v>
      </c>
      <c r="Y11" s="56" cm="1">
        <f t="array" ref="Y11">IF(X11="X",(_xlfn.XLOOKUP($B11,Tabla1[SERVICIO],Tabla1[VALOR])*1),IF(X11&gt;=1,_xlfn.XLOOKUP($B11,Tabla1[SERVICIO],Tabla1[VALOR]*X11),0))</f>
        <v>25486.843284439274</v>
      </c>
      <c r="Z11" s="14">
        <v>2</v>
      </c>
      <c r="AA11" s="56" cm="1">
        <f t="array" ref="AA11">IF(Z11="X",(_xlfn.XLOOKUP($B11,Tabla1[SERVICIO],Tabla1[VALOR])*1),IF(Z11&gt;=1,_xlfn.XLOOKUP($B11,Tabla1[SERVICIO],Tabla1[VALOR]*Z11),0))</f>
        <v>25486.843284439274</v>
      </c>
      <c r="AB11" s="89">
        <f t="shared" si="0"/>
        <v>305842.11941327131</v>
      </c>
      <c r="AC11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24</v>
      </c>
      <c r="AD11" s="104" t="s">
        <v>318</v>
      </c>
      <c r="AE11" s="154">
        <v>1</v>
      </c>
      <c r="AF11" s="90">
        <f>+Tabla238[[#This Row],[TOTAL]]*Tabla238[[#This Row],[% de las personas que lo usaron]]</f>
        <v>305842.11941327131</v>
      </c>
      <c r="AG11" s="242" t="s">
        <v>353</v>
      </c>
      <c r="AH11" s="338">
        <v>12</v>
      </c>
      <c r="AI11" s="164" t="s">
        <v>324</v>
      </c>
    </row>
    <row r="12" spans="1:35" ht="15" x14ac:dyDescent="0.25">
      <c r="A12" s="7" t="s">
        <v>19</v>
      </c>
      <c r="B12" s="96" t="s">
        <v>20</v>
      </c>
      <c r="C12" s="96" t="str">
        <f>_xlfn.XLOOKUP(Tabla238[[#This Row],[Servicios del Programa:]],Tabla151[CODIGO],Tabla151[VALOR])</f>
        <v>Consultas</v>
      </c>
      <c r="D12" s="14">
        <v>1</v>
      </c>
      <c r="E12" s="56" cm="1">
        <f t="array" ref="E12">IF(D12="X",(_xlfn.XLOOKUP($B12,Tabla1[SERVICIO],Tabla1[VALOR])*1),IF(D12&gt;=1,_xlfn.XLOOKUP($B12,Tabla1[SERVICIO],Tabla1[VALOR]*D12),0))</f>
        <v>67398.098568534639</v>
      </c>
      <c r="F12" s="14"/>
      <c r="G12" s="56" cm="1">
        <f t="array" ref="G12">IF(F12="X",(_xlfn.XLOOKUP($B12,Tabla1[SERVICIO],Tabla1[VALOR])*1),IF(F12&gt;=1,_xlfn.XLOOKUP($B12,Tabla1[SERVICIO],Tabla1[VALOR]*F12),0))</f>
        <v>0</v>
      </c>
      <c r="H12" s="14"/>
      <c r="I12" s="56" cm="1">
        <f t="array" ref="I12">IF(H12="X",(_xlfn.XLOOKUP($B12,Tabla1[SERVICIO],Tabla1[VALOR])*1),IF(H12&gt;=1,_xlfn.XLOOKUP($B12,Tabla1[SERVICIO],Tabla1[VALOR]*H12),0))</f>
        <v>0</v>
      </c>
      <c r="J12" s="14"/>
      <c r="K12" s="56" cm="1">
        <f t="array" ref="K12">IF(J12="X",(_xlfn.XLOOKUP($B12,Tabla1[SERVICIO],Tabla1[VALOR])*1),IF(J12&gt;=1,_xlfn.XLOOKUP($B12,Tabla1[SERVICIO],Tabla1[VALOR]*J12),0))</f>
        <v>0</v>
      </c>
      <c r="L12" s="14"/>
      <c r="M12" s="56" cm="1">
        <f t="array" ref="M12">IF(L12="X",(_xlfn.XLOOKUP($B12,Tabla1[SERVICIO],Tabla1[VALOR])*1),IF(L12&gt;=1,_xlfn.XLOOKUP($B12,Tabla1[SERVICIO],Tabla1[VALOR]*L12),0))</f>
        <v>0</v>
      </c>
      <c r="N12" s="14"/>
      <c r="O12" s="56" cm="1">
        <f t="array" ref="O12">IF(N12="X",(_xlfn.XLOOKUP($B12,Tabla1[SERVICIO],Tabla1[VALOR])*1),IF(N12&gt;=1,_xlfn.XLOOKUP($B12,Tabla1[SERVICIO],Tabla1[VALOR]*N12),0))</f>
        <v>0</v>
      </c>
      <c r="P12" s="14"/>
      <c r="Q12" s="56" cm="1">
        <f t="array" ref="Q12">IF(P12="X",(_xlfn.XLOOKUP($B12,Tabla1[SERVICIO],Tabla1[VALOR])*1),IF(P12&gt;=1,_xlfn.XLOOKUP($B12,Tabla1[SERVICIO],Tabla1[VALOR]*P12),0))</f>
        <v>0</v>
      </c>
      <c r="R12" s="14"/>
      <c r="S12" s="56" cm="1">
        <f t="array" ref="S12">IF(R12="X",(_xlfn.XLOOKUP($B12,Tabla1[SERVICIO],Tabla1[VALOR])*1),IF(R12&gt;=1,_xlfn.XLOOKUP($B12,Tabla1[SERVICIO],Tabla1[VALOR]*R12),0))</f>
        <v>0</v>
      </c>
      <c r="T12" s="14"/>
      <c r="U12" s="56" cm="1">
        <f t="array" ref="U12">IF(T12="X",(_xlfn.XLOOKUP($B12,Tabla1[SERVICIO],Tabla1[VALOR])*1),IF(T12&gt;=1,_xlfn.XLOOKUP($B12,Tabla1[SERVICIO],Tabla1[VALOR]*T12),0))</f>
        <v>0</v>
      </c>
      <c r="V12" s="14"/>
      <c r="W12" s="56" cm="1">
        <f t="array" ref="W12">IF(V12="X",(_xlfn.XLOOKUP($B12,Tabla1[SERVICIO],Tabla1[VALOR])*1),IF(V12&gt;=1,_xlfn.XLOOKUP($B12,Tabla1[SERVICIO],Tabla1[VALOR]*V12),0))</f>
        <v>0</v>
      </c>
      <c r="X12" s="14"/>
      <c r="Y12" s="56" cm="1">
        <f t="array" ref="Y12">IF(X12="X",(_xlfn.XLOOKUP($B12,Tabla1[SERVICIO],Tabla1[VALOR])*1),IF(X12&gt;=1,_xlfn.XLOOKUP($B12,Tabla1[SERVICIO],Tabla1[VALOR]*X12),0))</f>
        <v>0</v>
      </c>
      <c r="Z12" s="14"/>
      <c r="AA12" s="56" cm="1">
        <f t="array" ref="AA12">IF(Z12="X",(_xlfn.XLOOKUP($B12,Tabla1[SERVICIO],Tabla1[VALOR])*1),IF(Z12&gt;=1,_xlfn.XLOOKUP($B12,Tabla1[SERVICIO],Tabla1[VALOR]*Z12),0))</f>
        <v>0</v>
      </c>
      <c r="AB12" s="89">
        <f t="shared" si="0"/>
        <v>67398.098568534639</v>
      </c>
      <c r="AC12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2" s="104" t="s">
        <v>319</v>
      </c>
      <c r="AE12" s="161">
        <v>0.1</v>
      </c>
      <c r="AF12" s="90">
        <f>+Tabla238[[#This Row],[TOTAL]]*Tabla238[[#This Row],[% de las personas que lo usaron]]</f>
        <v>6739.8098568534642</v>
      </c>
      <c r="AG12" s="242" t="s">
        <v>353</v>
      </c>
      <c r="AH12" s="338">
        <v>12</v>
      </c>
    </row>
    <row r="13" spans="1:35" ht="15" x14ac:dyDescent="0.25">
      <c r="A13" s="7" t="s">
        <v>21</v>
      </c>
      <c r="B13" s="96" t="s">
        <v>221</v>
      </c>
      <c r="C13" s="96" t="str">
        <f>_xlfn.XLOOKUP(Tabla238[[#This Row],[Servicios del Programa:]],Tabla151[CODIGO],Tabla151[VALOR])</f>
        <v>Consultas</v>
      </c>
      <c r="D13" s="14">
        <v>1</v>
      </c>
      <c r="E13" s="56" cm="1">
        <f t="array" ref="E13">IF(D13="X",(_xlfn.XLOOKUP($B13,Tabla1[SERVICIO],Tabla1[VALOR])*1),IF(D13&gt;=1,_xlfn.XLOOKUP($B13,Tabla1[SERVICIO],Tabla1[VALOR]*D13),0))</f>
        <v>67398.098568534639</v>
      </c>
      <c r="F13" s="14"/>
      <c r="G13" s="56" cm="1">
        <f t="array" ref="G13">IF(F13="X",(_xlfn.XLOOKUP($B13,Tabla1[SERVICIO],Tabla1[VALOR])*1),IF(F13&gt;=1,_xlfn.XLOOKUP($B13,Tabla1[SERVICIO],Tabla1[VALOR]*F13),0))</f>
        <v>0</v>
      </c>
      <c r="H13" s="14"/>
      <c r="I13" s="56" cm="1">
        <f t="array" ref="I13">IF(H13="X",(_xlfn.XLOOKUP($B13,Tabla1[SERVICIO],Tabla1[VALOR])*1),IF(H13&gt;=1,_xlfn.XLOOKUP($B13,Tabla1[SERVICIO],Tabla1[VALOR]*H13),0))</f>
        <v>0</v>
      </c>
      <c r="J13" s="14"/>
      <c r="K13" s="56" cm="1">
        <f t="array" ref="K13">IF(J13="X",(_xlfn.XLOOKUP($B13,Tabla1[SERVICIO],Tabla1[VALOR])*1),IF(J13&gt;=1,_xlfn.XLOOKUP($B13,Tabla1[SERVICIO],Tabla1[VALOR]*J13),0))</f>
        <v>0</v>
      </c>
      <c r="L13" s="14"/>
      <c r="M13" s="56" cm="1">
        <f t="array" ref="M13">IF(L13="X",(_xlfn.XLOOKUP($B13,Tabla1[SERVICIO],Tabla1[VALOR])*1),IF(L13&gt;=1,_xlfn.XLOOKUP($B13,Tabla1[SERVICIO],Tabla1[VALOR]*L13),0))</f>
        <v>0</v>
      </c>
      <c r="N13" s="14"/>
      <c r="O13" s="56" cm="1">
        <f t="array" ref="O13">IF(N13="X",(_xlfn.XLOOKUP($B13,Tabla1[SERVICIO],Tabla1[VALOR])*1),IF(N13&gt;=1,_xlfn.XLOOKUP($B13,Tabla1[SERVICIO],Tabla1[VALOR]*N13),0))</f>
        <v>0</v>
      </c>
      <c r="P13" s="14"/>
      <c r="Q13" s="56" cm="1">
        <f t="array" ref="Q13">IF(P13="X",(_xlfn.XLOOKUP($B13,Tabla1[SERVICIO],Tabla1[VALOR])*1),IF(P13&gt;=1,_xlfn.XLOOKUP($B13,Tabla1[SERVICIO],Tabla1[VALOR]*P13),0))</f>
        <v>0</v>
      </c>
      <c r="R13" s="14"/>
      <c r="S13" s="56" cm="1">
        <f t="array" ref="S13">IF(R13="X",(_xlfn.XLOOKUP($B13,Tabla1[SERVICIO],Tabla1[VALOR])*1),IF(R13&gt;=1,_xlfn.XLOOKUP($B13,Tabla1[SERVICIO],Tabla1[VALOR]*R13),0))</f>
        <v>0</v>
      </c>
      <c r="T13" s="14"/>
      <c r="U13" s="56" cm="1">
        <f t="array" ref="U13">IF(T13="X",(_xlfn.XLOOKUP($B13,Tabla1[SERVICIO],Tabla1[VALOR])*1),IF(T13&gt;=1,_xlfn.XLOOKUP($B13,Tabla1[SERVICIO],Tabla1[VALOR]*T13),0))</f>
        <v>0</v>
      </c>
      <c r="V13" s="14"/>
      <c r="W13" s="56" cm="1">
        <f t="array" ref="W13">IF(V13="X",(_xlfn.XLOOKUP($B13,Tabla1[SERVICIO],Tabla1[VALOR])*1),IF(V13&gt;=1,_xlfn.XLOOKUP($B13,Tabla1[SERVICIO],Tabla1[VALOR]*V13),0))</f>
        <v>0</v>
      </c>
      <c r="X13" s="14"/>
      <c r="Y13" s="56" cm="1">
        <f t="array" ref="Y13">IF(X13="X",(_xlfn.XLOOKUP($B13,Tabla1[SERVICIO],Tabla1[VALOR])*1),IF(X13&gt;=1,_xlfn.XLOOKUP($B13,Tabla1[SERVICIO],Tabla1[VALOR]*X13),0))</f>
        <v>0</v>
      </c>
      <c r="Z13" s="14"/>
      <c r="AA13" s="56" cm="1">
        <f t="array" ref="AA13">IF(Z13="X",(_xlfn.XLOOKUP($B13,Tabla1[SERVICIO],Tabla1[VALOR])*1),IF(Z13&gt;=1,_xlfn.XLOOKUP($B13,Tabla1[SERVICIO],Tabla1[VALOR]*Z13),0))</f>
        <v>0</v>
      </c>
      <c r="AB13" s="89">
        <f t="shared" si="0"/>
        <v>67398.098568534639</v>
      </c>
      <c r="AC13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3" s="104" t="s">
        <v>319</v>
      </c>
      <c r="AE13" s="161">
        <v>1.1375</v>
      </c>
      <c r="AF13" s="90">
        <f>+Tabla238[[#This Row],[TOTAL]]*Tabla238[[#This Row],[% de las personas que lo usaron]]</f>
        <v>76665.337121708144</v>
      </c>
      <c r="AG13" s="242" t="s">
        <v>353</v>
      </c>
      <c r="AH13" s="338">
        <v>12</v>
      </c>
    </row>
    <row r="14" spans="1:35" ht="15" x14ac:dyDescent="0.25">
      <c r="A14" s="7" t="s">
        <v>34</v>
      </c>
      <c r="B14" s="96" t="s">
        <v>35</v>
      </c>
      <c r="C14" s="96" t="str">
        <f>_xlfn.XLOOKUP(Tabla238[[#This Row],[Servicios del Programa:]],Tabla151[CODIGO],Tabla151[VALOR])</f>
        <v>Consultas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24009.730401318589</v>
      </c>
      <c r="F14" s="14"/>
      <c r="G14" s="56" cm="1">
        <f t="array" ref="G14">IF(F14="X",(_xlfn.XLOOKUP($B14,Tabla1[SERVICIO],Tabla1[VALOR])*1),IF(F14&gt;=1,_xlfn.XLOOKUP($B14,Tabla1[SERVICIO],Tabla1[VALOR]*F14),0))</f>
        <v>0</v>
      </c>
      <c r="H14" s="14"/>
      <c r="I14" s="56" cm="1">
        <f t="array" ref="I14">IF(H14="X",(_xlfn.XLOOKUP($B14,Tabla1[SERVICIO],Tabla1[VALOR])*1),IF(H14&gt;=1,_xlfn.XLOOKUP($B14,Tabla1[SERVICIO],Tabla1[VALOR]*H14),0))</f>
        <v>0</v>
      </c>
      <c r="J14" s="14"/>
      <c r="K14" s="56" cm="1">
        <f t="array" ref="K14">IF(J14="X",(_xlfn.XLOOKUP($B14,Tabla1[SERVICIO],Tabla1[VALOR])*1),IF(J14&gt;=1,_xlfn.XLOOKUP($B14,Tabla1[SERVICIO],Tabla1[VALOR]*J14),0))</f>
        <v>0</v>
      </c>
      <c r="L14" s="14"/>
      <c r="M14" s="56" cm="1">
        <f t="array" ref="M14">IF(L14="X",(_xlfn.XLOOKUP($B14,Tabla1[SERVICIO],Tabla1[VALOR])*1),IF(L14&gt;=1,_xlfn.XLOOKUP($B14,Tabla1[SERVICIO],Tabla1[VALOR]*L14),0))</f>
        <v>0</v>
      </c>
      <c r="N14" s="14"/>
      <c r="O14" s="56" cm="1">
        <f t="array" ref="O14">IF(N14="X",(_xlfn.XLOOKUP($B14,Tabla1[SERVICIO],Tabla1[VALOR])*1),IF(N14&gt;=1,_xlfn.XLOOKUP($B14,Tabla1[SERVICIO],Tabla1[VALOR]*N14),0))</f>
        <v>0</v>
      </c>
      <c r="P14" s="14"/>
      <c r="Q14" s="56" cm="1">
        <f t="array" ref="Q14">IF(P14="X",(_xlfn.XLOOKUP($B14,Tabla1[SERVICIO],Tabla1[VALOR])*1),IF(P14&gt;=1,_xlfn.XLOOKUP($B14,Tabla1[SERVICIO],Tabla1[VALOR]*P14),0))</f>
        <v>0</v>
      </c>
      <c r="R14" s="14"/>
      <c r="S14" s="56" cm="1">
        <f t="array" ref="S14">IF(R14="X",(_xlfn.XLOOKUP($B14,Tabla1[SERVICIO],Tabla1[VALOR])*1),IF(R14&gt;=1,_xlfn.XLOOKUP($B14,Tabla1[SERVICIO],Tabla1[VALOR]*R14),0))</f>
        <v>0</v>
      </c>
      <c r="T14" s="14"/>
      <c r="U14" s="56" cm="1">
        <f t="array" ref="U14">IF(T14="X",(_xlfn.XLOOKUP($B14,Tabla1[SERVICIO],Tabla1[VALOR])*1),IF(T14&gt;=1,_xlfn.XLOOKUP($B14,Tabla1[SERVICIO],Tabla1[VALOR]*T14),0))</f>
        <v>0</v>
      </c>
      <c r="V14" s="14"/>
      <c r="W14" s="56" cm="1">
        <f t="array" ref="W14">IF(V14="X",(_xlfn.XLOOKUP($B14,Tabla1[SERVICIO],Tabla1[VALOR])*1),IF(V14&gt;=1,_xlfn.XLOOKUP($B14,Tabla1[SERVICIO],Tabla1[VALOR]*V14),0))</f>
        <v>0</v>
      </c>
      <c r="X14" s="14"/>
      <c r="Y14" s="56" cm="1">
        <f t="array" ref="Y14">IF(X14="X",(_xlfn.XLOOKUP($B14,Tabla1[SERVICIO],Tabla1[VALOR])*1),IF(X14&gt;=1,_xlfn.XLOOKUP($B14,Tabla1[SERVICIO],Tabla1[VALOR]*X14),0))</f>
        <v>0</v>
      </c>
      <c r="Z14" s="14"/>
      <c r="AA14" s="56" cm="1">
        <f t="array" ref="AA14">IF(Z14="X",(_xlfn.XLOOKUP($B14,Tabla1[SERVICIO],Tabla1[VALOR])*1),IF(Z14&gt;=1,_xlfn.XLOOKUP($B14,Tabla1[SERVICIO],Tabla1[VALOR]*Z14),0))</f>
        <v>0</v>
      </c>
      <c r="AB14" s="89">
        <f t="shared" si="0"/>
        <v>24009.730401318589</v>
      </c>
      <c r="AC14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4" s="104" t="s">
        <v>318</v>
      </c>
      <c r="AE14" s="154">
        <v>1</v>
      </c>
      <c r="AF14" s="90">
        <f>+Tabla238[[#This Row],[TOTAL]]*Tabla238[[#This Row],[% de las personas que lo usaron]]</f>
        <v>24009.730401318589</v>
      </c>
      <c r="AG14" s="242" t="s">
        <v>353</v>
      </c>
      <c r="AH14" s="338">
        <v>12</v>
      </c>
    </row>
    <row r="15" spans="1:35" s="4" customFormat="1" ht="15" x14ac:dyDescent="0.25">
      <c r="A15" s="7" t="s">
        <v>32</v>
      </c>
      <c r="B15" s="96" t="s">
        <v>33</v>
      </c>
      <c r="C15" s="96" t="str">
        <f>_xlfn.XLOOKUP(Tabla238[[#This Row],[Servicios del Programa:]],Tabla151[CODIGO],Tabla151[VALOR])</f>
        <v>Consultas</v>
      </c>
      <c r="D15" s="14"/>
      <c r="E15" s="56" cm="1">
        <f t="array" ref="E15">IF(D15="X",(_xlfn.XLOOKUP($B15,Tabla1[SERVICIO],Tabla1[VALOR])*1),IF(D15&gt;=1,_xlfn.XLOOKUP($B15,Tabla1[SERVICIO],Tabla1[VALOR]*D15),0))</f>
        <v>0</v>
      </c>
      <c r="F15" s="14"/>
      <c r="G15" s="56" cm="1">
        <f t="array" ref="G15">IF(F15="X",(_xlfn.XLOOKUP($B15,Tabla1[SERVICIO],Tabla1[VALOR])*1),IF(F15&gt;=1,_xlfn.XLOOKUP($B15,Tabla1[SERVICIO],Tabla1[VALOR]*F15),0))</f>
        <v>0</v>
      </c>
      <c r="H15" s="14">
        <v>1</v>
      </c>
      <c r="I15" s="56" cm="1">
        <f t="array" ref="I15">IF(H15="X",(_xlfn.XLOOKUP($B15,Tabla1[SERVICIO],Tabla1[VALOR])*1),IF(H15&gt;=1,_xlfn.XLOOKUP($B15,Tabla1[SERVICIO],Tabla1[VALOR]*H15),0))</f>
        <v>24009.730401318589</v>
      </c>
      <c r="J15" s="14"/>
      <c r="K15" s="56" cm="1">
        <f t="array" ref="K15">IF(J15="X",(_xlfn.XLOOKUP($B15,Tabla1[SERVICIO],Tabla1[VALOR])*1),IF(J15&gt;=1,_xlfn.XLOOKUP($B15,Tabla1[SERVICIO],Tabla1[VALOR]*J15),0))</f>
        <v>0</v>
      </c>
      <c r="L15" s="14"/>
      <c r="M15" s="56" cm="1">
        <f t="array" ref="M15">IF(L15="X",(_xlfn.XLOOKUP($B15,Tabla1[SERVICIO],Tabla1[VALOR])*1),IF(L15&gt;=1,_xlfn.XLOOKUP($B15,Tabla1[SERVICIO],Tabla1[VALOR]*L15),0))</f>
        <v>0</v>
      </c>
      <c r="N15" s="14"/>
      <c r="O15" s="56" cm="1">
        <f t="array" ref="O15">IF(N15="X",(_xlfn.XLOOKUP($B15,Tabla1[SERVICIO],Tabla1[VALOR])*1),IF(N15&gt;=1,_xlfn.XLOOKUP($B15,Tabla1[SERVICIO],Tabla1[VALOR]*N15),0))</f>
        <v>0</v>
      </c>
      <c r="P15" s="14"/>
      <c r="Q15" s="56" cm="1">
        <f t="array" ref="Q15">IF(P15="X",(_xlfn.XLOOKUP($B15,Tabla1[SERVICIO],Tabla1[VALOR])*1),IF(P15&gt;=1,_xlfn.XLOOKUP($B15,Tabla1[SERVICIO],Tabla1[VALOR]*P15),0))</f>
        <v>0</v>
      </c>
      <c r="R15" s="14"/>
      <c r="S15" s="56" cm="1">
        <f t="array" ref="S15">IF(R15="X",(_xlfn.XLOOKUP($B15,Tabla1[SERVICIO],Tabla1[VALOR])*1),IF(R15&gt;=1,_xlfn.XLOOKUP($B15,Tabla1[SERVICIO],Tabla1[VALOR]*R15),0))</f>
        <v>0</v>
      </c>
      <c r="T15" s="14"/>
      <c r="U15" s="56" cm="1">
        <f t="array" ref="U15">IF(T15="X",(_xlfn.XLOOKUP($B15,Tabla1[SERVICIO],Tabla1[VALOR])*1),IF(T15&gt;=1,_xlfn.XLOOKUP($B15,Tabla1[SERVICIO],Tabla1[VALOR]*T15),0))</f>
        <v>0</v>
      </c>
      <c r="V15" s="14"/>
      <c r="W15" s="56" cm="1">
        <f t="array" ref="W15">IF(V15="X",(_xlfn.XLOOKUP($B15,Tabla1[SERVICIO],Tabla1[VALOR])*1),IF(V15&gt;=1,_xlfn.XLOOKUP($B15,Tabla1[SERVICIO],Tabla1[VALOR]*V15),0))</f>
        <v>0</v>
      </c>
      <c r="X15" s="14"/>
      <c r="Y15" s="56" cm="1">
        <f t="array" ref="Y15">IF(X15="X",(_xlfn.XLOOKUP($B15,Tabla1[SERVICIO],Tabla1[VALOR])*1),IF(X15&gt;=1,_xlfn.XLOOKUP($B15,Tabla1[SERVICIO],Tabla1[VALOR]*X15),0))</f>
        <v>0</v>
      </c>
      <c r="Z15" s="14"/>
      <c r="AA15" s="56" cm="1">
        <f t="array" ref="AA15">IF(Z15="X",(_xlfn.XLOOKUP($B15,Tabla1[SERVICIO],Tabla1[VALOR])*1),IF(Z15&gt;=1,_xlfn.XLOOKUP($B15,Tabla1[SERVICIO],Tabla1[VALOR]*Z15),0))</f>
        <v>0</v>
      </c>
      <c r="AB15" s="89">
        <f t="shared" si="0"/>
        <v>24009.730401318589</v>
      </c>
      <c r="AC15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5" s="104" t="s">
        <v>319</v>
      </c>
      <c r="AE15" s="161">
        <v>0</v>
      </c>
      <c r="AF15" s="90">
        <f>+Tabla238[[#This Row],[TOTAL]]*Tabla238[[#This Row],[% de las personas que lo usaron]]</f>
        <v>0</v>
      </c>
      <c r="AG15" s="242" t="s">
        <v>353</v>
      </c>
      <c r="AH15" s="338">
        <v>12</v>
      </c>
    </row>
    <row r="16" spans="1:35" ht="15" x14ac:dyDescent="0.25">
      <c r="A16" s="7" t="s">
        <v>79</v>
      </c>
      <c r="B16" s="96" t="s">
        <v>197</v>
      </c>
      <c r="C16" s="96" t="str">
        <f>_xlfn.XLOOKUP(Tabla238[[#This Row],[Servicios del Programa:]],Tabla151[CODIGO],Tabla151[VALOR])</f>
        <v>Terapias</v>
      </c>
      <c r="D16" s="14">
        <v>4</v>
      </c>
      <c r="E16" s="56" cm="1">
        <f t="array" ref="E16">IF(D16="X",(_xlfn.XLOOKUP($B16,Tabla1[SERVICIO],Tabla1[VALOR])*1),IF(D16&gt;=1,_xlfn.XLOOKUP($B16,Tabla1[SERVICIO],Tabla1[VALOR]*D16),0))</f>
        <v>82211.022629484622</v>
      </c>
      <c r="F16" s="14">
        <v>4</v>
      </c>
      <c r="G16" s="56" cm="1">
        <f t="array" ref="G16">IF(F16="X",(_xlfn.XLOOKUP($B16,Tabla1[SERVICIO],Tabla1[VALOR])*1),IF(F16&gt;=1,_xlfn.XLOOKUP($B16,Tabla1[SERVICIO],Tabla1[VALOR]*F16),0))</f>
        <v>82211.022629484622</v>
      </c>
      <c r="H16" s="14">
        <v>4</v>
      </c>
      <c r="I16" s="56" cm="1">
        <f t="array" ref="I16">IF(H16="X",(_xlfn.XLOOKUP($B16,Tabla1[SERVICIO],Tabla1[VALOR])*1),IF(H16&gt;=1,_xlfn.XLOOKUP($B16,Tabla1[SERVICIO],Tabla1[VALOR]*H16),0))</f>
        <v>82211.022629484622</v>
      </c>
      <c r="J16" s="14">
        <v>4</v>
      </c>
      <c r="K16" s="56" cm="1">
        <f t="array" ref="K16">IF(J16="X",(_xlfn.XLOOKUP($B16,Tabla1[SERVICIO],Tabla1[VALOR])*1),IF(J16&gt;=1,_xlfn.XLOOKUP($B16,Tabla1[SERVICIO],Tabla1[VALOR]*J16),0))</f>
        <v>82211.022629484622</v>
      </c>
      <c r="L16" s="14">
        <v>4</v>
      </c>
      <c r="M16" s="56" cm="1">
        <f t="array" ref="M16">IF(L16="X",(_xlfn.XLOOKUP($B16,Tabla1[SERVICIO],Tabla1[VALOR])*1),IF(L16&gt;=1,_xlfn.XLOOKUP($B16,Tabla1[SERVICIO],Tabla1[VALOR]*L16),0))</f>
        <v>82211.022629484622</v>
      </c>
      <c r="N16" s="14">
        <v>4</v>
      </c>
      <c r="O16" s="56" cm="1">
        <f t="array" ref="O16">IF(N16="X",(_xlfn.XLOOKUP($B16,Tabla1[SERVICIO],Tabla1[VALOR])*1),IF(N16&gt;=1,_xlfn.XLOOKUP($B16,Tabla1[SERVICIO],Tabla1[VALOR]*N16),0))</f>
        <v>82211.022629484622</v>
      </c>
      <c r="P16" s="14">
        <v>4</v>
      </c>
      <c r="Q16" s="56" cm="1">
        <f t="array" ref="Q16">IF(P16="X",(_xlfn.XLOOKUP($B16,Tabla1[SERVICIO],Tabla1[VALOR])*1),IF(P16&gt;=1,_xlfn.XLOOKUP($B16,Tabla1[SERVICIO],Tabla1[VALOR]*P16),0))</f>
        <v>82211.022629484622</v>
      </c>
      <c r="R16" s="14">
        <v>4</v>
      </c>
      <c r="S16" s="56" cm="1">
        <f t="array" ref="S16">IF(R16="X",(_xlfn.XLOOKUP($B16,Tabla1[SERVICIO],Tabla1[VALOR])*1),IF(R16&gt;=1,_xlfn.XLOOKUP($B16,Tabla1[SERVICIO],Tabla1[VALOR]*R16),0))</f>
        <v>82211.022629484622</v>
      </c>
      <c r="T16" s="14">
        <v>4</v>
      </c>
      <c r="U16" s="56" cm="1">
        <f t="array" ref="U16">IF(T16="X",(_xlfn.XLOOKUP($B16,Tabla1[SERVICIO],Tabla1[VALOR])*1),IF(T16&gt;=1,_xlfn.XLOOKUP($B16,Tabla1[SERVICIO],Tabla1[VALOR]*T16),0))</f>
        <v>82211.022629484622</v>
      </c>
      <c r="V16" s="14">
        <v>4</v>
      </c>
      <c r="W16" s="56" cm="1">
        <f t="array" ref="W16">IF(V16="X",(_xlfn.XLOOKUP($B16,Tabla1[SERVICIO],Tabla1[VALOR])*1),IF(V16&gt;=1,_xlfn.XLOOKUP($B16,Tabla1[SERVICIO],Tabla1[VALOR]*V16),0))</f>
        <v>82211.022629484622</v>
      </c>
      <c r="X16" s="14">
        <v>4</v>
      </c>
      <c r="Y16" s="56" cm="1">
        <f t="array" ref="Y16">IF(X16="X",(_xlfn.XLOOKUP($B16,Tabla1[SERVICIO],Tabla1[VALOR])*1),IF(X16&gt;=1,_xlfn.XLOOKUP($B16,Tabla1[SERVICIO],Tabla1[VALOR]*X16),0))</f>
        <v>82211.022629484622</v>
      </c>
      <c r="Z16" s="14">
        <v>4</v>
      </c>
      <c r="AA16" s="56" cm="1">
        <f t="array" ref="AA16">IF(Z16="X",(_xlfn.XLOOKUP($B16,Tabla1[SERVICIO],Tabla1[VALOR])*1),IF(Z16&gt;=1,_xlfn.XLOOKUP($B16,Tabla1[SERVICIO],Tabla1[VALOR]*Z16),0))</f>
        <v>82211.022629484622</v>
      </c>
      <c r="AB16" s="89">
        <f t="shared" si="0"/>
        <v>986532.27155381569</v>
      </c>
      <c r="AC16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48</v>
      </c>
      <c r="AD16" s="104" t="s">
        <v>318</v>
      </c>
      <c r="AE16" s="154">
        <v>1</v>
      </c>
      <c r="AF16" s="90">
        <f>+Tabla238[[#This Row],[TOTAL]]*Tabla238[[#This Row],[% de las personas que lo usaron]]</f>
        <v>986532.27155381569</v>
      </c>
      <c r="AG16" s="242" t="s">
        <v>353</v>
      </c>
      <c r="AH16" s="338">
        <v>12</v>
      </c>
      <c r="AI16" s="164" t="s">
        <v>324</v>
      </c>
    </row>
    <row r="17" spans="1:46" ht="15" x14ac:dyDescent="0.25">
      <c r="A17" s="7" t="s">
        <v>27</v>
      </c>
      <c r="B17" s="96" t="s">
        <v>28</v>
      </c>
      <c r="C17" s="96" t="str">
        <f>_xlfn.XLOOKUP(Tabla238[[#This Row],[Servicios del Programa:]],Tabla151[CODIGO],Tabla151[VALOR])</f>
        <v>Diagnosticos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43480.816890660324</v>
      </c>
      <c r="F17" s="14"/>
      <c r="G17" s="56" cm="1">
        <f t="array" ref="G17">IF(F17="X",(_xlfn.XLOOKUP($B17,Tabla1[SERVICIO],Tabla1[VALOR])*1),IF(F17&gt;=1,_xlfn.XLOOKUP($B17,Tabla1[SERVICIO],Tabla1[VALOR]*F17),0))</f>
        <v>0</v>
      </c>
      <c r="H17" s="14"/>
      <c r="I17" s="56" cm="1">
        <f t="array" ref="I17">IF(H17="X",(_xlfn.XLOOKUP($B17,Tabla1[SERVICIO],Tabla1[VALOR])*1),IF(H17&gt;=1,_xlfn.XLOOKUP($B17,Tabla1[SERVICIO],Tabla1[VALOR]*H17),0))</f>
        <v>0</v>
      </c>
      <c r="J17" s="14"/>
      <c r="K17" s="56" cm="1">
        <f t="array" ref="K17">IF(J17="X",(_xlfn.XLOOKUP($B17,Tabla1[SERVICIO],Tabla1[VALOR])*1),IF(J17&gt;=1,_xlfn.XLOOKUP($B17,Tabla1[SERVICIO],Tabla1[VALOR]*J17),0))</f>
        <v>0</v>
      </c>
      <c r="L17" s="14"/>
      <c r="M17" s="56" cm="1">
        <f t="array" ref="M17">IF(L17="X",(_xlfn.XLOOKUP($B17,Tabla1[SERVICIO],Tabla1[VALOR])*1),IF(L17&gt;=1,_xlfn.XLOOKUP($B17,Tabla1[SERVICIO],Tabla1[VALOR]*L17),0))</f>
        <v>0</v>
      </c>
      <c r="N17" s="14"/>
      <c r="O17" s="56" cm="1">
        <f t="array" ref="O17">IF(N17="X",(_xlfn.XLOOKUP($B17,Tabla1[SERVICIO],Tabla1[VALOR])*1),IF(N17&gt;=1,_xlfn.XLOOKUP($B17,Tabla1[SERVICIO],Tabla1[VALOR]*N17),0))</f>
        <v>0</v>
      </c>
      <c r="P17" s="14"/>
      <c r="Q17" s="56" cm="1">
        <f t="array" ref="Q17">IF(P17="X",(_xlfn.XLOOKUP($B17,Tabla1[SERVICIO],Tabla1[VALOR])*1),IF(P17&gt;=1,_xlfn.XLOOKUP($B17,Tabla1[SERVICIO],Tabla1[VALOR]*P17),0))</f>
        <v>0</v>
      </c>
      <c r="R17" s="14"/>
      <c r="S17" s="56" cm="1">
        <f t="array" ref="S17">IF(R17="X",(_xlfn.XLOOKUP($B17,Tabla1[SERVICIO],Tabla1[VALOR])*1),IF(R17&gt;=1,_xlfn.XLOOKUP($B17,Tabla1[SERVICIO],Tabla1[VALOR]*R17),0))</f>
        <v>0</v>
      </c>
      <c r="T17" s="14"/>
      <c r="U17" s="56" cm="1">
        <f t="array" ref="U17">IF(T17="X",(_xlfn.XLOOKUP($B17,Tabla1[SERVICIO],Tabla1[VALOR])*1),IF(T17&gt;=1,_xlfn.XLOOKUP($B17,Tabla1[SERVICIO],Tabla1[VALOR]*T17),0))</f>
        <v>0</v>
      </c>
      <c r="V17" s="14"/>
      <c r="W17" s="56" cm="1">
        <f t="array" ref="W17">IF(V17="X",(_xlfn.XLOOKUP($B17,Tabla1[SERVICIO],Tabla1[VALOR])*1),IF(V17&gt;=1,_xlfn.XLOOKUP($B17,Tabla1[SERVICIO],Tabla1[VALOR]*V17),0))</f>
        <v>0</v>
      </c>
      <c r="X17" s="14"/>
      <c r="Y17" s="56" cm="1">
        <f t="array" ref="Y17">IF(X17="X",(_xlfn.XLOOKUP($B17,Tabla1[SERVICIO],Tabla1[VALOR])*1),IF(X17&gt;=1,_xlfn.XLOOKUP($B17,Tabla1[SERVICIO],Tabla1[VALOR]*X17),0))</f>
        <v>0</v>
      </c>
      <c r="Z17" s="14">
        <v>1</v>
      </c>
      <c r="AA17" s="56" cm="1">
        <f t="array" ref="AA17">IF(Z17="X",(_xlfn.XLOOKUP($B17,Tabla1[SERVICIO],Tabla1[VALOR])*1),IF(Z17&gt;=1,_xlfn.XLOOKUP($B17,Tabla1[SERVICIO],Tabla1[VALOR]*Z17),0))</f>
        <v>43480.816890660324</v>
      </c>
      <c r="AB17" s="89">
        <f t="shared" si="0"/>
        <v>86961.633781320648</v>
      </c>
      <c r="AC17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17" s="104" t="s">
        <v>318</v>
      </c>
      <c r="AE17" s="154">
        <v>1</v>
      </c>
      <c r="AF17" s="90">
        <f>+Tabla238[[#This Row],[TOTAL]]*Tabla238[[#This Row],[% de las personas que lo usaron]]</f>
        <v>86961.633781320648</v>
      </c>
      <c r="AG17" s="242" t="s">
        <v>353</v>
      </c>
      <c r="AH17" s="338">
        <v>12</v>
      </c>
    </row>
    <row r="18" spans="1:46" ht="15" x14ac:dyDescent="0.25">
      <c r="A18" s="7" t="s">
        <v>25</v>
      </c>
      <c r="B18" s="96" t="s">
        <v>26</v>
      </c>
      <c r="C18" s="96" t="str">
        <f>_xlfn.XLOOKUP(Tabla238[[#This Row],[Servicios del Programa:]],Tabla151[CODIGO],Tabla151[VALOR])</f>
        <v>Diagnosticos</v>
      </c>
      <c r="D18" s="14">
        <v>1</v>
      </c>
      <c r="E18" s="56" cm="1">
        <f t="array" ref="E18">IF(D18="X",(_xlfn.XLOOKUP($B18,Tabla1[SERVICIO],Tabla1[VALOR])*1),IF(D18&gt;=1,_xlfn.XLOOKUP($B18,Tabla1[SERVICIO],Tabla1[VALOR]*D18),0))</f>
        <v>19392.627189167735</v>
      </c>
      <c r="F18" s="14"/>
      <c r="G18" s="56" cm="1">
        <f t="array" ref="G18">IF(F18="X",(_xlfn.XLOOKUP($B18,Tabla1[SERVICIO],Tabla1[VALOR])*1),IF(F18&gt;=1,_xlfn.XLOOKUP($B18,Tabla1[SERVICIO],Tabla1[VALOR]*F18),0))</f>
        <v>0</v>
      </c>
      <c r="H18" s="14"/>
      <c r="I18" s="56" cm="1">
        <f t="array" ref="I18">IF(H18="X",(_xlfn.XLOOKUP($B18,Tabla1[SERVICIO],Tabla1[VALOR])*1),IF(H18&gt;=1,_xlfn.XLOOKUP($B18,Tabla1[SERVICIO],Tabla1[VALOR]*H18),0))</f>
        <v>0</v>
      </c>
      <c r="J18" s="14"/>
      <c r="K18" s="56" cm="1">
        <f t="array" ref="K18">IF(J18="X",(_xlfn.XLOOKUP($B18,Tabla1[SERVICIO],Tabla1[VALOR])*1),IF(J18&gt;=1,_xlfn.XLOOKUP($B18,Tabla1[SERVICIO],Tabla1[VALOR]*J18),0))</f>
        <v>0</v>
      </c>
      <c r="L18" s="14"/>
      <c r="M18" s="56" cm="1">
        <f t="array" ref="M18">IF(L18="X",(_xlfn.XLOOKUP($B18,Tabla1[SERVICIO],Tabla1[VALOR])*1),IF(L18&gt;=1,_xlfn.XLOOKUP($B18,Tabla1[SERVICIO],Tabla1[VALOR]*L18),0))</f>
        <v>0</v>
      </c>
      <c r="N18" s="14"/>
      <c r="O18" s="56" cm="1">
        <f t="array" ref="O18">IF(N18="X",(_xlfn.XLOOKUP($B18,Tabla1[SERVICIO],Tabla1[VALOR])*1),IF(N18&gt;=1,_xlfn.XLOOKUP($B18,Tabla1[SERVICIO],Tabla1[VALOR]*N18),0))</f>
        <v>0</v>
      </c>
      <c r="P18" s="14"/>
      <c r="Q18" s="56" cm="1">
        <f t="array" ref="Q18">IF(P18="X",(_xlfn.XLOOKUP($B18,Tabla1[SERVICIO],Tabla1[VALOR])*1),IF(P18&gt;=1,_xlfn.XLOOKUP($B18,Tabla1[SERVICIO],Tabla1[VALOR]*P18),0))</f>
        <v>0</v>
      </c>
      <c r="R18" s="14"/>
      <c r="S18" s="56" cm="1">
        <f t="array" ref="S18">IF(R18="X",(_xlfn.XLOOKUP($B18,Tabla1[SERVICIO],Tabla1[VALOR])*1),IF(R18&gt;=1,_xlfn.XLOOKUP($B18,Tabla1[SERVICIO],Tabla1[VALOR]*R18),0))</f>
        <v>0</v>
      </c>
      <c r="T18" s="14"/>
      <c r="U18" s="56" cm="1">
        <f t="array" ref="U18">IF(T18="X",(_xlfn.XLOOKUP($B18,Tabla1[SERVICIO],Tabla1[VALOR])*1),IF(T18&gt;=1,_xlfn.XLOOKUP($B18,Tabla1[SERVICIO],Tabla1[VALOR]*T18),0))</f>
        <v>0</v>
      </c>
      <c r="V18" s="14"/>
      <c r="W18" s="56" cm="1">
        <f t="array" ref="W18">IF(V18="X",(_xlfn.XLOOKUP($B18,Tabla1[SERVICIO],Tabla1[VALOR])*1),IF(V18&gt;=1,_xlfn.XLOOKUP($B18,Tabla1[SERVICIO],Tabla1[VALOR]*V18),0))</f>
        <v>0</v>
      </c>
      <c r="X18" s="14"/>
      <c r="Y18" s="56" cm="1">
        <f t="array" ref="Y18">IF(X18="X",(_xlfn.XLOOKUP($B18,Tabla1[SERVICIO],Tabla1[VALOR])*1),IF(X18&gt;=1,_xlfn.XLOOKUP($B18,Tabla1[SERVICIO],Tabla1[VALOR]*X18),0))</f>
        <v>0</v>
      </c>
      <c r="Z18" s="14">
        <v>1</v>
      </c>
      <c r="AA18" s="56" cm="1">
        <f t="array" ref="AA18">IF(Z18="X",(_xlfn.XLOOKUP($B18,Tabla1[SERVICIO],Tabla1[VALOR])*1),IF(Z18&gt;=1,_xlfn.XLOOKUP($B18,Tabla1[SERVICIO],Tabla1[VALOR]*Z18),0))</f>
        <v>19392.627189167735</v>
      </c>
      <c r="AB18" s="89">
        <f t="shared" si="0"/>
        <v>38785.25437833547</v>
      </c>
      <c r="AC18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18" s="104" t="s">
        <v>318</v>
      </c>
      <c r="AE18" s="154">
        <v>1</v>
      </c>
      <c r="AF18" s="90">
        <f>+Tabla238[[#This Row],[TOTAL]]*Tabla238[[#This Row],[% de las personas que lo usaron]]</f>
        <v>38785.25437833547</v>
      </c>
      <c r="AG18" s="242" t="s">
        <v>353</v>
      </c>
      <c r="AH18" s="338">
        <v>12</v>
      </c>
    </row>
    <row r="19" spans="1:46" ht="15" x14ac:dyDescent="0.25">
      <c r="A19" s="7" t="s">
        <v>113</v>
      </c>
      <c r="B19" s="98" t="s">
        <v>116</v>
      </c>
      <c r="C19" s="96" t="str">
        <f>_xlfn.XLOOKUP(Tabla238[[#This Row],[Servicios del Programa:]],Tabla151[CODIGO],Tabla151[VALOR])</f>
        <v>Consultas</v>
      </c>
      <c r="D19" s="14">
        <v>1</v>
      </c>
      <c r="E19" s="56" cm="1">
        <f t="array" ref="E19">IF(D19="X",(_xlfn.XLOOKUP($B19,Tabla1[SERVICIO],Tabla1[VALOR])*1),IF(D19&gt;=1,_xlfn.XLOOKUP($B19,Tabla1[SERVICIO],Tabla1[VALOR]*D19),0))</f>
        <v>60236.092716419647</v>
      </c>
      <c r="F19" s="14"/>
      <c r="G19" s="56" cm="1">
        <f t="array" ref="G19">IF(F19="X",(_xlfn.XLOOKUP($B19,Tabla1[SERVICIO],Tabla1[VALOR])*1),IF(F19&gt;=1,_xlfn.XLOOKUP($B19,Tabla1[SERVICIO],Tabla1[VALOR]*F19),0))</f>
        <v>0</v>
      </c>
      <c r="H19" s="14"/>
      <c r="I19" s="56" cm="1">
        <f t="array" ref="I19">IF(H19="X",(_xlfn.XLOOKUP($B19,Tabla1[SERVICIO],Tabla1[VALOR])*1),IF(H19&gt;=1,_xlfn.XLOOKUP($B19,Tabla1[SERVICIO],Tabla1[VALOR]*H19),0))</f>
        <v>0</v>
      </c>
      <c r="J19" s="14"/>
      <c r="K19" s="56" cm="1">
        <f t="array" ref="K19">IF(J19="X",(_xlfn.XLOOKUP($B19,Tabla1[SERVICIO],Tabla1[VALOR])*1),IF(J19&gt;=1,_xlfn.XLOOKUP($B19,Tabla1[SERVICIO],Tabla1[VALOR]*J19),0))</f>
        <v>0</v>
      </c>
      <c r="L19" s="14"/>
      <c r="M19" s="56" cm="1">
        <f t="array" ref="M19">IF(L19="X",(_xlfn.XLOOKUP($B19,Tabla1[SERVICIO],Tabla1[VALOR])*1),IF(L19&gt;=1,_xlfn.XLOOKUP($B19,Tabla1[SERVICIO],Tabla1[VALOR]*L19),0))</f>
        <v>0</v>
      </c>
      <c r="N19" s="14"/>
      <c r="O19" s="56" cm="1">
        <f t="array" ref="O19">IF(N19="X",(_xlfn.XLOOKUP($B19,Tabla1[SERVICIO],Tabla1[VALOR])*1),IF(N19&gt;=1,_xlfn.XLOOKUP($B19,Tabla1[SERVICIO],Tabla1[VALOR]*N19),0))</f>
        <v>0</v>
      </c>
      <c r="P19" s="14"/>
      <c r="Q19" s="56" cm="1">
        <f t="array" ref="Q19">IF(P19="X",(_xlfn.XLOOKUP($B19,Tabla1[SERVICIO],Tabla1[VALOR])*1),IF(P19&gt;=1,_xlfn.XLOOKUP($B19,Tabla1[SERVICIO],Tabla1[VALOR]*P19),0))</f>
        <v>0</v>
      </c>
      <c r="R19" s="14"/>
      <c r="S19" s="56" cm="1">
        <f t="array" ref="S19">IF(R19="X",(_xlfn.XLOOKUP($B19,Tabla1[SERVICIO],Tabla1[VALOR])*1),IF(R19&gt;=1,_xlfn.XLOOKUP($B19,Tabla1[SERVICIO],Tabla1[VALOR]*R19),0))</f>
        <v>0</v>
      </c>
      <c r="T19" s="14"/>
      <c r="U19" s="56" cm="1">
        <f t="array" ref="U19">IF(T19="X",(_xlfn.XLOOKUP($B19,Tabla1[SERVICIO],Tabla1[VALOR])*1),IF(T19&gt;=1,_xlfn.XLOOKUP($B19,Tabla1[SERVICIO],Tabla1[VALOR]*T19),0))</f>
        <v>0</v>
      </c>
      <c r="V19" s="14"/>
      <c r="W19" s="56" cm="1">
        <f t="array" ref="W19">IF(V19="X",(_xlfn.XLOOKUP($B19,Tabla1[SERVICIO],Tabla1[VALOR])*1),IF(V19&gt;=1,_xlfn.XLOOKUP($B19,Tabla1[SERVICIO],Tabla1[VALOR]*V19),0))</f>
        <v>0</v>
      </c>
      <c r="X19" s="14"/>
      <c r="Y19" s="56" cm="1">
        <f t="array" ref="Y19">IF(X19="X",(_xlfn.XLOOKUP($B19,Tabla1[SERVICIO],Tabla1[VALOR])*1),IF(X19&gt;=1,_xlfn.XLOOKUP($B19,Tabla1[SERVICIO],Tabla1[VALOR]*X19),0))</f>
        <v>0</v>
      </c>
      <c r="Z19" s="14"/>
      <c r="AA19" s="56" cm="1">
        <f t="array" ref="AA19">IF(Z19="X",(_xlfn.XLOOKUP($B19,Tabla1[SERVICIO],Tabla1[VALOR])*1),IF(Z19&gt;=1,_xlfn.XLOOKUP($B19,Tabla1[SERVICIO],Tabla1[VALOR]*Z19),0))</f>
        <v>0</v>
      </c>
      <c r="AB19" s="89">
        <f t="shared" si="0"/>
        <v>60236.092716419647</v>
      </c>
      <c r="AC19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9" s="104" t="s">
        <v>319</v>
      </c>
      <c r="AE19" s="161">
        <v>0.05</v>
      </c>
      <c r="AF19" s="90">
        <f>+Tabla238[[#This Row],[TOTAL]]*Tabla238[[#This Row],[% de las personas que lo usaron]]</f>
        <v>3011.8046358209826</v>
      </c>
      <c r="AG19" s="242" t="s">
        <v>353</v>
      </c>
      <c r="AH19" s="338">
        <v>12</v>
      </c>
    </row>
    <row r="20" spans="1:46" ht="15" x14ac:dyDescent="0.25">
      <c r="A20" s="7" t="s">
        <v>114</v>
      </c>
      <c r="B20" s="96" t="s">
        <v>117</v>
      </c>
      <c r="C20" s="96" t="str">
        <f>_xlfn.XLOOKUP(Tabla238[[#This Row],[Servicios del Programa:]],Tabla151[CODIGO],Tabla151[VALOR])</f>
        <v>Consultas</v>
      </c>
      <c r="D20" s="14"/>
      <c r="E20" s="56" cm="1">
        <f t="array" ref="E20">IF(D20="X",(_xlfn.XLOOKUP($B20,Tabla1[SERVICIO],Tabla1[VALOR])*1),IF(D20&gt;=1,_xlfn.XLOOKUP($B20,Tabla1[SERVICIO],Tabla1[VALOR]*D20),0))</f>
        <v>0</v>
      </c>
      <c r="F20" s="14"/>
      <c r="G20" s="56" cm="1">
        <f t="array" ref="G20">IF(F20="X",(_xlfn.XLOOKUP($B20,Tabla1[SERVICIO],Tabla1[VALOR])*1),IF(F20&gt;=1,_xlfn.XLOOKUP($B20,Tabla1[SERVICIO],Tabla1[VALOR]*F20),0))</f>
        <v>0</v>
      </c>
      <c r="H20" s="14"/>
      <c r="I20" s="56" cm="1">
        <f t="array" ref="I20">IF(H20="X",(_xlfn.XLOOKUP($B20,Tabla1[SERVICIO],Tabla1[VALOR])*1),IF(H20&gt;=1,_xlfn.XLOOKUP($B20,Tabla1[SERVICIO],Tabla1[VALOR]*H20),0))</f>
        <v>0</v>
      </c>
      <c r="J20" s="14"/>
      <c r="K20" s="56" cm="1">
        <f t="array" ref="K20">IF(J20="X",(_xlfn.XLOOKUP($B20,Tabla1[SERVICIO],Tabla1[VALOR])*1),IF(J20&gt;=1,_xlfn.XLOOKUP($B20,Tabla1[SERVICIO],Tabla1[VALOR]*J20),0))</f>
        <v>0</v>
      </c>
      <c r="L20" s="14"/>
      <c r="M20" s="56" cm="1">
        <f t="array" ref="M20">IF(L20="X",(_xlfn.XLOOKUP($B20,Tabla1[SERVICIO],Tabla1[VALOR])*1),IF(L20&gt;=1,_xlfn.XLOOKUP($B20,Tabla1[SERVICIO],Tabla1[VALOR]*L20),0))</f>
        <v>0</v>
      </c>
      <c r="N20" s="14"/>
      <c r="O20" s="56" cm="1">
        <f t="array" ref="O20">IF(N20="X",(_xlfn.XLOOKUP($B20,Tabla1[SERVICIO],Tabla1[VALOR])*1),IF(N20&gt;=1,_xlfn.XLOOKUP($B20,Tabla1[SERVICIO],Tabla1[VALOR]*N20),0))</f>
        <v>0</v>
      </c>
      <c r="P20" s="14"/>
      <c r="Q20" s="56" cm="1">
        <f t="array" ref="Q20">IF(P20="X",(_xlfn.XLOOKUP($B20,Tabla1[SERVICIO],Tabla1[VALOR])*1),IF(P20&gt;=1,_xlfn.XLOOKUP($B20,Tabla1[SERVICIO],Tabla1[VALOR]*P20),0))</f>
        <v>0</v>
      </c>
      <c r="R20" s="14"/>
      <c r="S20" s="56" cm="1">
        <f t="array" ref="S20">IF(R20="X",(_xlfn.XLOOKUP($B20,Tabla1[SERVICIO],Tabla1[VALOR])*1),IF(R20&gt;=1,_xlfn.XLOOKUP($B20,Tabla1[SERVICIO],Tabla1[VALOR]*R20),0))</f>
        <v>0</v>
      </c>
      <c r="T20" s="14"/>
      <c r="U20" s="56" cm="1">
        <f t="array" ref="U20">IF(T20="X",(_xlfn.XLOOKUP($B20,Tabla1[SERVICIO],Tabla1[VALOR])*1),IF(T20&gt;=1,_xlfn.XLOOKUP($B20,Tabla1[SERVICIO],Tabla1[VALOR]*T20),0))</f>
        <v>0</v>
      </c>
      <c r="V20" s="14"/>
      <c r="W20" s="56" cm="1">
        <f t="array" ref="W20">IF(V20="X",(_xlfn.XLOOKUP($B20,Tabla1[SERVICIO],Tabla1[VALOR])*1),IF(V20&gt;=1,_xlfn.XLOOKUP($B20,Tabla1[SERVICIO],Tabla1[VALOR]*V20),0))</f>
        <v>0</v>
      </c>
      <c r="X20" s="14"/>
      <c r="Y20" s="56" cm="1">
        <f t="array" ref="Y20">IF(X20="X",(_xlfn.XLOOKUP($B20,Tabla1[SERVICIO],Tabla1[VALOR])*1),IF(X20&gt;=1,_xlfn.XLOOKUP($B20,Tabla1[SERVICIO],Tabla1[VALOR]*X20),0))</f>
        <v>0</v>
      </c>
      <c r="Z20" s="14"/>
      <c r="AA20" s="56" cm="1">
        <f t="array" ref="AA20">IF(Z20="X",(_xlfn.XLOOKUP($B20,Tabla1[SERVICIO],Tabla1[VALOR])*1),IF(Z20&gt;=1,_xlfn.XLOOKUP($B20,Tabla1[SERVICIO],Tabla1[VALOR]*Z20),0))</f>
        <v>0</v>
      </c>
      <c r="AB20" s="89">
        <f t="shared" si="0"/>
        <v>0</v>
      </c>
      <c r="AC20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0" s="104" t="s">
        <v>319</v>
      </c>
      <c r="AE20" s="161">
        <v>0</v>
      </c>
      <c r="AF20" s="90">
        <f>+Tabla238[[#This Row],[TOTAL]]*Tabla238[[#This Row],[% de las personas que lo usaron]]</f>
        <v>0</v>
      </c>
      <c r="AG20" s="242" t="s">
        <v>353</v>
      </c>
      <c r="AH20" s="338">
        <v>12</v>
      </c>
    </row>
    <row r="21" spans="1:46" ht="15" x14ac:dyDescent="0.25">
      <c r="A21" s="7" t="s">
        <v>115</v>
      </c>
      <c r="B21" s="96" t="s">
        <v>118</v>
      </c>
      <c r="C21" s="96" t="str">
        <f>_xlfn.XLOOKUP(Tabla238[[#This Row],[Servicios del Programa:]],Tabla151[CODIGO],Tabla151[VALOR])</f>
        <v>Consultas</v>
      </c>
      <c r="D21" s="14"/>
      <c r="E21" s="56" cm="1">
        <f t="array" ref="E21">IF(D21="X",(_xlfn.XLOOKUP($B21,Tabla1[SERVICIO],Tabla1[VALOR])*1),IF(D21&gt;=1,_xlfn.XLOOKUP($B21,Tabla1[SERVICIO],Tabla1[VALOR]*D21),0))</f>
        <v>0</v>
      </c>
      <c r="F21" s="14"/>
      <c r="G21" s="56" cm="1">
        <f t="array" ref="G21">IF(F21="X",(_xlfn.XLOOKUP($B21,Tabla1[SERVICIO],Tabla1[VALOR])*1),IF(F21&gt;=1,_xlfn.XLOOKUP($B21,Tabla1[SERVICIO],Tabla1[VALOR]*F21),0))</f>
        <v>0</v>
      </c>
      <c r="H21" s="14"/>
      <c r="I21" s="56" cm="1">
        <f t="array" ref="I21">IF(H21="X",(_xlfn.XLOOKUP($B21,Tabla1[SERVICIO],Tabla1[VALOR])*1),IF(H21&gt;=1,_xlfn.XLOOKUP($B21,Tabla1[SERVICIO],Tabla1[VALOR]*H21),0))</f>
        <v>0</v>
      </c>
      <c r="J21" s="14"/>
      <c r="K21" s="56" cm="1">
        <f t="array" ref="K21">IF(J21="X",(_xlfn.XLOOKUP($B21,Tabla1[SERVICIO],Tabla1[VALOR])*1),IF(J21&gt;=1,_xlfn.XLOOKUP($B21,Tabla1[SERVICIO],Tabla1[VALOR]*J21),0))</f>
        <v>0</v>
      </c>
      <c r="L21" s="14"/>
      <c r="M21" s="56" cm="1">
        <f t="array" ref="M21">IF(L21="X",(_xlfn.XLOOKUP($B21,Tabla1[SERVICIO],Tabla1[VALOR])*1),IF(L21&gt;=1,_xlfn.XLOOKUP($B21,Tabla1[SERVICIO],Tabla1[VALOR]*L21),0))</f>
        <v>0</v>
      </c>
      <c r="N21" s="14"/>
      <c r="O21" s="56" cm="1">
        <f t="array" ref="O21">IF(N21="X",(_xlfn.XLOOKUP($B21,Tabla1[SERVICIO],Tabla1[VALOR])*1),IF(N21&gt;=1,_xlfn.XLOOKUP($B21,Tabla1[SERVICIO],Tabla1[VALOR]*N21),0))</f>
        <v>0</v>
      </c>
      <c r="P21" s="14"/>
      <c r="Q21" s="56" cm="1">
        <f t="array" ref="Q21">IF(P21="X",(_xlfn.XLOOKUP($B21,Tabla1[SERVICIO],Tabla1[VALOR])*1),IF(P21&gt;=1,_xlfn.XLOOKUP($B21,Tabla1[SERVICIO],Tabla1[VALOR]*P21),0))</f>
        <v>0</v>
      </c>
      <c r="R21" s="14"/>
      <c r="S21" s="56" cm="1">
        <f t="array" ref="S21">IF(R21="X",(_xlfn.XLOOKUP($B21,Tabla1[SERVICIO],Tabla1[VALOR])*1),IF(R21&gt;=1,_xlfn.XLOOKUP($B21,Tabla1[SERVICIO],Tabla1[VALOR]*R21),0))</f>
        <v>0</v>
      </c>
      <c r="T21" s="14"/>
      <c r="U21" s="56" cm="1">
        <f t="array" ref="U21">IF(T21="X",(_xlfn.XLOOKUP($B21,Tabla1[SERVICIO],Tabla1[VALOR])*1),IF(T21&gt;=1,_xlfn.XLOOKUP($B21,Tabla1[SERVICIO],Tabla1[VALOR]*T21),0))</f>
        <v>0</v>
      </c>
      <c r="V21" s="14"/>
      <c r="W21" s="56" cm="1">
        <f t="array" ref="W21">IF(V21="X",(_xlfn.XLOOKUP($B21,Tabla1[SERVICIO],Tabla1[VALOR])*1),IF(V21&gt;=1,_xlfn.XLOOKUP($B21,Tabla1[SERVICIO],Tabla1[VALOR]*V21),0))</f>
        <v>0</v>
      </c>
      <c r="X21" s="14"/>
      <c r="Y21" s="56" cm="1">
        <f t="array" ref="Y21">IF(X21="X",(_xlfn.XLOOKUP($B21,Tabla1[SERVICIO],Tabla1[VALOR])*1),IF(X21&gt;=1,_xlfn.XLOOKUP($B21,Tabla1[SERVICIO],Tabla1[VALOR]*X21),0))</f>
        <v>0</v>
      </c>
      <c r="Z21" s="14">
        <v>1</v>
      </c>
      <c r="AA21" s="56" cm="1">
        <f t="array" ref="AA21">IF(Z21="X",(_xlfn.XLOOKUP($B21,Tabla1[SERVICIO],Tabla1[VALOR])*1),IF(Z21&gt;=1,_xlfn.XLOOKUP($B21,Tabla1[SERVICIO],Tabla1[VALOR]*Z21),0))</f>
        <v>62748.232282880919</v>
      </c>
      <c r="AB21" s="89">
        <f t="shared" si="0"/>
        <v>62748.232282880919</v>
      </c>
      <c r="AC21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1" s="104" t="s">
        <v>319</v>
      </c>
      <c r="AE21" s="161">
        <v>0</v>
      </c>
      <c r="AF21" s="90">
        <f>+Tabla238[[#This Row],[TOTAL]]*Tabla238[[#This Row],[% de las personas que lo usaron]]</f>
        <v>0</v>
      </c>
      <c r="AG21" s="242" t="s">
        <v>353</v>
      </c>
      <c r="AH21" s="338">
        <v>12</v>
      </c>
    </row>
    <row r="22" spans="1:46" ht="15" x14ac:dyDescent="0.25">
      <c r="A22" s="7" t="s">
        <v>52</v>
      </c>
      <c r="B22" s="96" t="s">
        <v>191</v>
      </c>
      <c r="C22" s="96" t="str">
        <f>_xlfn.XLOOKUP(Tabla238[[#This Row],[Servicios del Programa:]],Tabla151[CODIGO],Tabla151[VALOR])</f>
        <v>Consultas</v>
      </c>
      <c r="D22" s="14">
        <v>1</v>
      </c>
      <c r="E22" s="56" cm="1">
        <f t="array" ref="E22">IF(D22="X",(_xlfn.XLOOKUP($B22,Tabla1[SERVICIO],Tabla1[VALOR])*1),IF(D22&gt;=1,_xlfn.XLOOKUP($B22,Tabla1[SERVICIO],Tabla1[VALOR]*D22),0))</f>
        <v>26897.079640267821</v>
      </c>
      <c r="F22" s="14"/>
      <c r="G22" s="56" cm="1">
        <f t="array" ref="G22">IF(F22="X",(_xlfn.XLOOKUP($B22,Tabla1[SERVICIO],Tabla1[VALOR])*1),IF(F22&gt;=1,_xlfn.XLOOKUP($B22,Tabla1[SERVICIO],Tabla1[VALOR]*F22),0))</f>
        <v>0</v>
      </c>
      <c r="H22" s="14"/>
      <c r="I22" s="56" cm="1">
        <f t="array" ref="I22">IF(H22="X",(_xlfn.XLOOKUP($B22,Tabla1[SERVICIO],Tabla1[VALOR])*1),IF(H22&gt;=1,_xlfn.XLOOKUP($B22,Tabla1[SERVICIO],Tabla1[VALOR]*H22),0))</f>
        <v>0</v>
      </c>
      <c r="J22" s="14"/>
      <c r="K22" s="56" cm="1">
        <f t="array" ref="K22">IF(J22="X",(_xlfn.XLOOKUP($B22,Tabla1[SERVICIO],Tabla1[VALOR])*1),IF(J22&gt;=1,_xlfn.XLOOKUP($B22,Tabla1[SERVICIO],Tabla1[VALOR]*J22),0))</f>
        <v>0</v>
      </c>
      <c r="L22" s="14"/>
      <c r="M22" s="56" cm="1">
        <f t="array" ref="M22">IF(L22="X",(_xlfn.XLOOKUP($B22,Tabla1[SERVICIO],Tabla1[VALOR])*1),IF(L22&gt;=1,_xlfn.XLOOKUP($B22,Tabla1[SERVICIO],Tabla1[VALOR]*L22),0))</f>
        <v>0</v>
      </c>
      <c r="N22" s="14"/>
      <c r="O22" s="56" cm="1">
        <f t="array" ref="O22">IF(N22="X",(_xlfn.XLOOKUP($B22,Tabla1[SERVICIO],Tabla1[VALOR])*1),IF(N22&gt;=1,_xlfn.XLOOKUP($B22,Tabla1[SERVICIO],Tabla1[VALOR]*N22),0))</f>
        <v>0</v>
      </c>
      <c r="P22" s="14"/>
      <c r="Q22" s="56" cm="1">
        <f t="array" ref="Q22">IF(P22="X",(_xlfn.XLOOKUP($B22,Tabla1[SERVICIO],Tabla1[VALOR])*1),IF(P22&gt;=1,_xlfn.XLOOKUP($B22,Tabla1[SERVICIO],Tabla1[VALOR]*P22),0))</f>
        <v>0</v>
      </c>
      <c r="R22" s="14"/>
      <c r="S22" s="56" cm="1">
        <f t="array" ref="S22">IF(R22="X",(_xlfn.XLOOKUP($B22,Tabla1[SERVICIO],Tabla1[VALOR])*1),IF(R22&gt;=1,_xlfn.XLOOKUP($B22,Tabla1[SERVICIO],Tabla1[VALOR]*R22),0))</f>
        <v>0</v>
      </c>
      <c r="T22" s="14"/>
      <c r="U22" s="56" cm="1">
        <f t="array" ref="U22">IF(T22="X",(_xlfn.XLOOKUP($B22,Tabla1[SERVICIO],Tabla1[VALOR])*1),IF(T22&gt;=1,_xlfn.XLOOKUP($B22,Tabla1[SERVICIO],Tabla1[VALOR]*T22),0))</f>
        <v>0</v>
      </c>
      <c r="V22" s="14"/>
      <c r="W22" s="56" cm="1">
        <f t="array" ref="W22">IF(V22="X",(_xlfn.XLOOKUP($B22,Tabla1[SERVICIO],Tabla1[VALOR])*1),IF(V22&gt;=1,_xlfn.XLOOKUP($B22,Tabla1[SERVICIO],Tabla1[VALOR]*V22),0))</f>
        <v>0</v>
      </c>
      <c r="X22" s="14"/>
      <c r="Y22" s="56" cm="1">
        <f t="array" ref="Y22">IF(X22="X",(_xlfn.XLOOKUP($B22,Tabla1[SERVICIO],Tabla1[VALOR])*1),IF(X22&gt;=1,_xlfn.XLOOKUP($B22,Tabla1[SERVICIO],Tabla1[VALOR]*X22),0))</f>
        <v>0</v>
      </c>
      <c r="Z22" s="14"/>
      <c r="AA22" s="56" cm="1">
        <f t="array" ref="AA22">IF(Z22="X",(_xlfn.XLOOKUP($B22,Tabla1[SERVICIO],Tabla1[VALOR])*1),IF(Z22&gt;=1,_xlfn.XLOOKUP($B22,Tabla1[SERVICIO],Tabla1[VALOR]*Z22),0))</f>
        <v>0</v>
      </c>
      <c r="AB22" s="89">
        <f t="shared" si="0"/>
        <v>26897.079640267821</v>
      </c>
      <c r="AC22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2" s="104" t="s">
        <v>319</v>
      </c>
      <c r="AE22" s="154">
        <v>0</v>
      </c>
      <c r="AF22" s="90">
        <f>+Tabla238[[#This Row],[TOTAL]]*Tabla238[[#This Row],[% de las personas que lo usaron]]</f>
        <v>0</v>
      </c>
      <c r="AG22" s="242" t="s">
        <v>353</v>
      </c>
      <c r="AH22" s="338">
        <v>12</v>
      </c>
    </row>
    <row r="23" spans="1:46" ht="15" x14ac:dyDescent="0.25">
      <c r="A23" s="7" t="s">
        <v>53</v>
      </c>
      <c r="B23" s="96" t="s">
        <v>190</v>
      </c>
      <c r="C23" s="96" t="str">
        <f>_xlfn.XLOOKUP(Tabla238[[#This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26897.079640267817</v>
      </c>
      <c r="F23" s="14"/>
      <c r="G23" s="56" cm="1">
        <f t="array" ref="G23">IF(F23="X",(_xlfn.XLOOKUP($B23,Tabla1[SERVICIO],Tabla1[VALOR])*1),IF(F23&gt;=1,_xlfn.XLOOKUP($B23,Tabla1[SERVICIO],Tabla1[VALOR]*F23),0))</f>
        <v>0</v>
      </c>
      <c r="H23" s="14"/>
      <c r="I23" s="56" cm="1">
        <f t="array" ref="I23">IF(H23="X",(_xlfn.XLOOKUP($B23,Tabla1[SERVICIO],Tabla1[VALOR])*1),IF(H23&gt;=1,_xlfn.XLOOKUP($B23,Tabla1[SERVICIO],Tabla1[VALOR]*H23),0))</f>
        <v>0</v>
      </c>
      <c r="J23" s="14"/>
      <c r="K23" s="56" cm="1">
        <f t="array" ref="K23">IF(J23="X",(_xlfn.XLOOKUP($B23,Tabla1[SERVICIO],Tabla1[VALOR])*1),IF(J23&gt;=1,_xlfn.XLOOKUP($B23,Tabla1[SERVICIO],Tabla1[VALOR]*J23),0))</f>
        <v>0</v>
      </c>
      <c r="L23" s="14"/>
      <c r="M23" s="56" cm="1">
        <f t="array" ref="M23">IF(L23="X",(_xlfn.XLOOKUP($B23,Tabla1[SERVICIO],Tabla1[VALOR])*1),IF(L23&gt;=1,_xlfn.XLOOKUP($B23,Tabla1[SERVICIO],Tabla1[VALOR]*L23),0))</f>
        <v>0</v>
      </c>
      <c r="N23" s="14"/>
      <c r="O23" s="56" cm="1">
        <f t="array" ref="O23">IF(N23="X",(_xlfn.XLOOKUP($B23,Tabla1[SERVICIO],Tabla1[VALOR])*1),IF(N23&gt;=1,_xlfn.XLOOKUP($B23,Tabla1[SERVICIO],Tabla1[VALOR]*N23),0))</f>
        <v>0</v>
      </c>
      <c r="P23" s="14"/>
      <c r="Q23" s="56" cm="1">
        <f t="array" ref="Q23">IF(P23="X",(_xlfn.XLOOKUP($B23,Tabla1[SERVICIO],Tabla1[VALOR])*1),IF(P23&gt;=1,_xlfn.XLOOKUP($B23,Tabla1[SERVICIO],Tabla1[VALOR]*P23),0))</f>
        <v>0</v>
      </c>
      <c r="R23" s="14"/>
      <c r="S23" s="56" cm="1">
        <f t="array" ref="S23">IF(R23="X",(_xlfn.XLOOKUP($B23,Tabla1[SERVICIO],Tabla1[VALOR])*1),IF(R23&gt;=1,_xlfn.XLOOKUP($B23,Tabla1[SERVICIO],Tabla1[VALOR]*R23),0))</f>
        <v>0</v>
      </c>
      <c r="T23" s="14"/>
      <c r="U23" s="56" cm="1">
        <f t="array" ref="U23">IF(T23="X",(_xlfn.XLOOKUP($B23,Tabla1[SERVICIO],Tabla1[VALOR])*1),IF(T23&gt;=1,_xlfn.XLOOKUP($B23,Tabla1[SERVICIO],Tabla1[VALOR]*T23),0))</f>
        <v>0</v>
      </c>
      <c r="V23" s="14"/>
      <c r="W23" s="56" cm="1">
        <f t="array" ref="W23">IF(V23="X",(_xlfn.XLOOKUP($B23,Tabla1[SERVICIO],Tabla1[VALOR])*1),IF(V23&gt;=1,_xlfn.XLOOKUP($B23,Tabla1[SERVICIO],Tabla1[VALOR]*V23),0))</f>
        <v>0</v>
      </c>
      <c r="X23" s="14"/>
      <c r="Y23" s="56" cm="1">
        <f t="array" ref="Y23">IF(X23="X",(_xlfn.XLOOKUP($B23,Tabla1[SERVICIO],Tabla1[VALOR])*1),IF(X23&gt;=1,_xlfn.XLOOKUP($B23,Tabla1[SERVICIO],Tabla1[VALOR]*X23),0))</f>
        <v>0</v>
      </c>
      <c r="Z23" s="14"/>
      <c r="AA23" s="56" cm="1">
        <f t="array" ref="AA23">IF(Z23="X",(_xlfn.XLOOKUP($B23,Tabla1[SERVICIO],Tabla1[VALOR])*1),IF(Z23&gt;=1,_xlfn.XLOOKUP($B23,Tabla1[SERVICIO],Tabla1[VALOR]*Z23),0))</f>
        <v>0</v>
      </c>
      <c r="AB23" s="89">
        <f t="shared" si="0"/>
        <v>26897.079640267817</v>
      </c>
      <c r="AC23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3" s="104" t="s">
        <v>319</v>
      </c>
      <c r="AE23" s="154">
        <v>1</v>
      </c>
      <c r="AF23" s="90">
        <f>+Tabla238[[#This Row],[TOTAL]]*Tabla238[[#This Row],[% de las personas que lo usaron]]</f>
        <v>26897.079640267817</v>
      </c>
      <c r="AG23" s="242" t="s">
        <v>353</v>
      </c>
      <c r="AH23" s="338">
        <v>12</v>
      </c>
    </row>
    <row r="24" spans="1:46" ht="15" x14ac:dyDescent="0.25">
      <c r="A24" s="7" t="s">
        <v>29</v>
      </c>
      <c r="B24" s="96" t="s">
        <v>196</v>
      </c>
      <c r="C24" s="96" t="str">
        <f>_xlfn.XLOOKUP(Tabla238[[#This Row],[Servicios del Programa:]],Tabla151[CODIGO],Tabla151[VALOR])</f>
        <v>Terapias</v>
      </c>
      <c r="D24" s="14"/>
      <c r="E24" s="56" cm="1">
        <f t="array" ref="E24">IF(D24="X",(_xlfn.XLOOKUP($B24,Tabla1[SERVICIO],Tabla1[VALOR])*1),IF(D24&gt;=1,_xlfn.XLOOKUP($B24,Tabla1[SERVICIO],Tabla1[VALOR]*D24),0))</f>
        <v>0</v>
      </c>
      <c r="F24" s="14"/>
      <c r="G24" s="56" cm="1">
        <f t="array" ref="G24">IF(F24="X",(_xlfn.XLOOKUP($B24,Tabla1[SERVICIO],Tabla1[VALOR])*1),IF(F24&gt;=1,_xlfn.XLOOKUP($B24,Tabla1[SERVICIO],Tabla1[VALOR]*F24),0))</f>
        <v>0</v>
      </c>
      <c r="H24" s="14"/>
      <c r="I24" s="56" cm="1">
        <f t="array" ref="I24">IF(H24="X",(_xlfn.XLOOKUP($B24,Tabla1[SERVICIO],Tabla1[VALOR])*1),IF(H24&gt;=1,_xlfn.XLOOKUP($B24,Tabla1[SERVICIO],Tabla1[VALOR]*H24),0))</f>
        <v>0</v>
      </c>
      <c r="J24" s="14"/>
      <c r="K24" s="56" cm="1">
        <f t="array" ref="K24">IF(J24="X",(_xlfn.XLOOKUP($B24,Tabla1[SERVICIO],Tabla1[VALOR])*1),IF(J24&gt;=1,_xlfn.XLOOKUP($B24,Tabla1[SERVICIO],Tabla1[VALOR]*J24),0))</f>
        <v>0</v>
      </c>
      <c r="L24" s="14"/>
      <c r="M24" s="56" cm="1">
        <f t="array" ref="M24">IF(L24="X",(_xlfn.XLOOKUP($B24,Tabla1[SERVICIO],Tabla1[VALOR])*1),IF(L24&gt;=1,_xlfn.XLOOKUP($B24,Tabla1[SERVICIO],Tabla1[VALOR]*L24),0))</f>
        <v>0</v>
      </c>
      <c r="N24" s="14"/>
      <c r="O24" s="56" cm="1">
        <f t="array" ref="O24">IF(N24="X",(_xlfn.XLOOKUP($B24,Tabla1[SERVICIO],Tabla1[VALOR])*1),IF(N24&gt;=1,_xlfn.XLOOKUP($B24,Tabla1[SERVICIO],Tabla1[VALOR]*N24),0))</f>
        <v>0</v>
      </c>
      <c r="P24" s="14"/>
      <c r="Q24" s="56" cm="1">
        <f t="array" ref="Q24">IF(P24="X",(_xlfn.XLOOKUP($B24,Tabla1[SERVICIO],Tabla1[VALOR])*1),IF(P24&gt;=1,_xlfn.XLOOKUP($B24,Tabla1[SERVICIO],Tabla1[VALOR]*P24),0))</f>
        <v>0</v>
      </c>
      <c r="R24" s="14"/>
      <c r="S24" s="56" cm="1">
        <f t="array" ref="S24">IF(R24="X",(_xlfn.XLOOKUP($B24,Tabla1[SERVICIO],Tabla1[VALOR])*1),IF(R24&gt;=1,_xlfn.XLOOKUP($B24,Tabla1[SERVICIO],Tabla1[VALOR]*R24),0))</f>
        <v>0</v>
      </c>
      <c r="T24" s="14"/>
      <c r="U24" s="56" cm="1">
        <f t="array" ref="U24">IF(T24="X",(_xlfn.XLOOKUP($B24,Tabla1[SERVICIO],Tabla1[VALOR])*1),IF(T24&gt;=1,_xlfn.XLOOKUP($B24,Tabla1[SERVICIO],Tabla1[VALOR]*T24),0))</f>
        <v>0</v>
      </c>
      <c r="V24" s="14"/>
      <c r="W24" s="56" cm="1">
        <f t="array" ref="W24">IF(V24="X",(_xlfn.XLOOKUP($B24,Tabla1[SERVICIO],Tabla1[VALOR])*1),IF(V24&gt;=1,_xlfn.XLOOKUP($B24,Tabla1[SERVICIO],Tabla1[VALOR]*V24),0))</f>
        <v>0</v>
      </c>
      <c r="X24" s="14"/>
      <c r="Y24" s="56" cm="1">
        <f t="array" ref="Y24">IF(X24="X",(_xlfn.XLOOKUP($B24,Tabla1[SERVICIO],Tabla1[VALOR])*1),IF(X24&gt;=1,_xlfn.XLOOKUP($B24,Tabla1[SERVICIO],Tabla1[VALOR]*X24),0))</f>
        <v>0</v>
      </c>
      <c r="Z24" s="14">
        <v>1</v>
      </c>
      <c r="AA24" s="56" cm="1">
        <f t="array" ref="AA24">IF(Z24="X",(_xlfn.XLOOKUP($B24,Tabla1[SERVICIO],Tabla1[VALOR])*1),IF(Z24&gt;=1,_xlfn.XLOOKUP($B24,Tabla1[SERVICIO],Tabla1[VALOR]*Z24),0))</f>
        <v>31881.451880098426</v>
      </c>
      <c r="AB24" s="89">
        <f t="shared" si="0"/>
        <v>31881.451880098426</v>
      </c>
      <c r="AC24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4" s="104" t="s">
        <v>318</v>
      </c>
      <c r="AE24" s="154">
        <v>1</v>
      </c>
      <c r="AF24" s="90">
        <f>+Tabla238[[#This Row],[TOTAL]]*Tabla238[[#This Row],[% de las personas que lo usaron]]</f>
        <v>31881.451880098426</v>
      </c>
      <c r="AG24" s="242" t="s">
        <v>353</v>
      </c>
      <c r="AH24" s="338">
        <v>12</v>
      </c>
    </row>
    <row r="25" spans="1:46" ht="15" x14ac:dyDescent="0.25">
      <c r="A25" s="7" t="s">
        <v>38</v>
      </c>
      <c r="B25" s="96" t="s">
        <v>102</v>
      </c>
      <c r="C25" s="96" t="str">
        <f>_xlfn.XLOOKUP(Tabla238[[#This Row],[Servicios del Programa:]],Tabla151[CODIGO],Tabla151[VALOR])</f>
        <v>Consultas</v>
      </c>
      <c r="D25" s="14">
        <v>1</v>
      </c>
      <c r="E25" s="56" cm="1">
        <f t="array" ref="E25">IF(D25="X",(_xlfn.XLOOKUP($B25,Tabla1[SERVICIO],Tabla1[VALOR])*1),IF(D25&gt;=1,_xlfn.XLOOKUP($B25,Tabla1[SERVICIO],Tabla1[VALOR]*D25),0))</f>
        <v>56420.692787682223</v>
      </c>
      <c r="F25" s="14"/>
      <c r="G25" s="56" cm="1">
        <f t="array" ref="G25">IF(F25="X",(_xlfn.XLOOKUP($B25,Tabla1[SERVICIO],Tabla1[VALOR])*1),IF(F25&gt;=1,_xlfn.XLOOKUP($B25,Tabla1[SERVICIO],Tabla1[VALOR]*F25),0))</f>
        <v>0</v>
      </c>
      <c r="H25" s="14"/>
      <c r="I25" s="56" cm="1">
        <f t="array" ref="I25">IF(H25="X",(_xlfn.XLOOKUP($B25,Tabla1[SERVICIO],Tabla1[VALOR])*1),IF(H25&gt;=1,_xlfn.XLOOKUP($B25,Tabla1[SERVICIO],Tabla1[VALOR]*H25),0))</f>
        <v>0</v>
      </c>
      <c r="J25" s="14"/>
      <c r="K25" s="56" cm="1">
        <f t="array" ref="K25">IF(J25="X",(_xlfn.XLOOKUP($B25,Tabla1[SERVICIO],Tabla1[VALOR])*1),IF(J25&gt;=1,_xlfn.XLOOKUP($B25,Tabla1[SERVICIO],Tabla1[VALOR]*J25),0))</f>
        <v>0</v>
      </c>
      <c r="L25" s="14"/>
      <c r="M25" s="56" cm="1">
        <f t="array" ref="M25">IF(L25="X",(_xlfn.XLOOKUP($B25,Tabla1[SERVICIO],Tabla1[VALOR])*1),IF(L25&gt;=1,_xlfn.XLOOKUP($B25,Tabla1[SERVICIO],Tabla1[VALOR]*L25),0))</f>
        <v>0</v>
      </c>
      <c r="N25" s="14"/>
      <c r="O25" s="56" cm="1">
        <f t="array" ref="O25">IF(N25="X",(_xlfn.XLOOKUP($B25,Tabla1[SERVICIO],Tabla1[VALOR])*1),IF(N25&gt;=1,_xlfn.XLOOKUP($B25,Tabla1[SERVICIO],Tabla1[VALOR]*N25),0))</f>
        <v>0</v>
      </c>
      <c r="P25" s="14"/>
      <c r="Q25" s="56" cm="1">
        <f t="array" ref="Q25">IF(P25="X",(_xlfn.XLOOKUP($B25,Tabla1[SERVICIO],Tabla1[VALOR])*1),IF(P25&gt;=1,_xlfn.XLOOKUP($B25,Tabla1[SERVICIO],Tabla1[VALOR]*P25),0))</f>
        <v>0</v>
      </c>
      <c r="R25" s="14"/>
      <c r="S25" s="56" cm="1">
        <f t="array" ref="S25">IF(R25="X",(_xlfn.XLOOKUP($B25,Tabla1[SERVICIO],Tabla1[VALOR])*1),IF(R25&gt;=1,_xlfn.XLOOKUP($B25,Tabla1[SERVICIO],Tabla1[VALOR]*R25),0))</f>
        <v>0</v>
      </c>
      <c r="T25" s="14"/>
      <c r="U25" s="56" cm="1">
        <f t="array" ref="U25">IF(T25="X",(_xlfn.XLOOKUP($B25,Tabla1[SERVICIO],Tabla1[VALOR])*1),IF(T25&gt;=1,_xlfn.XLOOKUP($B25,Tabla1[SERVICIO],Tabla1[VALOR]*T25),0))</f>
        <v>0</v>
      </c>
      <c r="V25" s="14"/>
      <c r="W25" s="56" cm="1">
        <f t="array" ref="W25">IF(V25="X",(_xlfn.XLOOKUP($B25,Tabla1[SERVICIO],Tabla1[VALOR])*1),IF(V25&gt;=1,_xlfn.XLOOKUP($B25,Tabla1[SERVICIO],Tabla1[VALOR]*V25),0))</f>
        <v>0</v>
      </c>
      <c r="X25" s="14"/>
      <c r="Y25" s="56" cm="1">
        <f t="array" ref="Y25">IF(X25="X",(_xlfn.XLOOKUP($B25,Tabla1[SERVICIO],Tabla1[VALOR])*1),IF(X25&gt;=1,_xlfn.XLOOKUP($B25,Tabla1[SERVICIO],Tabla1[VALOR]*X25),0))</f>
        <v>0</v>
      </c>
      <c r="Z25" s="14"/>
      <c r="AA25" s="56" cm="1">
        <f t="array" ref="AA25">IF(Z25="X",(_xlfn.XLOOKUP($B25,Tabla1[SERVICIO],Tabla1[VALOR])*1),IF(Z25&gt;=1,_xlfn.XLOOKUP($B25,Tabla1[SERVICIO],Tabla1[VALOR]*Z25),0))</f>
        <v>0</v>
      </c>
      <c r="AB25" s="89">
        <f t="shared" si="0"/>
        <v>56420.692787682223</v>
      </c>
      <c r="AC25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5" s="104" t="s">
        <v>319</v>
      </c>
      <c r="AE25" s="154">
        <v>0.23749999999999999</v>
      </c>
      <c r="AF25" s="90">
        <f>+Tabla238[[#This Row],[TOTAL]]*Tabla238[[#This Row],[% de las personas que lo usaron]]</f>
        <v>13399.914537074528</v>
      </c>
      <c r="AG25" s="242" t="s">
        <v>353</v>
      </c>
      <c r="AH25" s="338">
        <v>12</v>
      </c>
    </row>
    <row r="26" spans="1:46" s="4" customFormat="1" ht="15" x14ac:dyDescent="0.25">
      <c r="A26" s="7" t="s">
        <v>46</v>
      </c>
      <c r="B26" s="96" t="s">
        <v>47</v>
      </c>
      <c r="C26" s="96" t="str">
        <f>_xlfn.XLOOKUP(Tabla238[[#This Row],[Servicios del Programa:]],Tabla151[CODIGO],Tabla151[VALOR])</f>
        <v>Consultas</v>
      </c>
      <c r="D26" s="14"/>
      <c r="E26" s="56" cm="1">
        <f t="array" ref="E26">IF(D26="X",(_xlfn.XLOOKUP($B26,Tabla1[SERVICIO],Tabla1[VALOR])*1),IF(D26&gt;=1,_xlfn.XLOOKUP($B26,Tabla1[SERVICIO],Tabla1[VALOR]*D26),0))</f>
        <v>0</v>
      </c>
      <c r="F26" s="8"/>
      <c r="G26" s="56" cm="1">
        <f t="array" ref="G26">IF(F26="X",(_xlfn.XLOOKUP($B26,Tabla1[SERVICIO],Tabla1[VALOR])*1),IF(F26&gt;=1,_xlfn.XLOOKUP($B26,Tabla1[SERVICIO],Tabla1[VALOR]*F26),0))</f>
        <v>0</v>
      </c>
      <c r="H26" s="8"/>
      <c r="I26" s="56" cm="1">
        <f t="array" ref="I26">IF(H26="X",(_xlfn.XLOOKUP($B26,Tabla1[SERVICIO],Tabla1[VALOR])*1),IF(H26&gt;=1,_xlfn.XLOOKUP($B26,Tabla1[SERVICIO],Tabla1[VALOR]*H26),0))</f>
        <v>0</v>
      </c>
      <c r="J26" s="8"/>
      <c r="K26" s="56" cm="1">
        <f t="array" ref="K26">IF(J26="X",(_xlfn.XLOOKUP($B26,Tabla1[SERVICIO],Tabla1[VALOR])*1),IF(J26&gt;=1,_xlfn.XLOOKUP($B26,Tabla1[SERVICIO],Tabla1[VALOR]*J26),0))</f>
        <v>0</v>
      </c>
      <c r="L26" s="8"/>
      <c r="M26" s="56" cm="1">
        <f t="array" ref="M26">IF(L26="X",(_xlfn.XLOOKUP($B26,Tabla1[SERVICIO],Tabla1[VALOR])*1),IF(L26&gt;=1,_xlfn.XLOOKUP($B26,Tabla1[SERVICIO],Tabla1[VALOR]*L26),0))</f>
        <v>0</v>
      </c>
      <c r="N26" s="8"/>
      <c r="O26" s="56" cm="1">
        <f t="array" ref="O26">IF(N26="X",(_xlfn.XLOOKUP($B26,Tabla1[SERVICIO],Tabla1[VALOR])*1),IF(N26&gt;=1,_xlfn.XLOOKUP($B26,Tabla1[SERVICIO],Tabla1[VALOR]*N26),0))</f>
        <v>0</v>
      </c>
      <c r="P26" s="8"/>
      <c r="Q26" s="56" cm="1">
        <f t="array" ref="Q26">IF(P26="X",(_xlfn.XLOOKUP($B26,Tabla1[SERVICIO],Tabla1[VALOR])*1),IF(P26&gt;=1,_xlfn.XLOOKUP($B26,Tabla1[SERVICIO],Tabla1[VALOR]*P26),0))</f>
        <v>0</v>
      </c>
      <c r="R26" s="8"/>
      <c r="S26" s="56" cm="1">
        <f t="array" ref="S26">IF(R26="X",(_xlfn.XLOOKUP($B26,Tabla1[SERVICIO],Tabla1[VALOR])*1),IF(R26&gt;=1,_xlfn.XLOOKUP($B26,Tabla1[SERVICIO],Tabla1[VALOR]*R26),0))</f>
        <v>0</v>
      </c>
      <c r="T26" s="8"/>
      <c r="U26" s="56" cm="1">
        <f t="array" ref="U26">IF(T26="X",(_xlfn.XLOOKUP($B26,Tabla1[SERVICIO],Tabla1[VALOR])*1),IF(T26&gt;=1,_xlfn.XLOOKUP($B26,Tabla1[SERVICIO],Tabla1[VALOR]*T26),0))</f>
        <v>0</v>
      </c>
      <c r="V26" s="8"/>
      <c r="W26" s="56" cm="1">
        <f t="array" ref="W26">IF(V26="X",(_xlfn.XLOOKUP($B26,Tabla1[SERVICIO],Tabla1[VALOR])*1),IF(V26&gt;=1,_xlfn.XLOOKUP($B26,Tabla1[SERVICIO],Tabla1[VALOR]*V26),0))</f>
        <v>0</v>
      </c>
      <c r="X26" s="8"/>
      <c r="Y26" s="56" cm="1">
        <f t="array" ref="Y26">IF(X26="X",(_xlfn.XLOOKUP($B26,Tabla1[SERVICIO],Tabla1[VALOR])*1),IF(X26&gt;=1,_xlfn.XLOOKUP($B26,Tabla1[SERVICIO],Tabla1[VALOR]*X26),0))</f>
        <v>0</v>
      </c>
      <c r="Z26" s="8"/>
      <c r="AA26" s="56" cm="1">
        <f t="array" ref="AA26">IF(Z26="X",(_xlfn.XLOOKUP($B26,Tabla1[SERVICIO],Tabla1[VALOR])*1),IF(Z26&gt;=1,_xlfn.XLOOKUP($B26,Tabla1[SERVICIO],Tabla1[VALOR]*Z26),0))</f>
        <v>0</v>
      </c>
      <c r="AB26" s="89">
        <f t="shared" si="0"/>
        <v>0</v>
      </c>
      <c r="AC26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6" s="104" t="s">
        <v>319</v>
      </c>
      <c r="AE26" s="154">
        <v>0</v>
      </c>
      <c r="AF26" s="90">
        <f>+Tabla238[[#This Row],[TOTAL]]*Tabla238[[#This Row],[% de las personas que lo usaron]]</f>
        <v>0</v>
      </c>
      <c r="AG26" s="242" t="s">
        <v>353</v>
      </c>
      <c r="AH26" s="338">
        <v>12</v>
      </c>
    </row>
    <row r="27" spans="1:46" s="4" customFormat="1" ht="15" x14ac:dyDescent="0.25">
      <c r="A27" s="7" t="s">
        <v>48</v>
      </c>
      <c r="B27" s="96" t="s">
        <v>222</v>
      </c>
      <c r="C27" s="96" t="str">
        <f>_xlfn.XLOOKUP(Tabla238[[#This Row],[Servicios del Programa:]],Tabla151[CODIGO],Tabla151[VALOR])</f>
        <v>Consultas</v>
      </c>
      <c r="D27" s="14"/>
      <c r="E27" s="56" cm="1">
        <f t="array" ref="E27">IF(D27="X",(_xlfn.XLOOKUP($B27,Tabla1[SERVICIO],Tabla1[VALOR])*1),IF(D27&gt;=1,_xlfn.XLOOKUP($B27,Tabla1[SERVICIO],Tabla1[VALOR]*D27),0))</f>
        <v>0</v>
      </c>
      <c r="F27" s="14"/>
      <c r="G27" s="56" cm="1">
        <f t="array" ref="G27">IF(F27="X",(_xlfn.XLOOKUP($B27,Tabla1[SERVICIO],Tabla1[VALOR])*1),IF(F27&gt;=1,_xlfn.XLOOKUP($B27,Tabla1[SERVICIO],Tabla1[VALOR]*F27),0))</f>
        <v>0</v>
      </c>
      <c r="H27" s="14"/>
      <c r="I27" s="56" cm="1">
        <f t="array" ref="I27">IF(H27="X",(_xlfn.XLOOKUP($B27,Tabla1[SERVICIO],Tabla1[VALOR])*1),IF(H27&gt;=1,_xlfn.XLOOKUP($B27,Tabla1[SERVICIO],Tabla1[VALOR]*H27),0))</f>
        <v>0</v>
      </c>
      <c r="J27" s="14"/>
      <c r="K27" s="56" cm="1">
        <f t="array" ref="K27">IF(J27="X",(_xlfn.XLOOKUP($B27,Tabla1[SERVICIO],Tabla1[VALOR])*1),IF(J27&gt;=1,_xlfn.XLOOKUP($B27,Tabla1[SERVICIO],Tabla1[VALOR]*J27),0))</f>
        <v>0</v>
      </c>
      <c r="L27" s="14"/>
      <c r="M27" s="56" cm="1">
        <f t="array" ref="M27">IF(L27="X",(_xlfn.XLOOKUP($B27,Tabla1[SERVICIO],Tabla1[VALOR])*1),IF(L27&gt;=1,_xlfn.XLOOKUP($B27,Tabla1[SERVICIO],Tabla1[VALOR]*L27),0))</f>
        <v>0</v>
      </c>
      <c r="N27" s="14"/>
      <c r="O27" s="56" cm="1">
        <f t="array" ref="O27">IF(N27="X",(_xlfn.XLOOKUP($B27,Tabla1[SERVICIO],Tabla1[VALOR])*1),IF(N27&gt;=1,_xlfn.XLOOKUP($B27,Tabla1[SERVICIO],Tabla1[VALOR]*N27),0))</f>
        <v>0</v>
      </c>
      <c r="P27" s="14"/>
      <c r="Q27" s="56" cm="1">
        <f t="array" ref="Q27">IF(P27="X",(_xlfn.XLOOKUP($B27,Tabla1[SERVICIO],Tabla1[VALOR])*1),IF(P27&gt;=1,_xlfn.XLOOKUP($B27,Tabla1[SERVICIO],Tabla1[VALOR]*P27),0))</f>
        <v>0</v>
      </c>
      <c r="R27" s="14"/>
      <c r="S27" s="56" cm="1">
        <f t="array" ref="S27">IF(R27="X",(_xlfn.XLOOKUP($B27,Tabla1[SERVICIO],Tabla1[VALOR])*1),IF(R27&gt;=1,_xlfn.XLOOKUP($B27,Tabla1[SERVICIO],Tabla1[VALOR]*R27),0))</f>
        <v>0</v>
      </c>
      <c r="T27" s="14"/>
      <c r="U27" s="56" cm="1">
        <f t="array" ref="U27">IF(T27="X",(_xlfn.XLOOKUP($B27,Tabla1[SERVICIO],Tabla1[VALOR])*1),IF(T27&gt;=1,_xlfn.XLOOKUP($B27,Tabla1[SERVICIO],Tabla1[VALOR]*T27),0))</f>
        <v>0</v>
      </c>
      <c r="V27" s="14"/>
      <c r="W27" s="56" cm="1">
        <f t="array" ref="W27">IF(V27="X",(_xlfn.XLOOKUP($B27,Tabla1[SERVICIO],Tabla1[VALOR])*1),IF(V27&gt;=1,_xlfn.XLOOKUP($B27,Tabla1[SERVICIO],Tabla1[VALOR]*V27),0))</f>
        <v>0</v>
      </c>
      <c r="X27" s="14"/>
      <c r="Y27" s="56" cm="1">
        <f t="array" ref="Y27">IF(X27="X",(_xlfn.XLOOKUP($B27,Tabla1[SERVICIO],Tabla1[VALOR])*1),IF(X27&gt;=1,_xlfn.XLOOKUP($B27,Tabla1[SERVICIO],Tabla1[VALOR]*X27),0))</f>
        <v>0</v>
      </c>
      <c r="Z27" s="14"/>
      <c r="AA27" s="56" cm="1">
        <f t="array" ref="AA27">IF(Z27="X",(_xlfn.XLOOKUP($B27,Tabla1[SERVICIO],Tabla1[VALOR])*1),IF(Z27&gt;=1,_xlfn.XLOOKUP($B27,Tabla1[SERVICIO],Tabla1[VALOR]*Z27),0))</f>
        <v>0</v>
      </c>
      <c r="AB27" s="89">
        <f t="shared" si="0"/>
        <v>0</v>
      </c>
      <c r="AC27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7" s="104" t="s">
        <v>319</v>
      </c>
      <c r="AE27" s="154">
        <v>1</v>
      </c>
      <c r="AF27" s="90">
        <f>+Tabla238[[#This Row],[TOTAL]]*Tabla238[[#This Row],[% de las personas que lo usaron]]</f>
        <v>0</v>
      </c>
      <c r="AG27" s="242" t="s">
        <v>353</v>
      </c>
      <c r="AH27" s="338">
        <v>12</v>
      </c>
    </row>
    <row r="28" spans="1:46" ht="15" x14ac:dyDescent="0.25">
      <c r="A28" s="9" t="s">
        <v>80</v>
      </c>
      <c r="B28" s="100" t="s">
        <v>193</v>
      </c>
      <c r="C28" s="96" t="str">
        <f>_xlfn.XLOOKUP(Tabla238[[#This Row],[Servicios del Programa:]],Tabla151[CODIGO],Tabla151[VALOR])</f>
        <v>Gestion y seguimiento</v>
      </c>
      <c r="D28" s="16"/>
      <c r="E28" s="56" cm="1">
        <f t="array" ref="E28">IF(D28="X",(_xlfn.XLOOKUP($B28,Tabla1[SERVICIO],Tabla1[VALOR])*1),IF(D28&gt;=1,_xlfn.XLOOKUP($B28,Tabla1[SERVICIO],Tabla1[VALOR]*D28),0))</f>
        <v>0</v>
      </c>
      <c r="F28" s="16"/>
      <c r="G28" s="56" cm="1">
        <f t="array" ref="G28">IF(F28="X",(_xlfn.XLOOKUP($B28,Tabla1[SERVICIO],Tabla1[VALOR])*1),IF(F28&gt;=1,_xlfn.XLOOKUP($B28,Tabla1[SERVICIO],Tabla1[VALOR]*F28),0))</f>
        <v>0</v>
      </c>
      <c r="H28" s="16"/>
      <c r="I28" s="56" cm="1">
        <f t="array" ref="I28">IF(H28="X",(_xlfn.XLOOKUP($B28,Tabla1[SERVICIO],Tabla1[VALOR])*1),IF(H28&gt;=1,_xlfn.XLOOKUP($B28,Tabla1[SERVICIO],Tabla1[VALOR]*H28),0))</f>
        <v>0</v>
      </c>
      <c r="J28" s="16"/>
      <c r="K28" s="56" cm="1">
        <f t="array" ref="K28">IF(J28="X",(_xlfn.XLOOKUP($B28,Tabla1[SERVICIO],Tabla1[VALOR])*1),IF(J28&gt;=1,_xlfn.XLOOKUP($B28,Tabla1[SERVICIO],Tabla1[VALOR]*J28),0))</f>
        <v>0</v>
      </c>
      <c r="L28" s="16"/>
      <c r="M28" s="56" cm="1">
        <f t="array" ref="M28">IF(L28="X",(_xlfn.XLOOKUP($B28,Tabla1[SERVICIO],Tabla1[VALOR])*1),IF(L28&gt;=1,_xlfn.XLOOKUP($B28,Tabla1[SERVICIO],Tabla1[VALOR]*L28),0))</f>
        <v>0</v>
      </c>
      <c r="N28" s="16"/>
      <c r="O28" s="56" cm="1">
        <f t="array" ref="O28">IF(N28="X",(_xlfn.XLOOKUP($B28,Tabla1[SERVICIO],Tabla1[VALOR])*1),IF(N28&gt;=1,_xlfn.XLOOKUP($B28,Tabla1[SERVICIO],Tabla1[VALOR]*N28),0))</f>
        <v>0</v>
      </c>
      <c r="P28" s="16"/>
      <c r="Q28" s="56" cm="1">
        <f t="array" ref="Q28">IF(P28="X",(_xlfn.XLOOKUP($B28,Tabla1[SERVICIO],Tabla1[VALOR])*1),IF(P28&gt;=1,_xlfn.XLOOKUP($B28,Tabla1[SERVICIO],Tabla1[VALOR]*P28),0))</f>
        <v>0</v>
      </c>
      <c r="R28" s="16"/>
      <c r="S28" s="56" cm="1">
        <f t="array" ref="S28">IF(R28="X",(_xlfn.XLOOKUP($B28,Tabla1[SERVICIO],Tabla1[VALOR])*1),IF(R28&gt;=1,_xlfn.XLOOKUP($B28,Tabla1[SERVICIO],Tabla1[VALOR]*R28),0))</f>
        <v>0</v>
      </c>
      <c r="T28" s="16"/>
      <c r="U28" s="56" cm="1">
        <f t="array" ref="U28">IF(T28="X",(_xlfn.XLOOKUP($B28,Tabla1[SERVICIO],Tabla1[VALOR])*1),IF(T28&gt;=1,_xlfn.XLOOKUP($B28,Tabla1[SERVICIO],Tabla1[VALOR]*T28),0))</f>
        <v>0</v>
      </c>
      <c r="V28" s="16"/>
      <c r="W28" s="56" cm="1">
        <f t="array" ref="W28">IF(V28="X",(_xlfn.XLOOKUP($B28,Tabla1[SERVICIO],Tabla1[VALOR])*1),IF(V28&gt;=1,_xlfn.XLOOKUP($B28,Tabla1[SERVICIO],Tabla1[VALOR]*V28),0))</f>
        <v>0</v>
      </c>
      <c r="X28" s="16"/>
      <c r="Y28" s="56" cm="1">
        <f t="array" ref="Y28">IF(X28="X",(_xlfn.XLOOKUP($B28,Tabla1[SERVICIO],Tabla1[VALOR])*1),IF(X28&gt;=1,_xlfn.XLOOKUP($B28,Tabla1[SERVICIO],Tabla1[VALOR]*X28),0))</f>
        <v>0</v>
      </c>
      <c r="Z28" s="16">
        <v>1</v>
      </c>
      <c r="AA28" s="56" cm="1">
        <f t="array" ref="AA28">IF(Z28="X",(_xlfn.XLOOKUP($B28,Tabla1[SERVICIO],Tabla1[VALOR])*1),IF(Z28&gt;=1,_xlfn.XLOOKUP($B28,Tabla1[SERVICIO],Tabla1[VALOR]*Z28),0))</f>
        <v>12908.291642219636</v>
      </c>
      <c r="AB28" s="89">
        <f t="shared" si="0"/>
        <v>12908.291642219636</v>
      </c>
      <c r="AC28" s="123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8" s="104" t="s">
        <v>318</v>
      </c>
      <c r="AE28" s="154">
        <v>1</v>
      </c>
      <c r="AF28" s="90">
        <f>+Tabla238[[#This Row],[TOTAL]]*Tabla238[[#This Row],[% de las personas que lo usaron]]</f>
        <v>12908.291642219636</v>
      </c>
      <c r="AG28" s="242" t="s">
        <v>353</v>
      </c>
      <c r="AH28" s="338">
        <v>12</v>
      </c>
    </row>
    <row r="29" spans="1:46" s="189" customFormat="1" ht="12" x14ac:dyDescent="0.2">
      <c r="A29" s="198"/>
      <c r="B29" s="199"/>
      <c r="C29" s="199"/>
      <c r="D29" s="200">
        <f>SUBTOTAL(109,Tabla238[MES 1])</f>
        <v>28</v>
      </c>
      <c r="E29" s="202">
        <f>SUBTOTAL(109,Tabla238[MES 13])</f>
        <v>691631.57502092631</v>
      </c>
      <c r="F29" s="200">
        <f>SUBTOTAL(109,Tabla238[MES 2])</f>
        <v>14</v>
      </c>
      <c r="G29" s="191">
        <f>SUBTOTAL(109,Tabla238[MES 22])</f>
        <v>177938.82484725548</v>
      </c>
      <c r="H29" s="200">
        <f>SUBTOTAL(109,Tabla238[MES 3])</f>
        <v>15</v>
      </c>
      <c r="I29" s="191">
        <f>SUBTOTAL(109,Tabla238[MES 32])</f>
        <v>201948.55524857406</v>
      </c>
      <c r="J29" s="200">
        <f>SUBTOTAL(109,Tabla238[MES 4])</f>
        <v>14</v>
      </c>
      <c r="K29" s="191">
        <f>SUBTOTAL(109,Tabla238[MES 42])</f>
        <v>177938.82484725548</v>
      </c>
      <c r="L29" s="200">
        <f>SUBTOTAL(109,Tabla238[MES 5])</f>
        <v>14</v>
      </c>
      <c r="M29" s="191">
        <f>SUBTOTAL(109,Tabla238[MES 52])</f>
        <v>177938.82484725548</v>
      </c>
      <c r="N29" s="200">
        <f>SUBTOTAL(109,Tabla238[MES 6])</f>
        <v>15</v>
      </c>
      <c r="O29" s="191">
        <f>SUBTOTAL(109,Tabla238[MES 62])</f>
        <v>199991.34564780846</v>
      </c>
      <c r="P29" s="200">
        <f>SUBTOTAL(109,Tabla238[MES 7])</f>
        <v>14</v>
      </c>
      <c r="Q29" s="191">
        <f>SUBTOTAL(109,Tabla238[MES 72])</f>
        <v>177938.82484725548</v>
      </c>
      <c r="R29" s="200">
        <f>SUBTOTAL(109,Tabla238[MES 8])</f>
        <v>14</v>
      </c>
      <c r="S29" s="191">
        <f>SUBTOTAL(109,Tabla238[MES 82])</f>
        <v>177938.82484725548</v>
      </c>
      <c r="T29" s="200">
        <f>SUBTOTAL(109,Tabla238[MES 9])</f>
        <v>14</v>
      </c>
      <c r="U29" s="191">
        <f>SUBTOTAL(109,Tabla238[MES 92])</f>
        <v>177938.82484725548</v>
      </c>
      <c r="V29" s="200">
        <f>SUBTOTAL(109,Tabla238[MES 10])</f>
        <v>14</v>
      </c>
      <c r="W29" s="191">
        <f>SUBTOTAL(109,Tabla238[MES 102])</f>
        <v>177938.82484725548</v>
      </c>
      <c r="X29" s="200">
        <f>SUBTOTAL(109,Tabla238[MES 11])</f>
        <v>14</v>
      </c>
      <c r="Y29" s="191">
        <f>SUBTOTAL(109,Tabla238[MES 112])</f>
        <v>177938.82484725548</v>
      </c>
      <c r="Z29" s="200">
        <f>SUBTOTAL(109,Tabla238[MES 12])</f>
        <v>21</v>
      </c>
      <c r="AA29" s="201">
        <f>SUBTOTAL(109,Tabla238[MES 1122])</f>
        <v>388290.15434324503</v>
      </c>
      <c r="AB29" s="194">
        <f>SUBTOTAL(109,Tabla238[TOTAL])</f>
        <v>2905372.229038598</v>
      </c>
      <c r="AC29" s="187">
        <f>SUBTOTAL(109,Tabla238[TOTAL SERVICIOS])</f>
        <v>191</v>
      </c>
      <c r="AD29" s="203"/>
      <c r="AE29" s="203"/>
      <c r="AF29" s="194">
        <f>SUBTOTAL(109,Tabla238[VALOR COSTO])</f>
        <v>2603272.8574974192</v>
      </c>
    </row>
    <row r="31" spans="1:46" ht="24.75" customHeight="1" x14ac:dyDescent="0.2">
      <c r="A31" s="44" t="s">
        <v>207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6"/>
    </row>
    <row r="32" spans="1:46" ht="25.5" x14ac:dyDescent="0.2">
      <c r="A32" s="21" t="s">
        <v>0</v>
      </c>
      <c r="B32" s="6" t="s">
        <v>206</v>
      </c>
      <c r="C32" s="183" t="s">
        <v>347</v>
      </c>
      <c r="D32" s="12" t="s">
        <v>56</v>
      </c>
      <c r="E32" s="12" t="s">
        <v>303</v>
      </c>
      <c r="F32" s="12" t="s">
        <v>57</v>
      </c>
      <c r="G32" s="12" t="s">
        <v>293</v>
      </c>
      <c r="H32" s="12" t="s">
        <v>58</v>
      </c>
      <c r="I32" s="12" t="s">
        <v>294</v>
      </c>
      <c r="J32" s="12" t="s">
        <v>59</v>
      </c>
      <c r="K32" s="12" t="s">
        <v>295</v>
      </c>
      <c r="L32" s="12" t="s">
        <v>60</v>
      </c>
      <c r="M32" s="12" t="s">
        <v>296</v>
      </c>
      <c r="N32" s="12" t="s">
        <v>61</v>
      </c>
      <c r="O32" s="12" t="s">
        <v>297</v>
      </c>
      <c r="P32" s="12" t="s">
        <v>62</v>
      </c>
      <c r="Q32" s="12" t="s">
        <v>298</v>
      </c>
      <c r="R32" s="12" t="s">
        <v>63</v>
      </c>
      <c r="S32" s="12" t="s">
        <v>299</v>
      </c>
      <c r="T32" s="12" t="s">
        <v>64</v>
      </c>
      <c r="U32" s="12" t="s">
        <v>300</v>
      </c>
      <c r="V32" s="12" t="s">
        <v>65</v>
      </c>
      <c r="W32" s="12" t="s">
        <v>301</v>
      </c>
      <c r="X32" s="12" t="s">
        <v>66</v>
      </c>
      <c r="Y32" s="12" t="s">
        <v>302</v>
      </c>
      <c r="Z32" s="12" t="s">
        <v>67</v>
      </c>
      <c r="AA32" s="12" t="s">
        <v>304</v>
      </c>
      <c r="AB32" s="12" t="s">
        <v>68</v>
      </c>
      <c r="AC32" s="12" t="s">
        <v>305</v>
      </c>
      <c r="AD32" s="12" t="s">
        <v>69</v>
      </c>
      <c r="AE32" s="12" t="s">
        <v>306</v>
      </c>
      <c r="AF32" s="12" t="s">
        <v>70</v>
      </c>
      <c r="AG32" s="12" t="s">
        <v>307</v>
      </c>
      <c r="AH32" s="12" t="s">
        <v>71</v>
      </c>
      <c r="AI32" s="12" t="s">
        <v>308</v>
      </c>
      <c r="AJ32" s="12" t="s">
        <v>72</v>
      </c>
      <c r="AK32" s="13" t="s">
        <v>309</v>
      </c>
      <c r="AL32" s="13" t="s">
        <v>73</v>
      </c>
      <c r="AM32" s="76" t="s">
        <v>310</v>
      </c>
      <c r="AN32" s="76" t="s">
        <v>247</v>
      </c>
      <c r="AO32" s="162" t="s">
        <v>313</v>
      </c>
      <c r="AP32" s="76" t="s">
        <v>187</v>
      </c>
      <c r="AQ32" s="162" t="s">
        <v>316</v>
      </c>
      <c r="AR32" s="76" t="s">
        <v>317</v>
      </c>
      <c r="AS32" s="76" t="s">
        <v>348</v>
      </c>
      <c r="AT32" s="76" t="s">
        <v>406</v>
      </c>
    </row>
    <row r="33" spans="1:46" ht="15" x14ac:dyDescent="0.25">
      <c r="A33" s="7" t="s">
        <v>78</v>
      </c>
      <c r="B33" s="8" t="s">
        <v>194</v>
      </c>
      <c r="C33" s="96" t="str">
        <f>_xlfn.XLOOKUP(Tabla21839[[#This Row],[Servicios del Programa:]],Tabla151[CODIGO],Tabla151[VALOR])</f>
        <v>Gestion y seguimiento</v>
      </c>
      <c r="D33" s="14">
        <v>1</v>
      </c>
      <c r="E33" s="56" cm="1">
        <f t="array" ref="E33">IF(D33="X",(_xlfn.XLOOKUP($B33,Tabla1[SERVICIO],Tabla1[VALOR])*1),IF(D33&gt;=1,_xlfn.XLOOKUP($B33,Tabla1[SERVICIO],Tabla1[VALOR]*D33),0))</f>
        <v>32019.45168009842</v>
      </c>
      <c r="F33" s="14"/>
      <c r="G33" s="56" cm="1">
        <f t="array" ref="G33">IF(F33="X",(_xlfn.XLOOKUP($B33,Tabla1[SERVICIO],Tabla1[VALOR])*1),IF(F33&gt;=1,_xlfn.XLOOKUP($B33,Tabla1[SERVICIO],Tabla1[VALOR]*F33),0))</f>
        <v>0</v>
      </c>
      <c r="H33" s="14"/>
      <c r="I33" s="56" cm="1">
        <f t="array" ref="I33">IF(H33="X",(_xlfn.XLOOKUP($B33,Tabla1[SERVICIO],Tabla1[VALOR])*1),IF(H33&gt;=1,_xlfn.XLOOKUP($B33,Tabla1[SERVICIO],Tabla1[VALOR]*H33),0))</f>
        <v>0</v>
      </c>
      <c r="J33" s="14"/>
      <c r="K33" s="56" cm="1">
        <f t="array" ref="K33">IF(J33="X",(_xlfn.XLOOKUP($B33,Tabla1[SERVICIO],Tabla1[VALOR])*1),IF(J33&gt;=1,_xlfn.XLOOKUP($B33,Tabla1[SERVICIO],Tabla1[VALOR]*J33),0))</f>
        <v>0</v>
      </c>
      <c r="L33" s="14"/>
      <c r="M33" s="56" cm="1">
        <f t="array" ref="M33">IF(L33="X",(_xlfn.XLOOKUP($B33,Tabla1[SERVICIO],Tabla1[VALOR])*1),IF(L33&gt;=1,_xlfn.XLOOKUP($B33,Tabla1[SERVICIO],Tabla1[VALOR]*L33),0))</f>
        <v>0</v>
      </c>
      <c r="N33" s="14"/>
      <c r="O33" s="56" cm="1">
        <f t="array" ref="O33">IF(N33="X",(_xlfn.XLOOKUP($B33,Tabla1[SERVICIO],Tabla1[VALOR])*1),IF(N33&gt;=1,_xlfn.XLOOKUP($B33,Tabla1[SERVICIO],Tabla1[VALOR]*N33),0))</f>
        <v>0</v>
      </c>
      <c r="P33" s="14"/>
      <c r="Q33" s="56" cm="1">
        <f t="array" ref="Q33">IF(P33="X",(_xlfn.XLOOKUP($B33,Tabla1[SERVICIO],Tabla1[VALOR])*1),IF(P33&gt;=1,_xlfn.XLOOKUP($B33,Tabla1[SERVICIO],Tabla1[VALOR]*P33),0))</f>
        <v>0</v>
      </c>
      <c r="R33" s="14"/>
      <c r="S33" s="56" cm="1">
        <f t="array" ref="S33">IF(R33="X",(_xlfn.XLOOKUP($B33,Tabla1[SERVICIO],Tabla1[VALOR])*1),IF(R33&gt;=1,_xlfn.XLOOKUP($B33,Tabla1[SERVICIO],Tabla1[VALOR]*R33),0))</f>
        <v>0</v>
      </c>
      <c r="T33" s="14"/>
      <c r="U33" s="56" cm="1">
        <f t="array" ref="U33">IF(T33="X",(_xlfn.XLOOKUP($B33,Tabla1[SERVICIO],Tabla1[VALOR])*1),IF(T33&gt;=1,_xlfn.XLOOKUP($B33,Tabla1[SERVICIO],Tabla1[VALOR]*T33),0))</f>
        <v>0</v>
      </c>
      <c r="V33" s="14"/>
      <c r="W33" s="56" cm="1">
        <f t="array" ref="W33">IF(V33="X",(_xlfn.XLOOKUP($B33,Tabla1[SERVICIO],Tabla1[VALOR])*1),IF(V33&gt;=1,_xlfn.XLOOKUP($B33,Tabla1[SERVICIO],Tabla1[VALOR]*V33),0))</f>
        <v>0</v>
      </c>
      <c r="X33" s="14"/>
      <c r="Y33" s="56" cm="1">
        <f t="array" ref="Y33">IF(X33="X",(_xlfn.XLOOKUP($B33,Tabla1[SERVICIO],Tabla1[VALOR])*1),IF(X33&gt;=1,_xlfn.XLOOKUP($B33,Tabla1[SERVICIO],Tabla1[VALOR]*X33),0))</f>
        <v>0</v>
      </c>
      <c r="Z33" s="14"/>
      <c r="AA33" s="56" cm="1">
        <f t="array" ref="AA33">IF(Z33="X",(_xlfn.XLOOKUP($B33,Tabla1[SERVICIO],Tabla1[VALOR])*1),IF(Z33&gt;=1,_xlfn.XLOOKUP($B33,Tabla1[SERVICIO],Tabla1[VALOR]*Z33),0))</f>
        <v>0</v>
      </c>
      <c r="AB33" s="14"/>
      <c r="AC33" s="56" cm="1">
        <f t="array" ref="AC33">IF(AB33="X",(_xlfn.XLOOKUP($B33,Tabla1[SERVICIO],Tabla1[VALOR])*1),IF(AB33&gt;=1,_xlfn.XLOOKUP($B33,Tabla1[SERVICIO],Tabla1[VALOR]*AB33),0))</f>
        <v>0</v>
      </c>
      <c r="AD33" s="14"/>
      <c r="AE33" s="56" cm="1">
        <f t="array" ref="AE33">IF(AD33="X",(_xlfn.XLOOKUP($B33,Tabla1[SERVICIO],Tabla1[VALOR])*1),IF(AD33&gt;=1,_xlfn.XLOOKUP($B33,Tabla1[SERVICIO],Tabla1[VALOR]*AD33),0))</f>
        <v>0</v>
      </c>
      <c r="AF33" s="14"/>
      <c r="AG33" s="56" cm="1">
        <f t="array" ref="AG33">IF(AF33="X",(_xlfn.XLOOKUP($B33,Tabla1[SERVICIO],Tabla1[VALOR])*1),IF(AF33&gt;=1,_xlfn.XLOOKUP($B33,Tabla1[SERVICIO],Tabla1[VALOR]*AF33),0))</f>
        <v>0</v>
      </c>
      <c r="AH33" s="14"/>
      <c r="AI33" s="56" cm="1">
        <f t="array" ref="AI33">IF(AH33="X",(_xlfn.XLOOKUP($B33,Tabla1[SERVICIO],Tabla1[VALOR])*1),IF(AH33&gt;=1,_xlfn.XLOOKUP($B33,Tabla1[SERVICIO],Tabla1[VALOR]*AH33),0))</f>
        <v>0</v>
      </c>
      <c r="AJ33" s="14"/>
      <c r="AK33" s="56" cm="1">
        <f t="array" ref="AK33">IF(AJ33="X",(_xlfn.XLOOKUP($B33,Tabla1[SERVICIO],Tabla1[VALOR])*1),IF(AJ33&gt;=1,_xlfn.XLOOKUP($B33,Tabla1[SERVICIO],Tabla1[VALOR]*AJ33),0))</f>
        <v>0</v>
      </c>
      <c r="AL33" s="14"/>
      <c r="AM33" s="56" cm="1">
        <f t="array" ref="AM33">IF(AL33="X",(_xlfn.XLOOKUP($B33,Tabla1[SERVICIO],Tabla1[VALOR])*1),IF(AL33&gt;=1,_xlfn.XLOOKUP($B33,Tabla1[SERVICIO],Tabla1[VALOR]*AL33),0))</f>
        <v>0</v>
      </c>
      <c r="AN33" s="89">
        <f>SUM(E33,G33,I33,K33,M33,O33,Q33,S33,U33,W33+Y33,AA33,AC33,AE33,AG33,AI33,AK33,AM33)</f>
        <v>32019.45168009842</v>
      </c>
      <c r="AO33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3" s="104" t="s">
        <v>318</v>
      </c>
      <c r="AQ33" s="154">
        <v>1</v>
      </c>
      <c r="AR33" s="90">
        <f>+Tabla21839[[#This Row],[TOTAL]]*Tabla21839[[#This Row],[% de las personas que lo usaron]]</f>
        <v>32019.45168009842</v>
      </c>
      <c r="AS33" s="242" t="s">
        <v>353</v>
      </c>
      <c r="AT33" s="338">
        <v>18</v>
      </c>
    </row>
    <row r="34" spans="1:46" ht="15" x14ac:dyDescent="0.25">
      <c r="A34" s="7" t="s">
        <v>98</v>
      </c>
      <c r="B34" s="8" t="s">
        <v>99</v>
      </c>
      <c r="C34" s="96" t="str">
        <f>_xlfn.XLOOKUP(Tabla21839[[#This Row],[Servicios del Programa:]],Tabla151[CODIGO],Tabla151[VALOR])</f>
        <v>Consultas</v>
      </c>
      <c r="D34" s="14">
        <v>1</v>
      </c>
      <c r="E34" s="56" cm="1">
        <f t="array" ref="E34">IF(D34="X",(_xlfn.XLOOKUP($B34,Tabla1[SERVICIO],Tabla1[VALOR])*1),IF(D34&gt;=1,_xlfn.XLOOKUP($B34,Tabla1[SERVICIO],Tabla1[VALOR]*D34),0))</f>
        <v>17887.388810409495</v>
      </c>
      <c r="F34" s="8"/>
      <c r="G34" s="56" cm="1">
        <f t="array" ref="G34">IF(F34="X",(_xlfn.XLOOKUP($B34,Tabla1[SERVICIO],Tabla1[VALOR])*1),IF(F34&gt;=1,_xlfn.XLOOKUP($B34,Tabla1[SERVICIO],Tabla1[VALOR]*F34),0))</f>
        <v>0</v>
      </c>
      <c r="H34" s="8"/>
      <c r="I34" s="56" cm="1">
        <f t="array" ref="I34">IF(H34="X",(_xlfn.XLOOKUP($B34,Tabla1[SERVICIO],Tabla1[VALOR])*1),IF(H34&gt;=1,_xlfn.XLOOKUP($B34,Tabla1[SERVICIO],Tabla1[VALOR]*H34),0))</f>
        <v>0</v>
      </c>
      <c r="J34" s="8"/>
      <c r="K34" s="56" cm="1">
        <f t="array" ref="K34">IF(J34="X",(_xlfn.XLOOKUP($B34,Tabla1[SERVICIO],Tabla1[VALOR])*1),IF(J34&gt;=1,_xlfn.XLOOKUP($B34,Tabla1[SERVICIO],Tabla1[VALOR]*J34),0))</f>
        <v>0</v>
      </c>
      <c r="L34" s="8"/>
      <c r="M34" s="56" cm="1">
        <f t="array" ref="M34">IF(L34="X",(_xlfn.XLOOKUP($B34,Tabla1[SERVICIO],Tabla1[VALOR])*1),IF(L34&gt;=1,_xlfn.XLOOKUP($B34,Tabla1[SERVICIO],Tabla1[VALOR]*L34),0))</f>
        <v>0</v>
      </c>
      <c r="N34" s="8"/>
      <c r="O34" s="56" cm="1">
        <f t="array" ref="O34">IF(N34="X",(_xlfn.XLOOKUP($B34,Tabla1[SERVICIO],Tabla1[VALOR])*1),IF(N34&gt;=1,_xlfn.XLOOKUP($B34,Tabla1[SERVICIO],Tabla1[VALOR]*N34),0))</f>
        <v>0</v>
      </c>
      <c r="P34" s="8"/>
      <c r="Q34" s="56" cm="1">
        <f t="array" ref="Q34">IF(P34="X",(_xlfn.XLOOKUP($B34,Tabla1[SERVICIO],Tabla1[VALOR])*1),IF(P34&gt;=1,_xlfn.XLOOKUP($B34,Tabla1[SERVICIO],Tabla1[VALOR]*P34),0))</f>
        <v>0</v>
      </c>
      <c r="R34" s="8"/>
      <c r="S34" s="56" cm="1">
        <f t="array" ref="S34">IF(R34="X",(_xlfn.XLOOKUP($B34,Tabla1[SERVICIO],Tabla1[VALOR])*1),IF(R34&gt;=1,_xlfn.XLOOKUP($B34,Tabla1[SERVICIO],Tabla1[VALOR]*R34),0))</f>
        <v>0</v>
      </c>
      <c r="T34" s="8"/>
      <c r="U34" s="56" cm="1">
        <f t="array" ref="U34">IF(T34="X",(_xlfn.XLOOKUP($B34,Tabla1[SERVICIO],Tabla1[VALOR])*1),IF(T34&gt;=1,_xlfn.XLOOKUP($B34,Tabla1[SERVICIO],Tabla1[VALOR]*T34),0))</f>
        <v>0</v>
      </c>
      <c r="V34" s="8"/>
      <c r="W34" s="56" cm="1">
        <f t="array" ref="W34">IF(V34="X",(_xlfn.XLOOKUP($B34,Tabla1[SERVICIO],Tabla1[VALOR])*1),IF(V34&gt;=1,_xlfn.XLOOKUP($B34,Tabla1[SERVICIO],Tabla1[VALOR]*V34),0))</f>
        <v>0</v>
      </c>
      <c r="X34" s="8"/>
      <c r="Y34" s="56" cm="1">
        <f t="array" ref="Y34">IF(X34="X",(_xlfn.XLOOKUP($B34,Tabla1[SERVICIO],Tabla1[VALOR])*1),IF(X34&gt;=1,_xlfn.XLOOKUP($B34,Tabla1[SERVICIO],Tabla1[VALOR]*X34),0))</f>
        <v>0</v>
      </c>
      <c r="Z34" s="8"/>
      <c r="AA34" s="56" cm="1">
        <f t="array" ref="AA34">IF(Z34="X",(_xlfn.XLOOKUP($B34,Tabla1[SERVICIO],Tabla1[VALOR])*1),IF(Z34&gt;=1,_xlfn.XLOOKUP($B34,Tabla1[SERVICIO],Tabla1[VALOR]*Z34),0))</f>
        <v>0</v>
      </c>
      <c r="AB34" s="8"/>
      <c r="AC34" s="56" cm="1">
        <f t="array" ref="AC34">IF(AB34="X",(_xlfn.XLOOKUP($B34,Tabla1[SERVICIO],Tabla1[VALOR])*1),IF(AB34&gt;=1,_xlfn.XLOOKUP($B34,Tabla1[SERVICIO],Tabla1[VALOR]*AB34),0))</f>
        <v>0</v>
      </c>
      <c r="AD34" s="8"/>
      <c r="AE34" s="56" cm="1">
        <f t="array" ref="AE34">IF(AD34="X",(_xlfn.XLOOKUP($B34,Tabla1[SERVICIO],Tabla1[VALOR])*1),IF(AD34&gt;=1,_xlfn.XLOOKUP($B34,Tabla1[SERVICIO],Tabla1[VALOR]*AD34),0))</f>
        <v>0</v>
      </c>
      <c r="AF34" s="8"/>
      <c r="AG34" s="56" cm="1">
        <f t="array" ref="AG34">IF(AF34="X",(_xlfn.XLOOKUP($B34,Tabla1[SERVICIO],Tabla1[VALOR])*1),IF(AF34&gt;=1,_xlfn.XLOOKUP($B34,Tabla1[SERVICIO],Tabla1[VALOR]*AF34),0))</f>
        <v>0</v>
      </c>
      <c r="AH34" s="8"/>
      <c r="AI34" s="56" cm="1">
        <f t="array" ref="AI34">IF(AH34="X",(_xlfn.XLOOKUP($B34,Tabla1[SERVICIO],Tabla1[VALOR])*1),IF(AH34&gt;=1,_xlfn.XLOOKUP($B34,Tabla1[SERVICIO],Tabla1[VALOR]*AH34),0))</f>
        <v>0</v>
      </c>
      <c r="AJ34" s="8"/>
      <c r="AK34" s="56" cm="1">
        <f t="array" ref="AK34">IF(AJ34="X",(_xlfn.XLOOKUP($B34,Tabla1[SERVICIO],Tabla1[VALOR])*1),IF(AJ34&gt;=1,_xlfn.XLOOKUP($B34,Tabla1[SERVICIO],Tabla1[VALOR]*AJ34),0))</f>
        <v>0</v>
      </c>
      <c r="AL34" s="8"/>
      <c r="AM34" s="56" cm="1">
        <f t="array" ref="AM34">IF(AL34="X",(_xlfn.XLOOKUP($B34,Tabla1[SERVICIO],Tabla1[VALOR])*1),IF(AL34&gt;=1,_xlfn.XLOOKUP($B34,Tabla1[SERVICIO],Tabla1[VALOR]*AL34),0))</f>
        <v>0</v>
      </c>
      <c r="AN34" s="89">
        <f t="shared" ref="AN34:AN58" si="1">SUM(E34,G34,I34,K34,M34,O34,Q34,S34,U34,W34+Y34,AA34,AC34,AE34,AG34,AI34,AK34,AM34)</f>
        <v>17887.388810409495</v>
      </c>
      <c r="AO34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4" s="104" t="s">
        <v>318</v>
      </c>
      <c r="AQ34" s="154">
        <v>1</v>
      </c>
      <c r="AR34" s="90">
        <f>+Tabla21839[[#This Row],[TOTAL]]*Tabla21839[[#This Row],[% de las personas que lo usaron]]</f>
        <v>17887.388810409495</v>
      </c>
      <c r="AS34" s="242" t="s">
        <v>353</v>
      </c>
      <c r="AT34" s="338">
        <v>18</v>
      </c>
    </row>
    <row r="35" spans="1:46" ht="15" x14ac:dyDescent="0.25">
      <c r="A35" s="7" t="s">
        <v>104</v>
      </c>
      <c r="B35" s="8" t="s">
        <v>105</v>
      </c>
      <c r="C35" s="96" t="str">
        <f>_xlfn.XLOOKUP(Tabla21839[[#This Row],[Servicios del Programa:]],Tabla151[CODIGO],Tabla151[VALOR])</f>
        <v>Consultas</v>
      </c>
      <c r="D35" s="14"/>
      <c r="E35" s="56" cm="1">
        <f t="array" ref="E35">IF(D35="X",(_xlfn.XLOOKUP($B35,Tabla1[SERVICIO],Tabla1[VALOR])*1),IF(D35&gt;=1,_xlfn.XLOOKUP($B35,Tabla1[SERVICIO],Tabla1[VALOR]*D35),0))</f>
        <v>0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14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6" cm="1">
        <f t="array" ref="AM35">IF(AL35="X",(_xlfn.XLOOKUP($B35,Tabla1[SERVICIO],Tabla1[VALOR])*1),IF(AL35&gt;=1,_xlfn.XLOOKUP($B35,Tabla1[SERVICIO],Tabla1[VALOR]*AL35),0))</f>
        <v>17887.388810409495</v>
      </c>
      <c r="AN35" s="89">
        <f t="shared" si="1"/>
        <v>17887.388810409495</v>
      </c>
      <c r="AO35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5" s="104" t="s">
        <v>319</v>
      </c>
      <c r="AQ35" s="161">
        <v>2.5000000000000001E-2</v>
      </c>
      <c r="AR35" s="90">
        <f>+Tabla21839[[#This Row],[TOTAL]]*Tabla21839[[#This Row],[% de las personas que lo usaron]]</f>
        <v>447.18472026023738</v>
      </c>
      <c r="AS35" s="242" t="s">
        <v>353</v>
      </c>
      <c r="AT35" s="338">
        <v>18</v>
      </c>
    </row>
    <row r="36" spans="1:46" ht="15" x14ac:dyDescent="0.25">
      <c r="A36" s="7" t="s">
        <v>3</v>
      </c>
      <c r="B36" s="8" t="s">
        <v>4</v>
      </c>
      <c r="C36" s="96" t="str">
        <f>_xlfn.XLOOKUP(Tabla21839[[#This Row],[Servicios del Programa:]],Tabla151[CODIGO],Tabla151[VALOR])</f>
        <v>Consultas</v>
      </c>
      <c r="D36" s="14">
        <v>1</v>
      </c>
      <c r="E36" s="56" cm="1">
        <f t="array" ref="E36">IF(D36="X",(_xlfn.XLOOKUP($B36,Tabla1[SERVICIO],Tabla1[VALOR])*1),IF(D36&gt;=1,_xlfn.XLOOKUP($B36,Tabla1[SERVICIO],Tabla1[VALOR]*D36),0))</f>
        <v>20406.13276336317</v>
      </c>
      <c r="F36" s="14"/>
      <c r="G36" s="56" cm="1">
        <f t="array" ref="G36">IF(F36="X",(_xlfn.XLOOKUP($B36,Tabla1[SERVICIO],Tabla1[VALOR])*1),IF(F36&gt;=1,_xlfn.XLOOKUP($B36,Tabla1[SERVICIO],Tabla1[VALOR]*F36),0))</f>
        <v>0</v>
      </c>
      <c r="H36" s="14"/>
      <c r="I36" s="56" cm="1">
        <f t="array" ref="I36">IF(H36="X",(_xlfn.XLOOKUP($B36,Tabla1[SERVICIO],Tabla1[VALOR])*1),IF(H36&gt;=1,_xlfn.XLOOKUP($B36,Tabla1[SERVICIO],Tabla1[VALOR]*H36),0))</f>
        <v>0</v>
      </c>
      <c r="J36" s="14"/>
      <c r="K36" s="56" cm="1">
        <f t="array" ref="K36">IF(J36="X",(_xlfn.XLOOKUP($B36,Tabla1[SERVICIO],Tabla1[VALOR])*1),IF(J36&gt;=1,_xlfn.XLOOKUP($B36,Tabla1[SERVICIO],Tabla1[VALOR]*J36),0))</f>
        <v>0</v>
      </c>
      <c r="L36" s="14"/>
      <c r="M36" s="56" cm="1">
        <f t="array" ref="M36">IF(L36="X",(_xlfn.XLOOKUP($B36,Tabla1[SERVICIO],Tabla1[VALOR])*1),IF(L36&gt;=1,_xlfn.XLOOKUP($B36,Tabla1[SERVICIO],Tabla1[VALOR]*L36),0))</f>
        <v>0</v>
      </c>
      <c r="N36" s="14"/>
      <c r="O36" s="56" cm="1">
        <f t="array" ref="O36">IF(N36="X",(_xlfn.XLOOKUP($B36,Tabla1[SERVICIO],Tabla1[VALOR])*1),IF(N36&gt;=1,_xlfn.XLOOKUP($B36,Tabla1[SERVICIO],Tabla1[VALOR]*N36),0))</f>
        <v>0</v>
      </c>
      <c r="P36" s="14"/>
      <c r="Q36" s="56" cm="1">
        <f t="array" ref="Q36">IF(P36="X",(_xlfn.XLOOKUP($B36,Tabla1[SERVICIO],Tabla1[VALOR])*1),IF(P36&gt;=1,_xlfn.XLOOKUP($B36,Tabla1[SERVICIO],Tabla1[VALOR]*P36),0))</f>
        <v>0</v>
      </c>
      <c r="R36" s="14"/>
      <c r="S36" s="56" cm="1">
        <f t="array" ref="S36">IF(R36="X",(_xlfn.XLOOKUP($B36,Tabla1[SERVICIO],Tabla1[VALOR])*1),IF(R36&gt;=1,_xlfn.XLOOKUP($B36,Tabla1[SERVICIO],Tabla1[VALOR]*R36),0))</f>
        <v>0</v>
      </c>
      <c r="T36" s="14"/>
      <c r="U36" s="56" cm="1">
        <f t="array" ref="U36">IF(T36="X",(_xlfn.XLOOKUP($B36,Tabla1[SERVICIO],Tabla1[VALOR])*1),IF(T36&gt;=1,_xlfn.XLOOKUP($B36,Tabla1[SERVICIO],Tabla1[VALOR]*T36),0))</f>
        <v>0</v>
      </c>
      <c r="V36" s="14"/>
      <c r="W36" s="56" cm="1">
        <f t="array" ref="W36">IF(V36="X",(_xlfn.XLOOKUP($B36,Tabla1[SERVICIO],Tabla1[VALOR])*1),IF(V36&gt;=1,_xlfn.XLOOKUP($B36,Tabla1[SERVICIO],Tabla1[VALOR]*V36),0))</f>
        <v>0</v>
      </c>
      <c r="X36" s="14"/>
      <c r="Y36" s="56" cm="1">
        <f t="array" ref="Y36">IF(X36="X",(_xlfn.XLOOKUP($B36,Tabla1[SERVICIO],Tabla1[VALOR])*1),IF(X36&gt;=1,_xlfn.XLOOKUP($B36,Tabla1[SERVICIO],Tabla1[VALOR]*X36),0))</f>
        <v>0</v>
      </c>
      <c r="Z36" s="14"/>
      <c r="AA36" s="56" cm="1">
        <f t="array" ref="AA36">IF(Z36="X",(_xlfn.XLOOKUP($B36,Tabla1[SERVICIO],Tabla1[VALOR])*1),IF(Z36&gt;=1,_xlfn.XLOOKUP($B36,Tabla1[SERVICIO],Tabla1[VALOR]*Z36),0))</f>
        <v>0</v>
      </c>
      <c r="AB36" s="14"/>
      <c r="AC36" s="56" cm="1">
        <f t="array" ref="AC36">IF(AB36="X",(_xlfn.XLOOKUP($B36,Tabla1[SERVICIO],Tabla1[VALOR])*1),IF(AB36&gt;=1,_xlfn.XLOOKUP($B36,Tabla1[SERVICIO],Tabla1[VALOR]*AB36),0))</f>
        <v>0</v>
      </c>
      <c r="AD36" s="14"/>
      <c r="AE36" s="56" cm="1">
        <f t="array" ref="AE36">IF(AD36="X",(_xlfn.XLOOKUP($B36,Tabla1[SERVICIO],Tabla1[VALOR])*1),IF(AD36&gt;=1,_xlfn.XLOOKUP($B36,Tabla1[SERVICIO],Tabla1[VALOR]*AD36),0))</f>
        <v>0</v>
      </c>
      <c r="AF36" s="14"/>
      <c r="AG36" s="56" cm="1">
        <f t="array" ref="AG36">IF(AF36="X",(_xlfn.XLOOKUP($B36,Tabla1[SERVICIO],Tabla1[VALOR])*1),IF(AF36&gt;=1,_xlfn.XLOOKUP($B36,Tabla1[SERVICIO],Tabla1[VALOR]*AF36),0))</f>
        <v>0</v>
      </c>
      <c r="AH36" s="14"/>
      <c r="AI36" s="56" cm="1">
        <f t="array" ref="AI36">IF(AH36="X",(_xlfn.XLOOKUP($B36,Tabla1[SERVICIO],Tabla1[VALOR])*1),IF(AH36&gt;=1,_xlfn.XLOOKUP($B36,Tabla1[SERVICIO],Tabla1[VALOR]*AH36),0))</f>
        <v>0</v>
      </c>
      <c r="AJ36" s="14"/>
      <c r="AK36" s="56" cm="1">
        <f t="array" ref="AK36">IF(AJ36="X",(_xlfn.XLOOKUP($B36,Tabla1[SERVICIO],Tabla1[VALOR])*1),IF(AJ36&gt;=1,_xlfn.XLOOKUP($B36,Tabla1[SERVICIO],Tabla1[VALOR]*AJ36),0))</f>
        <v>0</v>
      </c>
      <c r="AL36" s="14"/>
      <c r="AM36" s="56" cm="1">
        <f t="array" ref="AM36">IF(AL36="X",(_xlfn.XLOOKUP($B36,Tabla1[SERVICIO],Tabla1[VALOR])*1),IF(AL36&gt;=1,_xlfn.XLOOKUP($B36,Tabla1[SERVICIO],Tabla1[VALOR]*AL36),0))</f>
        <v>0</v>
      </c>
      <c r="AN36" s="89">
        <f t="shared" si="1"/>
        <v>20406.13276336317</v>
      </c>
      <c r="AO36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6" s="104" t="s">
        <v>318</v>
      </c>
      <c r="AQ36" s="154">
        <v>1</v>
      </c>
      <c r="AR36" s="90">
        <f>+Tabla21839[[#This Row],[TOTAL]]*Tabla21839[[#This Row],[% de las personas que lo usaron]]</f>
        <v>20406.13276336317</v>
      </c>
      <c r="AS36" s="242" t="s">
        <v>353</v>
      </c>
      <c r="AT36" s="338">
        <v>18</v>
      </c>
    </row>
    <row r="37" spans="1:46" ht="15" x14ac:dyDescent="0.25">
      <c r="A37" s="7" t="s">
        <v>15</v>
      </c>
      <c r="B37" s="8" t="s">
        <v>16</v>
      </c>
      <c r="C37" s="96" t="str">
        <f>_xlfn.XLOOKUP(Tabla21839[[#This Row],[Servicios del Programa:]],Tabla151[CODIGO],Tabla151[VALOR])</f>
        <v>Consultas</v>
      </c>
      <c r="D37" s="14"/>
      <c r="E37" s="56" cm="1">
        <f t="array" ref="E37">IF(D37="X",(_xlfn.XLOOKUP($B37,Tabla1[SERVICIO],Tabla1[VALOR])*1),IF(D37&gt;=1,_xlfn.XLOOKUP($B37,Tabla1[SERVICIO],Tabla1[VALOR]*D37),0))</f>
        <v>0</v>
      </c>
      <c r="F37" s="14"/>
      <c r="G37" s="56" cm="1">
        <f t="array" ref="G37">IF(F37="X",(_xlfn.XLOOKUP($B37,Tabla1[SERVICIO],Tabla1[VALOR])*1),IF(F37&gt;=1,_xlfn.XLOOKUP($B37,Tabla1[SERVICIO],Tabla1[VALOR]*F37),0))</f>
        <v>0</v>
      </c>
      <c r="H37" s="14"/>
      <c r="I37" s="56" cm="1">
        <f t="array" ref="I37">IF(H37="X",(_xlfn.XLOOKUP($B37,Tabla1[SERVICIO],Tabla1[VALOR])*1),IF(H37&gt;=1,_xlfn.XLOOKUP($B37,Tabla1[SERVICIO],Tabla1[VALOR]*H37),0))</f>
        <v>0</v>
      </c>
      <c r="J37" s="14"/>
      <c r="K37" s="56" cm="1">
        <f t="array" ref="K37">IF(J37="X",(_xlfn.XLOOKUP($B37,Tabla1[SERVICIO],Tabla1[VALOR])*1),IF(J37&gt;=1,_xlfn.XLOOKUP($B37,Tabla1[SERVICIO],Tabla1[VALOR]*J37),0))</f>
        <v>0</v>
      </c>
      <c r="L37" s="14"/>
      <c r="M37" s="56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6" cm="1">
        <f t="array" ref="O37">IF(N37="X",(_xlfn.XLOOKUP($B37,Tabla1[SERVICIO],Tabla1[VALOR])*1),IF(N37&gt;=1,_xlfn.XLOOKUP($B37,Tabla1[SERVICIO],Tabla1[VALOR]*N37),0))</f>
        <v>22052.520800552971</v>
      </c>
      <c r="P37" s="14"/>
      <c r="Q37" s="56" cm="1">
        <f t="array" ref="Q37">IF(P37="X",(_xlfn.XLOOKUP($B37,Tabla1[SERVICIO],Tabla1[VALOR])*1),IF(P37&gt;=1,_xlfn.XLOOKUP($B37,Tabla1[SERVICIO],Tabla1[VALOR]*P37),0))</f>
        <v>0</v>
      </c>
      <c r="R37" s="14"/>
      <c r="S37" s="56" cm="1">
        <f t="array" ref="S37">IF(R37="X",(_xlfn.XLOOKUP($B37,Tabla1[SERVICIO],Tabla1[VALOR])*1),IF(R37&gt;=1,_xlfn.XLOOKUP($B37,Tabla1[SERVICIO],Tabla1[VALOR]*R37),0))</f>
        <v>0</v>
      </c>
      <c r="T37" s="14"/>
      <c r="U37" s="56" cm="1">
        <f t="array" ref="U37">IF(T37="X",(_xlfn.XLOOKUP($B37,Tabla1[SERVICIO],Tabla1[VALOR])*1),IF(T37&gt;=1,_xlfn.XLOOKUP($B37,Tabla1[SERVICIO],Tabla1[VALOR]*T37),0))</f>
        <v>0</v>
      </c>
      <c r="V37" s="14"/>
      <c r="W37" s="56" cm="1">
        <f t="array" ref="W37">IF(V37="X",(_xlfn.XLOOKUP($B37,Tabla1[SERVICIO],Tabla1[VALOR])*1),IF(V37&gt;=1,_xlfn.XLOOKUP($B37,Tabla1[SERVICIO],Tabla1[VALOR]*V37),0))</f>
        <v>0</v>
      </c>
      <c r="X37" s="14"/>
      <c r="Y37" s="56" cm="1">
        <f t="array" ref="Y37">IF(X37="X",(_xlfn.XLOOKUP($B37,Tabla1[SERVICIO],Tabla1[VALOR])*1),IF(X37&gt;=1,_xlfn.XLOOKUP($B37,Tabla1[SERVICIO],Tabla1[VALOR]*X37),0))</f>
        <v>0</v>
      </c>
      <c r="Z37" s="14"/>
      <c r="AA37" s="56" cm="1">
        <f t="array" ref="AA37">IF(Z37="X",(_xlfn.XLOOKUP($B37,Tabla1[SERVICIO],Tabla1[VALOR])*1),IF(Z37&gt;=1,_xlfn.XLOOKUP($B37,Tabla1[SERVICIO],Tabla1[VALOR]*Z37),0))</f>
        <v>0</v>
      </c>
      <c r="AB37" s="14"/>
      <c r="AC37" s="56" cm="1">
        <f t="array" ref="AC37">IF(AB37="X",(_xlfn.XLOOKUP($B37,Tabla1[SERVICIO],Tabla1[VALOR])*1),IF(AB37&gt;=1,_xlfn.XLOOKUP($B37,Tabla1[SERVICIO],Tabla1[VALOR]*AB37),0))</f>
        <v>0</v>
      </c>
      <c r="AD37" s="14"/>
      <c r="AE37" s="56" cm="1">
        <f t="array" ref="AE37">IF(AD37="X",(_xlfn.XLOOKUP($B37,Tabla1[SERVICIO],Tabla1[VALOR])*1),IF(AD37&gt;=1,_xlfn.XLOOKUP($B37,Tabla1[SERVICIO],Tabla1[VALOR]*AD37),0))</f>
        <v>0</v>
      </c>
      <c r="AF37" s="14"/>
      <c r="AG37" s="56" cm="1">
        <f t="array" ref="AG37">IF(AF37="X",(_xlfn.XLOOKUP($B37,Tabla1[SERVICIO],Tabla1[VALOR])*1),IF(AF37&gt;=1,_xlfn.XLOOKUP($B37,Tabla1[SERVICIO],Tabla1[VALOR]*AF37),0))</f>
        <v>0</v>
      </c>
      <c r="AH37" s="14"/>
      <c r="AI37" s="56" cm="1">
        <f t="array" ref="AI37">IF(AH37="X",(_xlfn.XLOOKUP($B37,Tabla1[SERVICIO],Tabla1[VALOR])*1),IF(AH37&gt;=1,_xlfn.XLOOKUP($B37,Tabla1[SERVICIO],Tabla1[VALOR]*AH37),0))</f>
        <v>0</v>
      </c>
      <c r="AJ37" s="14"/>
      <c r="AK37" s="56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6" cm="1">
        <f t="array" ref="AM37">IF(AL37="X",(_xlfn.XLOOKUP($B37,Tabla1[SERVICIO],Tabla1[VALOR])*1),IF(AL37&gt;=1,_xlfn.XLOOKUP($B37,Tabla1[SERVICIO],Tabla1[VALOR]*AL37),0))</f>
        <v>22052.520800552971</v>
      </c>
      <c r="AN37" s="89">
        <f t="shared" si="1"/>
        <v>44105.041601105942</v>
      </c>
      <c r="AO37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37" s="104" t="s">
        <v>318</v>
      </c>
      <c r="AQ37" s="154">
        <v>1</v>
      </c>
      <c r="AR37" s="90">
        <f>+Tabla21839[[#This Row],[TOTAL]]*Tabla21839[[#This Row],[% de las personas que lo usaron]]</f>
        <v>44105.041601105942</v>
      </c>
      <c r="AS37" s="242" t="s">
        <v>353</v>
      </c>
      <c r="AT37" s="338">
        <v>18</v>
      </c>
    </row>
    <row r="38" spans="1:46" ht="15" x14ac:dyDescent="0.25">
      <c r="A38" s="7" t="s">
        <v>74</v>
      </c>
      <c r="B38" s="8" t="s">
        <v>75</v>
      </c>
      <c r="C38" s="96" t="str">
        <f>_xlfn.XLOOKUP(Tabla21839[[#This Row],[Servicios del Programa:]],Tabla151[CODIGO],Tabla151[VALOR])</f>
        <v>Consultas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19368.008636848015</v>
      </c>
      <c r="F38" s="14"/>
      <c r="G38" s="56" cm="1">
        <f t="array" ref="G38">IF(F38="X",(_xlfn.XLOOKUP($B38,Tabla1[SERVICIO],Tabla1[VALOR])*1),IF(F38&gt;=1,_xlfn.XLOOKUP($B38,Tabla1[SERVICIO],Tabla1[VALOR]*F38),0))</f>
        <v>0</v>
      </c>
      <c r="H38" s="14"/>
      <c r="I38" s="56" cm="1">
        <f t="array" ref="I38">IF(H38="X",(_xlfn.XLOOKUP($B38,Tabla1[SERVICIO],Tabla1[VALOR])*1),IF(H38&gt;=1,_xlfn.XLOOKUP($B38,Tabla1[SERVICIO],Tabla1[VALOR]*H38),0))</f>
        <v>0</v>
      </c>
      <c r="J38" s="14"/>
      <c r="K38" s="56" cm="1">
        <f t="array" ref="K38">IF(J38="X",(_xlfn.XLOOKUP($B38,Tabla1[SERVICIO],Tabla1[VALOR])*1),IF(J38&gt;=1,_xlfn.XLOOKUP($B38,Tabla1[SERVICIO],Tabla1[VALOR]*J38),0))</f>
        <v>0</v>
      </c>
      <c r="L38" s="14"/>
      <c r="M38" s="56" cm="1">
        <f t="array" ref="M38">IF(L38="X",(_xlfn.XLOOKUP($B38,Tabla1[SERVICIO],Tabla1[VALOR])*1),IF(L38&gt;=1,_xlfn.XLOOKUP($B38,Tabla1[SERVICIO],Tabla1[VALOR]*L38),0))</f>
        <v>0</v>
      </c>
      <c r="N38" s="14"/>
      <c r="O38" s="56" cm="1">
        <f t="array" ref="O38">IF(N38="X",(_xlfn.XLOOKUP($B38,Tabla1[SERVICIO],Tabla1[VALOR])*1),IF(N38&gt;=1,_xlfn.XLOOKUP($B38,Tabla1[SERVICIO],Tabla1[VALOR]*N38),0))</f>
        <v>0</v>
      </c>
      <c r="P38" s="14"/>
      <c r="Q38" s="56" cm="1">
        <f t="array" ref="Q38">IF(P38="X",(_xlfn.XLOOKUP($B38,Tabla1[SERVICIO],Tabla1[VALOR])*1),IF(P38&gt;=1,_xlfn.XLOOKUP($B38,Tabla1[SERVICIO],Tabla1[VALOR]*P38),0))</f>
        <v>0</v>
      </c>
      <c r="R38" s="14"/>
      <c r="S38" s="56" cm="1">
        <f t="array" ref="S38">IF(R38="X",(_xlfn.XLOOKUP($B38,Tabla1[SERVICIO],Tabla1[VALOR])*1),IF(R38&gt;=1,_xlfn.XLOOKUP($B38,Tabla1[SERVICIO],Tabla1[VALOR]*R38),0))</f>
        <v>0</v>
      </c>
      <c r="T38" s="14"/>
      <c r="U38" s="56" cm="1">
        <f t="array" ref="U38">IF(T38="X",(_xlfn.XLOOKUP($B38,Tabla1[SERVICIO],Tabla1[VALOR])*1),IF(T38&gt;=1,_xlfn.XLOOKUP($B38,Tabla1[SERVICIO],Tabla1[VALOR]*T38),0))</f>
        <v>0</v>
      </c>
      <c r="V38" s="14"/>
      <c r="W38" s="56" cm="1">
        <f t="array" ref="W38">IF(V38="X",(_xlfn.XLOOKUP($B38,Tabla1[SERVICIO],Tabla1[VALOR])*1),IF(V38&gt;=1,_xlfn.XLOOKUP($B38,Tabla1[SERVICIO],Tabla1[VALOR]*V38),0))</f>
        <v>0</v>
      </c>
      <c r="X38" s="14"/>
      <c r="Y38" s="56" cm="1">
        <f t="array" ref="Y38">IF(X38="X",(_xlfn.XLOOKUP($B38,Tabla1[SERVICIO],Tabla1[VALOR])*1),IF(X38&gt;=1,_xlfn.XLOOKUP($B38,Tabla1[SERVICIO],Tabla1[VALOR]*X38),0))</f>
        <v>0</v>
      </c>
      <c r="Z38" s="14"/>
      <c r="AA38" s="56" cm="1">
        <f t="array" ref="AA38">IF(Z38="X",(_xlfn.XLOOKUP($B38,Tabla1[SERVICIO],Tabla1[VALOR])*1),IF(Z38&gt;=1,_xlfn.XLOOKUP($B38,Tabla1[SERVICIO],Tabla1[VALOR]*Z38),0))</f>
        <v>0</v>
      </c>
      <c r="AB38" s="14"/>
      <c r="AC38" s="56" cm="1">
        <f t="array" ref="AC38">IF(AB38="X",(_xlfn.XLOOKUP($B38,Tabla1[SERVICIO],Tabla1[VALOR])*1),IF(AB38&gt;=1,_xlfn.XLOOKUP($B38,Tabla1[SERVICIO],Tabla1[VALOR]*AB38),0))</f>
        <v>0</v>
      </c>
      <c r="AD38" s="14"/>
      <c r="AE38" s="56" cm="1">
        <f t="array" ref="AE38">IF(AD38="X",(_xlfn.XLOOKUP($B38,Tabla1[SERVICIO],Tabla1[VALOR])*1),IF(AD38&gt;=1,_xlfn.XLOOKUP($B38,Tabla1[SERVICIO],Tabla1[VALOR]*AD38),0))</f>
        <v>0</v>
      </c>
      <c r="AF38" s="14"/>
      <c r="AG38" s="56" cm="1">
        <f t="array" ref="AG38">IF(AF38="X",(_xlfn.XLOOKUP($B38,Tabla1[SERVICIO],Tabla1[VALOR])*1),IF(AF38&gt;=1,_xlfn.XLOOKUP($B38,Tabla1[SERVICIO],Tabla1[VALOR]*AF38),0))</f>
        <v>0</v>
      </c>
      <c r="AH38" s="14"/>
      <c r="AI38" s="56" cm="1">
        <f t="array" ref="AI38">IF(AH38="X",(_xlfn.XLOOKUP($B38,Tabla1[SERVICIO],Tabla1[VALOR])*1),IF(AH38&gt;=1,_xlfn.XLOOKUP($B38,Tabla1[SERVICIO],Tabla1[VALOR]*AH38),0))</f>
        <v>0</v>
      </c>
      <c r="AJ38" s="14"/>
      <c r="AK38" s="56" cm="1">
        <f t="array" ref="AK38">IF(AJ38="X",(_xlfn.XLOOKUP($B38,Tabla1[SERVICIO],Tabla1[VALOR])*1),IF(AJ38&gt;=1,_xlfn.XLOOKUP($B38,Tabla1[SERVICIO],Tabla1[VALOR]*AJ38),0))</f>
        <v>0</v>
      </c>
      <c r="AL38" s="14"/>
      <c r="AM38" s="56" cm="1">
        <f t="array" ref="AM38">IF(AL38="X",(_xlfn.XLOOKUP($B38,Tabla1[SERVICIO],Tabla1[VALOR])*1),IF(AL38&gt;=1,_xlfn.XLOOKUP($B38,Tabla1[SERVICIO],Tabla1[VALOR]*AL38),0))</f>
        <v>0</v>
      </c>
      <c r="AN38" s="89">
        <f t="shared" si="1"/>
        <v>19368.008636848015</v>
      </c>
      <c r="AO38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8" s="104" t="s">
        <v>319</v>
      </c>
      <c r="AQ38" s="161">
        <v>0</v>
      </c>
      <c r="AR38" s="90">
        <f>+Tabla21839[[#This Row],[TOTAL]]*Tabla21839[[#This Row],[% de las personas que lo usaron]]</f>
        <v>0</v>
      </c>
      <c r="AS38" s="242" t="s">
        <v>353</v>
      </c>
      <c r="AT38" s="338">
        <v>18</v>
      </c>
    </row>
    <row r="39" spans="1:46" ht="15" x14ac:dyDescent="0.25">
      <c r="A39" s="7" t="s">
        <v>23</v>
      </c>
      <c r="B39" s="8" t="s">
        <v>24</v>
      </c>
      <c r="C39" s="96" t="str">
        <f>_xlfn.XLOOKUP(Tabla21839[[#This Row],[Servicios del Programa:]],Tabla151[CODIGO],Tabla151[VALOR])</f>
        <v>Terapias</v>
      </c>
      <c r="D39" s="14">
        <v>1</v>
      </c>
      <c r="E39" s="56" cm="1">
        <f t="array" ref="E39">IF(D39="X",(_xlfn.XLOOKUP($B39,Tabla1[SERVICIO],Tabla1[VALOR])*1),IF(D39&gt;=1,_xlfn.XLOOKUP($B39,Tabla1[SERVICIO],Tabla1[VALOR]*D39),0))</f>
        <v>31881.451880098426</v>
      </c>
      <c r="F39" s="14"/>
      <c r="G39" s="56" cm="1">
        <f t="array" ref="G39">IF(F39="X",(_xlfn.XLOOKUP($B39,Tabla1[SERVICIO],Tabla1[VALOR])*1),IF(F39&gt;=1,_xlfn.XLOOKUP($B39,Tabla1[SERVICIO],Tabla1[VALOR]*F39),0))</f>
        <v>0</v>
      </c>
      <c r="H39" s="14"/>
      <c r="I39" s="56" cm="1">
        <f t="array" ref="I39">IF(H39="X",(_xlfn.XLOOKUP($B39,Tabla1[SERVICIO],Tabla1[VALOR])*1),IF(H39&gt;=1,_xlfn.XLOOKUP($B39,Tabla1[SERVICIO],Tabla1[VALOR]*H39),0))</f>
        <v>0</v>
      </c>
      <c r="J39" s="14"/>
      <c r="K39" s="56" cm="1">
        <f t="array" ref="K39">IF(J39="X",(_xlfn.XLOOKUP($B39,Tabla1[SERVICIO],Tabla1[VALOR])*1),IF(J39&gt;=1,_xlfn.XLOOKUP($B39,Tabla1[SERVICIO],Tabla1[VALOR]*J39),0))</f>
        <v>0</v>
      </c>
      <c r="L39" s="14"/>
      <c r="M39" s="56" cm="1">
        <f t="array" ref="M39">IF(L39="X",(_xlfn.XLOOKUP($B39,Tabla1[SERVICIO],Tabla1[VALOR])*1),IF(L39&gt;=1,_xlfn.XLOOKUP($B39,Tabla1[SERVICIO],Tabla1[VALOR]*L39),0))</f>
        <v>0</v>
      </c>
      <c r="N39" s="14"/>
      <c r="O39" s="56" cm="1">
        <f t="array" ref="O39">IF(N39="X",(_xlfn.XLOOKUP($B39,Tabla1[SERVICIO],Tabla1[VALOR])*1),IF(N39&gt;=1,_xlfn.XLOOKUP($B39,Tabla1[SERVICIO],Tabla1[VALOR]*N39),0))</f>
        <v>0</v>
      </c>
      <c r="P39" s="14"/>
      <c r="Q39" s="56" cm="1">
        <f t="array" ref="Q39">IF(P39="X",(_xlfn.XLOOKUP($B39,Tabla1[SERVICIO],Tabla1[VALOR])*1),IF(P39&gt;=1,_xlfn.XLOOKUP($B39,Tabla1[SERVICIO],Tabla1[VALOR]*P39),0))</f>
        <v>0</v>
      </c>
      <c r="R39" s="14"/>
      <c r="S39" s="56" cm="1">
        <f t="array" ref="S39">IF(R39="X",(_xlfn.XLOOKUP($B39,Tabla1[SERVICIO],Tabla1[VALOR])*1),IF(R39&gt;=1,_xlfn.XLOOKUP($B39,Tabla1[SERVICIO],Tabla1[VALOR]*R39),0))</f>
        <v>0</v>
      </c>
      <c r="T39" s="14"/>
      <c r="U39" s="56" cm="1">
        <f t="array" ref="U39">IF(T39="X",(_xlfn.XLOOKUP($B39,Tabla1[SERVICIO],Tabla1[VALOR])*1),IF(T39&gt;=1,_xlfn.XLOOKUP($B39,Tabla1[SERVICIO],Tabla1[VALOR]*T39),0))</f>
        <v>0</v>
      </c>
      <c r="V39" s="14"/>
      <c r="W39" s="56" cm="1">
        <f t="array" ref="W39">IF(V39="X",(_xlfn.XLOOKUP($B39,Tabla1[SERVICIO],Tabla1[VALOR])*1),IF(V39&gt;=1,_xlfn.XLOOKUP($B39,Tabla1[SERVICIO],Tabla1[VALOR]*V39),0))</f>
        <v>0</v>
      </c>
      <c r="X39" s="14"/>
      <c r="Y39" s="56" cm="1">
        <f t="array" ref="Y39">IF(X39="X",(_xlfn.XLOOKUP($B39,Tabla1[SERVICIO],Tabla1[VALOR])*1),IF(X39&gt;=1,_xlfn.XLOOKUP($B39,Tabla1[SERVICIO],Tabla1[VALOR]*X39),0))</f>
        <v>0</v>
      </c>
      <c r="Z39" s="14"/>
      <c r="AA39" s="56" cm="1">
        <f t="array" ref="AA39">IF(Z39="X",(_xlfn.XLOOKUP($B39,Tabla1[SERVICIO],Tabla1[VALOR])*1),IF(Z39&gt;=1,_xlfn.XLOOKUP($B39,Tabla1[SERVICIO],Tabla1[VALOR]*Z39),0))</f>
        <v>0</v>
      </c>
      <c r="AB39" s="14"/>
      <c r="AC39" s="56" cm="1">
        <f t="array" ref="AC39">IF(AB39="X",(_xlfn.XLOOKUP($B39,Tabla1[SERVICIO],Tabla1[VALOR])*1),IF(AB39&gt;=1,_xlfn.XLOOKUP($B39,Tabla1[SERVICIO],Tabla1[VALOR]*AB39),0))</f>
        <v>0</v>
      </c>
      <c r="AD39" s="14"/>
      <c r="AE39" s="56" cm="1">
        <f t="array" ref="AE39">IF(AD39="X",(_xlfn.XLOOKUP($B39,Tabla1[SERVICIO],Tabla1[VALOR])*1),IF(AD39&gt;=1,_xlfn.XLOOKUP($B39,Tabla1[SERVICIO],Tabla1[VALOR]*AD39),0))</f>
        <v>0</v>
      </c>
      <c r="AF39" s="14"/>
      <c r="AG39" s="56" cm="1">
        <f t="array" ref="AG39">IF(AF39="X",(_xlfn.XLOOKUP($B39,Tabla1[SERVICIO],Tabla1[VALOR])*1),IF(AF39&gt;=1,_xlfn.XLOOKUP($B39,Tabla1[SERVICIO],Tabla1[VALOR]*AF39),0))</f>
        <v>0</v>
      </c>
      <c r="AH39" s="14"/>
      <c r="AI39" s="56" cm="1">
        <f t="array" ref="AI39">IF(AH39="X",(_xlfn.XLOOKUP($B39,Tabla1[SERVICIO],Tabla1[VALOR])*1),IF(AH39&gt;=1,_xlfn.XLOOKUP($B39,Tabla1[SERVICIO],Tabla1[VALOR]*AH39),0))</f>
        <v>0</v>
      </c>
      <c r="AJ39" s="14"/>
      <c r="AK39" s="56" cm="1">
        <f t="array" ref="AK39">IF(AJ39="X",(_xlfn.XLOOKUP($B39,Tabla1[SERVICIO],Tabla1[VALOR])*1),IF(AJ39&gt;=1,_xlfn.XLOOKUP($B39,Tabla1[SERVICIO],Tabla1[VALOR]*AJ39),0))</f>
        <v>0</v>
      </c>
      <c r="AL39" s="14"/>
      <c r="AM39" s="56" cm="1">
        <f t="array" ref="AM39">IF(AL39="X",(_xlfn.XLOOKUP($B39,Tabla1[SERVICIO],Tabla1[VALOR])*1),IF(AL39&gt;=1,_xlfn.XLOOKUP($B39,Tabla1[SERVICIO],Tabla1[VALOR]*AL39),0))</f>
        <v>0</v>
      </c>
      <c r="AN39" s="89">
        <f t="shared" si="1"/>
        <v>31881.451880098426</v>
      </c>
      <c r="AO39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9" s="104" t="s">
        <v>318</v>
      </c>
      <c r="AQ39" s="154">
        <v>1</v>
      </c>
      <c r="AR39" s="90">
        <f>+Tabla21839[[#This Row],[TOTAL]]*Tabla21839[[#This Row],[% de las personas que lo usaron]]</f>
        <v>31881.451880098426</v>
      </c>
      <c r="AS39" s="242" t="s">
        <v>353</v>
      </c>
      <c r="AT39" s="338">
        <v>18</v>
      </c>
    </row>
    <row r="40" spans="1:46" ht="15" x14ac:dyDescent="0.25">
      <c r="A40" s="7" t="s">
        <v>36</v>
      </c>
      <c r="B40" s="8" t="s">
        <v>100</v>
      </c>
      <c r="C40" s="96" t="str">
        <f>_xlfn.XLOOKUP(Tabla21839[[#This Row],[Servicios del Programa:]],Tabla151[CODIGO],Tabla151[VALOR])</f>
        <v>Terapias</v>
      </c>
      <c r="D40" s="102">
        <v>8</v>
      </c>
      <c r="E40" s="56" cm="1">
        <f t="array" ref="E40">IF(D40="X",(_xlfn.XLOOKUP($B40,Tabla1[SERVICIO],Tabla1[VALOR])*1),IF(D40&gt;=1,_xlfn.XLOOKUP($B40,Tabla1[SERVICIO],Tabla1[VALOR]*D40),0))</f>
        <v>70240.958933331596</v>
      </c>
      <c r="F40" s="102">
        <v>8</v>
      </c>
      <c r="G40" s="56" cm="1">
        <f t="array" ref="G40">IF(F40="X",(_xlfn.XLOOKUP($B40,Tabla1[SERVICIO],Tabla1[VALOR])*1),IF(F40&gt;=1,_xlfn.XLOOKUP($B40,Tabla1[SERVICIO],Tabla1[VALOR]*F40),0))</f>
        <v>70240.958933331596</v>
      </c>
      <c r="H40" s="102">
        <v>8</v>
      </c>
      <c r="I40" s="56" cm="1">
        <f t="array" ref="I40">IF(H40="X",(_xlfn.XLOOKUP($B40,Tabla1[SERVICIO],Tabla1[VALOR])*1),IF(H40&gt;=1,_xlfn.XLOOKUP($B40,Tabla1[SERVICIO],Tabla1[VALOR]*H40),0))</f>
        <v>70240.958933331596</v>
      </c>
      <c r="J40" s="102">
        <v>8</v>
      </c>
      <c r="K40" s="56" cm="1">
        <f t="array" ref="K40">IF(J40="X",(_xlfn.XLOOKUP($B40,Tabla1[SERVICIO],Tabla1[VALOR])*1),IF(J40&gt;=1,_xlfn.XLOOKUP($B40,Tabla1[SERVICIO],Tabla1[VALOR]*J40),0))</f>
        <v>70240.958933331596</v>
      </c>
      <c r="L40" s="102">
        <v>8</v>
      </c>
      <c r="M40" s="56" cm="1">
        <f t="array" ref="M40">IF(L40="X",(_xlfn.XLOOKUP($B40,Tabla1[SERVICIO],Tabla1[VALOR])*1),IF(L40&gt;=1,_xlfn.XLOOKUP($B40,Tabla1[SERVICIO],Tabla1[VALOR]*L40),0))</f>
        <v>70240.958933331596</v>
      </c>
      <c r="N40" s="102">
        <v>8</v>
      </c>
      <c r="O40" s="56" cm="1">
        <f t="array" ref="O40">IF(N40="X",(_xlfn.XLOOKUP($B40,Tabla1[SERVICIO],Tabla1[VALOR])*1),IF(N40&gt;=1,_xlfn.XLOOKUP($B40,Tabla1[SERVICIO],Tabla1[VALOR]*N40),0))</f>
        <v>70240.958933331596</v>
      </c>
      <c r="P40" s="102">
        <v>8</v>
      </c>
      <c r="Q40" s="56" cm="1">
        <f t="array" ref="Q40">IF(P40="X",(_xlfn.XLOOKUP($B40,Tabla1[SERVICIO],Tabla1[VALOR])*1),IF(P40&gt;=1,_xlfn.XLOOKUP($B40,Tabla1[SERVICIO],Tabla1[VALOR]*P40),0))</f>
        <v>70240.958933331596</v>
      </c>
      <c r="R40" s="102">
        <v>8</v>
      </c>
      <c r="S40" s="56" cm="1">
        <f t="array" ref="S40">IF(R40="X",(_xlfn.XLOOKUP($B40,Tabla1[SERVICIO],Tabla1[VALOR])*1),IF(R40&gt;=1,_xlfn.XLOOKUP($B40,Tabla1[SERVICIO],Tabla1[VALOR]*R40),0))</f>
        <v>70240.958933331596</v>
      </c>
      <c r="T40" s="102">
        <v>8</v>
      </c>
      <c r="U40" s="56" cm="1">
        <f t="array" ref="U40">IF(T40="X",(_xlfn.XLOOKUP($B40,Tabla1[SERVICIO],Tabla1[VALOR])*1),IF(T40&gt;=1,_xlfn.XLOOKUP($B40,Tabla1[SERVICIO],Tabla1[VALOR]*T40),0))</f>
        <v>70240.958933331596</v>
      </c>
      <c r="V40" s="102">
        <v>8</v>
      </c>
      <c r="W40" s="56" cm="1">
        <f t="array" ref="W40">IF(V40="X",(_xlfn.XLOOKUP($B40,Tabla1[SERVICIO],Tabla1[VALOR])*1),IF(V40&gt;=1,_xlfn.XLOOKUP($B40,Tabla1[SERVICIO],Tabla1[VALOR]*V40),0))</f>
        <v>70240.958933331596</v>
      </c>
      <c r="X40" s="102">
        <v>8</v>
      </c>
      <c r="Y40" s="56" cm="1">
        <f t="array" ref="Y40">IF(X40="X",(_xlfn.XLOOKUP($B40,Tabla1[SERVICIO],Tabla1[VALOR])*1),IF(X40&gt;=1,_xlfn.XLOOKUP($B40,Tabla1[SERVICIO],Tabla1[VALOR]*X40),0))</f>
        <v>70240.958933331596</v>
      </c>
      <c r="Z40" s="102">
        <v>8</v>
      </c>
      <c r="AA40" s="56" cm="1">
        <f t="array" ref="AA40">IF(Z40="X",(_xlfn.XLOOKUP($B40,Tabla1[SERVICIO],Tabla1[VALOR])*1),IF(Z40&gt;=1,_xlfn.XLOOKUP($B40,Tabla1[SERVICIO],Tabla1[VALOR]*Z40),0))</f>
        <v>70240.958933331596</v>
      </c>
      <c r="AB40" s="102">
        <v>8</v>
      </c>
      <c r="AC40" s="56" cm="1">
        <f t="array" ref="AC40">IF(AB40="X",(_xlfn.XLOOKUP($B40,Tabla1[SERVICIO],Tabla1[VALOR])*1),IF(AB40&gt;=1,_xlfn.XLOOKUP($B40,Tabla1[SERVICIO],Tabla1[VALOR]*AB40),0))</f>
        <v>70240.958933331596</v>
      </c>
      <c r="AD40" s="102">
        <v>8</v>
      </c>
      <c r="AE40" s="56" cm="1">
        <f t="array" ref="AE40">IF(AD40="X",(_xlfn.XLOOKUP($B40,Tabla1[SERVICIO],Tabla1[VALOR])*1),IF(AD40&gt;=1,_xlfn.XLOOKUP($B40,Tabla1[SERVICIO],Tabla1[VALOR]*AD40),0))</f>
        <v>70240.958933331596</v>
      </c>
      <c r="AF40" s="102">
        <v>8</v>
      </c>
      <c r="AG40" s="56" cm="1">
        <f t="array" ref="AG40">IF(AF40="X",(_xlfn.XLOOKUP($B40,Tabla1[SERVICIO],Tabla1[VALOR])*1),IF(AF40&gt;=1,_xlfn.XLOOKUP($B40,Tabla1[SERVICIO],Tabla1[VALOR]*AF40),0))</f>
        <v>70240.958933331596</v>
      </c>
      <c r="AH40" s="102">
        <v>8</v>
      </c>
      <c r="AI40" s="56" cm="1">
        <f t="array" ref="AI40">IF(AH40="X",(_xlfn.XLOOKUP($B40,Tabla1[SERVICIO],Tabla1[VALOR])*1),IF(AH40&gt;=1,_xlfn.XLOOKUP($B40,Tabla1[SERVICIO],Tabla1[VALOR]*AH40),0))</f>
        <v>70240.958933331596</v>
      </c>
      <c r="AJ40" s="102">
        <v>8</v>
      </c>
      <c r="AK40" s="56" cm="1">
        <f t="array" ref="AK40">IF(AJ40="X",(_xlfn.XLOOKUP($B40,Tabla1[SERVICIO],Tabla1[VALOR])*1),IF(AJ40&gt;=1,_xlfn.XLOOKUP($B40,Tabla1[SERVICIO],Tabla1[VALOR]*AJ40),0))</f>
        <v>70240.958933331596</v>
      </c>
      <c r="AL40" s="102">
        <v>8</v>
      </c>
      <c r="AM40" s="56" cm="1">
        <f t="array" ref="AM40">IF(AL40="X",(_xlfn.XLOOKUP($B40,Tabla1[SERVICIO],Tabla1[VALOR])*1),IF(AL40&gt;=1,_xlfn.XLOOKUP($B40,Tabla1[SERVICIO],Tabla1[VALOR]*AL40),0))</f>
        <v>70240.958933331596</v>
      </c>
      <c r="AN40" s="89">
        <f t="shared" si="1"/>
        <v>1264337.2607999684</v>
      </c>
      <c r="AO40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144</v>
      </c>
      <c r="AP40" s="104" t="s">
        <v>318</v>
      </c>
      <c r="AQ40" s="154">
        <v>1</v>
      </c>
      <c r="AR40" s="90">
        <f>+Tabla21839[[#This Row],[TOTAL]]*Tabla21839[[#This Row],[% de las personas que lo usaron]]</f>
        <v>1264337.2607999684</v>
      </c>
      <c r="AS40" s="242" t="s">
        <v>353</v>
      </c>
      <c r="AT40" s="338">
        <v>18</v>
      </c>
    </row>
    <row r="41" spans="1:46" ht="15" x14ac:dyDescent="0.25">
      <c r="A41" s="7" t="s">
        <v>11</v>
      </c>
      <c r="B41" s="8" t="s">
        <v>122</v>
      </c>
      <c r="C41" s="96" t="str">
        <f>_xlfn.XLOOKUP(Tabla21839[[#This Row],[Servicios del Programa:]],Tabla151[CODIGO],Tabla151[VALOR])</f>
        <v>Educacion</v>
      </c>
      <c r="D41" s="14">
        <v>2</v>
      </c>
      <c r="E41" s="56" cm="1">
        <f t="array" ref="E41">IF(D41="X",(_xlfn.XLOOKUP($B41,Tabla1[SERVICIO],Tabla1[VALOR])*1),IF(D41&gt;=1,_xlfn.XLOOKUP($B41,Tabla1[SERVICIO],Tabla1[VALOR]*D41),0))</f>
        <v>25486.843284439274</v>
      </c>
      <c r="F41" s="14">
        <v>2</v>
      </c>
      <c r="G41" s="56" cm="1">
        <f t="array" ref="G41">IF(F41="X",(_xlfn.XLOOKUP($B41,Tabla1[SERVICIO],Tabla1[VALOR])*1),IF(F41&gt;=1,_xlfn.XLOOKUP($B41,Tabla1[SERVICIO],Tabla1[VALOR]*F41),0))</f>
        <v>25486.843284439274</v>
      </c>
      <c r="H41" s="14">
        <v>2</v>
      </c>
      <c r="I41" s="56" cm="1">
        <f t="array" ref="I41">IF(H41="X",(_xlfn.XLOOKUP($B41,Tabla1[SERVICIO],Tabla1[VALOR])*1),IF(H41&gt;=1,_xlfn.XLOOKUP($B41,Tabla1[SERVICIO],Tabla1[VALOR]*H41),0))</f>
        <v>25486.843284439274</v>
      </c>
      <c r="J41" s="14">
        <v>2</v>
      </c>
      <c r="K41" s="56" cm="1">
        <f t="array" ref="K41">IF(J41="X",(_xlfn.XLOOKUP($B41,Tabla1[SERVICIO],Tabla1[VALOR])*1),IF(J41&gt;=1,_xlfn.XLOOKUP($B41,Tabla1[SERVICIO],Tabla1[VALOR]*J41),0))</f>
        <v>25486.843284439274</v>
      </c>
      <c r="L41" s="14">
        <v>2</v>
      </c>
      <c r="M41" s="56" cm="1">
        <f t="array" ref="M41">IF(L41="X",(_xlfn.XLOOKUP($B41,Tabla1[SERVICIO],Tabla1[VALOR])*1),IF(L41&gt;=1,_xlfn.XLOOKUP($B41,Tabla1[SERVICIO],Tabla1[VALOR]*L41),0))</f>
        <v>25486.843284439274</v>
      </c>
      <c r="N41" s="14">
        <v>2</v>
      </c>
      <c r="O41" s="56" cm="1">
        <f t="array" ref="O41">IF(N41="X",(_xlfn.XLOOKUP($B41,Tabla1[SERVICIO],Tabla1[VALOR])*1),IF(N41&gt;=1,_xlfn.XLOOKUP($B41,Tabla1[SERVICIO],Tabla1[VALOR]*N41),0))</f>
        <v>25486.843284439274</v>
      </c>
      <c r="P41" s="14">
        <v>2</v>
      </c>
      <c r="Q41" s="56" cm="1">
        <f t="array" ref="Q41">IF(P41="X",(_xlfn.XLOOKUP($B41,Tabla1[SERVICIO],Tabla1[VALOR])*1),IF(P41&gt;=1,_xlfn.XLOOKUP($B41,Tabla1[SERVICIO],Tabla1[VALOR]*P41),0))</f>
        <v>25486.843284439274</v>
      </c>
      <c r="R41" s="14">
        <v>2</v>
      </c>
      <c r="S41" s="56" cm="1">
        <f t="array" ref="S41">IF(R41="X",(_xlfn.XLOOKUP($B41,Tabla1[SERVICIO],Tabla1[VALOR])*1),IF(R41&gt;=1,_xlfn.XLOOKUP($B41,Tabla1[SERVICIO],Tabla1[VALOR]*R41),0))</f>
        <v>25486.843284439274</v>
      </c>
      <c r="T41" s="14">
        <v>2</v>
      </c>
      <c r="U41" s="56" cm="1">
        <f t="array" ref="U41">IF(T41="X",(_xlfn.XLOOKUP($B41,Tabla1[SERVICIO],Tabla1[VALOR])*1),IF(T41&gt;=1,_xlfn.XLOOKUP($B41,Tabla1[SERVICIO],Tabla1[VALOR]*T41),0))</f>
        <v>25486.843284439274</v>
      </c>
      <c r="V41" s="14">
        <v>2</v>
      </c>
      <c r="W41" s="56" cm="1">
        <f t="array" ref="W41">IF(V41="X",(_xlfn.XLOOKUP($B41,Tabla1[SERVICIO],Tabla1[VALOR])*1),IF(V41&gt;=1,_xlfn.XLOOKUP($B41,Tabla1[SERVICIO],Tabla1[VALOR]*V41),0))</f>
        <v>25486.843284439274</v>
      </c>
      <c r="X41" s="14">
        <v>2</v>
      </c>
      <c r="Y41" s="56" cm="1">
        <f t="array" ref="Y41">IF(X41="X",(_xlfn.XLOOKUP($B41,Tabla1[SERVICIO],Tabla1[VALOR])*1),IF(X41&gt;=1,_xlfn.XLOOKUP($B41,Tabla1[SERVICIO],Tabla1[VALOR]*X41),0))</f>
        <v>25486.843284439274</v>
      </c>
      <c r="Z41" s="14">
        <v>2</v>
      </c>
      <c r="AA41" s="56" cm="1">
        <f t="array" ref="AA41">IF(Z41="X",(_xlfn.XLOOKUP($B41,Tabla1[SERVICIO],Tabla1[VALOR])*1),IF(Z41&gt;=1,_xlfn.XLOOKUP($B41,Tabla1[SERVICIO],Tabla1[VALOR]*Z41),0))</f>
        <v>25486.843284439274</v>
      </c>
      <c r="AB41" s="14">
        <v>2</v>
      </c>
      <c r="AC41" s="56" cm="1">
        <f t="array" ref="AC41">IF(AB41="X",(_xlfn.XLOOKUP($B41,Tabla1[SERVICIO],Tabla1[VALOR])*1),IF(AB41&gt;=1,_xlfn.XLOOKUP($B41,Tabla1[SERVICIO],Tabla1[VALOR]*AB41),0))</f>
        <v>25486.843284439274</v>
      </c>
      <c r="AD41" s="14">
        <v>2</v>
      </c>
      <c r="AE41" s="56" cm="1">
        <f t="array" ref="AE41">IF(AD41="X",(_xlfn.XLOOKUP($B41,Tabla1[SERVICIO],Tabla1[VALOR])*1),IF(AD41&gt;=1,_xlfn.XLOOKUP($B41,Tabla1[SERVICIO],Tabla1[VALOR]*AD41),0))</f>
        <v>25486.843284439274</v>
      </c>
      <c r="AF41" s="14">
        <v>2</v>
      </c>
      <c r="AG41" s="56" cm="1">
        <f t="array" ref="AG41">IF(AF41="X",(_xlfn.XLOOKUP($B41,Tabla1[SERVICIO],Tabla1[VALOR])*1),IF(AF41&gt;=1,_xlfn.XLOOKUP($B41,Tabla1[SERVICIO],Tabla1[VALOR]*AF41),0))</f>
        <v>25486.843284439274</v>
      </c>
      <c r="AH41" s="14">
        <v>2</v>
      </c>
      <c r="AI41" s="56" cm="1">
        <f t="array" ref="AI41">IF(AH41="X",(_xlfn.XLOOKUP($B41,Tabla1[SERVICIO],Tabla1[VALOR])*1),IF(AH41&gt;=1,_xlfn.XLOOKUP($B41,Tabla1[SERVICIO],Tabla1[VALOR]*AH41),0))</f>
        <v>25486.843284439274</v>
      </c>
      <c r="AJ41" s="14">
        <v>2</v>
      </c>
      <c r="AK41" s="56" cm="1">
        <f t="array" ref="AK41">IF(AJ41="X",(_xlfn.XLOOKUP($B41,Tabla1[SERVICIO],Tabla1[VALOR])*1),IF(AJ41&gt;=1,_xlfn.XLOOKUP($B41,Tabla1[SERVICIO],Tabla1[VALOR]*AJ41),0))</f>
        <v>25486.843284439274</v>
      </c>
      <c r="AL41" s="14">
        <v>2</v>
      </c>
      <c r="AM41" s="56" cm="1">
        <f t="array" ref="AM41">IF(AL41="X",(_xlfn.XLOOKUP($B41,Tabla1[SERVICIO],Tabla1[VALOR])*1),IF(AL41&gt;=1,_xlfn.XLOOKUP($B41,Tabla1[SERVICIO],Tabla1[VALOR]*AL41),0))</f>
        <v>25486.843284439274</v>
      </c>
      <c r="AN41" s="89">
        <f t="shared" si="1"/>
        <v>458763.17911990703</v>
      </c>
      <c r="AO41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36</v>
      </c>
      <c r="AP41" s="104" t="s">
        <v>318</v>
      </c>
      <c r="AQ41" s="154">
        <v>1</v>
      </c>
      <c r="AR41" s="90">
        <f>+Tabla21839[[#This Row],[TOTAL]]*Tabla21839[[#This Row],[% de las personas que lo usaron]]</f>
        <v>458763.17911990703</v>
      </c>
      <c r="AS41" s="242" t="s">
        <v>353</v>
      </c>
      <c r="AT41" s="338">
        <v>18</v>
      </c>
    </row>
    <row r="42" spans="1:46" ht="15" x14ac:dyDescent="0.25">
      <c r="A42" s="7" t="s">
        <v>19</v>
      </c>
      <c r="B42" s="8" t="s">
        <v>20</v>
      </c>
      <c r="C42" s="96" t="str">
        <f>_xlfn.XLOOKUP(Tabla21839[[#This Row],[Servicios del Programa:]],Tabla151[CODIGO],Tabla151[VALOR])</f>
        <v>Consultas</v>
      </c>
      <c r="D42" s="14">
        <v>1</v>
      </c>
      <c r="E42" s="56" cm="1">
        <f t="array" ref="E42">IF(D42="X",(_xlfn.XLOOKUP($B42,Tabla1[SERVICIO],Tabla1[VALOR])*1),IF(D42&gt;=1,_xlfn.XLOOKUP($B42,Tabla1[SERVICIO],Tabla1[VALOR]*D42),0))</f>
        <v>67398.098568534639</v>
      </c>
      <c r="F42" s="14"/>
      <c r="G42" s="56" cm="1">
        <f t="array" ref="G42">IF(F42="X",(_xlfn.XLOOKUP($B42,Tabla1[SERVICIO],Tabla1[VALOR])*1),IF(F42&gt;=1,_xlfn.XLOOKUP($B42,Tabla1[SERVICIO],Tabla1[VALOR]*F42),0))</f>
        <v>0</v>
      </c>
      <c r="H42" s="14"/>
      <c r="I42" s="56" cm="1">
        <f t="array" ref="I42">IF(H42="X",(_xlfn.XLOOKUP($B42,Tabla1[SERVICIO],Tabla1[VALOR])*1),IF(H42&gt;=1,_xlfn.XLOOKUP($B42,Tabla1[SERVICIO],Tabla1[VALOR]*H42),0))</f>
        <v>0</v>
      </c>
      <c r="J42" s="14"/>
      <c r="K42" s="56" cm="1">
        <f t="array" ref="K42">IF(J42="X",(_xlfn.XLOOKUP($B42,Tabla1[SERVICIO],Tabla1[VALOR])*1),IF(J42&gt;=1,_xlfn.XLOOKUP($B42,Tabla1[SERVICIO],Tabla1[VALOR]*J42),0))</f>
        <v>0</v>
      </c>
      <c r="L42" s="14"/>
      <c r="M42" s="56" cm="1">
        <f t="array" ref="M42">IF(L42="X",(_xlfn.XLOOKUP($B42,Tabla1[SERVICIO],Tabla1[VALOR])*1),IF(L42&gt;=1,_xlfn.XLOOKUP($B42,Tabla1[SERVICIO],Tabla1[VALOR]*L42),0))</f>
        <v>0</v>
      </c>
      <c r="N42" s="14"/>
      <c r="O42" s="56" cm="1">
        <f t="array" ref="O42">IF(N42="X",(_xlfn.XLOOKUP($B42,Tabla1[SERVICIO],Tabla1[VALOR])*1),IF(N42&gt;=1,_xlfn.XLOOKUP($B42,Tabla1[SERVICIO],Tabla1[VALOR]*N42),0))</f>
        <v>0</v>
      </c>
      <c r="P42" s="14"/>
      <c r="Q42" s="56" cm="1">
        <f t="array" ref="Q42">IF(P42="X",(_xlfn.XLOOKUP($B42,Tabla1[SERVICIO],Tabla1[VALOR])*1),IF(P42&gt;=1,_xlfn.XLOOKUP($B42,Tabla1[SERVICIO],Tabla1[VALOR]*P42),0))</f>
        <v>0</v>
      </c>
      <c r="R42" s="14"/>
      <c r="S42" s="56" cm="1">
        <f t="array" ref="S42">IF(R42="X",(_xlfn.XLOOKUP($B42,Tabla1[SERVICIO],Tabla1[VALOR])*1),IF(R42&gt;=1,_xlfn.XLOOKUP($B42,Tabla1[SERVICIO],Tabla1[VALOR]*R42),0))</f>
        <v>0</v>
      </c>
      <c r="T42" s="14"/>
      <c r="U42" s="56" cm="1">
        <f t="array" ref="U42">IF(T42="X",(_xlfn.XLOOKUP($B42,Tabla1[SERVICIO],Tabla1[VALOR])*1),IF(T42&gt;=1,_xlfn.XLOOKUP($B42,Tabla1[SERVICIO],Tabla1[VALOR]*T42),0))</f>
        <v>0</v>
      </c>
      <c r="V42" s="14"/>
      <c r="W42" s="56" cm="1">
        <f t="array" ref="W42">IF(V42="X",(_xlfn.XLOOKUP($B42,Tabla1[SERVICIO],Tabla1[VALOR])*1),IF(V42&gt;=1,_xlfn.XLOOKUP($B42,Tabla1[SERVICIO],Tabla1[VALOR]*V42),0))</f>
        <v>0</v>
      </c>
      <c r="X42" s="14"/>
      <c r="Y42" s="56" cm="1">
        <f t="array" ref="Y42">IF(X42="X",(_xlfn.XLOOKUP($B42,Tabla1[SERVICIO],Tabla1[VALOR])*1),IF(X42&gt;=1,_xlfn.XLOOKUP($B42,Tabla1[SERVICIO],Tabla1[VALOR]*X42),0))</f>
        <v>0</v>
      </c>
      <c r="Z42" s="14"/>
      <c r="AA42" s="56" cm="1">
        <f t="array" ref="AA42">IF(Z42="X",(_xlfn.XLOOKUP($B42,Tabla1[SERVICIO],Tabla1[VALOR])*1),IF(Z42&gt;=1,_xlfn.XLOOKUP($B42,Tabla1[SERVICIO],Tabla1[VALOR]*Z42),0))</f>
        <v>0</v>
      </c>
      <c r="AB42" s="14"/>
      <c r="AC42" s="56" cm="1">
        <f t="array" ref="AC42">IF(AB42="X",(_xlfn.XLOOKUP($B42,Tabla1[SERVICIO],Tabla1[VALOR])*1),IF(AB42&gt;=1,_xlfn.XLOOKUP($B42,Tabla1[SERVICIO],Tabla1[VALOR]*AB42),0))</f>
        <v>0</v>
      </c>
      <c r="AD42" s="14"/>
      <c r="AE42" s="56" cm="1">
        <f t="array" ref="AE42">IF(AD42="X",(_xlfn.XLOOKUP($B42,Tabla1[SERVICIO],Tabla1[VALOR])*1),IF(AD42&gt;=1,_xlfn.XLOOKUP($B42,Tabla1[SERVICIO],Tabla1[VALOR]*AD42),0))</f>
        <v>0</v>
      </c>
      <c r="AF42" s="14"/>
      <c r="AG42" s="56" cm="1">
        <f t="array" ref="AG42">IF(AF42="X",(_xlfn.XLOOKUP($B42,Tabla1[SERVICIO],Tabla1[VALOR])*1),IF(AF42&gt;=1,_xlfn.XLOOKUP($B42,Tabla1[SERVICIO],Tabla1[VALOR]*AF42),0))</f>
        <v>0</v>
      </c>
      <c r="AH42" s="14"/>
      <c r="AI42" s="56" cm="1">
        <f t="array" ref="AI42">IF(AH42="X",(_xlfn.XLOOKUP($B42,Tabla1[SERVICIO],Tabla1[VALOR])*1),IF(AH42&gt;=1,_xlfn.XLOOKUP($B42,Tabla1[SERVICIO],Tabla1[VALOR]*AH42),0))</f>
        <v>0</v>
      </c>
      <c r="AJ42" s="14"/>
      <c r="AK42" s="56" cm="1">
        <f t="array" ref="AK42">IF(AJ42="X",(_xlfn.XLOOKUP($B42,Tabla1[SERVICIO],Tabla1[VALOR])*1),IF(AJ42&gt;=1,_xlfn.XLOOKUP($B42,Tabla1[SERVICIO],Tabla1[VALOR]*AJ42),0))</f>
        <v>0</v>
      </c>
      <c r="AL42" s="14"/>
      <c r="AM42" s="56" cm="1">
        <f t="array" ref="AM42">IF(AL42="X",(_xlfn.XLOOKUP($B42,Tabla1[SERVICIO],Tabla1[VALOR])*1),IF(AL42&gt;=1,_xlfn.XLOOKUP($B42,Tabla1[SERVICIO],Tabla1[VALOR]*AL42),0))</f>
        <v>0</v>
      </c>
      <c r="AN42" s="89">
        <f t="shared" si="1"/>
        <v>67398.098568534639</v>
      </c>
      <c r="AO42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2" s="104" t="s">
        <v>319</v>
      </c>
      <c r="AQ42" s="161">
        <v>0.1</v>
      </c>
      <c r="AR42" s="90">
        <f>+Tabla21839[[#This Row],[TOTAL]]*Tabla21839[[#This Row],[% de las personas que lo usaron]]</f>
        <v>6739.8098568534642</v>
      </c>
      <c r="AS42" s="242" t="s">
        <v>353</v>
      </c>
      <c r="AT42" s="338">
        <v>18</v>
      </c>
    </row>
    <row r="43" spans="1:46" ht="15" x14ac:dyDescent="0.25">
      <c r="A43" s="7" t="s">
        <v>21</v>
      </c>
      <c r="B43" s="8" t="s">
        <v>221</v>
      </c>
      <c r="C43" s="96" t="str">
        <f>_xlfn.XLOOKUP(Tabla21839[[#This Row],[Servicios del Programa:]],Tabla151[CODIGO],Tabla151[VALOR])</f>
        <v>Consultas</v>
      </c>
      <c r="D43" s="14">
        <v>1</v>
      </c>
      <c r="E43" s="56" cm="1">
        <f t="array" ref="E43">IF(D43="X",(_xlfn.XLOOKUP($B43,Tabla1[SERVICIO],Tabla1[VALOR])*1),IF(D43&gt;=1,_xlfn.XLOOKUP($B43,Tabla1[SERVICIO],Tabla1[VALOR]*D43),0))</f>
        <v>67398.098568534639</v>
      </c>
      <c r="F43" s="14"/>
      <c r="G43" s="56" cm="1">
        <f t="array" ref="G43">IF(F43="X",(_xlfn.XLOOKUP($B43,Tabla1[SERVICIO],Tabla1[VALOR])*1),IF(F43&gt;=1,_xlfn.XLOOKUP($B43,Tabla1[SERVICIO],Tabla1[VALOR]*F43),0))</f>
        <v>0</v>
      </c>
      <c r="H43" s="14"/>
      <c r="I43" s="56" cm="1">
        <f t="array" ref="I43">IF(H43="X",(_xlfn.XLOOKUP($B43,Tabla1[SERVICIO],Tabla1[VALOR])*1),IF(H43&gt;=1,_xlfn.XLOOKUP($B43,Tabla1[SERVICIO],Tabla1[VALOR]*H43),0))</f>
        <v>0</v>
      </c>
      <c r="J43" s="14"/>
      <c r="K43" s="56" cm="1">
        <f t="array" ref="K43">IF(J43="X",(_xlfn.XLOOKUP($B43,Tabla1[SERVICIO],Tabla1[VALOR])*1),IF(J43&gt;=1,_xlfn.XLOOKUP($B43,Tabla1[SERVICIO],Tabla1[VALOR]*J43),0))</f>
        <v>0</v>
      </c>
      <c r="L43" s="14"/>
      <c r="M43" s="56" cm="1">
        <f t="array" ref="M43">IF(L43="X",(_xlfn.XLOOKUP($B43,Tabla1[SERVICIO],Tabla1[VALOR])*1),IF(L43&gt;=1,_xlfn.XLOOKUP($B43,Tabla1[SERVICIO],Tabla1[VALOR]*L43),0))</f>
        <v>0</v>
      </c>
      <c r="N43" s="14"/>
      <c r="O43" s="56" cm="1">
        <f t="array" ref="O43">IF(N43="X",(_xlfn.XLOOKUP($B43,Tabla1[SERVICIO],Tabla1[VALOR])*1),IF(N43&gt;=1,_xlfn.XLOOKUP($B43,Tabla1[SERVICIO],Tabla1[VALOR]*N43),0))</f>
        <v>0</v>
      </c>
      <c r="P43" s="14"/>
      <c r="Q43" s="56" cm="1">
        <f t="array" ref="Q43">IF(P43="X",(_xlfn.XLOOKUP($B43,Tabla1[SERVICIO],Tabla1[VALOR])*1),IF(P43&gt;=1,_xlfn.XLOOKUP($B43,Tabla1[SERVICIO],Tabla1[VALOR]*P43),0))</f>
        <v>0</v>
      </c>
      <c r="R43" s="14"/>
      <c r="S43" s="56" cm="1">
        <f t="array" ref="S43">IF(R43="X",(_xlfn.XLOOKUP($B43,Tabla1[SERVICIO],Tabla1[VALOR])*1),IF(R43&gt;=1,_xlfn.XLOOKUP($B43,Tabla1[SERVICIO],Tabla1[VALOR]*R43),0))</f>
        <v>0</v>
      </c>
      <c r="T43" s="14"/>
      <c r="U43" s="56" cm="1">
        <f t="array" ref="U43">IF(T43="X",(_xlfn.XLOOKUP($B43,Tabla1[SERVICIO],Tabla1[VALOR])*1),IF(T43&gt;=1,_xlfn.XLOOKUP($B43,Tabla1[SERVICIO],Tabla1[VALOR]*T43),0))</f>
        <v>0</v>
      </c>
      <c r="V43" s="14"/>
      <c r="W43" s="56" cm="1">
        <f t="array" ref="W43">IF(V43="X",(_xlfn.XLOOKUP($B43,Tabla1[SERVICIO],Tabla1[VALOR])*1),IF(V43&gt;=1,_xlfn.XLOOKUP($B43,Tabla1[SERVICIO],Tabla1[VALOR]*V43),0))</f>
        <v>0</v>
      </c>
      <c r="X43" s="14"/>
      <c r="Y43" s="56" cm="1">
        <f t="array" ref="Y43">IF(X43="X",(_xlfn.XLOOKUP($B43,Tabla1[SERVICIO],Tabla1[VALOR])*1),IF(X43&gt;=1,_xlfn.XLOOKUP($B43,Tabla1[SERVICIO],Tabla1[VALOR]*X43),0))</f>
        <v>0</v>
      </c>
      <c r="Z43" s="14"/>
      <c r="AA43" s="56" cm="1">
        <f t="array" ref="AA43">IF(Z43="X",(_xlfn.XLOOKUP($B43,Tabla1[SERVICIO],Tabla1[VALOR])*1),IF(Z43&gt;=1,_xlfn.XLOOKUP($B43,Tabla1[SERVICIO],Tabla1[VALOR]*Z43),0))</f>
        <v>0</v>
      </c>
      <c r="AB43" s="14"/>
      <c r="AC43" s="56" cm="1">
        <f t="array" ref="AC43">IF(AB43="X",(_xlfn.XLOOKUP($B43,Tabla1[SERVICIO],Tabla1[VALOR])*1),IF(AB43&gt;=1,_xlfn.XLOOKUP($B43,Tabla1[SERVICIO],Tabla1[VALOR]*AB43),0))</f>
        <v>0</v>
      </c>
      <c r="AD43" s="14"/>
      <c r="AE43" s="56" cm="1">
        <f t="array" ref="AE43">IF(AD43="X",(_xlfn.XLOOKUP($B43,Tabla1[SERVICIO],Tabla1[VALOR])*1),IF(AD43&gt;=1,_xlfn.XLOOKUP($B43,Tabla1[SERVICIO],Tabla1[VALOR]*AD43),0))</f>
        <v>0</v>
      </c>
      <c r="AF43" s="14"/>
      <c r="AG43" s="56" cm="1">
        <f t="array" ref="AG43">IF(AF43="X",(_xlfn.XLOOKUP($B43,Tabla1[SERVICIO],Tabla1[VALOR])*1),IF(AF43&gt;=1,_xlfn.XLOOKUP($B43,Tabla1[SERVICIO],Tabla1[VALOR]*AF43),0))</f>
        <v>0</v>
      </c>
      <c r="AH43" s="14"/>
      <c r="AI43" s="56" cm="1">
        <f t="array" ref="AI43">IF(AH43="X",(_xlfn.XLOOKUP($B43,Tabla1[SERVICIO],Tabla1[VALOR])*1),IF(AH43&gt;=1,_xlfn.XLOOKUP($B43,Tabla1[SERVICIO],Tabla1[VALOR]*AH43),0))</f>
        <v>0</v>
      </c>
      <c r="AJ43" s="14"/>
      <c r="AK43" s="56" cm="1">
        <f t="array" ref="AK43">IF(AJ43="X",(_xlfn.XLOOKUP($B43,Tabla1[SERVICIO],Tabla1[VALOR])*1),IF(AJ43&gt;=1,_xlfn.XLOOKUP($B43,Tabla1[SERVICIO],Tabla1[VALOR]*AJ43),0))</f>
        <v>0</v>
      </c>
      <c r="AL43" s="14"/>
      <c r="AM43" s="56" cm="1">
        <f t="array" ref="AM43">IF(AL43="X",(_xlfn.XLOOKUP($B43,Tabla1[SERVICIO],Tabla1[VALOR])*1),IF(AL43&gt;=1,_xlfn.XLOOKUP($B43,Tabla1[SERVICIO],Tabla1[VALOR]*AL43),0))</f>
        <v>0</v>
      </c>
      <c r="AN43" s="89">
        <f t="shared" si="1"/>
        <v>67398.098568534639</v>
      </c>
      <c r="AO43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3" s="104" t="s">
        <v>319</v>
      </c>
      <c r="AQ43" s="161">
        <v>1.1375</v>
      </c>
      <c r="AR43" s="90">
        <f>+Tabla21839[[#This Row],[TOTAL]]*Tabla21839[[#This Row],[% de las personas que lo usaron]]</f>
        <v>76665.337121708144</v>
      </c>
      <c r="AS43" s="242" t="s">
        <v>353</v>
      </c>
      <c r="AT43" s="338">
        <v>18</v>
      </c>
    </row>
    <row r="44" spans="1:46" ht="15" x14ac:dyDescent="0.25">
      <c r="A44" s="7" t="s">
        <v>34</v>
      </c>
      <c r="B44" s="8" t="s">
        <v>35</v>
      </c>
      <c r="C44" s="96" t="str">
        <f>_xlfn.XLOOKUP(Tabla21839[[#This Row],[Servicios del Programa:]],Tabla151[CODIGO],Tabla151[VALOR])</f>
        <v>Consultas</v>
      </c>
      <c r="D44" s="14">
        <v>1</v>
      </c>
      <c r="E44" s="56" cm="1">
        <f t="array" ref="E44">IF(D44="X",(_xlfn.XLOOKUP($B44,Tabla1[SERVICIO],Tabla1[VALOR])*1),IF(D44&gt;=1,_xlfn.XLOOKUP($B44,Tabla1[SERVICIO],Tabla1[VALOR]*D44),0))</f>
        <v>24009.730401318589</v>
      </c>
      <c r="F44" s="14"/>
      <c r="G44" s="56" cm="1">
        <f t="array" ref="G44">IF(F44="X",(_xlfn.XLOOKUP($B44,Tabla1[SERVICIO],Tabla1[VALOR])*1),IF(F44&gt;=1,_xlfn.XLOOKUP($B44,Tabla1[SERVICIO],Tabla1[VALOR]*F44),0))</f>
        <v>0</v>
      </c>
      <c r="H44" s="14"/>
      <c r="I44" s="56" cm="1">
        <f t="array" ref="I44">IF(H44="X",(_xlfn.XLOOKUP($B44,Tabla1[SERVICIO],Tabla1[VALOR])*1),IF(H44&gt;=1,_xlfn.XLOOKUP($B44,Tabla1[SERVICIO],Tabla1[VALOR]*H44),0))</f>
        <v>0</v>
      </c>
      <c r="J44" s="14"/>
      <c r="K44" s="56" cm="1">
        <f t="array" ref="K44">IF(J44="X",(_xlfn.XLOOKUP($B44,Tabla1[SERVICIO],Tabla1[VALOR])*1),IF(J44&gt;=1,_xlfn.XLOOKUP($B44,Tabla1[SERVICIO],Tabla1[VALOR]*J44),0))</f>
        <v>0</v>
      </c>
      <c r="L44" s="14"/>
      <c r="M44" s="56" cm="1">
        <f t="array" ref="M44">IF(L44="X",(_xlfn.XLOOKUP($B44,Tabla1[SERVICIO],Tabla1[VALOR])*1),IF(L44&gt;=1,_xlfn.XLOOKUP($B44,Tabla1[SERVICIO],Tabla1[VALOR]*L44),0))</f>
        <v>0</v>
      </c>
      <c r="N44" s="14"/>
      <c r="O44" s="56" cm="1">
        <f t="array" ref="O44">IF(N44="X",(_xlfn.XLOOKUP($B44,Tabla1[SERVICIO],Tabla1[VALOR])*1),IF(N44&gt;=1,_xlfn.XLOOKUP($B44,Tabla1[SERVICIO],Tabla1[VALOR]*N44),0))</f>
        <v>0</v>
      </c>
      <c r="P44" s="14"/>
      <c r="Q44" s="56" cm="1">
        <f t="array" ref="Q44">IF(P44="X",(_xlfn.XLOOKUP($B44,Tabla1[SERVICIO],Tabla1[VALOR])*1),IF(P44&gt;=1,_xlfn.XLOOKUP($B44,Tabla1[SERVICIO],Tabla1[VALOR]*P44),0))</f>
        <v>0</v>
      </c>
      <c r="R44" s="14"/>
      <c r="S44" s="56" cm="1">
        <f t="array" ref="S44">IF(R44="X",(_xlfn.XLOOKUP($B44,Tabla1[SERVICIO],Tabla1[VALOR])*1),IF(R44&gt;=1,_xlfn.XLOOKUP($B44,Tabla1[SERVICIO],Tabla1[VALOR]*R44),0))</f>
        <v>0</v>
      </c>
      <c r="T44" s="14"/>
      <c r="U44" s="56" cm="1">
        <f t="array" ref="U44">IF(T44="X",(_xlfn.XLOOKUP($B44,Tabla1[SERVICIO],Tabla1[VALOR])*1),IF(T44&gt;=1,_xlfn.XLOOKUP($B44,Tabla1[SERVICIO],Tabla1[VALOR]*T44),0))</f>
        <v>0</v>
      </c>
      <c r="V44" s="14"/>
      <c r="W44" s="56" cm="1">
        <f t="array" ref="W44">IF(V44="X",(_xlfn.XLOOKUP($B44,Tabla1[SERVICIO],Tabla1[VALOR])*1),IF(V44&gt;=1,_xlfn.XLOOKUP($B44,Tabla1[SERVICIO],Tabla1[VALOR]*V44),0))</f>
        <v>0</v>
      </c>
      <c r="X44" s="14"/>
      <c r="Y44" s="56" cm="1">
        <f t="array" ref="Y44">IF(X44="X",(_xlfn.XLOOKUP($B44,Tabla1[SERVICIO],Tabla1[VALOR])*1),IF(X44&gt;=1,_xlfn.XLOOKUP($B44,Tabla1[SERVICIO],Tabla1[VALOR]*X44),0))</f>
        <v>0</v>
      </c>
      <c r="Z44" s="14"/>
      <c r="AA44" s="56" cm="1">
        <f t="array" ref="AA44">IF(Z44="X",(_xlfn.XLOOKUP($B44,Tabla1[SERVICIO],Tabla1[VALOR])*1),IF(Z44&gt;=1,_xlfn.XLOOKUP($B44,Tabla1[SERVICIO],Tabla1[VALOR]*Z44),0))</f>
        <v>0</v>
      </c>
      <c r="AB44" s="14"/>
      <c r="AC44" s="56" cm="1">
        <f t="array" ref="AC44">IF(AB44="X",(_xlfn.XLOOKUP($B44,Tabla1[SERVICIO],Tabla1[VALOR])*1),IF(AB44&gt;=1,_xlfn.XLOOKUP($B44,Tabla1[SERVICIO],Tabla1[VALOR]*AB44),0))</f>
        <v>0</v>
      </c>
      <c r="AD44" s="14"/>
      <c r="AE44" s="56" cm="1">
        <f t="array" ref="AE44">IF(AD44="X",(_xlfn.XLOOKUP($B44,Tabla1[SERVICIO],Tabla1[VALOR])*1),IF(AD44&gt;=1,_xlfn.XLOOKUP($B44,Tabla1[SERVICIO],Tabla1[VALOR]*AD44),0))</f>
        <v>0</v>
      </c>
      <c r="AF44" s="14"/>
      <c r="AG44" s="56" cm="1">
        <f t="array" ref="AG44">IF(AF44="X",(_xlfn.XLOOKUP($B44,Tabla1[SERVICIO],Tabla1[VALOR])*1),IF(AF44&gt;=1,_xlfn.XLOOKUP($B44,Tabla1[SERVICIO],Tabla1[VALOR]*AF44),0))</f>
        <v>0</v>
      </c>
      <c r="AH44" s="14"/>
      <c r="AI44" s="56" cm="1">
        <f t="array" ref="AI44">IF(AH44="X",(_xlfn.XLOOKUP($B44,Tabla1[SERVICIO],Tabla1[VALOR])*1),IF(AH44&gt;=1,_xlfn.XLOOKUP($B44,Tabla1[SERVICIO],Tabla1[VALOR]*AH44),0))</f>
        <v>0</v>
      </c>
      <c r="AJ44" s="14"/>
      <c r="AK44" s="56" cm="1">
        <f t="array" ref="AK44">IF(AJ44="X",(_xlfn.XLOOKUP($B44,Tabla1[SERVICIO],Tabla1[VALOR])*1),IF(AJ44&gt;=1,_xlfn.XLOOKUP($B44,Tabla1[SERVICIO],Tabla1[VALOR]*AJ44),0))</f>
        <v>0</v>
      </c>
      <c r="AL44" s="14"/>
      <c r="AM44" s="56" cm="1">
        <f t="array" ref="AM44">IF(AL44="X",(_xlfn.XLOOKUP($B44,Tabla1[SERVICIO],Tabla1[VALOR])*1),IF(AL44&gt;=1,_xlfn.XLOOKUP($B44,Tabla1[SERVICIO],Tabla1[VALOR]*AL44),0))</f>
        <v>0</v>
      </c>
      <c r="AN44" s="89">
        <f t="shared" si="1"/>
        <v>24009.730401318589</v>
      </c>
      <c r="AO44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4" s="104" t="s">
        <v>318</v>
      </c>
      <c r="AQ44" s="154">
        <v>1</v>
      </c>
      <c r="AR44" s="90">
        <f>+Tabla21839[[#This Row],[TOTAL]]*Tabla21839[[#This Row],[% de las personas que lo usaron]]</f>
        <v>24009.730401318589</v>
      </c>
      <c r="AS44" s="242" t="s">
        <v>353</v>
      </c>
      <c r="AT44" s="338">
        <v>18</v>
      </c>
    </row>
    <row r="45" spans="1:46" ht="15" x14ac:dyDescent="0.25">
      <c r="A45" s="7" t="s">
        <v>32</v>
      </c>
      <c r="B45" s="8" t="s">
        <v>33</v>
      </c>
      <c r="C45" s="96" t="str">
        <f>_xlfn.XLOOKUP(Tabla21839[[#This Row],[Servicios del Programa:]],Tabla151[CODIGO],Tabla151[VALOR])</f>
        <v>Consultas</v>
      </c>
      <c r="D45" s="14"/>
      <c r="E45" s="56" cm="1">
        <f t="array" ref="E45">IF(D45="X",(_xlfn.XLOOKUP($B45,Tabla1[SERVICIO],Tabla1[VALOR])*1),IF(D45&gt;=1,_xlfn.XLOOKUP($B45,Tabla1[SERVICIO],Tabla1[VALOR]*D45),0))</f>
        <v>0</v>
      </c>
      <c r="F45" s="14"/>
      <c r="G45" s="56" cm="1">
        <f t="array" ref="G45">IF(F45="X",(_xlfn.XLOOKUP($B45,Tabla1[SERVICIO],Tabla1[VALOR])*1),IF(F45&gt;=1,_xlfn.XLOOKUP($B45,Tabla1[SERVICIO],Tabla1[VALOR]*F45),0))</f>
        <v>0</v>
      </c>
      <c r="H45" s="14">
        <v>1</v>
      </c>
      <c r="I45" s="56" cm="1">
        <f t="array" ref="I45">IF(H45="X",(_xlfn.XLOOKUP($B45,Tabla1[SERVICIO],Tabla1[VALOR])*1),IF(H45&gt;=1,_xlfn.XLOOKUP($B45,Tabla1[SERVICIO],Tabla1[VALOR]*H45),0))</f>
        <v>24009.730401318589</v>
      </c>
      <c r="J45" s="14"/>
      <c r="K45" s="56" cm="1">
        <f t="array" ref="K45">IF(J45="X",(_xlfn.XLOOKUP($B45,Tabla1[SERVICIO],Tabla1[VALOR])*1),IF(J45&gt;=1,_xlfn.XLOOKUP($B45,Tabla1[SERVICIO],Tabla1[VALOR]*J45),0))</f>
        <v>0</v>
      </c>
      <c r="L45" s="14"/>
      <c r="M45" s="56" cm="1">
        <f t="array" ref="M45">IF(L45="X",(_xlfn.XLOOKUP($B45,Tabla1[SERVICIO],Tabla1[VALOR])*1),IF(L45&gt;=1,_xlfn.XLOOKUP($B45,Tabla1[SERVICIO],Tabla1[VALOR]*L45),0))</f>
        <v>0</v>
      </c>
      <c r="N45" s="14"/>
      <c r="O45" s="56" cm="1">
        <f t="array" ref="O45">IF(N45="X",(_xlfn.XLOOKUP($B45,Tabla1[SERVICIO],Tabla1[VALOR])*1),IF(N45&gt;=1,_xlfn.XLOOKUP($B45,Tabla1[SERVICIO],Tabla1[VALOR]*N45),0))</f>
        <v>0</v>
      </c>
      <c r="P45" s="14"/>
      <c r="Q45" s="56" cm="1">
        <f t="array" ref="Q45">IF(P45="X",(_xlfn.XLOOKUP($B45,Tabla1[SERVICIO],Tabla1[VALOR])*1),IF(P45&gt;=1,_xlfn.XLOOKUP($B45,Tabla1[SERVICIO],Tabla1[VALOR]*P45),0))</f>
        <v>0</v>
      </c>
      <c r="R45" s="14"/>
      <c r="S45" s="56" cm="1">
        <f t="array" ref="S45">IF(R45="X",(_xlfn.XLOOKUP($B45,Tabla1[SERVICIO],Tabla1[VALOR])*1),IF(R45&gt;=1,_xlfn.XLOOKUP($B45,Tabla1[SERVICIO],Tabla1[VALOR]*R45),0))</f>
        <v>0</v>
      </c>
      <c r="T45" s="14"/>
      <c r="U45" s="56" cm="1">
        <f t="array" ref="U45">IF(T45="X",(_xlfn.XLOOKUP($B45,Tabla1[SERVICIO],Tabla1[VALOR])*1),IF(T45&gt;=1,_xlfn.XLOOKUP($B45,Tabla1[SERVICIO],Tabla1[VALOR]*T45),0))</f>
        <v>0</v>
      </c>
      <c r="V45" s="14"/>
      <c r="W45" s="56" cm="1">
        <f t="array" ref="W45">IF(V45="X",(_xlfn.XLOOKUP($B45,Tabla1[SERVICIO],Tabla1[VALOR])*1),IF(V45&gt;=1,_xlfn.XLOOKUP($B45,Tabla1[SERVICIO],Tabla1[VALOR]*V45),0))</f>
        <v>0</v>
      </c>
      <c r="X45" s="14"/>
      <c r="Y45" s="56" cm="1">
        <f t="array" ref="Y45">IF(X45="X",(_xlfn.XLOOKUP($B45,Tabla1[SERVICIO],Tabla1[VALOR])*1),IF(X45&gt;=1,_xlfn.XLOOKUP($B45,Tabla1[SERVICIO],Tabla1[VALOR]*X45),0))</f>
        <v>0</v>
      </c>
      <c r="Z45" s="14"/>
      <c r="AA45" s="56" cm="1">
        <f t="array" ref="AA45">IF(Z45="X",(_xlfn.XLOOKUP($B45,Tabla1[SERVICIO],Tabla1[VALOR])*1),IF(Z45&gt;=1,_xlfn.XLOOKUP($B45,Tabla1[SERVICIO],Tabla1[VALOR]*Z45),0))</f>
        <v>0</v>
      </c>
      <c r="AB45" s="14"/>
      <c r="AC45" s="56" cm="1">
        <f t="array" ref="AC45">IF(AB45="X",(_xlfn.XLOOKUP($B45,Tabla1[SERVICIO],Tabla1[VALOR])*1),IF(AB45&gt;=1,_xlfn.XLOOKUP($B45,Tabla1[SERVICIO],Tabla1[VALOR]*AB45),0))</f>
        <v>0</v>
      </c>
      <c r="AD45" s="14"/>
      <c r="AE45" s="56" cm="1">
        <f t="array" ref="AE45">IF(AD45="X",(_xlfn.XLOOKUP($B45,Tabla1[SERVICIO],Tabla1[VALOR])*1),IF(AD45&gt;=1,_xlfn.XLOOKUP($B45,Tabla1[SERVICIO],Tabla1[VALOR]*AD45),0))</f>
        <v>0</v>
      </c>
      <c r="AF45" s="14"/>
      <c r="AG45" s="56" cm="1">
        <f t="array" ref="AG45">IF(AF45="X",(_xlfn.XLOOKUP($B45,Tabla1[SERVICIO],Tabla1[VALOR])*1),IF(AF45&gt;=1,_xlfn.XLOOKUP($B45,Tabla1[SERVICIO],Tabla1[VALOR]*AF45),0))</f>
        <v>0</v>
      </c>
      <c r="AH45" s="14"/>
      <c r="AI45" s="56" cm="1">
        <f t="array" ref="AI45">IF(AH45="X",(_xlfn.XLOOKUP($B45,Tabla1[SERVICIO],Tabla1[VALOR])*1),IF(AH45&gt;=1,_xlfn.XLOOKUP($B45,Tabla1[SERVICIO],Tabla1[VALOR]*AH45),0))</f>
        <v>0</v>
      </c>
      <c r="AJ45" s="14"/>
      <c r="AK45" s="56" cm="1">
        <f t="array" ref="AK45">IF(AJ45="X",(_xlfn.XLOOKUP($B45,Tabla1[SERVICIO],Tabla1[VALOR])*1),IF(AJ45&gt;=1,_xlfn.XLOOKUP($B45,Tabla1[SERVICIO],Tabla1[VALOR]*AJ45),0))</f>
        <v>0</v>
      </c>
      <c r="AL45" s="14"/>
      <c r="AM45" s="56" cm="1">
        <f t="array" ref="AM45">IF(AL45="X",(_xlfn.XLOOKUP($B45,Tabla1[SERVICIO],Tabla1[VALOR])*1),IF(AL45&gt;=1,_xlfn.XLOOKUP($B45,Tabla1[SERVICIO],Tabla1[VALOR]*AL45),0))</f>
        <v>0</v>
      </c>
      <c r="AN45" s="89">
        <f t="shared" si="1"/>
        <v>24009.730401318589</v>
      </c>
      <c r="AO45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5" s="104" t="s">
        <v>319</v>
      </c>
      <c r="AQ45" s="161">
        <v>0</v>
      </c>
      <c r="AR45" s="90">
        <f>+Tabla21839[[#This Row],[TOTAL]]*Tabla21839[[#This Row],[% de las personas que lo usaron]]</f>
        <v>0</v>
      </c>
      <c r="AS45" s="242" t="s">
        <v>353</v>
      </c>
      <c r="AT45" s="338">
        <v>18</v>
      </c>
    </row>
    <row r="46" spans="1:46" ht="15" x14ac:dyDescent="0.25">
      <c r="A46" s="7" t="s">
        <v>79</v>
      </c>
      <c r="B46" s="8" t="s">
        <v>197</v>
      </c>
      <c r="C46" s="96" t="str">
        <f>_xlfn.XLOOKUP(Tabla21839[[#This Row],[Servicios del Programa:]],Tabla151[CODIGO],Tabla151[VALOR])</f>
        <v>Terapias</v>
      </c>
      <c r="D46" s="14">
        <v>4</v>
      </c>
      <c r="E46" s="56" cm="1">
        <f t="array" ref="E46">IF(D46="X",(_xlfn.XLOOKUP($B46,Tabla1[SERVICIO],Tabla1[VALOR])*1),IF(D46&gt;=1,_xlfn.XLOOKUP($B46,Tabla1[SERVICIO],Tabla1[VALOR]*D46),0))</f>
        <v>82211.022629484622</v>
      </c>
      <c r="F46" s="14">
        <v>4</v>
      </c>
      <c r="G46" s="56" cm="1">
        <f t="array" ref="G46">IF(F46="X",(_xlfn.XLOOKUP($B46,Tabla1[SERVICIO],Tabla1[VALOR])*1),IF(F46&gt;=1,_xlfn.XLOOKUP($B46,Tabla1[SERVICIO],Tabla1[VALOR]*F46),0))</f>
        <v>82211.022629484622</v>
      </c>
      <c r="H46" s="14">
        <v>4</v>
      </c>
      <c r="I46" s="56" cm="1">
        <f t="array" ref="I46">IF(H46="X",(_xlfn.XLOOKUP($B46,Tabla1[SERVICIO],Tabla1[VALOR])*1),IF(H46&gt;=1,_xlfn.XLOOKUP($B46,Tabla1[SERVICIO],Tabla1[VALOR]*H46),0))</f>
        <v>82211.022629484622</v>
      </c>
      <c r="J46" s="14">
        <v>4</v>
      </c>
      <c r="K46" s="56" cm="1">
        <f t="array" ref="K46">IF(J46="X",(_xlfn.XLOOKUP($B46,Tabla1[SERVICIO],Tabla1[VALOR])*1),IF(J46&gt;=1,_xlfn.XLOOKUP($B46,Tabla1[SERVICIO],Tabla1[VALOR]*J46),0))</f>
        <v>82211.022629484622</v>
      </c>
      <c r="L46" s="14">
        <v>4</v>
      </c>
      <c r="M46" s="56" cm="1">
        <f t="array" ref="M46">IF(L46="X",(_xlfn.XLOOKUP($B46,Tabla1[SERVICIO],Tabla1[VALOR])*1),IF(L46&gt;=1,_xlfn.XLOOKUP($B46,Tabla1[SERVICIO],Tabla1[VALOR]*L46),0))</f>
        <v>82211.022629484622</v>
      </c>
      <c r="N46" s="14">
        <v>4</v>
      </c>
      <c r="O46" s="56" cm="1">
        <f t="array" ref="O46">IF(N46="X",(_xlfn.XLOOKUP($B46,Tabla1[SERVICIO],Tabla1[VALOR])*1),IF(N46&gt;=1,_xlfn.XLOOKUP($B46,Tabla1[SERVICIO],Tabla1[VALOR]*N46),0))</f>
        <v>82211.022629484622</v>
      </c>
      <c r="P46" s="14">
        <v>4</v>
      </c>
      <c r="Q46" s="56" cm="1">
        <f t="array" ref="Q46">IF(P46="X",(_xlfn.XLOOKUP($B46,Tabla1[SERVICIO],Tabla1[VALOR])*1),IF(P46&gt;=1,_xlfn.XLOOKUP($B46,Tabla1[SERVICIO],Tabla1[VALOR]*P46),0))</f>
        <v>82211.022629484622</v>
      </c>
      <c r="R46" s="14">
        <v>4</v>
      </c>
      <c r="S46" s="56" cm="1">
        <f t="array" ref="S46">IF(R46="X",(_xlfn.XLOOKUP($B46,Tabla1[SERVICIO],Tabla1[VALOR])*1),IF(R46&gt;=1,_xlfn.XLOOKUP($B46,Tabla1[SERVICIO],Tabla1[VALOR]*R46),0))</f>
        <v>82211.022629484622</v>
      </c>
      <c r="T46" s="14">
        <v>4</v>
      </c>
      <c r="U46" s="56" cm="1">
        <f t="array" ref="U46">IF(T46="X",(_xlfn.XLOOKUP($B46,Tabla1[SERVICIO],Tabla1[VALOR])*1),IF(T46&gt;=1,_xlfn.XLOOKUP($B46,Tabla1[SERVICIO],Tabla1[VALOR]*T46),0))</f>
        <v>82211.022629484622</v>
      </c>
      <c r="V46" s="14">
        <v>4</v>
      </c>
      <c r="W46" s="56" cm="1">
        <f t="array" ref="W46">IF(V46="X",(_xlfn.XLOOKUP($B46,Tabla1[SERVICIO],Tabla1[VALOR])*1),IF(V46&gt;=1,_xlfn.XLOOKUP($B46,Tabla1[SERVICIO],Tabla1[VALOR]*V46),0))</f>
        <v>82211.022629484622</v>
      </c>
      <c r="X46" s="14">
        <v>4</v>
      </c>
      <c r="Y46" s="56" cm="1">
        <f t="array" ref="Y46">IF(X46="X",(_xlfn.XLOOKUP($B46,Tabla1[SERVICIO],Tabla1[VALOR])*1),IF(X46&gt;=1,_xlfn.XLOOKUP($B46,Tabla1[SERVICIO],Tabla1[VALOR]*X46),0))</f>
        <v>82211.022629484622</v>
      </c>
      <c r="Z46" s="14">
        <v>4</v>
      </c>
      <c r="AA46" s="56" cm="1">
        <f t="array" ref="AA46">IF(Z46="X",(_xlfn.XLOOKUP($B46,Tabla1[SERVICIO],Tabla1[VALOR])*1),IF(Z46&gt;=1,_xlfn.XLOOKUP($B46,Tabla1[SERVICIO],Tabla1[VALOR]*Z46),0))</f>
        <v>82211.022629484622</v>
      </c>
      <c r="AB46" s="14">
        <v>4</v>
      </c>
      <c r="AC46" s="56" cm="1">
        <f t="array" ref="AC46">IF(AB46="X",(_xlfn.XLOOKUP($B46,Tabla1[SERVICIO],Tabla1[VALOR])*1),IF(AB46&gt;=1,_xlfn.XLOOKUP($B46,Tabla1[SERVICIO],Tabla1[VALOR]*AB46),0))</f>
        <v>82211.022629484622</v>
      </c>
      <c r="AD46" s="14">
        <v>4</v>
      </c>
      <c r="AE46" s="56" cm="1">
        <f t="array" ref="AE46">IF(AD46="X",(_xlfn.XLOOKUP($B46,Tabla1[SERVICIO],Tabla1[VALOR])*1),IF(AD46&gt;=1,_xlfn.XLOOKUP($B46,Tabla1[SERVICIO],Tabla1[VALOR]*AD46),0))</f>
        <v>82211.022629484622</v>
      </c>
      <c r="AF46" s="14">
        <v>4</v>
      </c>
      <c r="AG46" s="56" cm="1">
        <f t="array" ref="AG46">IF(AF46="X",(_xlfn.XLOOKUP($B46,Tabla1[SERVICIO],Tabla1[VALOR])*1),IF(AF46&gt;=1,_xlfn.XLOOKUP($B46,Tabla1[SERVICIO],Tabla1[VALOR]*AF46),0))</f>
        <v>82211.022629484622</v>
      </c>
      <c r="AH46" s="14">
        <v>4</v>
      </c>
      <c r="AI46" s="56" cm="1">
        <f t="array" ref="AI46">IF(AH46="X",(_xlfn.XLOOKUP($B46,Tabla1[SERVICIO],Tabla1[VALOR])*1),IF(AH46&gt;=1,_xlfn.XLOOKUP($B46,Tabla1[SERVICIO],Tabla1[VALOR]*AH46),0))</f>
        <v>82211.022629484622</v>
      </c>
      <c r="AJ46" s="14">
        <v>4</v>
      </c>
      <c r="AK46" s="56" cm="1">
        <f t="array" ref="AK46">IF(AJ46="X",(_xlfn.XLOOKUP($B46,Tabla1[SERVICIO],Tabla1[VALOR])*1),IF(AJ46&gt;=1,_xlfn.XLOOKUP($B46,Tabla1[SERVICIO],Tabla1[VALOR]*AJ46),0))</f>
        <v>82211.022629484622</v>
      </c>
      <c r="AL46" s="14">
        <v>4</v>
      </c>
      <c r="AM46" s="56" cm="1">
        <f t="array" ref="AM46">IF(AL46="X",(_xlfn.XLOOKUP($B46,Tabla1[SERVICIO],Tabla1[VALOR])*1),IF(AL46&gt;=1,_xlfn.XLOOKUP($B46,Tabla1[SERVICIO],Tabla1[VALOR]*AL46),0))</f>
        <v>82211.022629484622</v>
      </c>
      <c r="AN46" s="89">
        <f t="shared" si="1"/>
        <v>1479798.407330723</v>
      </c>
      <c r="AO46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72</v>
      </c>
      <c r="AP46" s="104" t="s">
        <v>318</v>
      </c>
      <c r="AQ46" s="154">
        <v>1</v>
      </c>
      <c r="AR46" s="90">
        <f>+Tabla21839[[#This Row],[TOTAL]]*Tabla21839[[#This Row],[% de las personas que lo usaron]]</f>
        <v>1479798.407330723</v>
      </c>
      <c r="AS46" s="242" t="s">
        <v>353</v>
      </c>
      <c r="AT46" s="338">
        <v>18</v>
      </c>
    </row>
    <row r="47" spans="1:46" ht="15" x14ac:dyDescent="0.25">
      <c r="A47" s="7" t="s">
        <v>27</v>
      </c>
      <c r="B47" s="8" t="s">
        <v>28</v>
      </c>
      <c r="C47" s="96" t="str">
        <f>_xlfn.XLOOKUP(Tabla21839[[#This Row],[Servicios del Programa:]],Tabla151[CODIGO],Tabla151[VALOR])</f>
        <v>Diagnosticos</v>
      </c>
      <c r="D47" s="14">
        <v>1</v>
      </c>
      <c r="E47" s="56" cm="1">
        <f t="array" ref="E47">IF(D47="X",(_xlfn.XLOOKUP($B47,Tabla1[SERVICIO],Tabla1[VALOR])*1),IF(D47&gt;=1,_xlfn.XLOOKUP($B47,Tabla1[SERVICIO],Tabla1[VALOR]*D47),0))</f>
        <v>43480.816890660324</v>
      </c>
      <c r="F47" s="14"/>
      <c r="G47" s="56" cm="1">
        <f t="array" ref="G47">IF(F47="X",(_xlfn.XLOOKUP($B47,Tabla1[SERVICIO],Tabla1[VALOR])*1),IF(F47&gt;=1,_xlfn.XLOOKUP($B47,Tabla1[SERVICIO],Tabla1[VALOR]*F47),0))</f>
        <v>0</v>
      </c>
      <c r="H47" s="14"/>
      <c r="I47" s="56" cm="1">
        <f t="array" ref="I47">IF(H47="X",(_xlfn.XLOOKUP($B47,Tabla1[SERVICIO],Tabla1[VALOR])*1),IF(H47&gt;=1,_xlfn.XLOOKUP($B47,Tabla1[SERVICIO],Tabla1[VALOR]*H47),0))</f>
        <v>0</v>
      </c>
      <c r="J47" s="14"/>
      <c r="K47" s="56" cm="1">
        <f t="array" ref="K47">IF(J47="X",(_xlfn.XLOOKUP($B47,Tabla1[SERVICIO],Tabla1[VALOR])*1),IF(J47&gt;=1,_xlfn.XLOOKUP($B47,Tabla1[SERVICIO],Tabla1[VALOR]*J47),0))</f>
        <v>0</v>
      </c>
      <c r="L47" s="14"/>
      <c r="M47" s="56" cm="1">
        <f t="array" ref="M47">IF(L47="X",(_xlfn.XLOOKUP($B47,Tabla1[SERVICIO],Tabla1[VALOR])*1),IF(L47&gt;=1,_xlfn.XLOOKUP($B47,Tabla1[SERVICIO],Tabla1[VALOR]*L47),0))</f>
        <v>0</v>
      </c>
      <c r="N47" s="14"/>
      <c r="O47" s="56" cm="1">
        <f t="array" ref="O47">IF(N47="X",(_xlfn.XLOOKUP($B47,Tabla1[SERVICIO],Tabla1[VALOR])*1),IF(N47&gt;=1,_xlfn.XLOOKUP($B47,Tabla1[SERVICIO],Tabla1[VALOR]*N47),0))</f>
        <v>0</v>
      </c>
      <c r="P47" s="14"/>
      <c r="Q47" s="56" cm="1">
        <f t="array" ref="Q47">IF(P47="X",(_xlfn.XLOOKUP($B47,Tabla1[SERVICIO],Tabla1[VALOR])*1),IF(P47&gt;=1,_xlfn.XLOOKUP($B47,Tabla1[SERVICIO],Tabla1[VALOR]*P47),0))</f>
        <v>0</v>
      </c>
      <c r="R47" s="14"/>
      <c r="S47" s="56" cm="1">
        <f t="array" ref="S47">IF(R47="X",(_xlfn.XLOOKUP($B47,Tabla1[SERVICIO],Tabla1[VALOR])*1),IF(R47&gt;=1,_xlfn.XLOOKUP($B47,Tabla1[SERVICIO],Tabla1[VALOR]*R47),0))</f>
        <v>0</v>
      </c>
      <c r="T47" s="14"/>
      <c r="U47" s="56" cm="1">
        <f t="array" ref="U47">IF(T47="X",(_xlfn.XLOOKUP($B47,Tabla1[SERVICIO],Tabla1[VALOR])*1),IF(T47&gt;=1,_xlfn.XLOOKUP($B47,Tabla1[SERVICIO],Tabla1[VALOR]*T47),0))</f>
        <v>0</v>
      </c>
      <c r="V47" s="14"/>
      <c r="W47" s="56" cm="1">
        <f t="array" ref="W47">IF(V47="X",(_xlfn.XLOOKUP($B47,Tabla1[SERVICIO],Tabla1[VALOR])*1),IF(V47&gt;=1,_xlfn.XLOOKUP($B47,Tabla1[SERVICIO],Tabla1[VALOR]*V47),0))</f>
        <v>0</v>
      </c>
      <c r="X47" s="14"/>
      <c r="Y47" s="56" cm="1">
        <f t="array" ref="Y47">IF(X47="X",(_xlfn.XLOOKUP($B47,Tabla1[SERVICIO],Tabla1[VALOR])*1),IF(X47&gt;=1,_xlfn.XLOOKUP($B47,Tabla1[SERVICIO],Tabla1[VALOR]*X47),0))</f>
        <v>0</v>
      </c>
      <c r="Z47" s="14"/>
      <c r="AA47" s="56" cm="1">
        <f t="array" ref="AA47">IF(Z47="X",(_xlfn.XLOOKUP($B47,Tabla1[SERVICIO],Tabla1[VALOR])*1),IF(Z47&gt;=1,_xlfn.XLOOKUP($B47,Tabla1[SERVICIO],Tabla1[VALOR]*Z47),0))</f>
        <v>0</v>
      </c>
      <c r="AB47" s="14"/>
      <c r="AC47" s="56" cm="1">
        <f t="array" ref="AC47">IF(AB47="X",(_xlfn.XLOOKUP($B47,Tabla1[SERVICIO],Tabla1[VALOR])*1),IF(AB47&gt;=1,_xlfn.XLOOKUP($B47,Tabla1[SERVICIO],Tabla1[VALOR]*AB47),0))</f>
        <v>0</v>
      </c>
      <c r="AD47" s="14"/>
      <c r="AE47" s="56" cm="1">
        <f t="array" ref="AE47">IF(AD47="X",(_xlfn.XLOOKUP($B47,Tabla1[SERVICIO],Tabla1[VALOR])*1),IF(AD47&gt;=1,_xlfn.XLOOKUP($B47,Tabla1[SERVICIO],Tabla1[VALOR]*AD47),0))</f>
        <v>0</v>
      </c>
      <c r="AF47" s="14"/>
      <c r="AG47" s="56" cm="1">
        <f t="array" ref="AG47">IF(AF47="X",(_xlfn.XLOOKUP($B47,Tabla1[SERVICIO],Tabla1[VALOR])*1),IF(AF47&gt;=1,_xlfn.XLOOKUP($B47,Tabla1[SERVICIO],Tabla1[VALOR]*AF47),0))</f>
        <v>0</v>
      </c>
      <c r="AH47" s="14"/>
      <c r="AI47" s="56" cm="1">
        <f t="array" ref="AI47">IF(AH47="X",(_xlfn.XLOOKUP($B47,Tabla1[SERVICIO],Tabla1[VALOR])*1),IF(AH47&gt;=1,_xlfn.XLOOKUP($B47,Tabla1[SERVICIO],Tabla1[VALOR]*AH47),0))</f>
        <v>0</v>
      </c>
      <c r="AJ47" s="14"/>
      <c r="AK47" s="56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56" cm="1">
        <f t="array" ref="AM47">IF(AL47="X",(_xlfn.XLOOKUP($B47,Tabla1[SERVICIO],Tabla1[VALOR])*1),IF(AL47&gt;=1,_xlfn.XLOOKUP($B47,Tabla1[SERVICIO],Tabla1[VALOR]*AL47),0))</f>
        <v>43480.816890660324</v>
      </c>
      <c r="AN47" s="89">
        <f t="shared" si="1"/>
        <v>86961.633781320648</v>
      </c>
      <c r="AO47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47" s="104" t="s">
        <v>318</v>
      </c>
      <c r="AQ47" s="154">
        <v>1</v>
      </c>
      <c r="AR47" s="90">
        <f>+Tabla21839[[#This Row],[TOTAL]]*Tabla21839[[#This Row],[% de las personas que lo usaron]]</f>
        <v>86961.633781320648</v>
      </c>
      <c r="AS47" s="242" t="s">
        <v>353</v>
      </c>
      <c r="AT47" s="338">
        <v>18</v>
      </c>
    </row>
    <row r="48" spans="1:46" ht="15" x14ac:dyDescent="0.25">
      <c r="A48" s="7" t="s">
        <v>25</v>
      </c>
      <c r="B48" s="8" t="s">
        <v>26</v>
      </c>
      <c r="C48" s="96" t="str">
        <f>_xlfn.XLOOKUP(Tabla21839[[#This Row],[Servicios del Programa:]],Tabla151[CODIGO],Tabla151[VALOR])</f>
        <v>Diagnosticos</v>
      </c>
      <c r="D48" s="14">
        <v>1</v>
      </c>
      <c r="E48" s="56" cm="1">
        <f t="array" ref="E48">IF(D48="X",(_xlfn.XLOOKUP($B48,Tabla1[SERVICIO],Tabla1[VALOR])*1),IF(D48&gt;=1,_xlfn.XLOOKUP($B48,Tabla1[SERVICIO],Tabla1[VALOR]*D48),0))</f>
        <v>19392.627189167735</v>
      </c>
      <c r="F48" s="14"/>
      <c r="G48" s="56" cm="1">
        <f t="array" ref="G48">IF(F48="X",(_xlfn.XLOOKUP($B48,Tabla1[SERVICIO],Tabla1[VALOR])*1),IF(F48&gt;=1,_xlfn.XLOOKUP($B48,Tabla1[SERVICIO],Tabla1[VALOR]*F48),0))</f>
        <v>0</v>
      </c>
      <c r="H48" s="14"/>
      <c r="I48" s="56" cm="1">
        <f t="array" ref="I48">IF(H48="X",(_xlfn.XLOOKUP($B48,Tabla1[SERVICIO],Tabla1[VALOR])*1),IF(H48&gt;=1,_xlfn.XLOOKUP($B48,Tabla1[SERVICIO],Tabla1[VALOR]*H48),0))</f>
        <v>0</v>
      </c>
      <c r="J48" s="14"/>
      <c r="K48" s="56" cm="1">
        <f t="array" ref="K48">IF(J48="X",(_xlfn.XLOOKUP($B48,Tabla1[SERVICIO],Tabla1[VALOR])*1),IF(J48&gt;=1,_xlfn.XLOOKUP($B48,Tabla1[SERVICIO],Tabla1[VALOR]*J48),0))</f>
        <v>0</v>
      </c>
      <c r="L48" s="14"/>
      <c r="M48" s="56" cm="1">
        <f t="array" ref="M48">IF(L48="X",(_xlfn.XLOOKUP($B48,Tabla1[SERVICIO],Tabla1[VALOR])*1),IF(L48&gt;=1,_xlfn.XLOOKUP($B48,Tabla1[SERVICIO],Tabla1[VALOR]*L48),0))</f>
        <v>0</v>
      </c>
      <c r="N48" s="14"/>
      <c r="O48" s="56" cm="1">
        <f t="array" ref="O48">IF(N48="X",(_xlfn.XLOOKUP($B48,Tabla1[SERVICIO],Tabla1[VALOR])*1),IF(N48&gt;=1,_xlfn.XLOOKUP($B48,Tabla1[SERVICIO],Tabla1[VALOR]*N48),0))</f>
        <v>0</v>
      </c>
      <c r="P48" s="14"/>
      <c r="Q48" s="56" cm="1">
        <f t="array" ref="Q48">IF(P48="X",(_xlfn.XLOOKUP($B48,Tabla1[SERVICIO],Tabla1[VALOR])*1),IF(P48&gt;=1,_xlfn.XLOOKUP($B48,Tabla1[SERVICIO],Tabla1[VALOR]*P48),0))</f>
        <v>0</v>
      </c>
      <c r="R48" s="14"/>
      <c r="S48" s="56" cm="1">
        <f t="array" ref="S48">IF(R48="X",(_xlfn.XLOOKUP($B48,Tabla1[SERVICIO],Tabla1[VALOR])*1),IF(R48&gt;=1,_xlfn.XLOOKUP($B48,Tabla1[SERVICIO],Tabla1[VALOR]*R48),0))</f>
        <v>0</v>
      </c>
      <c r="T48" s="14"/>
      <c r="U48" s="56" cm="1">
        <f t="array" ref="U48">IF(T48="X",(_xlfn.XLOOKUP($B48,Tabla1[SERVICIO],Tabla1[VALOR])*1),IF(T48&gt;=1,_xlfn.XLOOKUP($B48,Tabla1[SERVICIO],Tabla1[VALOR]*T48),0))</f>
        <v>0</v>
      </c>
      <c r="V48" s="14"/>
      <c r="W48" s="56" cm="1">
        <f t="array" ref="W48">IF(V48="X",(_xlfn.XLOOKUP($B48,Tabla1[SERVICIO],Tabla1[VALOR])*1),IF(V48&gt;=1,_xlfn.XLOOKUP($B48,Tabla1[SERVICIO],Tabla1[VALOR]*V48),0))</f>
        <v>0</v>
      </c>
      <c r="X48" s="14"/>
      <c r="Y48" s="56" cm="1">
        <f t="array" ref="Y48">IF(X48="X",(_xlfn.XLOOKUP($B48,Tabla1[SERVICIO],Tabla1[VALOR])*1),IF(X48&gt;=1,_xlfn.XLOOKUP($B48,Tabla1[SERVICIO],Tabla1[VALOR]*X48),0))</f>
        <v>0</v>
      </c>
      <c r="Z48" s="14"/>
      <c r="AA48" s="56" cm="1">
        <f t="array" ref="AA48">IF(Z48="X",(_xlfn.XLOOKUP($B48,Tabla1[SERVICIO],Tabla1[VALOR])*1),IF(Z48&gt;=1,_xlfn.XLOOKUP($B48,Tabla1[SERVICIO],Tabla1[VALOR]*Z48),0))</f>
        <v>0</v>
      </c>
      <c r="AB48" s="14"/>
      <c r="AC48" s="56" cm="1">
        <f t="array" ref="AC48">IF(AB48="X",(_xlfn.XLOOKUP($B48,Tabla1[SERVICIO],Tabla1[VALOR])*1),IF(AB48&gt;=1,_xlfn.XLOOKUP($B48,Tabla1[SERVICIO],Tabla1[VALOR]*AB48),0))</f>
        <v>0</v>
      </c>
      <c r="AD48" s="14"/>
      <c r="AE48" s="56" cm="1">
        <f t="array" ref="AE48">IF(AD48="X",(_xlfn.XLOOKUP($B48,Tabla1[SERVICIO],Tabla1[VALOR])*1),IF(AD48&gt;=1,_xlfn.XLOOKUP($B48,Tabla1[SERVICIO],Tabla1[VALOR]*AD48),0))</f>
        <v>0</v>
      </c>
      <c r="AF48" s="14"/>
      <c r="AG48" s="56" cm="1">
        <f t="array" ref="AG48">IF(AF48="X",(_xlfn.XLOOKUP($B48,Tabla1[SERVICIO],Tabla1[VALOR])*1),IF(AF48&gt;=1,_xlfn.XLOOKUP($B48,Tabla1[SERVICIO],Tabla1[VALOR]*AF48),0))</f>
        <v>0</v>
      </c>
      <c r="AH48" s="14"/>
      <c r="AI48" s="56" cm="1">
        <f t="array" ref="AI48">IF(AH48="X",(_xlfn.XLOOKUP($B48,Tabla1[SERVICIO],Tabla1[VALOR])*1),IF(AH48&gt;=1,_xlfn.XLOOKUP($B48,Tabla1[SERVICIO],Tabla1[VALOR]*AH48),0))</f>
        <v>0</v>
      </c>
      <c r="AJ48" s="14"/>
      <c r="AK48" s="56" cm="1">
        <f t="array" ref="AK48">IF(AJ48="X",(_xlfn.XLOOKUP($B48,Tabla1[SERVICIO],Tabla1[VALOR])*1),IF(AJ48&gt;=1,_xlfn.XLOOKUP($B48,Tabla1[SERVICIO],Tabla1[VALOR]*AJ48),0))</f>
        <v>0</v>
      </c>
      <c r="AL48" s="14">
        <v>1</v>
      </c>
      <c r="AM48" s="56" cm="1">
        <f t="array" ref="AM48">IF(AL48="X",(_xlfn.XLOOKUP($B48,Tabla1[SERVICIO],Tabla1[VALOR])*1),IF(AL48&gt;=1,_xlfn.XLOOKUP($B48,Tabla1[SERVICIO],Tabla1[VALOR]*AL48),0))</f>
        <v>19392.627189167735</v>
      </c>
      <c r="AN48" s="89">
        <f t="shared" si="1"/>
        <v>38785.25437833547</v>
      </c>
      <c r="AO48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48" s="104" t="s">
        <v>318</v>
      </c>
      <c r="AQ48" s="154">
        <v>1</v>
      </c>
      <c r="AR48" s="90">
        <f>+Tabla21839[[#This Row],[TOTAL]]*Tabla21839[[#This Row],[% de las personas que lo usaron]]</f>
        <v>38785.25437833547</v>
      </c>
      <c r="AS48" s="242" t="s">
        <v>353</v>
      </c>
      <c r="AT48" s="338">
        <v>18</v>
      </c>
    </row>
    <row r="49" spans="1:46" ht="15" x14ac:dyDescent="0.25">
      <c r="A49" s="7" t="s">
        <v>113</v>
      </c>
      <c r="B49" s="25" t="s">
        <v>116</v>
      </c>
      <c r="C49" s="96" t="str">
        <f>_xlfn.XLOOKUP(Tabla21839[[#This Row],[Servicios del Programa:]],Tabla151[CODIGO],Tabla151[VALOR])</f>
        <v>Consultas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60236.092716419647</v>
      </c>
      <c r="F49" s="14"/>
      <c r="G49" s="56" cm="1">
        <f t="array" ref="G49">IF(F49="X",(_xlfn.XLOOKUP($B49,Tabla1[SERVICIO],Tabla1[VALOR])*1),IF(F49&gt;=1,_xlfn.XLOOKUP($B49,Tabla1[SERVICIO],Tabla1[VALOR]*F49),0))</f>
        <v>0</v>
      </c>
      <c r="H49" s="14"/>
      <c r="I49" s="56" cm="1">
        <f t="array" ref="I49">IF(H49="X",(_xlfn.XLOOKUP($B49,Tabla1[SERVICIO],Tabla1[VALOR])*1),IF(H49&gt;=1,_xlfn.XLOOKUP($B49,Tabla1[SERVICIO],Tabla1[VALOR]*H49),0))</f>
        <v>0</v>
      </c>
      <c r="J49" s="14"/>
      <c r="K49" s="56" cm="1">
        <f t="array" ref="K49">IF(J49="X",(_xlfn.XLOOKUP($B49,Tabla1[SERVICIO],Tabla1[VALOR])*1),IF(J49&gt;=1,_xlfn.XLOOKUP($B49,Tabla1[SERVICIO],Tabla1[VALOR]*J49),0))</f>
        <v>0</v>
      </c>
      <c r="L49" s="14"/>
      <c r="M49" s="56" cm="1">
        <f t="array" ref="M49">IF(L49="X",(_xlfn.XLOOKUP($B49,Tabla1[SERVICIO],Tabla1[VALOR])*1),IF(L49&gt;=1,_xlfn.XLOOKUP($B49,Tabla1[SERVICIO],Tabla1[VALOR]*L49),0))</f>
        <v>0</v>
      </c>
      <c r="N49" s="14"/>
      <c r="O49" s="56" cm="1">
        <f t="array" ref="O49">IF(N49="X",(_xlfn.XLOOKUP($B49,Tabla1[SERVICIO],Tabla1[VALOR])*1),IF(N49&gt;=1,_xlfn.XLOOKUP($B49,Tabla1[SERVICIO],Tabla1[VALOR]*N49),0))</f>
        <v>0</v>
      </c>
      <c r="P49" s="14"/>
      <c r="Q49" s="56" cm="1">
        <f t="array" ref="Q49">IF(P49="X",(_xlfn.XLOOKUP($B49,Tabla1[SERVICIO],Tabla1[VALOR])*1),IF(P49&gt;=1,_xlfn.XLOOKUP($B49,Tabla1[SERVICIO],Tabla1[VALOR]*P49),0))</f>
        <v>0</v>
      </c>
      <c r="R49" s="14"/>
      <c r="S49" s="56" cm="1">
        <f t="array" ref="S49">IF(R49="X",(_xlfn.XLOOKUP($B49,Tabla1[SERVICIO],Tabla1[VALOR])*1),IF(R49&gt;=1,_xlfn.XLOOKUP($B49,Tabla1[SERVICIO],Tabla1[VALOR]*R49),0))</f>
        <v>0</v>
      </c>
      <c r="T49" s="14"/>
      <c r="U49" s="56" cm="1">
        <f t="array" ref="U49">IF(T49="X",(_xlfn.XLOOKUP($B49,Tabla1[SERVICIO],Tabla1[VALOR])*1),IF(T49&gt;=1,_xlfn.XLOOKUP($B49,Tabla1[SERVICIO],Tabla1[VALOR]*T49),0))</f>
        <v>0</v>
      </c>
      <c r="V49" s="14"/>
      <c r="W49" s="56" cm="1">
        <f t="array" ref="W49">IF(V49="X",(_xlfn.XLOOKUP($B49,Tabla1[SERVICIO],Tabla1[VALOR])*1),IF(V49&gt;=1,_xlfn.XLOOKUP($B49,Tabla1[SERVICIO],Tabla1[VALOR]*V49),0))</f>
        <v>0</v>
      </c>
      <c r="X49" s="14"/>
      <c r="Y49" s="56" cm="1">
        <f t="array" ref="Y49">IF(X49="X",(_xlfn.XLOOKUP($B49,Tabla1[SERVICIO],Tabla1[VALOR])*1),IF(X49&gt;=1,_xlfn.XLOOKUP($B49,Tabla1[SERVICIO],Tabla1[VALOR]*X49),0))</f>
        <v>0</v>
      </c>
      <c r="Z49" s="14"/>
      <c r="AA49" s="56" cm="1">
        <f t="array" ref="AA49">IF(Z49="X",(_xlfn.XLOOKUP($B49,Tabla1[SERVICIO],Tabla1[VALOR])*1),IF(Z49&gt;=1,_xlfn.XLOOKUP($B49,Tabla1[SERVICIO],Tabla1[VALOR]*Z49),0))</f>
        <v>0</v>
      </c>
      <c r="AB49" s="14"/>
      <c r="AC49" s="56" cm="1">
        <f t="array" ref="AC49">IF(AB49="X",(_xlfn.XLOOKUP($B49,Tabla1[SERVICIO],Tabla1[VALOR])*1),IF(AB49&gt;=1,_xlfn.XLOOKUP($B49,Tabla1[SERVICIO],Tabla1[VALOR]*AB49),0))</f>
        <v>0</v>
      </c>
      <c r="AD49" s="14"/>
      <c r="AE49" s="56" cm="1">
        <f t="array" ref="AE49">IF(AD49="X",(_xlfn.XLOOKUP($B49,Tabla1[SERVICIO],Tabla1[VALOR])*1),IF(AD49&gt;=1,_xlfn.XLOOKUP($B49,Tabla1[SERVICIO],Tabla1[VALOR]*AD49),0))</f>
        <v>0</v>
      </c>
      <c r="AF49" s="14"/>
      <c r="AG49" s="56" cm="1">
        <f t="array" ref="AG49">IF(AF49="X",(_xlfn.XLOOKUP($B49,Tabla1[SERVICIO],Tabla1[VALOR])*1),IF(AF49&gt;=1,_xlfn.XLOOKUP($B49,Tabla1[SERVICIO],Tabla1[VALOR]*AF49),0))</f>
        <v>0</v>
      </c>
      <c r="AH49" s="14"/>
      <c r="AI49" s="56" cm="1">
        <f t="array" ref="AI49">IF(AH49="X",(_xlfn.XLOOKUP($B49,Tabla1[SERVICIO],Tabla1[VALOR])*1),IF(AH49&gt;=1,_xlfn.XLOOKUP($B49,Tabla1[SERVICIO],Tabla1[VALOR]*AH49),0))</f>
        <v>0</v>
      </c>
      <c r="AJ49" s="14"/>
      <c r="AK49" s="56" cm="1">
        <f t="array" ref="AK49">IF(AJ49="X",(_xlfn.XLOOKUP($B49,Tabla1[SERVICIO],Tabla1[VALOR])*1),IF(AJ49&gt;=1,_xlfn.XLOOKUP($B49,Tabla1[SERVICIO],Tabla1[VALOR]*AJ49),0))</f>
        <v>0</v>
      </c>
      <c r="AL49" s="14"/>
      <c r="AM49" s="56" cm="1">
        <f t="array" ref="AM49">IF(AL49="X",(_xlfn.XLOOKUP($B49,Tabla1[SERVICIO],Tabla1[VALOR])*1),IF(AL49&gt;=1,_xlfn.XLOOKUP($B49,Tabla1[SERVICIO],Tabla1[VALOR]*AL49),0))</f>
        <v>0</v>
      </c>
      <c r="AN49" s="89">
        <f t="shared" si="1"/>
        <v>60236.092716419647</v>
      </c>
      <c r="AO49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9" s="104" t="s">
        <v>319</v>
      </c>
      <c r="AQ49" s="161">
        <v>0.05</v>
      </c>
      <c r="AR49" s="90">
        <f>+Tabla21839[[#This Row],[TOTAL]]*Tabla21839[[#This Row],[% de las personas que lo usaron]]</f>
        <v>3011.8046358209826</v>
      </c>
      <c r="AS49" s="242" t="s">
        <v>353</v>
      </c>
      <c r="AT49" s="338">
        <v>18</v>
      </c>
    </row>
    <row r="50" spans="1:46" ht="15" x14ac:dyDescent="0.25">
      <c r="A50" s="7" t="s">
        <v>114</v>
      </c>
      <c r="B50" s="8" t="s">
        <v>117</v>
      </c>
      <c r="C50" s="96" t="str">
        <f>_xlfn.XLOOKUP(Tabla21839[[#This Row],[Servicios del Programa:]],Tabla151[CODIGO],Tabla151[VALOR])</f>
        <v>Consultas</v>
      </c>
      <c r="D50" s="14"/>
      <c r="E50" s="56" cm="1">
        <f t="array" ref="E50">IF(D50="X",(_xlfn.XLOOKUP($B50,Tabla1[SERVICIO],Tabla1[VALOR])*1),IF(D50&gt;=1,_xlfn.XLOOKUP($B50,Tabla1[SERVICIO],Tabla1[VALOR]*D50),0))</f>
        <v>0</v>
      </c>
      <c r="F50" s="14"/>
      <c r="G50" s="56" cm="1">
        <f t="array" ref="G50">IF(F50="X",(_xlfn.XLOOKUP($B50,Tabla1[SERVICIO],Tabla1[VALOR])*1),IF(F50&gt;=1,_xlfn.XLOOKUP($B50,Tabla1[SERVICIO],Tabla1[VALOR]*F50),0))</f>
        <v>0</v>
      </c>
      <c r="H50" s="14"/>
      <c r="I50" s="56" cm="1">
        <f t="array" ref="I50">IF(H50="X",(_xlfn.XLOOKUP($B50,Tabla1[SERVICIO],Tabla1[VALOR])*1),IF(H50&gt;=1,_xlfn.XLOOKUP($B50,Tabla1[SERVICIO],Tabla1[VALOR]*H50),0))</f>
        <v>0</v>
      </c>
      <c r="J50" s="14"/>
      <c r="K50" s="56" cm="1">
        <f t="array" ref="K50">IF(J50="X",(_xlfn.XLOOKUP($B50,Tabla1[SERVICIO],Tabla1[VALOR])*1),IF(J50&gt;=1,_xlfn.XLOOKUP($B50,Tabla1[SERVICIO],Tabla1[VALOR]*J50),0))</f>
        <v>0</v>
      </c>
      <c r="L50" s="14"/>
      <c r="M50" s="56" cm="1">
        <f t="array" ref="M50">IF(L50="X",(_xlfn.XLOOKUP($B50,Tabla1[SERVICIO],Tabla1[VALOR])*1),IF(L50&gt;=1,_xlfn.XLOOKUP($B50,Tabla1[SERVICIO],Tabla1[VALOR]*L50),0))</f>
        <v>0</v>
      </c>
      <c r="N50" s="14"/>
      <c r="O50" s="56" cm="1">
        <f t="array" ref="O50">IF(N50="X",(_xlfn.XLOOKUP($B50,Tabla1[SERVICIO],Tabla1[VALOR])*1),IF(N50&gt;=1,_xlfn.XLOOKUP($B50,Tabla1[SERVICIO],Tabla1[VALOR]*N50),0))</f>
        <v>0</v>
      </c>
      <c r="P50" s="14"/>
      <c r="Q50" s="56" cm="1">
        <f t="array" ref="Q50">IF(P50="X",(_xlfn.XLOOKUP($B50,Tabla1[SERVICIO],Tabla1[VALOR])*1),IF(P50&gt;=1,_xlfn.XLOOKUP($B50,Tabla1[SERVICIO],Tabla1[VALOR]*P50),0))</f>
        <v>0</v>
      </c>
      <c r="R50" s="14"/>
      <c r="S50" s="56" cm="1">
        <f t="array" ref="S50">IF(R50="X",(_xlfn.XLOOKUP($B50,Tabla1[SERVICIO],Tabla1[VALOR])*1),IF(R50&gt;=1,_xlfn.XLOOKUP($B50,Tabla1[SERVICIO],Tabla1[VALOR]*R50),0))</f>
        <v>0</v>
      </c>
      <c r="T50" s="14"/>
      <c r="U50" s="56" cm="1">
        <f t="array" ref="U50">IF(T50="X",(_xlfn.XLOOKUP($B50,Tabla1[SERVICIO],Tabla1[VALOR])*1),IF(T50&gt;=1,_xlfn.XLOOKUP($B50,Tabla1[SERVICIO],Tabla1[VALOR]*T50),0))</f>
        <v>0</v>
      </c>
      <c r="V50" s="14"/>
      <c r="W50" s="56" cm="1">
        <f t="array" ref="W50">IF(V50="X",(_xlfn.XLOOKUP($B50,Tabla1[SERVICIO],Tabla1[VALOR])*1),IF(V50&gt;=1,_xlfn.XLOOKUP($B50,Tabla1[SERVICIO],Tabla1[VALOR]*V50),0))</f>
        <v>0</v>
      </c>
      <c r="X50" s="14"/>
      <c r="Y50" s="56" cm="1">
        <f t="array" ref="Y50">IF(X50="X",(_xlfn.XLOOKUP($B50,Tabla1[SERVICIO],Tabla1[VALOR])*1),IF(X50&gt;=1,_xlfn.XLOOKUP($B50,Tabla1[SERVICIO],Tabla1[VALOR]*X50),0))</f>
        <v>0</v>
      </c>
      <c r="Z50" s="14"/>
      <c r="AA50" s="56" cm="1">
        <f t="array" ref="AA50">IF(Z50="X",(_xlfn.XLOOKUP($B50,Tabla1[SERVICIO],Tabla1[VALOR])*1),IF(Z50&gt;=1,_xlfn.XLOOKUP($B50,Tabla1[SERVICIO],Tabla1[VALOR]*Z50),0))</f>
        <v>0</v>
      </c>
      <c r="AB50" s="14"/>
      <c r="AC50" s="56" cm="1">
        <f t="array" ref="AC50">IF(AB50="X",(_xlfn.XLOOKUP($B50,Tabla1[SERVICIO],Tabla1[VALOR])*1),IF(AB50&gt;=1,_xlfn.XLOOKUP($B50,Tabla1[SERVICIO],Tabla1[VALOR]*AB50),0))</f>
        <v>0</v>
      </c>
      <c r="AD50" s="14"/>
      <c r="AE50" s="56" cm="1">
        <f t="array" ref="AE50">IF(AD50="X",(_xlfn.XLOOKUP($B50,Tabla1[SERVICIO],Tabla1[VALOR])*1),IF(AD50&gt;=1,_xlfn.XLOOKUP($B50,Tabla1[SERVICIO],Tabla1[VALOR]*AD50),0))</f>
        <v>0</v>
      </c>
      <c r="AF50" s="14"/>
      <c r="AG50" s="56" cm="1">
        <f t="array" ref="AG50">IF(AF50="X",(_xlfn.XLOOKUP($B50,Tabla1[SERVICIO],Tabla1[VALOR])*1),IF(AF50&gt;=1,_xlfn.XLOOKUP($B50,Tabla1[SERVICIO],Tabla1[VALOR]*AF50),0))</f>
        <v>0</v>
      </c>
      <c r="AH50" s="14"/>
      <c r="AI50" s="56" cm="1">
        <f t="array" ref="AI50">IF(AH50="X",(_xlfn.XLOOKUP($B50,Tabla1[SERVICIO],Tabla1[VALOR])*1),IF(AH50&gt;=1,_xlfn.XLOOKUP($B50,Tabla1[SERVICIO],Tabla1[VALOR]*AH50),0))</f>
        <v>0</v>
      </c>
      <c r="AJ50" s="14"/>
      <c r="AK50" s="56" cm="1">
        <f t="array" ref="AK50">IF(AJ50="X",(_xlfn.XLOOKUP($B50,Tabla1[SERVICIO],Tabla1[VALOR])*1),IF(AJ50&gt;=1,_xlfn.XLOOKUP($B50,Tabla1[SERVICIO],Tabla1[VALOR]*AJ50),0))</f>
        <v>0</v>
      </c>
      <c r="AL50" s="14"/>
      <c r="AM50" s="56" cm="1">
        <f t="array" ref="AM50">IF(AL50="X",(_xlfn.XLOOKUP($B50,Tabla1[SERVICIO],Tabla1[VALOR])*1),IF(AL50&gt;=1,_xlfn.XLOOKUP($B50,Tabla1[SERVICIO],Tabla1[VALOR]*AL50),0))</f>
        <v>0</v>
      </c>
      <c r="AN50" s="89">
        <f t="shared" si="1"/>
        <v>0</v>
      </c>
      <c r="AO50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0" s="104" t="s">
        <v>319</v>
      </c>
      <c r="AQ50" s="161">
        <v>0</v>
      </c>
      <c r="AR50" s="90">
        <f>+Tabla21839[[#This Row],[TOTAL]]*Tabla21839[[#This Row],[% de las personas que lo usaron]]</f>
        <v>0</v>
      </c>
      <c r="AS50" s="242" t="s">
        <v>353</v>
      </c>
      <c r="AT50" s="338">
        <v>18</v>
      </c>
    </row>
    <row r="51" spans="1:46" ht="15" x14ac:dyDescent="0.25">
      <c r="A51" s="7" t="s">
        <v>115</v>
      </c>
      <c r="B51" s="8" t="s">
        <v>118</v>
      </c>
      <c r="C51" s="96" t="str">
        <f>_xlfn.XLOOKUP(Tabla21839[[#This Row],[Servicios del Programa:]],Tabla151[CODIGO],Tabla151[VALOR])</f>
        <v>Consultas</v>
      </c>
      <c r="D51" s="14"/>
      <c r="E51" s="56" cm="1">
        <f t="array" ref="E51">IF(D51="X",(_xlfn.XLOOKUP($B51,Tabla1[SERVICIO],Tabla1[VALOR])*1),IF(D51&gt;=1,_xlfn.XLOOKUP($B51,Tabla1[SERVICIO],Tabla1[VALOR]*D51),0))</f>
        <v>0</v>
      </c>
      <c r="F51" s="14"/>
      <c r="G51" s="56" cm="1">
        <f t="array" ref="G51">IF(F51="X",(_xlfn.XLOOKUP($B51,Tabla1[SERVICIO],Tabla1[VALOR])*1),IF(F51&gt;=1,_xlfn.XLOOKUP($B51,Tabla1[SERVICIO],Tabla1[VALOR]*F51),0))</f>
        <v>0</v>
      </c>
      <c r="H51" s="14"/>
      <c r="I51" s="56" cm="1">
        <f t="array" ref="I51">IF(H51="X",(_xlfn.XLOOKUP($B51,Tabla1[SERVICIO],Tabla1[VALOR])*1),IF(H51&gt;=1,_xlfn.XLOOKUP($B51,Tabla1[SERVICIO],Tabla1[VALOR]*H51),0))</f>
        <v>0</v>
      </c>
      <c r="J51" s="14"/>
      <c r="K51" s="56" cm="1">
        <f t="array" ref="K51">IF(J51="X",(_xlfn.XLOOKUP($B51,Tabla1[SERVICIO],Tabla1[VALOR])*1),IF(J51&gt;=1,_xlfn.XLOOKUP($B51,Tabla1[SERVICIO],Tabla1[VALOR]*J51),0))</f>
        <v>0</v>
      </c>
      <c r="L51" s="14"/>
      <c r="M51" s="56" cm="1">
        <f t="array" ref="M51">IF(L51="X",(_xlfn.XLOOKUP($B51,Tabla1[SERVICIO],Tabla1[VALOR])*1),IF(L51&gt;=1,_xlfn.XLOOKUP($B51,Tabla1[SERVICIO],Tabla1[VALOR]*L51),0))</f>
        <v>0</v>
      </c>
      <c r="N51" s="14"/>
      <c r="O51" s="56" cm="1">
        <f t="array" ref="O51">IF(N51="X",(_xlfn.XLOOKUP($B51,Tabla1[SERVICIO],Tabla1[VALOR])*1),IF(N51&gt;=1,_xlfn.XLOOKUP($B51,Tabla1[SERVICIO],Tabla1[VALOR]*N51),0))</f>
        <v>0</v>
      </c>
      <c r="P51" s="14"/>
      <c r="Q51" s="56" cm="1">
        <f t="array" ref="Q51">IF(P51="X",(_xlfn.XLOOKUP($B51,Tabla1[SERVICIO],Tabla1[VALOR])*1),IF(P51&gt;=1,_xlfn.XLOOKUP($B51,Tabla1[SERVICIO],Tabla1[VALOR]*P51),0))</f>
        <v>0</v>
      </c>
      <c r="R51" s="14"/>
      <c r="S51" s="56" cm="1">
        <f t="array" ref="S51">IF(R51="X",(_xlfn.XLOOKUP($B51,Tabla1[SERVICIO],Tabla1[VALOR])*1),IF(R51&gt;=1,_xlfn.XLOOKUP($B51,Tabla1[SERVICIO],Tabla1[VALOR]*R51),0))</f>
        <v>0</v>
      </c>
      <c r="T51" s="14"/>
      <c r="U51" s="56" cm="1">
        <f t="array" ref="U51">IF(T51="X",(_xlfn.XLOOKUP($B51,Tabla1[SERVICIO],Tabla1[VALOR])*1),IF(T51&gt;=1,_xlfn.XLOOKUP($B51,Tabla1[SERVICIO],Tabla1[VALOR]*T51),0))</f>
        <v>0</v>
      </c>
      <c r="V51" s="14"/>
      <c r="W51" s="56" cm="1">
        <f t="array" ref="W51">IF(V51="X",(_xlfn.XLOOKUP($B51,Tabla1[SERVICIO],Tabla1[VALOR])*1),IF(V51&gt;=1,_xlfn.XLOOKUP($B51,Tabla1[SERVICIO],Tabla1[VALOR]*V51),0))</f>
        <v>0</v>
      </c>
      <c r="X51" s="14"/>
      <c r="Y51" s="56" cm="1">
        <f t="array" ref="Y51">IF(X51="X",(_xlfn.XLOOKUP($B51,Tabla1[SERVICIO],Tabla1[VALOR])*1),IF(X51&gt;=1,_xlfn.XLOOKUP($B51,Tabla1[SERVICIO],Tabla1[VALOR]*X51),0))</f>
        <v>0</v>
      </c>
      <c r="Z51" s="14"/>
      <c r="AA51" s="56" cm="1">
        <f t="array" ref="AA51">IF(Z51="X",(_xlfn.XLOOKUP($B51,Tabla1[SERVICIO],Tabla1[VALOR])*1),IF(Z51&gt;=1,_xlfn.XLOOKUP($B51,Tabla1[SERVICIO],Tabla1[VALOR]*Z51),0))</f>
        <v>0</v>
      </c>
      <c r="AB51" s="14"/>
      <c r="AC51" s="56" cm="1">
        <f t="array" ref="AC51">IF(AB51="X",(_xlfn.XLOOKUP($B51,Tabla1[SERVICIO],Tabla1[VALOR])*1),IF(AB51&gt;=1,_xlfn.XLOOKUP($B51,Tabla1[SERVICIO],Tabla1[VALOR]*AB51),0))</f>
        <v>0</v>
      </c>
      <c r="AD51" s="14"/>
      <c r="AE51" s="56" cm="1">
        <f t="array" ref="AE51">IF(AD51="X",(_xlfn.XLOOKUP($B51,Tabla1[SERVICIO],Tabla1[VALOR])*1),IF(AD51&gt;=1,_xlfn.XLOOKUP($B51,Tabla1[SERVICIO],Tabla1[VALOR]*AD51),0))</f>
        <v>0</v>
      </c>
      <c r="AF51" s="14"/>
      <c r="AG51" s="56" cm="1">
        <f t="array" ref="AG51">IF(AF51="X",(_xlfn.XLOOKUP($B51,Tabla1[SERVICIO],Tabla1[VALOR])*1),IF(AF51&gt;=1,_xlfn.XLOOKUP($B51,Tabla1[SERVICIO],Tabla1[VALOR]*AF51),0))</f>
        <v>0</v>
      </c>
      <c r="AH51" s="14"/>
      <c r="AI51" s="56" cm="1">
        <f t="array" ref="AI51">IF(AH51="X",(_xlfn.XLOOKUP($B51,Tabla1[SERVICIO],Tabla1[VALOR])*1),IF(AH51&gt;=1,_xlfn.XLOOKUP($B51,Tabla1[SERVICIO],Tabla1[VALOR]*AH51),0))</f>
        <v>0</v>
      </c>
      <c r="AJ51" s="14"/>
      <c r="AK51" s="56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6" cm="1">
        <f t="array" ref="AM51">IF(AL51="X",(_xlfn.XLOOKUP($B51,Tabla1[SERVICIO],Tabla1[VALOR])*1),IF(AL51&gt;=1,_xlfn.XLOOKUP($B51,Tabla1[SERVICIO],Tabla1[VALOR]*AL51),0))</f>
        <v>62748.232282880919</v>
      </c>
      <c r="AN51" s="89">
        <f t="shared" si="1"/>
        <v>62748.232282880919</v>
      </c>
      <c r="AO51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1" s="104" t="s">
        <v>319</v>
      </c>
      <c r="AQ51" s="161">
        <v>0</v>
      </c>
      <c r="AR51" s="90">
        <f>+Tabla21839[[#This Row],[TOTAL]]*Tabla21839[[#This Row],[% de las personas que lo usaron]]</f>
        <v>0</v>
      </c>
      <c r="AS51" s="242" t="s">
        <v>353</v>
      </c>
      <c r="AT51" s="338">
        <v>18</v>
      </c>
    </row>
    <row r="52" spans="1:46" ht="15" x14ac:dyDescent="0.25">
      <c r="A52" s="7" t="s">
        <v>52</v>
      </c>
      <c r="B52" s="8" t="s">
        <v>191</v>
      </c>
      <c r="C52" s="96" t="str">
        <f>_xlfn.XLOOKUP(Tabla21839[[#This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26897.079640267821</v>
      </c>
      <c r="F52" s="14"/>
      <c r="G52" s="56" cm="1">
        <f t="array" ref="G52">IF(F52="X",(_xlfn.XLOOKUP($B52,Tabla1[SERVICIO],Tabla1[VALOR])*1),IF(F52&gt;=1,_xlfn.XLOOKUP($B52,Tabla1[SERVICIO],Tabla1[VALOR]*F52),0))</f>
        <v>0</v>
      </c>
      <c r="H52" s="14"/>
      <c r="I52" s="56" cm="1">
        <f t="array" ref="I52">IF(H52="X",(_xlfn.XLOOKUP($B52,Tabla1[SERVICIO],Tabla1[VALOR])*1),IF(H52&gt;=1,_xlfn.XLOOKUP($B52,Tabla1[SERVICIO],Tabla1[VALOR]*H52),0))</f>
        <v>0</v>
      </c>
      <c r="J52" s="14"/>
      <c r="K52" s="56" cm="1">
        <f t="array" ref="K52">IF(J52="X",(_xlfn.XLOOKUP($B52,Tabla1[SERVICIO],Tabla1[VALOR])*1),IF(J52&gt;=1,_xlfn.XLOOKUP($B52,Tabla1[SERVICIO],Tabla1[VALOR]*J52),0))</f>
        <v>0</v>
      </c>
      <c r="L52" s="14"/>
      <c r="M52" s="56" cm="1">
        <f t="array" ref="M52">IF(L52="X",(_xlfn.XLOOKUP($B52,Tabla1[SERVICIO],Tabla1[VALOR])*1),IF(L52&gt;=1,_xlfn.XLOOKUP($B52,Tabla1[SERVICIO],Tabla1[VALOR]*L52),0))</f>
        <v>0</v>
      </c>
      <c r="N52" s="14"/>
      <c r="O52" s="56" cm="1">
        <f t="array" ref="O52">IF(N52="X",(_xlfn.XLOOKUP($B52,Tabla1[SERVICIO],Tabla1[VALOR])*1),IF(N52&gt;=1,_xlfn.XLOOKUP($B52,Tabla1[SERVICIO],Tabla1[VALOR]*N52),0))</f>
        <v>0</v>
      </c>
      <c r="P52" s="14"/>
      <c r="Q52" s="56" cm="1">
        <f t="array" ref="Q52">IF(P52="X",(_xlfn.XLOOKUP($B52,Tabla1[SERVICIO],Tabla1[VALOR])*1),IF(P52&gt;=1,_xlfn.XLOOKUP($B52,Tabla1[SERVICIO],Tabla1[VALOR]*P52),0))</f>
        <v>0</v>
      </c>
      <c r="R52" s="14"/>
      <c r="S52" s="56" cm="1">
        <f t="array" ref="S52">IF(R52="X",(_xlfn.XLOOKUP($B52,Tabla1[SERVICIO],Tabla1[VALOR])*1),IF(R52&gt;=1,_xlfn.XLOOKUP($B52,Tabla1[SERVICIO],Tabla1[VALOR]*R52),0))</f>
        <v>0</v>
      </c>
      <c r="T52" s="14"/>
      <c r="U52" s="56" cm="1">
        <f t="array" ref="U52">IF(T52="X",(_xlfn.XLOOKUP($B52,Tabla1[SERVICIO],Tabla1[VALOR])*1),IF(T52&gt;=1,_xlfn.XLOOKUP($B52,Tabla1[SERVICIO],Tabla1[VALOR]*T52),0))</f>
        <v>0</v>
      </c>
      <c r="V52" s="14"/>
      <c r="W52" s="56" cm="1">
        <f t="array" ref="W52">IF(V52="X",(_xlfn.XLOOKUP($B52,Tabla1[SERVICIO],Tabla1[VALOR])*1),IF(V52&gt;=1,_xlfn.XLOOKUP($B52,Tabla1[SERVICIO],Tabla1[VALOR]*V52),0))</f>
        <v>0</v>
      </c>
      <c r="X52" s="14"/>
      <c r="Y52" s="56" cm="1">
        <f t="array" ref="Y52">IF(X52="X",(_xlfn.XLOOKUP($B52,Tabla1[SERVICIO],Tabla1[VALOR])*1),IF(X52&gt;=1,_xlfn.XLOOKUP($B52,Tabla1[SERVICIO],Tabla1[VALOR]*X52),0))</f>
        <v>0</v>
      </c>
      <c r="Z52" s="14"/>
      <c r="AA52" s="56" cm="1">
        <f t="array" ref="AA52">IF(Z52="X",(_xlfn.XLOOKUP($B52,Tabla1[SERVICIO],Tabla1[VALOR])*1),IF(Z52&gt;=1,_xlfn.XLOOKUP($B52,Tabla1[SERVICIO],Tabla1[VALOR]*Z52),0))</f>
        <v>0</v>
      </c>
      <c r="AB52" s="14"/>
      <c r="AC52" s="56" cm="1">
        <f t="array" ref="AC52">IF(AB52="X",(_xlfn.XLOOKUP($B52,Tabla1[SERVICIO],Tabla1[VALOR])*1),IF(AB52&gt;=1,_xlfn.XLOOKUP($B52,Tabla1[SERVICIO],Tabla1[VALOR]*AB52),0))</f>
        <v>0</v>
      </c>
      <c r="AD52" s="14"/>
      <c r="AE52" s="56" cm="1">
        <f t="array" ref="AE52">IF(AD52="X",(_xlfn.XLOOKUP($B52,Tabla1[SERVICIO],Tabla1[VALOR])*1),IF(AD52&gt;=1,_xlfn.XLOOKUP($B52,Tabla1[SERVICIO],Tabla1[VALOR]*AD52),0))</f>
        <v>0</v>
      </c>
      <c r="AF52" s="14"/>
      <c r="AG52" s="56" cm="1">
        <f t="array" ref="AG52">IF(AF52="X",(_xlfn.XLOOKUP($B52,Tabla1[SERVICIO],Tabla1[VALOR])*1),IF(AF52&gt;=1,_xlfn.XLOOKUP($B52,Tabla1[SERVICIO],Tabla1[VALOR]*AF52),0))</f>
        <v>0</v>
      </c>
      <c r="AH52" s="14"/>
      <c r="AI52" s="56" cm="1">
        <f t="array" ref="AI52">IF(AH52="X",(_xlfn.XLOOKUP($B52,Tabla1[SERVICIO],Tabla1[VALOR])*1),IF(AH52&gt;=1,_xlfn.XLOOKUP($B52,Tabla1[SERVICIO],Tabla1[VALOR]*AH52),0))</f>
        <v>0</v>
      </c>
      <c r="AJ52" s="14"/>
      <c r="AK52" s="56" cm="1">
        <f t="array" ref="AK52">IF(AJ52="X",(_xlfn.XLOOKUP($B52,Tabla1[SERVICIO],Tabla1[VALOR])*1),IF(AJ52&gt;=1,_xlfn.XLOOKUP($B52,Tabla1[SERVICIO],Tabla1[VALOR]*AJ52),0))</f>
        <v>0</v>
      </c>
      <c r="AL52" s="14"/>
      <c r="AM52" s="56" cm="1">
        <f t="array" ref="AM52">IF(AL52="X",(_xlfn.XLOOKUP($B52,Tabla1[SERVICIO],Tabla1[VALOR])*1),IF(AL52&gt;=1,_xlfn.XLOOKUP($B52,Tabla1[SERVICIO],Tabla1[VALOR]*AL52),0))</f>
        <v>0</v>
      </c>
      <c r="AN52" s="89">
        <f t="shared" si="1"/>
        <v>26897.079640267821</v>
      </c>
      <c r="AO52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2" s="104" t="s">
        <v>319</v>
      </c>
      <c r="AQ52" s="154">
        <v>0</v>
      </c>
      <c r="AR52" s="90">
        <f>+Tabla21839[[#This Row],[TOTAL]]*Tabla21839[[#This Row],[% de las personas que lo usaron]]</f>
        <v>0</v>
      </c>
      <c r="AS52" s="242" t="s">
        <v>353</v>
      </c>
      <c r="AT52" s="338">
        <v>18</v>
      </c>
    </row>
    <row r="53" spans="1:46" ht="15" x14ac:dyDescent="0.25">
      <c r="A53" s="7" t="s">
        <v>53</v>
      </c>
      <c r="B53" s="8" t="s">
        <v>190</v>
      </c>
      <c r="C53" s="96" t="str">
        <f>_xlfn.XLOOKUP(Tabla21839[[#This Row],[Servicios del Programa:]],Tabla151[CODIGO],Tabla151[VALOR])</f>
        <v>Consultas</v>
      </c>
      <c r="D53" s="14">
        <v>1</v>
      </c>
      <c r="E53" s="56" cm="1">
        <f t="array" ref="E53">IF(D53="X",(_xlfn.XLOOKUP($B53,Tabla1[SERVICIO],Tabla1[VALOR])*1),IF(D53&gt;=1,_xlfn.XLOOKUP($B53,Tabla1[SERVICIO],Tabla1[VALOR]*D53),0))</f>
        <v>26897.079640267817</v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/>
      <c r="O53" s="56" cm="1">
        <f t="array" ref="O53">IF(N53="X",(_xlfn.XLOOKUP($B53,Tabla1[SERVICIO],Tabla1[VALOR])*1),IF(N53&gt;=1,_xlfn.XLOOKUP($B53,Tabla1[SERVICIO],Tabla1[VALOR]*N53),0))</f>
        <v>0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/>
      <c r="AM53" s="56" cm="1">
        <f t="array" ref="AM53">IF(AL53="X",(_xlfn.XLOOKUP($B53,Tabla1[SERVICIO],Tabla1[VALOR])*1),IF(AL53&gt;=1,_xlfn.XLOOKUP($B53,Tabla1[SERVICIO],Tabla1[VALOR]*AL53),0))</f>
        <v>0</v>
      </c>
      <c r="AN53" s="89">
        <f t="shared" si="1"/>
        <v>26897.079640267817</v>
      </c>
      <c r="AO53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3" s="104" t="s">
        <v>319</v>
      </c>
      <c r="AQ53" s="154">
        <v>1</v>
      </c>
      <c r="AR53" s="90">
        <f>+Tabla21839[[#This Row],[TOTAL]]*Tabla21839[[#This Row],[% de las personas que lo usaron]]</f>
        <v>26897.079640267817</v>
      </c>
      <c r="AS53" s="242" t="s">
        <v>353</v>
      </c>
      <c r="AT53" s="338">
        <v>18</v>
      </c>
    </row>
    <row r="54" spans="1:46" ht="15" x14ac:dyDescent="0.25">
      <c r="A54" s="7" t="s">
        <v>29</v>
      </c>
      <c r="B54" s="8" t="s">
        <v>196</v>
      </c>
      <c r="C54" s="96" t="str">
        <f>_xlfn.XLOOKUP(Tabla21839[[#This Row],[Servicios del Programa:]],Tabla151[CODIGO],Tabla151[VALOR])</f>
        <v>Terapias</v>
      </c>
      <c r="D54" s="14"/>
      <c r="E54" s="56" cm="1">
        <f t="array" ref="E54">IF(D54="X",(_xlfn.XLOOKUP($B54,Tabla1[SERVICIO],Tabla1[VALOR])*1),IF(D54&gt;=1,_xlfn.XLOOKUP($B54,Tabla1[SERVICIO],Tabla1[VALOR]*D54),0))</f>
        <v>0</v>
      </c>
      <c r="F54" s="14"/>
      <c r="G54" s="56" cm="1">
        <f t="array" ref="G54">IF(F54="X",(_xlfn.XLOOKUP($B54,Tabla1[SERVICIO],Tabla1[VALOR])*1),IF(F54&gt;=1,_xlfn.XLOOKUP($B54,Tabla1[SERVICIO],Tabla1[VALOR]*F54),0))</f>
        <v>0</v>
      </c>
      <c r="H54" s="14"/>
      <c r="I54" s="56" cm="1">
        <f t="array" ref="I54">IF(H54="X",(_xlfn.XLOOKUP($B54,Tabla1[SERVICIO],Tabla1[VALOR])*1),IF(H54&gt;=1,_xlfn.XLOOKUP($B54,Tabla1[SERVICIO],Tabla1[VALOR]*H54),0))</f>
        <v>0</v>
      </c>
      <c r="J54" s="14"/>
      <c r="K54" s="56" cm="1">
        <f t="array" ref="K54">IF(J54="X",(_xlfn.XLOOKUP($B54,Tabla1[SERVICIO],Tabla1[VALOR])*1),IF(J54&gt;=1,_xlfn.XLOOKUP($B54,Tabla1[SERVICIO],Tabla1[VALOR]*J54),0))</f>
        <v>0</v>
      </c>
      <c r="L54" s="14"/>
      <c r="M54" s="56" cm="1">
        <f t="array" ref="M54">IF(L54="X",(_xlfn.XLOOKUP($B54,Tabla1[SERVICIO],Tabla1[VALOR])*1),IF(L54&gt;=1,_xlfn.XLOOKUP($B54,Tabla1[SERVICIO],Tabla1[VALOR]*L54),0))</f>
        <v>0</v>
      </c>
      <c r="N54" s="14"/>
      <c r="O54" s="56" cm="1">
        <f t="array" ref="O54">IF(N54="X",(_xlfn.XLOOKUP($B54,Tabla1[SERVICIO],Tabla1[VALOR])*1),IF(N54&gt;=1,_xlfn.XLOOKUP($B54,Tabla1[SERVICIO],Tabla1[VALOR]*N54),0))</f>
        <v>0</v>
      </c>
      <c r="P54" s="14"/>
      <c r="Q54" s="56" cm="1">
        <f t="array" ref="Q54">IF(P54="X",(_xlfn.XLOOKUP($B54,Tabla1[SERVICIO],Tabla1[VALOR])*1),IF(P54&gt;=1,_xlfn.XLOOKUP($B54,Tabla1[SERVICIO],Tabla1[VALOR]*P54),0))</f>
        <v>0</v>
      </c>
      <c r="R54" s="14"/>
      <c r="S54" s="56" cm="1">
        <f t="array" ref="S54">IF(R54="X",(_xlfn.XLOOKUP($B54,Tabla1[SERVICIO],Tabla1[VALOR])*1),IF(R54&gt;=1,_xlfn.XLOOKUP($B54,Tabla1[SERVICIO],Tabla1[VALOR]*R54),0))</f>
        <v>0</v>
      </c>
      <c r="T54" s="14"/>
      <c r="U54" s="56" cm="1">
        <f t="array" ref="U54">IF(T54="X",(_xlfn.XLOOKUP($B54,Tabla1[SERVICIO],Tabla1[VALOR])*1),IF(T54&gt;=1,_xlfn.XLOOKUP($B54,Tabla1[SERVICIO],Tabla1[VALOR]*T54),0))</f>
        <v>0</v>
      </c>
      <c r="V54" s="14"/>
      <c r="W54" s="56" cm="1">
        <f t="array" ref="W54">IF(V54="X",(_xlfn.XLOOKUP($B54,Tabla1[SERVICIO],Tabla1[VALOR])*1),IF(V54&gt;=1,_xlfn.XLOOKUP($B54,Tabla1[SERVICIO],Tabla1[VALOR]*V54),0))</f>
        <v>0</v>
      </c>
      <c r="X54" s="14"/>
      <c r="Y54" s="56" cm="1">
        <f t="array" ref="Y54">IF(X54="X",(_xlfn.XLOOKUP($B54,Tabla1[SERVICIO],Tabla1[VALOR])*1),IF(X54&gt;=1,_xlfn.XLOOKUP($B54,Tabla1[SERVICIO],Tabla1[VALOR]*X54),0))</f>
        <v>0</v>
      </c>
      <c r="Z54" s="14"/>
      <c r="AA54" s="56" cm="1">
        <f t="array" ref="AA54">IF(Z54="X",(_xlfn.XLOOKUP($B54,Tabla1[SERVICIO],Tabla1[VALOR])*1),IF(Z54&gt;=1,_xlfn.XLOOKUP($B54,Tabla1[SERVICIO],Tabla1[VALOR]*Z54),0))</f>
        <v>0</v>
      </c>
      <c r="AB54" s="14"/>
      <c r="AC54" s="56" cm="1">
        <f t="array" ref="AC54">IF(AB54="X",(_xlfn.XLOOKUP($B54,Tabla1[SERVICIO],Tabla1[VALOR])*1),IF(AB54&gt;=1,_xlfn.XLOOKUP($B54,Tabla1[SERVICIO],Tabla1[VALOR]*AB54),0))</f>
        <v>0</v>
      </c>
      <c r="AD54" s="14"/>
      <c r="AE54" s="56" cm="1">
        <f t="array" ref="AE54">IF(AD54="X",(_xlfn.XLOOKUP($B54,Tabla1[SERVICIO],Tabla1[VALOR])*1),IF(AD54&gt;=1,_xlfn.XLOOKUP($B54,Tabla1[SERVICIO],Tabla1[VALOR]*AD54),0))</f>
        <v>0</v>
      </c>
      <c r="AF54" s="14"/>
      <c r="AG54" s="56" cm="1">
        <f t="array" ref="AG54">IF(AF54="X",(_xlfn.XLOOKUP($B54,Tabla1[SERVICIO],Tabla1[VALOR])*1),IF(AF54&gt;=1,_xlfn.XLOOKUP($B54,Tabla1[SERVICIO],Tabla1[VALOR]*AF54),0))</f>
        <v>0</v>
      </c>
      <c r="AH54" s="14"/>
      <c r="AI54" s="56" cm="1">
        <f t="array" ref="AI54">IF(AH54="X",(_xlfn.XLOOKUP($B54,Tabla1[SERVICIO],Tabla1[VALOR])*1),IF(AH54&gt;=1,_xlfn.XLOOKUP($B54,Tabla1[SERVICIO],Tabla1[VALOR]*AH54),0))</f>
        <v>0</v>
      </c>
      <c r="AJ54" s="14"/>
      <c r="AK54" s="56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6" cm="1">
        <f t="array" ref="AM54">IF(AL54="X",(_xlfn.XLOOKUP($B54,Tabla1[SERVICIO],Tabla1[VALOR])*1),IF(AL54&gt;=1,_xlfn.XLOOKUP($B54,Tabla1[SERVICIO],Tabla1[VALOR]*AL54),0))</f>
        <v>31881.451880098426</v>
      </c>
      <c r="AN54" s="89">
        <f t="shared" si="1"/>
        <v>31881.451880098426</v>
      </c>
      <c r="AO54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4" s="104" t="s">
        <v>318</v>
      </c>
      <c r="AQ54" s="154">
        <v>1</v>
      </c>
      <c r="AR54" s="90">
        <f>+Tabla21839[[#This Row],[TOTAL]]*Tabla21839[[#This Row],[% de las personas que lo usaron]]</f>
        <v>31881.451880098426</v>
      </c>
      <c r="AS54" s="242" t="s">
        <v>353</v>
      </c>
      <c r="AT54" s="338">
        <v>18</v>
      </c>
    </row>
    <row r="55" spans="1:46" ht="15" x14ac:dyDescent="0.25">
      <c r="A55" s="7" t="s">
        <v>38</v>
      </c>
      <c r="B55" s="8" t="s">
        <v>102</v>
      </c>
      <c r="C55" s="96" t="str">
        <f>_xlfn.XLOOKUP(Tabla21839[[#This Row],[Servicios del Programa:]],Tabla151[CODIGO],Tabla151[VALOR])</f>
        <v>Consultas</v>
      </c>
      <c r="D55" s="14">
        <v>1</v>
      </c>
      <c r="E55" s="56" cm="1">
        <f t="array" ref="E55">IF(D55="X",(_xlfn.XLOOKUP($B55,Tabla1[SERVICIO],Tabla1[VALOR])*1),IF(D55&gt;=1,_xlfn.XLOOKUP($B55,Tabla1[SERVICIO],Tabla1[VALOR]*D55),0))</f>
        <v>56420.692787682223</v>
      </c>
      <c r="F55" s="14"/>
      <c r="G55" s="56" cm="1">
        <f t="array" ref="G55">IF(F55="X",(_xlfn.XLOOKUP($B55,Tabla1[SERVICIO],Tabla1[VALOR])*1),IF(F55&gt;=1,_xlfn.XLOOKUP($B55,Tabla1[SERVICIO],Tabla1[VALOR]*F55),0))</f>
        <v>0</v>
      </c>
      <c r="H55" s="14"/>
      <c r="I55" s="56" cm="1">
        <f t="array" ref="I55">IF(H55="X",(_xlfn.XLOOKUP($B55,Tabla1[SERVICIO],Tabla1[VALOR])*1),IF(H55&gt;=1,_xlfn.XLOOKUP($B55,Tabla1[SERVICIO],Tabla1[VALOR]*H55),0))</f>
        <v>0</v>
      </c>
      <c r="J55" s="14"/>
      <c r="K55" s="56" cm="1">
        <f t="array" ref="K55">IF(J55="X",(_xlfn.XLOOKUP($B55,Tabla1[SERVICIO],Tabla1[VALOR])*1),IF(J55&gt;=1,_xlfn.XLOOKUP($B55,Tabla1[SERVICIO],Tabla1[VALOR]*J55),0))</f>
        <v>0</v>
      </c>
      <c r="L55" s="14"/>
      <c r="M55" s="56" cm="1">
        <f t="array" ref="M55">IF(L55="X",(_xlfn.XLOOKUP($B55,Tabla1[SERVICIO],Tabla1[VALOR])*1),IF(L55&gt;=1,_xlfn.XLOOKUP($B55,Tabla1[SERVICIO],Tabla1[VALOR]*L55),0))</f>
        <v>0</v>
      </c>
      <c r="N55" s="14"/>
      <c r="O55" s="56" cm="1">
        <f t="array" ref="O55">IF(N55="X",(_xlfn.XLOOKUP($B55,Tabla1[SERVICIO],Tabla1[VALOR])*1),IF(N55&gt;=1,_xlfn.XLOOKUP($B55,Tabla1[SERVICIO],Tabla1[VALOR]*N55),0))</f>
        <v>0</v>
      </c>
      <c r="P55" s="14"/>
      <c r="Q55" s="56" cm="1">
        <f t="array" ref="Q55">IF(P55="X",(_xlfn.XLOOKUP($B55,Tabla1[SERVICIO],Tabla1[VALOR])*1),IF(P55&gt;=1,_xlfn.XLOOKUP($B55,Tabla1[SERVICIO],Tabla1[VALOR]*P55),0))</f>
        <v>0</v>
      </c>
      <c r="R55" s="14"/>
      <c r="S55" s="56" cm="1">
        <f t="array" ref="S55">IF(R55="X",(_xlfn.XLOOKUP($B55,Tabla1[SERVICIO],Tabla1[VALOR])*1),IF(R55&gt;=1,_xlfn.XLOOKUP($B55,Tabla1[SERVICIO],Tabla1[VALOR]*R55),0))</f>
        <v>0</v>
      </c>
      <c r="T55" s="14"/>
      <c r="U55" s="56" cm="1">
        <f t="array" ref="U55">IF(T55="X",(_xlfn.XLOOKUP($B55,Tabla1[SERVICIO],Tabla1[VALOR])*1),IF(T55&gt;=1,_xlfn.XLOOKUP($B55,Tabla1[SERVICIO],Tabla1[VALOR]*T55),0))</f>
        <v>0</v>
      </c>
      <c r="V55" s="14"/>
      <c r="W55" s="56" cm="1">
        <f t="array" ref="W55">IF(V55="X",(_xlfn.XLOOKUP($B55,Tabla1[SERVICIO],Tabla1[VALOR])*1),IF(V55&gt;=1,_xlfn.XLOOKUP($B55,Tabla1[SERVICIO],Tabla1[VALOR]*V55),0))</f>
        <v>0</v>
      </c>
      <c r="X55" s="14"/>
      <c r="Y55" s="56" cm="1">
        <f t="array" ref="Y55">IF(X55="X",(_xlfn.XLOOKUP($B55,Tabla1[SERVICIO],Tabla1[VALOR])*1),IF(X55&gt;=1,_xlfn.XLOOKUP($B55,Tabla1[SERVICIO],Tabla1[VALOR]*X55),0))</f>
        <v>0</v>
      </c>
      <c r="Z55" s="14"/>
      <c r="AA55" s="56" cm="1">
        <f t="array" ref="AA55">IF(Z55="X",(_xlfn.XLOOKUP($B55,Tabla1[SERVICIO],Tabla1[VALOR])*1),IF(Z55&gt;=1,_xlfn.XLOOKUP($B55,Tabla1[SERVICIO],Tabla1[VALOR]*Z55),0))</f>
        <v>0</v>
      </c>
      <c r="AB55" s="14"/>
      <c r="AC55" s="56" cm="1">
        <f t="array" ref="AC55">IF(AB55="X",(_xlfn.XLOOKUP($B55,Tabla1[SERVICIO],Tabla1[VALOR])*1),IF(AB55&gt;=1,_xlfn.XLOOKUP($B55,Tabla1[SERVICIO],Tabla1[VALOR]*AB55),0))</f>
        <v>0</v>
      </c>
      <c r="AD55" s="14"/>
      <c r="AE55" s="56" cm="1">
        <f t="array" ref="AE55">IF(AD55="X",(_xlfn.XLOOKUP($B55,Tabla1[SERVICIO],Tabla1[VALOR])*1),IF(AD55&gt;=1,_xlfn.XLOOKUP($B55,Tabla1[SERVICIO],Tabla1[VALOR]*AD55),0))</f>
        <v>0</v>
      </c>
      <c r="AF55" s="14"/>
      <c r="AG55" s="56" cm="1">
        <f t="array" ref="AG55">IF(AF55="X",(_xlfn.XLOOKUP($B55,Tabla1[SERVICIO],Tabla1[VALOR])*1),IF(AF55&gt;=1,_xlfn.XLOOKUP($B55,Tabla1[SERVICIO],Tabla1[VALOR]*AF55),0))</f>
        <v>0</v>
      </c>
      <c r="AH55" s="14"/>
      <c r="AI55" s="56" cm="1">
        <f t="array" ref="AI55">IF(AH55="X",(_xlfn.XLOOKUP($B55,Tabla1[SERVICIO],Tabla1[VALOR])*1),IF(AH55&gt;=1,_xlfn.XLOOKUP($B55,Tabla1[SERVICIO],Tabla1[VALOR]*AH55),0))</f>
        <v>0</v>
      </c>
      <c r="AJ55" s="14"/>
      <c r="AK55" s="56" cm="1">
        <f t="array" ref="AK55">IF(AJ55="X",(_xlfn.XLOOKUP($B55,Tabla1[SERVICIO],Tabla1[VALOR])*1),IF(AJ55&gt;=1,_xlfn.XLOOKUP($B55,Tabla1[SERVICIO],Tabla1[VALOR]*AJ55),0))</f>
        <v>0</v>
      </c>
      <c r="AL55" s="14"/>
      <c r="AM55" s="56" cm="1">
        <f t="array" ref="AM55">IF(AL55="X",(_xlfn.XLOOKUP($B55,Tabla1[SERVICIO],Tabla1[VALOR])*1),IF(AL55&gt;=1,_xlfn.XLOOKUP($B55,Tabla1[SERVICIO],Tabla1[VALOR]*AL55),0))</f>
        <v>0</v>
      </c>
      <c r="AN55" s="89">
        <f t="shared" si="1"/>
        <v>56420.692787682223</v>
      </c>
      <c r="AO55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5" s="104" t="s">
        <v>319</v>
      </c>
      <c r="AQ55" s="154">
        <v>0.23749999999999999</v>
      </c>
      <c r="AR55" s="90">
        <f>+Tabla21839[[#This Row],[TOTAL]]*Tabla21839[[#This Row],[% de las personas que lo usaron]]</f>
        <v>13399.914537074528</v>
      </c>
      <c r="AS55" s="242" t="s">
        <v>353</v>
      </c>
      <c r="AT55" s="338">
        <v>18</v>
      </c>
    </row>
    <row r="56" spans="1:46" ht="15" x14ac:dyDescent="0.25">
      <c r="A56" s="7" t="s">
        <v>46</v>
      </c>
      <c r="B56" s="8" t="s">
        <v>47</v>
      </c>
      <c r="C56" s="96" t="str">
        <f>_xlfn.XLOOKUP(Tabla21839[[#This Row],[Servicios del Programa:]],Tabla151[CODIGO],Tabla151[VALOR])</f>
        <v>Consultas</v>
      </c>
      <c r="D56" s="14"/>
      <c r="E56" s="56" cm="1">
        <f t="array" ref="E56">IF(D56="X",(_xlfn.XLOOKUP($B56,Tabla1[SERVICIO],Tabla1[VALOR])*1),IF(D56&gt;=1,_xlfn.XLOOKUP($B56,Tabla1[SERVICIO],Tabla1[VALOR]*D56),0))</f>
        <v>0</v>
      </c>
      <c r="F56" s="8"/>
      <c r="G56" s="56" cm="1">
        <f t="array" ref="G56">IF(F56="X",(_xlfn.XLOOKUP($B56,Tabla1[SERVICIO],Tabla1[VALOR])*1),IF(F56&gt;=1,_xlfn.XLOOKUP($B56,Tabla1[SERVICIO],Tabla1[VALOR]*F56),0))</f>
        <v>0</v>
      </c>
      <c r="H56" s="8"/>
      <c r="I56" s="56" cm="1">
        <f t="array" ref="I56">IF(H56="X",(_xlfn.XLOOKUP($B56,Tabla1[SERVICIO],Tabla1[VALOR])*1),IF(H56&gt;=1,_xlfn.XLOOKUP($B56,Tabla1[SERVICIO],Tabla1[VALOR]*H56),0))</f>
        <v>0</v>
      </c>
      <c r="J56" s="8"/>
      <c r="K56" s="56" cm="1">
        <f t="array" ref="K56">IF(J56="X",(_xlfn.XLOOKUP($B56,Tabla1[SERVICIO],Tabla1[VALOR])*1),IF(J56&gt;=1,_xlfn.XLOOKUP($B56,Tabla1[SERVICIO],Tabla1[VALOR]*J56),0))</f>
        <v>0</v>
      </c>
      <c r="L56" s="8"/>
      <c r="M56" s="56" cm="1">
        <f t="array" ref="M56">IF(L56="X",(_xlfn.XLOOKUP($B56,Tabla1[SERVICIO],Tabla1[VALOR])*1),IF(L56&gt;=1,_xlfn.XLOOKUP($B56,Tabla1[SERVICIO],Tabla1[VALOR]*L56),0))</f>
        <v>0</v>
      </c>
      <c r="N56" s="8"/>
      <c r="O56" s="56" cm="1">
        <f t="array" ref="O56">IF(N56="X",(_xlfn.XLOOKUP($B56,Tabla1[SERVICIO],Tabla1[VALOR])*1),IF(N56&gt;=1,_xlfn.XLOOKUP($B56,Tabla1[SERVICIO],Tabla1[VALOR]*N56),0))</f>
        <v>0</v>
      </c>
      <c r="P56" s="8"/>
      <c r="Q56" s="56" cm="1">
        <f t="array" ref="Q56">IF(P56="X",(_xlfn.XLOOKUP($B56,Tabla1[SERVICIO],Tabla1[VALOR])*1),IF(P56&gt;=1,_xlfn.XLOOKUP($B56,Tabla1[SERVICIO],Tabla1[VALOR]*P56),0))</f>
        <v>0</v>
      </c>
      <c r="R56" s="8"/>
      <c r="S56" s="56" cm="1">
        <f t="array" ref="S56">IF(R56="X",(_xlfn.XLOOKUP($B56,Tabla1[SERVICIO],Tabla1[VALOR])*1),IF(R56&gt;=1,_xlfn.XLOOKUP($B56,Tabla1[SERVICIO],Tabla1[VALOR]*R56),0))</f>
        <v>0</v>
      </c>
      <c r="T56" s="8"/>
      <c r="U56" s="56" cm="1">
        <f t="array" ref="U56">IF(T56="X",(_xlfn.XLOOKUP($B56,Tabla1[SERVICIO],Tabla1[VALOR])*1),IF(T56&gt;=1,_xlfn.XLOOKUP($B56,Tabla1[SERVICIO],Tabla1[VALOR]*T56),0))</f>
        <v>0</v>
      </c>
      <c r="V56" s="8"/>
      <c r="W56" s="56" cm="1">
        <f t="array" ref="W56">IF(V56="X",(_xlfn.XLOOKUP($B56,Tabla1[SERVICIO],Tabla1[VALOR])*1),IF(V56&gt;=1,_xlfn.XLOOKUP($B56,Tabla1[SERVICIO],Tabla1[VALOR]*V56),0))</f>
        <v>0</v>
      </c>
      <c r="X56" s="8"/>
      <c r="Y56" s="56" cm="1">
        <f t="array" ref="Y56">IF(X56="X",(_xlfn.XLOOKUP($B56,Tabla1[SERVICIO],Tabla1[VALOR])*1),IF(X56&gt;=1,_xlfn.XLOOKUP($B56,Tabla1[SERVICIO],Tabla1[VALOR]*X56),0))</f>
        <v>0</v>
      </c>
      <c r="Z56" s="8"/>
      <c r="AA56" s="56" cm="1">
        <f t="array" ref="AA56">IF(Z56="X",(_xlfn.XLOOKUP($B56,Tabla1[SERVICIO],Tabla1[VALOR])*1),IF(Z56&gt;=1,_xlfn.XLOOKUP($B56,Tabla1[SERVICIO],Tabla1[VALOR]*Z56),0))</f>
        <v>0</v>
      </c>
      <c r="AB56" s="8"/>
      <c r="AC56" s="56" cm="1">
        <f t="array" ref="AC56">IF(AB56="X",(_xlfn.XLOOKUP($B56,Tabla1[SERVICIO],Tabla1[VALOR])*1),IF(AB56&gt;=1,_xlfn.XLOOKUP($B56,Tabla1[SERVICIO],Tabla1[VALOR]*AB56),0))</f>
        <v>0</v>
      </c>
      <c r="AD56" s="8"/>
      <c r="AE56" s="56" cm="1">
        <f t="array" ref="AE56">IF(AD56="X",(_xlfn.XLOOKUP($B56,Tabla1[SERVICIO],Tabla1[VALOR])*1),IF(AD56&gt;=1,_xlfn.XLOOKUP($B56,Tabla1[SERVICIO],Tabla1[VALOR]*AD56),0))</f>
        <v>0</v>
      </c>
      <c r="AF56" s="8"/>
      <c r="AG56" s="56" cm="1">
        <f t="array" ref="AG56">IF(AF56="X",(_xlfn.XLOOKUP($B56,Tabla1[SERVICIO],Tabla1[VALOR])*1),IF(AF56&gt;=1,_xlfn.XLOOKUP($B56,Tabla1[SERVICIO],Tabla1[VALOR]*AF56),0))</f>
        <v>0</v>
      </c>
      <c r="AH56" s="8"/>
      <c r="AI56" s="56" cm="1">
        <f t="array" ref="AI56">IF(AH56="X",(_xlfn.XLOOKUP($B56,Tabla1[SERVICIO],Tabla1[VALOR])*1),IF(AH56&gt;=1,_xlfn.XLOOKUP($B56,Tabla1[SERVICIO],Tabla1[VALOR]*AH56),0))</f>
        <v>0</v>
      </c>
      <c r="AJ56" s="8"/>
      <c r="AK56" s="56" cm="1">
        <f t="array" ref="AK56">IF(AJ56="X",(_xlfn.XLOOKUP($B56,Tabla1[SERVICIO],Tabla1[VALOR])*1),IF(AJ56&gt;=1,_xlfn.XLOOKUP($B56,Tabla1[SERVICIO],Tabla1[VALOR]*AJ56),0))</f>
        <v>0</v>
      </c>
      <c r="AL56" s="8"/>
      <c r="AM56" s="56" cm="1">
        <f t="array" ref="AM56">IF(AL56="X",(_xlfn.XLOOKUP($B56,Tabla1[SERVICIO],Tabla1[VALOR])*1),IF(AL56&gt;=1,_xlfn.XLOOKUP($B56,Tabla1[SERVICIO],Tabla1[VALOR]*AL56),0))</f>
        <v>0</v>
      </c>
      <c r="AN56" s="89">
        <f t="shared" si="1"/>
        <v>0</v>
      </c>
      <c r="AO56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6" s="104" t="s">
        <v>319</v>
      </c>
      <c r="AQ56" s="154">
        <v>0</v>
      </c>
      <c r="AR56" s="90">
        <f>+Tabla21839[[#This Row],[TOTAL]]*Tabla21839[[#This Row],[% de las personas que lo usaron]]</f>
        <v>0</v>
      </c>
      <c r="AS56" s="242" t="s">
        <v>353</v>
      </c>
      <c r="AT56" s="338">
        <v>18</v>
      </c>
    </row>
    <row r="57" spans="1:46" ht="15" x14ac:dyDescent="0.25">
      <c r="A57" s="7" t="s">
        <v>48</v>
      </c>
      <c r="B57" s="8" t="s">
        <v>222</v>
      </c>
      <c r="C57" s="96" t="str">
        <f>_xlfn.XLOOKUP(Tabla21839[[#This Row],[Servicios del Programa:]],Tabla151[CODIGO],Tabla151[VALOR])</f>
        <v>Consultas</v>
      </c>
      <c r="D57" s="14"/>
      <c r="E57" s="56" cm="1">
        <f t="array" ref="E57">IF(D57="X",(_xlfn.XLOOKUP($B57,Tabla1[SERVICIO],Tabla1[VALOR])*1),IF(D57&gt;=1,_xlfn.XLOOKUP($B57,Tabla1[SERVICIO],Tabla1[VALOR]*D57),0))</f>
        <v>0</v>
      </c>
      <c r="F57" s="14"/>
      <c r="G57" s="56" cm="1">
        <f t="array" ref="G57">IF(F57="X",(_xlfn.XLOOKUP($B57,Tabla1[SERVICIO],Tabla1[VALOR])*1),IF(F57&gt;=1,_xlfn.XLOOKUP($B57,Tabla1[SERVICIO],Tabla1[VALOR]*F57),0))</f>
        <v>0</v>
      </c>
      <c r="H57" s="14"/>
      <c r="I57" s="56" cm="1">
        <f t="array" ref="I57">IF(H57="X",(_xlfn.XLOOKUP($B57,Tabla1[SERVICIO],Tabla1[VALOR])*1),IF(H57&gt;=1,_xlfn.XLOOKUP($B57,Tabla1[SERVICIO],Tabla1[VALOR]*H57),0))</f>
        <v>0</v>
      </c>
      <c r="J57" s="14"/>
      <c r="K57" s="56" cm="1">
        <f t="array" ref="K57">IF(J57="X",(_xlfn.XLOOKUP($B57,Tabla1[SERVICIO],Tabla1[VALOR])*1),IF(J57&gt;=1,_xlfn.XLOOKUP($B57,Tabla1[SERVICIO],Tabla1[VALOR]*J57),0))</f>
        <v>0</v>
      </c>
      <c r="L57" s="14"/>
      <c r="M57" s="56" cm="1">
        <f t="array" ref="M57">IF(L57="X",(_xlfn.XLOOKUP($B57,Tabla1[SERVICIO],Tabla1[VALOR])*1),IF(L57&gt;=1,_xlfn.XLOOKUP($B57,Tabla1[SERVICIO],Tabla1[VALOR]*L57),0))</f>
        <v>0</v>
      </c>
      <c r="N57" s="14"/>
      <c r="O57" s="56" cm="1">
        <f t="array" ref="O57">IF(N57="X",(_xlfn.XLOOKUP($B57,Tabla1[SERVICIO],Tabla1[VALOR])*1),IF(N57&gt;=1,_xlfn.XLOOKUP($B57,Tabla1[SERVICIO],Tabla1[VALOR]*N57),0))</f>
        <v>0</v>
      </c>
      <c r="P57" s="14"/>
      <c r="Q57" s="56" cm="1">
        <f t="array" ref="Q57">IF(P57="X",(_xlfn.XLOOKUP($B57,Tabla1[SERVICIO],Tabla1[VALOR])*1),IF(P57&gt;=1,_xlfn.XLOOKUP($B57,Tabla1[SERVICIO],Tabla1[VALOR]*P57),0))</f>
        <v>0</v>
      </c>
      <c r="R57" s="14"/>
      <c r="S57" s="56" cm="1">
        <f t="array" ref="S57">IF(R57="X",(_xlfn.XLOOKUP($B57,Tabla1[SERVICIO],Tabla1[VALOR])*1),IF(R57&gt;=1,_xlfn.XLOOKUP($B57,Tabla1[SERVICIO],Tabla1[VALOR]*R57),0))</f>
        <v>0</v>
      </c>
      <c r="T57" s="14"/>
      <c r="U57" s="56" cm="1">
        <f t="array" ref="U57">IF(T57="X",(_xlfn.XLOOKUP($B57,Tabla1[SERVICIO],Tabla1[VALOR])*1),IF(T57&gt;=1,_xlfn.XLOOKUP($B57,Tabla1[SERVICIO],Tabla1[VALOR]*T57),0))</f>
        <v>0</v>
      </c>
      <c r="V57" s="14"/>
      <c r="W57" s="56" cm="1">
        <f t="array" ref="W57">IF(V57="X",(_xlfn.XLOOKUP($B57,Tabla1[SERVICIO],Tabla1[VALOR])*1),IF(V57&gt;=1,_xlfn.XLOOKUP($B57,Tabla1[SERVICIO],Tabla1[VALOR]*V57),0))</f>
        <v>0</v>
      </c>
      <c r="X57" s="14"/>
      <c r="Y57" s="56" cm="1">
        <f t="array" ref="Y57">IF(X57="X",(_xlfn.XLOOKUP($B57,Tabla1[SERVICIO],Tabla1[VALOR])*1),IF(X57&gt;=1,_xlfn.XLOOKUP($B57,Tabla1[SERVICIO],Tabla1[VALOR]*X57),0))</f>
        <v>0</v>
      </c>
      <c r="Z57" s="14"/>
      <c r="AA57" s="56" cm="1">
        <f t="array" ref="AA57">IF(Z57="X",(_xlfn.XLOOKUP($B57,Tabla1[SERVICIO],Tabla1[VALOR])*1),IF(Z57&gt;=1,_xlfn.XLOOKUP($B57,Tabla1[SERVICIO],Tabla1[VALOR]*Z57),0))</f>
        <v>0</v>
      </c>
      <c r="AB57" s="14"/>
      <c r="AC57" s="56" cm="1">
        <f t="array" ref="AC57">IF(AB57="X",(_xlfn.XLOOKUP($B57,Tabla1[SERVICIO],Tabla1[VALOR])*1),IF(AB57&gt;=1,_xlfn.XLOOKUP($B57,Tabla1[SERVICIO],Tabla1[VALOR]*AB57),0))</f>
        <v>0</v>
      </c>
      <c r="AD57" s="14"/>
      <c r="AE57" s="56" cm="1">
        <f t="array" ref="AE57">IF(AD57="X",(_xlfn.XLOOKUP($B57,Tabla1[SERVICIO],Tabla1[VALOR])*1),IF(AD57&gt;=1,_xlfn.XLOOKUP($B57,Tabla1[SERVICIO],Tabla1[VALOR]*AD57),0))</f>
        <v>0</v>
      </c>
      <c r="AF57" s="14"/>
      <c r="AG57" s="56" cm="1">
        <f t="array" ref="AG57">IF(AF57="X",(_xlfn.XLOOKUP($B57,Tabla1[SERVICIO],Tabla1[VALOR])*1),IF(AF57&gt;=1,_xlfn.XLOOKUP($B57,Tabla1[SERVICIO],Tabla1[VALOR]*AF57),0))</f>
        <v>0</v>
      </c>
      <c r="AH57" s="14"/>
      <c r="AI57" s="56" cm="1">
        <f t="array" ref="AI57">IF(AH57="X",(_xlfn.XLOOKUP($B57,Tabla1[SERVICIO],Tabla1[VALOR])*1),IF(AH57&gt;=1,_xlfn.XLOOKUP($B57,Tabla1[SERVICIO],Tabla1[VALOR]*AH57),0))</f>
        <v>0</v>
      </c>
      <c r="AJ57" s="14"/>
      <c r="AK57" s="56" cm="1">
        <f t="array" ref="AK57">IF(AJ57="X",(_xlfn.XLOOKUP($B57,Tabla1[SERVICIO],Tabla1[VALOR])*1),IF(AJ57&gt;=1,_xlfn.XLOOKUP($B57,Tabla1[SERVICIO],Tabla1[VALOR]*AJ57),0))</f>
        <v>0</v>
      </c>
      <c r="AL57" s="14"/>
      <c r="AM57" s="56" cm="1">
        <f t="array" ref="AM57">IF(AL57="X",(_xlfn.XLOOKUP($B57,Tabla1[SERVICIO],Tabla1[VALOR])*1),IF(AL57&gt;=1,_xlfn.XLOOKUP($B57,Tabla1[SERVICIO],Tabla1[VALOR]*AL57),0))</f>
        <v>0</v>
      </c>
      <c r="AN57" s="89">
        <f t="shared" si="1"/>
        <v>0</v>
      </c>
      <c r="AO57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7" s="104" t="s">
        <v>319</v>
      </c>
      <c r="AQ57" s="154">
        <v>1</v>
      </c>
      <c r="AR57" s="90">
        <f>+Tabla21839[[#This Row],[TOTAL]]*Tabla21839[[#This Row],[% de las personas que lo usaron]]</f>
        <v>0</v>
      </c>
      <c r="AS57" s="242" t="s">
        <v>353</v>
      </c>
      <c r="AT57" s="338">
        <v>18</v>
      </c>
    </row>
    <row r="58" spans="1:46" ht="15" x14ac:dyDescent="0.25">
      <c r="A58" s="9" t="s">
        <v>80</v>
      </c>
      <c r="B58" s="10" t="s">
        <v>193</v>
      </c>
      <c r="C58" s="96" t="str">
        <f>_xlfn.XLOOKUP(Tabla21839[[#This Row],[Servicios del Programa:]],Tabla151[CODIGO],Tabla151[VALOR])</f>
        <v>Gestion y seguimiento</v>
      </c>
      <c r="D58" s="16"/>
      <c r="E58" s="56" cm="1">
        <f t="array" ref="E58">IF(D58="X",(_xlfn.XLOOKUP($B58,Tabla1[SERVICIO],Tabla1[VALOR])*1),IF(D58&gt;=1,_xlfn.XLOOKUP($B58,Tabla1[SERVICIO],Tabla1[VALOR]*D58),0))</f>
        <v>0</v>
      </c>
      <c r="F58" s="16"/>
      <c r="G58" s="56" cm="1">
        <f t="array" ref="G58">IF(F58="X",(_xlfn.XLOOKUP($B58,Tabla1[SERVICIO],Tabla1[VALOR])*1),IF(F58&gt;=1,_xlfn.XLOOKUP($B58,Tabla1[SERVICIO],Tabla1[VALOR]*F58),0))</f>
        <v>0</v>
      </c>
      <c r="H58" s="16"/>
      <c r="I58" s="56" cm="1">
        <f t="array" ref="I58">IF(H58="X",(_xlfn.XLOOKUP($B58,Tabla1[SERVICIO],Tabla1[VALOR])*1),IF(H58&gt;=1,_xlfn.XLOOKUP($B58,Tabla1[SERVICIO],Tabla1[VALOR]*H58),0))</f>
        <v>0</v>
      </c>
      <c r="J58" s="16"/>
      <c r="K58" s="56" cm="1">
        <f t="array" ref="K58">IF(J58="X",(_xlfn.XLOOKUP($B58,Tabla1[SERVICIO],Tabla1[VALOR])*1),IF(J58&gt;=1,_xlfn.XLOOKUP($B58,Tabla1[SERVICIO],Tabla1[VALOR]*J58),0))</f>
        <v>0</v>
      </c>
      <c r="L58" s="16"/>
      <c r="M58" s="56" cm="1">
        <f t="array" ref="M58">IF(L58="X",(_xlfn.XLOOKUP($B58,Tabla1[SERVICIO],Tabla1[VALOR])*1),IF(L58&gt;=1,_xlfn.XLOOKUP($B58,Tabla1[SERVICIO],Tabla1[VALOR]*L58),0))</f>
        <v>0</v>
      </c>
      <c r="N58" s="16"/>
      <c r="O58" s="56" cm="1">
        <f t="array" ref="O58">IF(N58="X",(_xlfn.XLOOKUP($B58,Tabla1[SERVICIO],Tabla1[VALOR])*1),IF(N58&gt;=1,_xlfn.XLOOKUP($B58,Tabla1[SERVICIO],Tabla1[VALOR]*N58),0))</f>
        <v>0</v>
      </c>
      <c r="P58" s="16"/>
      <c r="Q58" s="56" cm="1">
        <f t="array" ref="Q58">IF(P58="X",(_xlfn.XLOOKUP($B58,Tabla1[SERVICIO],Tabla1[VALOR])*1),IF(P58&gt;=1,_xlfn.XLOOKUP($B58,Tabla1[SERVICIO],Tabla1[VALOR]*P58),0))</f>
        <v>0</v>
      </c>
      <c r="R58" s="16"/>
      <c r="S58" s="56" cm="1">
        <f t="array" ref="S58">IF(R58="X",(_xlfn.XLOOKUP($B58,Tabla1[SERVICIO],Tabla1[VALOR])*1),IF(R58&gt;=1,_xlfn.XLOOKUP($B58,Tabla1[SERVICIO],Tabla1[VALOR]*R58),0))</f>
        <v>0</v>
      </c>
      <c r="T58" s="16"/>
      <c r="U58" s="56" cm="1">
        <f t="array" ref="U58">IF(T58="X",(_xlfn.XLOOKUP($B58,Tabla1[SERVICIO],Tabla1[VALOR])*1),IF(T58&gt;=1,_xlfn.XLOOKUP($B58,Tabla1[SERVICIO],Tabla1[VALOR]*T58),0))</f>
        <v>0</v>
      </c>
      <c r="V58" s="16"/>
      <c r="W58" s="56" cm="1">
        <f t="array" ref="W58">IF(V58="X",(_xlfn.XLOOKUP($B58,Tabla1[SERVICIO],Tabla1[VALOR])*1),IF(V58&gt;=1,_xlfn.XLOOKUP($B58,Tabla1[SERVICIO],Tabla1[VALOR]*V58),0))</f>
        <v>0</v>
      </c>
      <c r="X58" s="16"/>
      <c r="Y58" s="56" cm="1">
        <f t="array" ref="Y58">IF(X58="X",(_xlfn.XLOOKUP($B58,Tabla1[SERVICIO],Tabla1[VALOR])*1),IF(X58&gt;=1,_xlfn.XLOOKUP($B58,Tabla1[SERVICIO],Tabla1[VALOR]*X58),0))</f>
        <v>0</v>
      </c>
      <c r="Z58" s="16"/>
      <c r="AA58" s="56" cm="1">
        <f t="array" ref="AA58">IF(Z58="X",(_xlfn.XLOOKUP($B58,Tabla1[SERVICIO],Tabla1[VALOR])*1),IF(Z58&gt;=1,_xlfn.XLOOKUP($B58,Tabla1[SERVICIO],Tabla1[VALOR]*Z58),0))</f>
        <v>0</v>
      </c>
      <c r="AB58" s="16"/>
      <c r="AC58" s="56" cm="1">
        <f t="array" ref="AC58">IF(AB58="X",(_xlfn.XLOOKUP($B58,Tabla1[SERVICIO],Tabla1[VALOR])*1),IF(AB58&gt;=1,_xlfn.XLOOKUP($B58,Tabla1[SERVICIO],Tabla1[VALOR]*AB58),0))</f>
        <v>0</v>
      </c>
      <c r="AD58" s="16"/>
      <c r="AE58" s="56" cm="1">
        <f t="array" ref="AE58">IF(AD58="X",(_xlfn.XLOOKUP($B58,Tabla1[SERVICIO],Tabla1[VALOR])*1),IF(AD58&gt;=1,_xlfn.XLOOKUP($B58,Tabla1[SERVICIO],Tabla1[VALOR]*AD58),0))</f>
        <v>0</v>
      </c>
      <c r="AF58" s="16"/>
      <c r="AG58" s="56" cm="1">
        <f t="array" ref="AG58">IF(AF58="X",(_xlfn.XLOOKUP($B58,Tabla1[SERVICIO],Tabla1[VALOR])*1),IF(AF58&gt;=1,_xlfn.XLOOKUP($B58,Tabla1[SERVICIO],Tabla1[VALOR]*AF58),0))</f>
        <v>0</v>
      </c>
      <c r="AH58" s="16"/>
      <c r="AI58" s="56" cm="1">
        <f t="array" ref="AI58">IF(AH58="X",(_xlfn.XLOOKUP($B58,Tabla1[SERVICIO],Tabla1[VALOR])*1),IF(AH58&gt;=1,_xlfn.XLOOKUP($B58,Tabla1[SERVICIO],Tabla1[VALOR]*AH58),0))</f>
        <v>0</v>
      </c>
      <c r="AJ58" s="16"/>
      <c r="AK58" s="56" cm="1">
        <f t="array" ref="AK58">IF(AJ58="X",(_xlfn.XLOOKUP($B58,Tabla1[SERVICIO],Tabla1[VALOR])*1),IF(AJ58&gt;=1,_xlfn.XLOOKUP($B58,Tabla1[SERVICIO],Tabla1[VALOR]*AJ58),0))</f>
        <v>0</v>
      </c>
      <c r="AL58" s="16">
        <v>1</v>
      </c>
      <c r="AM58" s="56" cm="1">
        <f t="array" ref="AM58">IF(AL58="X",(_xlfn.XLOOKUP($B58,Tabla1[SERVICIO],Tabla1[VALOR])*1),IF(AL58&gt;=1,_xlfn.XLOOKUP($B58,Tabla1[SERVICIO],Tabla1[VALOR]*AL58),0))</f>
        <v>12908.291642219636</v>
      </c>
      <c r="AN58" s="89">
        <f t="shared" si="1"/>
        <v>12908.291642219636</v>
      </c>
      <c r="AO58" s="123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8" s="104" t="s">
        <v>318</v>
      </c>
      <c r="AQ58" s="154">
        <v>1</v>
      </c>
      <c r="AR58" s="90">
        <f>+Tabla21839[[#This Row],[TOTAL]]*Tabla21839[[#This Row],[% de las personas que lo usaron]]</f>
        <v>12908.291642219636</v>
      </c>
      <c r="AS58" s="242" t="s">
        <v>353</v>
      </c>
      <c r="AT58" s="338">
        <v>18</v>
      </c>
    </row>
    <row r="59" spans="1:46" x14ac:dyDescent="0.2">
      <c r="A59" s="198"/>
      <c r="B59" s="199"/>
      <c r="C59" s="199"/>
      <c r="D59" s="200">
        <f>SUBTOTAL(109,Tabla21839[MES 1])</f>
        <v>28</v>
      </c>
      <c r="E59" s="191">
        <f>SUBTOTAL(109,Tabla21839[MES 19])</f>
        <v>691631.57502092631</v>
      </c>
      <c r="F59" s="200">
        <f>SUBTOTAL(109,Tabla21839[MES 2])</f>
        <v>14</v>
      </c>
      <c r="G59" s="191">
        <f>SUBTOTAL(109,Tabla21839[MES 22])</f>
        <v>177938.82484725548</v>
      </c>
      <c r="H59" s="200">
        <f>SUBTOTAL(109,Tabla21839[MES 3])</f>
        <v>15</v>
      </c>
      <c r="I59" s="191">
        <f>SUBTOTAL(109,Tabla21839[MES 32])</f>
        <v>201948.55524857406</v>
      </c>
      <c r="J59" s="200">
        <f>SUBTOTAL(109,Tabla21839[MES 4])</f>
        <v>14</v>
      </c>
      <c r="K59" s="191">
        <f>SUBTOTAL(109,Tabla21839[MES 42])</f>
        <v>177938.82484725548</v>
      </c>
      <c r="L59" s="200">
        <f>SUBTOTAL(109,Tabla21839[MES 5])</f>
        <v>14</v>
      </c>
      <c r="M59" s="191">
        <f>SUBTOTAL(109,Tabla21839[MES 52])</f>
        <v>177938.82484725548</v>
      </c>
      <c r="N59" s="200">
        <f>SUBTOTAL(109,Tabla21839[MES 6])</f>
        <v>15</v>
      </c>
      <c r="O59" s="191">
        <f>SUBTOTAL(109,Tabla21839[MES 62])</f>
        <v>199991.34564780846</v>
      </c>
      <c r="P59" s="200">
        <f>SUBTOTAL(109,Tabla21839[MES 7])</f>
        <v>14</v>
      </c>
      <c r="Q59" s="191">
        <f>SUBTOTAL(109,Tabla21839[MES 72])</f>
        <v>177938.82484725548</v>
      </c>
      <c r="R59" s="200">
        <f>SUBTOTAL(109,Tabla21839[MES 8])</f>
        <v>14</v>
      </c>
      <c r="S59" s="191">
        <f>SUBTOTAL(109,Tabla21839[MES 82])</f>
        <v>177938.82484725548</v>
      </c>
      <c r="T59" s="200">
        <f>SUBTOTAL(109,Tabla21839[MES 9])</f>
        <v>14</v>
      </c>
      <c r="U59" s="191">
        <f>SUBTOTAL(109,Tabla21839[MES 92])</f>
        <v>177938.82484725548</v>
      </c>
      <c r="V59" s="200">
        <f>SUBTOTAL(109,Tabla21839[MES 10])</f>
        <v>14</v>
      </c>
      <c r="W59" s="191">
        <f>SUBTOTAL(109,Tabla21839[MES 102])</f>
        <v>177938.82484725548</v>
      </c>
      <c r="X59" s="200">
        <f>SUBTOTAL(109,Tabla21839[MES 11])</f>
        <v>14</v>
      </c>
      <c r="Y59" s="191">
        <f>SUBTOTAL(109,Tabla21839[MES 112])</f>
        <v>177938.82484725548</v>
      </c>
      <c r="Z59" s="200">
        <f>SUBTOTAL(109,Tabla21839[MES 12])</f>
        <v>14</v>
      </c>
      <c r="AA59" s="191">
        <f>SUBTOTAL(109,Tabla21839[MES 122])</f>
        <v>177938.82484725548</v>
      </c>
      <c r="AB59" s="200">
        <f>SUBTOTAL(109,Tabla21839[MES 13])</f>
        <v>14</v>
      </c>
      <c r="AC59" s="191">
        <f>SUBTOTAL(109,Tabla21839[MES 132])</f>
        <v>177938.82484725548</v>
      </c>
      <c r="AD59" s="200">
        <f>SUBTOTAL(109,Tabla21839[MES 14])</f>
        <v>14</v>
      </c>
      <c r="AE59" s="191">
        <f>SUBTOTAL(109,Tabla21839[MES 142])</f>
        <v>177938.82484725548</v>
      </c>
      <c r="AF59" s="200">
        <f>SUBTOTAL(109,Tabla21839[MES 15])</f>
        <v>14</v>
      </c>
      <c r="AG59" s="191">
        <f>SUBTOTAL(109,Tabla21839[MES 152])</f>
        <v>177938.82484725548</v>
      </c>
      <c r="AH59" s="200">
        <f>SUBTOTAL(109,Tabla21839[MES 16])</f>
        <v>14</v>
      </c>
      <c r="AI59" s="191">
        <f>SUBTOTAL(109,Tabla21839[MES 162])</f>
        <v>177938.82484725548</v>
      </c>
      <c r="AJ59" s="200">
        <f>SUBTOTAL(109,Tabla21839[MES 17])</f>
        <v>14</v>
      </c>
      <c r="AK59" s="191">
        <f>SUBTOTAL(109,Tabla21839[MES 172])</f>
        <v>177938.82484725548</v>
      </c>
      <c r="AL59" s="200">
        <f>SUBTOTAL(109,Tabla21839[MES 18])</f>
        <v>21</v>
      </c>
      <c r="AM59" s="201">
        <f>SUBTOTAL(109,Tabla21839[MES 1722])</f>
        <v>388290.15434324503</v>
      </c>
      <c r="AN59" s="187">
        <f>SUBTOTAL(109,Tabla21839[TOTAL])</f>
        <v>3973005.1781221302</v>
      </c>
      <c r="AO59" s="187">
        <f>SUBTOTAL(109,Tabla21839[TOTAL SERVICIOS])</f>
        <v>275</v>
      </c>
      <c r="AP59" s="203"/>
      <c r="AQ59" s="203"/>
      <c r="AR59" s="194">
        <f>SUBTOTAL(109,Tabla21839[VALOR COSTO])</f>
        <v>3670905.8065809514</v>
      </c>
      <c r="AS59" s="203"/>
      <c r="AT59" s="203"/>
    </row>
  </sheetData>
  <phoneticPr fontId="13" type="noConversion"/>
  <conditionalFormatting sqref="A5">
    <cfRule type="duplicateValues" dxfId="42" priority="7"/>
  </conditionalFormatting>
  <conditionalFormatting sqref="A19:A21">
    <cfRule type="duplicateValues" dxfId="41" priority="9"/>
  </conditionalFormatting>
  <conditionalFormatting sqref="A26:A27">
    <cfRule type="duplicateValues" dxfId="40" priority="8"/>
  </conditionalFormatting>
  <conditionalFormatting sqref="A35">
    <cfRule type="duplicateValues" dxfId="39" priority="4"/>
  </conditionalFormatting>
  <conditionalFormatting sqref="A49:A51">
    <cfRule type="duplicateValues" dxfId="38" priority="6"/>
  </conditionalFormatting>
  <conditionalFormatting sqref="A56:A57">
    <cfRule type="duplicateValues" dxfId="37" priority="5"/>
  </conditionalFormatting>
  <conditionalFormatting sqref="AF3:A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3:AR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35AC-AC4D-4ED1-BADE-ECAFCCBE31FE}">
  <sheetPr codeName="Hoja17">
    <tabColor theme="7" tint="0.39997558519241921"/>
  </sheetPr>
  <dimension ref="A1:AT61"/>
  <sheetViews>
    <sheetView zoomScale="40" zoomScaleNormal="40" workbookViewId="0">
      <selection activeCell="A3" sqref="A3:AH29"/>
    </sheetView>
    <sheetView workbookViewId="1"/>
  </sheetViews>
  <sheetFormatPr baseColWidth="10" defaultRowHeight="15" x14ac:dyDescent="0.25"/>
  <cols>
    <col min="1" max="1" width="11.42578125" style="5" customWidth="1"/>
    <col min="2" max="2" width="66.7109375" style="4" customWidth="1"/>
    <col min="3" max="3" width="20.28515625" style="4" bestFit="1" customWidth="1"/>
    <col min="4" max="5" width="15.28515625" style="4" bestFit="1" customWidth="1"/>
    <col min="6" max="6" width="14.42578125" style="4" bestFit="1" customWidth="1"/>
    <col min="7" max="7" width="9" style="4" bestFit="1" customWidth="1"/>
    <col min="8" max="8" width="14.42578125" style="4" bestFit="1" customWidth="1"/>
    <col min="9" max="9" width="4.28515625" style="4" customWidth="1"/>
    <col min="10" max="10" width="14.42578125" style="4" bestFit="1" customWidth="1"/>
    <col min="11" max="11" width="4.28515625" style="4" customWidth="1"/>
    <col min="12" max="12" width="14.42578125" style="4" bestFit="1" customWidth="1"/>
    <col min="13" max="13" width="4.28515625" style="4" customWidth="1"/>
    <col min="14" max="14" width="14.42578125" style="4" bestFit="1" customWidth="1"/>
    <col min="15" max="15" width="4.28515625" style="4" customWidth="1"/>
    <col min="16" max="16" width="14.42578125" style="4" bestFit="1" customWidth="1"/>
    <col min="17" max="17" width="4.28515625" style="4" customWidth="1"/>
    <col min="18" max="18" width="14.42578125" style="4" bestFit="1" customWidth="1"/>
    <col min="19" max="19" width="4.28515625" style="4" customWidth="1"/>
    <col min="20" max="20" width="14.42578125" style="4" bestFit="1" customWidth="1"/>
    <col min="21" max="21" width="4.28515625" style="4" customWidth="1"/>
    <col min="22" max="22" width="14.42578125" style="4" bestFit="1" customWidth="1"/>
    <col min="23" max="23" width="4.28515625" style="4" customWidth="1"/>
    <col min="24" max="24" width="14.42578125" style="4" bestFit="1" customWidth="1"/>
    <col min="25" max="25" width="4.28515625" style="4" customWidth="1"/>
    <col min="26" max="26" width="14.42578125" style="4" bestFit="1" customWidth="1"/>
    <col min="27" max="28" width="15.28515625" style="4" bestFit="1" customWidth="1"/>
    <col min="29" max="29" width="11.42578125" style="4"/>
    <col min="30" max="30" width="13.42578125" style="4" bestFit="1" customWidth="1"/>
    <col min="31" max="31" width="23.5703125" style="4" customWidth="1"/>
    <col min="32" max="32" width="19.28515625" style="4" bestFit="1" customWidth="1"/>
    <col min="33" max="33" width="23.42578125" style="4" bestFit="1" customWidth="1"/>
    <col min="34" max="34" width="13.42578125" style="4" bestFit="1" customWidth="1"/>
    <col min="35" max="35" width="6.28515625" style="4" customWidth="1"/>
    <col min="36" max="36" width="13.42578125" style="4" bestFit="1" customWidth="1"/>
    <col min="37" max="37" width="6.28515625" style="4" customWidth="1"/>
    <col min="38" max="38" width="13.42578125" style="4" bestFit="1" customWidth="1"/>
    <col min="39" max="39" width="14.85546875" style="4" bestFit="1" customWidth="1"/>
    <col min="40" max="42" width="11.42578125" style="4"/>
    <col min="43" max="43" width="21.7109375" style="4" bestFit="1" customWidth="1"/>
    <col min="44" max="44" width="11.42578125" style="4"/>
    <col min="45" max="45" width="20.140625" style="4" bestFit="1" customWidth="1"/>
    <col min="46" max="16384" width="11.42578125" style="4"/>
  </cols>
  <sheetData>
    <row r="1" spans="1:34" ht="30" customHeight="1" x14ac:dyDescent="0.25">
      <c r="A1" s="43" t="s">
        <v>208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3" customFormat="1" ht="30" x14ac:dyDescent="0.2">
      <c r="A2" s="20" t="s">
        <v>0</v>
      </c>
      <c r="B2" s="17" t="s">
        <v>209</v>
      </c>
      <c r="C2" s="183" t="s">
        <v>347</v>
      </c>
      <c r="D2" s="18" t="s">
        <v>56</v>
      </c>
      <c r="E2" s="18" t="s">
        <v>68</v>
      </c>
      <c r="F2" s="18" t="s">
        <v>57</v>
      </c>
      <c r="G2" s="18" t="s">
        <v>293</v>
      </c>
      <c r="H2" s="18" t="s">
        <v>58</v>
      </c>
      <c r="I2" s="18" t="s">
        <v>294</v>
      </c>
      <c r="J2" s="18" t="s">
        <v>59</v>
      </c>
      <c r="K2" s="18" t="s">
        <v>295</v>
      </c>
      <c r="L2" s="18" t="s">
        <v>60</v>
      </c>
      <c r="M2" s="18" t="s">
        <v>296</v>
      </c>
      <c r="N2" s="18" t="s">
        <v>61</v>
      </c>
      <c r="O2" s="18" t="s">
        <v>297</v>
      </c>
      <c r="P2" s="18" t="s">
        <v>62</v>
      </c>
      <c r="Q2" s="18" t="s">
        <v>298</v>
      </c>
      <c r="R2" s="18" t="s">
        <v>63</v>
      </c>
      <c r="S2" s="18" t="s">
        <v>299</v>
      </c>
      <c r="T2" s="18" t="s">
        <v>64</v>
      </c>
      <c r="U2" s="18" t="s">
        <v>300</v>
      </c>
      <c r="V2" s="18" t="s">
        <v>65</v>
      </c>
      <c r="W2" s="18" t="s">
        <v>301</v>
      </c>
      <c r="X2" s="18" t="s">
        <v>66</v>
      </c>
      <c r="Y2" s="18" t="s">
        <v>302</v>
      </c>
      <c r="Z2" s="18" t="s">
        <v>67</v>
      </c>
      <c r="AA2" s="66" t="s">
        <v>304</v>
      </c>
      <c r="AB2" s="66" t="s">
        <v>247</v>
      </c>
      <c r="AC2" s="157" t="s">
        <v>313</v>
      </c>
      <c r="AD2" s="173" t="s">
        <v>187</v>
      </c>
      <c r="AE2" s="103" t="s">
        <v>316</v>
      </c>
      <c r="AF2" s="173" t="s">
        <v>317</v>
      </c>
      <c r="AG2" s="66" t="s">
        <v>348</v>
      </c>
      <c r="AH2" s="66" t="s">
        <v>406</v>
      </c>
    </row>
    <row r="3" spans="1:34" x14ac:dyDescent="0.25">
      <c r="A3" s="7" t="s">
        <v>13</v>
      </c>
      <c r="B3" s="96" t="s">
        <v>14</v>
      </c>
      <c r="C3" s="96" t="str">
        <f>_xlfn.XLOOKUP(Tabla46740[[#This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8"/>
      <c r="G3" s="56" cm="1">
        <f t="array" ref="G3">IF(F3="X",(_xlfn.XLOOKUP($B3,Tabla1[SERVICIO],Tabla1[VALOR])*1),IF(F3&gt;=1,_xlfn.XLOOKUP($B3,Tabla1[SERVICIO],Tabla1[VALOR]*F3),0))</f>
        <v>0</v>
      </c>
      <c r="H3" s="8"/>
      <c r="I3" s="56" cm="1">
        <f t="array" ref="I3">IF(H3="X",(_xlfn.XLOOKUP($B3,Tabla1[SERVICIO],Tabla1[VALOR])*1),IF(H3&gt;=1,_xlfn.XLOOKUP($B3,Tabla1[SERVICIO],Tabla1[VALOR]*H3),0))</f>
        <v>0</v>
      </c>
      <c r="J3" s="8"/>
      <c r="K3" s="56" cm="1">
        <f t="array" ref="K3">IF(J3="X",(_xlfn.XLOOKUP($B3,Tabla1[SERVICIO],Tabla1[VALOR])*1),IF(J3&gt;=1,_xlfn.XLOOKUP($B3,Tabla1[SERVICIO],Tabla1[VALOR]*J3),0))</f>
        <v>0</v>
      </c>
      <c r="L3" s="8"/>
      <c r="M3" s="56" cm="1">
        <f t="array" ref="M3">IF(L3="X",(_xlfn.XLOOKUP($B3,Tabla1[SERVICIO],Tabla1[VALOR])*1),IF(L3&gt;=1,_xlfn.XLOOKUP($B3,Tabla1[SERVICIO],Tabla1[VALOR]*L3),0))</f>
        <v>0</v>
      </c>
      <c r="N3" s="8"/>
      <c r="O3" s="56" cm="1">
        <f t="array" ref="O3">IF(N3="X",(_xlfn.XLOOKUP($B3,Tabla1[SERVICIO],Tabla1[VALOR])*1),IF(N3&gt;=1,_xlfn.XLOOKUP($B3,Tabla1[SERVICIO],Tabla1[VALOR]*N3),0))</f>
        <v>0</v>
      </c>
      <c r="P3" s="8"/>
      <c r="Q3" s="56" cm="1">
        <f t="array" ref="Q3">IF(P3="X",(_xlfn.XLOOKUP($B3,Tabla1[SERVICIO],Tabla1[VALOR])*1),IF(P3&gt;=1,_xlfn.XLOOKUP($B3,Tabla1[SERVICIO],Tabla1[VALOR]*P3),0))</f>
        <v>0</v>
      </c>
      <c r="R3" s="8"/>
      <c r="S3" s="56" cm="1">
        <f t="array" ref="S3">IF(R3="X",(_xlfn.XLOOKUP($B3,Tabla1[SERVICIO],Tabla1[VALOR])*1),IF(R3&gt;=1,_xlfn.XLOOKUP($B3,Tabla1[SERVICIO],Tabla1[VALOR]*R3),0))</f>
        <v>0</v>
      </c>
      <c r="T3" s="8"/>
      <c r="U3" s="56" cm="1">
        <f t="array" ref="U3">IF(T3="X",(_xlfn.XLOOKUP($B3,Tabla1[SERVICIO],Tabla1[VALOR])*1),IF(T3&gt;=1,_xlfn.XLOOKUP($B3,Tabla1[SERVICIO],Tabla1[VALOR]*T3),0))</f>
        <v>0</v>
      </c>
      <c r="V3" s="8"/>
      <c r="W3" s="56" cm="1">
        <f t="array" ref="W3">IF(V3="X",(_xlfn.XLOOKUP($B3,Tabla1[SERVICIO],Tabla1[VALOR])*1),IF(V3&gt;=1,_xlfn.XLOOKUP($B3,Tabla1[SERVICIO],Tabla1[VALOR]*V3),0))</f>
        <v>0</v>
      </c>
      <c r="X3" s="8"/>
      <c r="Y3" s="56" cm="1">
        <f t="array" ref="Y3">IF(X3="X",(_xlfn.XLOOKUP($B3,Tabla1[SERVICIO],Tabla1[VALOR])*1),IF(X3&gt;=1,_xlfn.XLOOKUP($B3,Tabla1[SERVICIO],Tabla1[VALOR]*X3),0))</f>
        <v>0</v>
      </c>
      <c r="Z3" s="8"/>
      <c r="AA3" s="91" cm="1">
        <f t="array" ref="AA3">IF(Z3="X",(_xlfn.XLOOKUP($B3,Tabla1[SERVICIO],Tabla1[VALOR])*1),IF(Z3&gt;=1,_xlfn.XLOOKUP($B3,Tabla1[SERVICIO],Tabla1[VALOR]*Z3),0))</f>
        <v>0</v>
      </c>
      <c r="AB3" s="89">
        <f>SUM(E3,G3,I3,K3+M3,O3,Q3,S3,U3,W3,Y3,AA3)</f>
        <v>20552.755657371155</v>
      </c>
      <c r="AC3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3" s="175" t="s">
        <v>318</v>
      </c>
      <c r="AE3" s="126">
        <v>1</v>
      </c>
      <c r="AF3" s="121">
        <f>+Tabla46740[[#This Row],[TOTAL]]*Tabla46740[[#This Row],[% de las personas que lo usaron]]</f>
        <v>20552.755657371155</v>
      </c>
      <c r="AG3" s="243" t="s">
        <v>354</v>
      </c>
      <c r="AH3" s="243">
        <v>12</v>
      </c>
    </row>
    <row r="4" spans="1:34" x14ac:dyDescent="0.25">
      <c r="A4" s="7" t="s">
        <v>98</v>
      </c>
      <c r="B4" s="96" t="s">
        <v>99</v>
      </c>
      <c r="C4" s="96" t="str">
        <f>_xlfn.XLOOKUP(Tabla46740[[#This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8"/>
      <c r="G4" s="56" cm="1">
        <f t="array" ref="G4">IF(F4="X",(_xlfn.XLOOKUP($B4,Tabla1[SERVICIO],Tabla1[VALOR])*1),IF(F4&gt;=1,_xlfn.XLOOKUP($B4,Tabla1[SERVICIO],Tabla1[VALOR]*F4),0))</f>
        <v>0</v>
      </c>
      <c r="H4" s="8"/>
      <c r="I4" s="56" cm="1">
        <f t="array" ref="I4">IF(H4="X",(_xlfn.XLOOKUP($B4,Tabla1[SERVICIO],Tabla1[VALOR])*1),IF(H4&gt;=1,_xlfn.XLOOKUP($B4,Tabla1[SERVICIO],Tabla1[VALOR]*H4),0))</f>
        <v>0</v>
      </c>
      <c r="J4" s="8"/>
      <c r="K4" s="56" cm="1">
        <f t="array" ref="K4">IF(J4="X",(_xlfn.XLOOKUP($B4,Tabla1[SERVICIO],Tabla1[VALOR])*1),IF(J4&gt;=1,_xlfn.XLOOKUP($B4,Tabla1[SERVICIO],Tabla1[VALOR]*J4),0))</f>
        <v>0</v>
      </c>
      <c r="L4" s="8"/>
      <c r="M4" s="56" cm="1">
        <f t="array" ref="M4">IF(L4="X",(_xlfn.XLOOKUP($B4,Tabla1[SERVICIO],Tabla1[VALOR])*1),IF(L4&gt;=1,_xlfn.XLOOKUP($B4,Tabla1[SERVICIO],Tabla1[VALOR]*L4),0))</f>
        <v>0</v>
      </c>
      <c r="N4" s="8"/>
      <c r="O4" s="56" cm="1">
        <f t="array" ref="O4">IF(N4="X",(_xlfn.XLOOKUP($B4,Tabla1[SERVICIO],Tabla1[VALOR])*1),IF(N4&gt;=1,_xlfn.XLOOKUP($B4,Tabla1[SERVICIO],Tabla1[VALOR]*N4),0))</f>
        <v>0</v>
      </c>
      <c r="P4" s="8"/>
      <c r="Q4" s="56" cm="1">
        <f t="array" ref="Q4">IF(P4="X",(_xlfn.XLOOKUP($B4,Tabla1[SERVICIO],Tabla1[VALOR])*1),IF(P4&gt;=1,_xlfn.XLOOKUP($B4,Tabla1[SERVICIO],Tabla1[VALOR]*P4),0))</f>
        <v>0</v>
      </c>
      <c r="R4" s="8"/>
      <c r="S4" s="56" cm="1">
        <f t="array" ref="S4">IF(R4="X",(_xlfn.XLOOKUP($B4,Tabla1[SERVICIO],Tabla1[VALOR])*1),IF(R4&gt;=1,_xlfn.XLOOKUP($B4,Tabla1[SERVICIO],Tabla1[VALOR]*R4),0))</f>
        <v>0</v>
      </c>
      <c r="T4" s="8"/>
      <c r="U4" s="56" cm="1">
        <f t="array" ref="U4">IF(T4="X",(_xlfn.XLOOKUP($B4,Tabla1[SERVICIO],Tabla1[VALOR])*1),IF(T4&gt;=1,_xlfn.XLOOKUP($B4,Tabla1[SERVICIO],Tabla1[VALOR]*T4),0))</f>
        <v>0</v>
      </c>
      <c r="V4" s="8"/>
      <c r="W4" s="56" cm="1">
        <f t="array" ref="W4">IF(V4="X",(_xlfn.XLOOKUP($B4,Tabla1[SERVICIO],Tabla1[VALOR])*1),IF(V4&gt;=1,_xlfn.XLOOKUP($B4,Tabla1[SERVICIO],Tabla1[VALOR]*V4),0))</f>
        <v>0</v>
      </c>
      <c r="X4" s="8"/>
      <c r="Y4" s="56" cm="1">
        <f t="array" ref="Y4">IF(X4="X",(_xlfn.XLOOKUP($B4,Tabla1[SERVICIO],Tabla1[VALOR])*1),IF(X4&gt;=1,_xlfn.XLOOKUP($B4,Tabla1[SERVICIO],Tabla1[VALOR]*X4),0))</f>
        <v>0</v>
      </c>
      <c r="Z4" s="8"/>
      <c r="AA4" s="90" cm="1">
        <f t="array" ref="AA4">IF(Z4="X",(_xlfn.XLOOKUP($B4,Tabla1[SERVICIO],Tabla1[VALOR])*1),IF(Z4&gt;=1,_xlfn.XLOOKUP($B4,Tabla1[SERVICIO],Tabla1[VALOR]*Z4),0))</f>
        <v>0</v>
      </c>
      <c r="AB4" s="89">
        <f t="shared" ref="AB4:AB29" si="0">SUM(E4,G4,I4,K4+M4,O4,Q4,S4,U4,W4,Y4,AA4)</f>
        <v>17887.388810409495</v>
      </c>
      <c r="AC4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4" s="175" t="s">
        <v>318</v>
      </c>
      <c r="AE4" s="126">
        <v>1</v>
      </c>
      <c r="AF4" s="121">
        <f>+Tabla46740[[#This Row],[TOTAL]]*Tabla46740[[#This Row],[% de las personas que lo usaron]]</f>
        <v>17887.388810409495</v>
      </c>
      <c r="AG4" s="240" t="s">
        <v>354</v>
      </c>
      <c r="AH4" s="243">
        <v>12</v>
      </c>
    </row>
    <row r="5" spans="1:34" x14ac:dyDescent="0.25">
      <c r="A5" s="7" t="s">
        <v>104</v>
      </c>
      <c r="B5" s="96" t="s">
        <v>105</v>
      </c>
      <c r="C5" s="96" t="str">
        <f>_xlfn.XLOOKUP(Tabla46740[[#This Row],[Servicios del Programa:]],Tabla151[CODIGO],Tabla151[VALOR])</f>
        <v>Consultas</v>
      </c>
      <c r="D5" s="14"/>
      <c r="E5" s="56" cm="1">
        <f t="array" ref="E5">IF(D5="X",(_xlfn.XLOOKUP($B5,Tabla1[SERVICIO],Tabla1[VALOR])*1),IF(D5&gt;=1,_xlfn.XLOOKUP($B5,Tabla1[SERVICIO],Tabla1[VALOR]*D5),0))</f>
        <v>0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8"/>
      <c r="I5" s="56" cm="1">
        <f t="array" ref="I5">IF(H5="X",(_xlfn.XLOOKUP($B5,Tabla1[SERVICIO],Tabla1[VALOR])*1),IF(H5&gt;=1,_xlfn.XLOOKUP($B5,Tabla1[SERVICIO],Tabla1[VALOR]*H5),0))</f>
        <v>0</v>
      </c>
      <c r="J5" s="8"/>
      <c r="K5" s="56" cm="1">
        <f t="array" ref="K5">IF(J5="X",(_xlfn.XLOOKUP($B5,Tabla1[SERVICIO],Tabla1[VALOR])*1),IF(J5&gt;=1,_xlfn.XLOOKUP($B5,Tabla1[SERVICIO],Tabla1[VALOR]*J5),0))</f>
        <v>0</v>
      </c>
      <c r="L5" s="8"/>
      <c r="M5" s="56" cm="1">
        <f t="array" ref="M5">IF(L5="X",(_xlfn.XLOOKUP($B5,Tabla1[SERVICIO],Tabla1[VALOR])*1),IF(L5&gt;=1,_xlfn.XLOOKUP($B5,Tabla1[SERVICIO],Tabla1[VALOR]*L5),0))</f>
        <v>0</v>
      </c>
      <c r="N5" s="14"/>
      <c r="O5" s="56" cm="1">
        <f t="array" ref="O5">IF(N5="X",(_xlfn.XLOOKUP($B5,Tabla1[SERVICIO],Tabla1[VALOR])*1),IF(N5&gt;=1,_xlfn.XLOOKUP($B5,Tabla1[SERVICIO],Tabla1[VALOR]*N5),0))</f>
        <v>0</v>
      </c>
      <c r="P5" s="8"/>
      <c r="Q5" s="56" cm="1">
        <f t="array" ref="Q5">IF(P5="X",(_xlfn.XLOOKUP($B5,Tabla1[SERVICIO],Tabla1[VALOR])*1),IF(P5&gt;=1,_xlfn.XLOOKUP($B5,Tabla1[SERVICIO],Tabla1[VALOR]*P5),0))</f>
        <v>0</v>
      </c>
      <c r="R5" s="8"/>
      <c r="S5" s="56" cm="1">
        <f t="array" ref="S5">IF(R5="X",(_xlfn.XLOOKUP($B5,Tabla1[SERVICIO],Tabla1[VALOR])*1),IF(R5&gt;=1,_xlfn.XLOOKUP($B5,Tabla1[SERVICIO],Tabla1[VALOR]*R5),0))</f>
        <v>0</v>
      </c>
      <c r="T5" s="8"/>
      <c r="U5" s="56" cm="1">
        <f t="array" ref="U5">IF(T5="X",(_xlfn.XLOOKUP($B5,Tabla1[SERVICIO],Tabla1[VALOR])*1),IF(T5&gt;=1,_xlfn.XLOOKUP($B5,Tabla1[SERVICIO],Tabla1[VALOR]*T5),0))</f>
        <v>0</v>
      </c>
      <c r="V5" s="8"/>
      <c r="W5" s="56" cm="1">
        <f t="array" ref="W5">IF(V5="X",(_xlfn.XLOOKUP($B5,Tabla1[SERVICIO],Tabla1[VALOR])*1),IF(V5&gt;=1,_xlfn.XLOOKUP($B5,Tabla1[SERVICIO],Tabla1[VALOR]*V5),0))</f>
        <v>0</v>
      </c>
      <c r="X5" s="8"/>
      <c r="Y5" s="56" cm="1">
        <f t="array" ref="Y5">IF(X5="X",(_xlfn.XLOOKUP($B5,Tabla1[SERVICIO],Tabla1[VALOR])*1),IF(X5&gt;=1,_xlfn.XLOOKUP($B5,Tabla1[SERVICIO],Tabla1[VALOR]*X5),0))</f>
        <v>0</v>
      </c>
      <c r="Z5" s="15">
        <v>1</v>
      </c>
      <c r="AA5" s="90" cm="1">
        <f t="array" ref="AA5">IF(Z5="X",(_xlfn.XLOOKUP($B5,Tabla1[SERVICIO],Tabla1[VALOR])*1),IF(Z5&gt;=1,_xlfn.XLOOKUP($B5,Tabla1[SERVICIO],Tabla1[VALOR]*Z5),0))</f>
        <v>17887.388810409495</v>
      </c>
      <c r="AB5" s="89">
        <f t="shared" si="0"/>
        <v>17887.388810409495</v>
      </c>
      <c r="AC5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5" s="37" t="s">
        <v>319</v>
      </c>
      <c r="AE5" s="126">
        <v>6.5359477124183009E-3</v>
      </c>
      <c r="AF5" s="121">
        <f>+Tabla46740[[#This Row],[TOTAL]]*Tabla46740[[#This Row],[% de las personas que lo usaron]]</f>
        <v>116.91103797653265</v>
      </c>
      <c r="AG5" s="240" t="s">
        <v>354</v>
      </c>
      <c r="AH5" s="243">
        <v>12</v>
      </c>
    </row>
    <row r="6" spans="1:34" x14ac:dyDescent="0.25">
      <c r="A6" s="7" t="s">
        <v>27</v>
      </c>
      <c r="B6" s="96" t="s">
        <v>28</v>
      </c>
      <c r="C6" s="96" t="str">
        <f>_xlfn.XLOOKUP(Tabla46740[[#This Row],[Servicios del Programa:]],Tabla151[CODIGO],Tabla151[VALOR])</f>
        <v>Diagnosticos</v>
      </c>
      <c r="D6" s="14">
        <v>1</v>
      </c>
      <c r="E6" s="56" cm="1">
        <f t="array" ref="E6">IF(D6="X",(_xlfn.XLOOKUP($B6,Tabla1[SERVICIO],Tabla1[VALOR])*1),IF(D6&gt;=1,_xlfn.XLOOKUP($B6,Tabla1[SERVICIO],Tabla1[VALOR]*D6),0))</f>
        <v>43480.816890660324</v>
      </c>
      <c r="F6" s="8"/>
      <c r="G6" s="56" cm="1">
        <f t="array" ref="G6">IF(F6="X",(_xlfn.XLOOKUP($B6,Tabla1[SERVICIO],Tabla1[VALOR])*1),IF(F6&gt;=1,_xlfn.XLOOKUP($B6,Tabla1[SERVICIO],Tabla1[VALOR]*F6),0))</f>
        <v>0</v>
      </c>
      <c r="H6" s="8"/>
      <c r="I6" s="56" cm="1">
        <f t="array" ref="I6">IF(H6="X",(_xlfn.XLOOKUP($B6,Tabla1[SERVICIO],Tabla1[VALOR])*1),IF(H6&gt;=1,_xlfn.XLOOKUP($B6,Tabla1[SERVICIO],Tabla1[VALOR]*H6),0))</f>
        <v>0</v>
      </c>
      <c r="J6" s="8"/>
      <c r="K6" s="56" cm="1">
        <f t="array" ref="K6">IF(J6="X",(_xlfn.XLOOKUP($B6,Tabla1[SERVICIO],Tabla1[VALOR])*1),IF(J6&gt;=1,_xlfn.XLOOKUP($B6,Tabla1[SERVICIO],Tabla1[VALOR]*J6),0))</f>
        <v>0</v>
      </c>
      <c r="L6" s="8"/>
      <c r="M6" s="56" cm="1">
        <f t="array" ref="M6">IF(L6="X",(_xlfn.XLOOKUP($B6,Tabla1[SERVICIO],Tabla1[VALOR])*1),IF(L6&gt;=1,_xlfn.XLOOKUP($B6,Tabla1[SERVICIO],Tabla1[VALOR]*L6),0))</f>
        <v>0</v>
      </c>
      <c r="N6" s="14">
        <v>1</v>
      </c>
      <c r="O6" s="56" cm="1">
        <f t="array" ref="O6">IF(N6="X",(_xlfn.XLOOKUP($B6,Tabla1[SERVICIO],Tabla1[VALOR])*1),IF(N6&gt;=1,_xlfn.XLOOKUP($B6,Tabla1[SERVICIO],Tabla1[VALOR]*N6),0))</f>
        <v>43480.816890660324</v>
      </c>
      <c r="P6" s="8"/>
      <c r="Q6" s="56" cm="1">
        <f t="array" ref="Q6">IF(P6="X",(_xlfn.XLOOKUP($B6,Tabla1[SERVICIO],Tabla1[VALOR])*1),IF(P6&gt;=1,_xlfn.XLOOKUP($B6,Tabla1[SERVICIO],Tabla1[VALOR]*P6),0))</f>
        <v>0</v>
      </c>
      <c r="R6" s="8"/>
      <c r="S6" s="56" cm="1">
        <f t="array" ref="S6">IF(R6="X",(_xlfn.XLOOKUP($B6,Tabla1[SERVICIO],Tabla1[VALOR])*1),IF(R6&gt;=1,_xlfn.XLOOKUP($B6,Tabla1[SERVICIO],Tabla1[VALOR]*R6),0))</f>
        <v>0</v>
      </c>
      <c r="T6" s="8"/>
      <c r="U6" s="56" cm="1">
        <f t="array" ref="U6">IF(T6="X",(_xlfn.XLOOKUP($B6,Tabla1[SERVICIO],Tabla1[VALOR])*1),IF(T6&gt;=1,_xlfn.XLOOKUP($B6,Tabla1[SERVICIO],Tabla1[VALOR]*T6),0))</f>
        <v>0</v>
      </c>
      <c r="V6" s="8"/>
      <c r="W6" s="56" cm="1">
        <f t="array" ref="W6">IF(V6="X",(_xlfn.XLOOKUP($B6,Tabla1[SERVICIO],Tabla1[VALOR])*1),IF(V6&gt;=1,_xlfn.XLOOKUP($B6,Tabla1[SERVICIO],Tabla1[VALOR]*V6),0))</f>
        <v>0</v>
      </c>
      <c r="X6" s="8"/>
      <c r="Y6" s="56" cm="1">
        <f t="array" ref="Y6">IF(X6="X",(_xlfn.XLOOKUP($B6,Tabla1[SERVICIO],Tabla1[VALOR])*1),IF(X6&gt;=1,_xlfn.XLOOKUP($B6,Tabla1[SERVICIO],Tabla1[VALOR]*X6),0))</f>
        <v>0</v>
      </c>
      <c r="Z6" s="14">
        <v>1</v>
      </c>
      <c r="AA6" s="90" cm="1">
        <f t="array" ref="AA6">IF(Z6="X",(_xlfn.XLOOKUP($B6,Tabla1[SERVICIO],Tabla1[VALOR])*1),IF(Z6&gt;=1,_xlfn.XLOOKUP($B6,Tabla1[SERVICIO],Tabla1[VALOR]*Z6),0))</f>
        <v>43480.816890660324</v>
      </c>
      <c r="AB6" s="89">
        <f t="shared" si="0"/>
        <v>130442.45067198097</v>
      </c>
      <c r="AC6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6" s="175" t="s">
        <v>318</v>
      </c>
      <c r="AE6" s="126">
        <v>1</v>
      </c>
      <c r="AF6" s="121">
        <f>+Tabla46740[[#This Row],[TOTAL]]*Tabla46740[[#This Row],[% de las personas que lo usaron]]</f>
        <v>130442.45067198097</v>
      </c>
      <c r="AG6" s="240" t="s">
        <v>354</v>
      </c>
      <c r="AH6" s="243">
        <v>12</v>
      </c>
    </row>
    <row r="7" spans="1:34" x14ac:dyDescent="0.25">
      <c r="A7" s="7" t="s">
        <v>25</v>
      </c>
      <c r="B7" s="96" t="s">
        <v>26</v>
      </c>
      <c r="C7" s="96" t="str">
        <f>_xlfn.XLOOKUP(Tabla46740[[#This Row],[Servicios del Programa:]],Tabla151[CODIGO],Tabla151[VALOR])</f>
        <v>Diagnosticos</v>
      </c>
      <c r="D7" s="14">
        <v>1</v>
      </c>
      <c r="E7" s="56" cm="1">
        <f t="array" ref="E7">IF(D7="X",(_xlfn.XLOOKUP($B7,Tabla1[SERVICIO],Tabla1[VALOR])*1),IF(D7&gt;=1,_xlfn.XLOOKUP($B7,Tabla1[SERVICIO],Tabla1[VALOR]*D7),0))</f>
        <v>19392.627189167735</v>
      </c>
      <c r="F7" s="8"/>
      <c r="G7" s="56" cm="1">
        <f t="array" ref="G7">IF(F7="X",(_xlfn.XLOOKUP($B7,Tabla1[SERVICIO],Tabla1[VALOR])*1),IF(F7&gt;=1,_xlfn.XLOOKUP($B7,Tabla1[SERVICIO],Tabla1[VALOR]*F7),0))</f>
        <v>0</v>
      </c>
      <c r="H7" s="8"/>
      <c r="I7" s="56" cm="1">
        <f t="array" ref="I7">IF(H7="X",(_xlfn.XLOOKUP($B7,Tabla1[SERVICIO],Tabla1[VALOR])*1),IF(H7&gt;=1,_xlfn.XLOOKUP($B7,Tabla1[SERVICIO],Tabla1[VALOR]*H7),0))</f>
        <v>0</v>
      </c>
      <c r="J7" s="8"/>
      <c r="K7" s="56" cm="1">
        <f t="array" ref="K7">IF(J7="X",(_xlfn.XLOOKUP($B7,Tabla1[SERVICIO],Tabla1[VALOR])*1),IF(J7&gt;=1,_xlfn.XLOOKUP($B7,Tabla1[SERVICIO],Tabla1[VALOR]*J7),0))</f>
        <v>0</v>
      </c>
      <c r="L7" s="8"/>
      <c r="M7" s="56" cm="1">
        <f t="array" ref="M7">IF(L7="X",(_xlfn.XLOOKUP($B7,Tabla1[SERVICIO],Tabla1[VALOR])*1),IF(L7&gt;=1,_xlfn.XLOOKUP($B7,Tabla1[SERVICIO],Tabla1[VALOR]*L7),0))</f>
        <v>0</v>
      </c>
      <c r="N7" s="14">
        <v>1</v>
      </c>
      <c r="O7" s="56" cm="1">
        <f t="array" ref="O7">IF(N7="X",(_xlfn.XLOOKUP($B7,Tabla1[SERVICIO],Tabla1[VALOR])*1),IF(N7&gt;=1,_xlfn.XLOOKUP($B7,Tabla1[SERVICIO],Tabla1[VALOR]*N7),0))</f>
        <v>19392.627189167735</v>
      </c>
      <c r="P7" s="8"/>
      <c r="Q7" s="56" cm="1">
        <f t="array" ref="Q7">IF(P7="X",(_xlfn.XLOOKUP($B7,Tabla1[SERVICIO],Tabla1[VALOR])*1),IF(P7&gt;=1,_xlfn.XLOOKUP($B7,Tabla1[SERVICIO],Tabla1[VALOR]*P7),0))</f>
        <v>0</v>
      </c>
      <c r="R7" s="8"/>
      <c r="S7" s="56" cm="1">
        <f t="array" ref="S7">IF(R7="X",(_xlfn.XLOOKUP($B7,Tabla1[SERVICIO],Tabla1[VALOR])*1),IF(R7&gt;=1,_xlfn.XLOOKUP($B7,Tabla1[SERVICIO],Tabla1[VALOR]*R7),0))</f>
        <v>0</v>
      </c>
      <c r="T7" s="8"/>
      <c r="U7" s="56" cm="1">
        <f t="array" ref="U7">IF(T7="X",(_xlfn.XLOOKUP($B7,Tabla1[SERVICIO],Tabla1[VALOR])*1),IF(T7&gt;=1,_xlfn.XLOOKUP($B7,Tabla1[SERVICIO],Tabla1[VALOR]*T7),0))</f>
        <v>0</v>
      </c>
      <c r="V7" s="8"/>
      <c r="W7" s="56" cm="1">
        <f t="array" ref="W7">IF(V7="X",(_xlfn.XLOOKUP($B7,Tabla1[SERVICIO],Tabla1[VALOR])*1),IF(V7&gt;=1,_xlfn.XLOOKUP($B7,Tabla1[SERVICIO],Tabla1[VALOR]*V7),0))</f>
        <v>0</v>
      </c>
      <c r="X7" s="8"/>
      <c r="Y7" s="56" cm="1">
        <f t="array" ref="Y7">IF(X7="X",(_xlfn.XLOOKUP($B7,Tabla1[SERVICIO],Tabla1[VALOR])*1),IF(X7&gt;=1,_xlfn.XLOOKUP($B7,Tabla1[SERVICIO],Tabla1[VALOR]*X7),0))</f>
        <v>0</v>
      </c>
      <c r="Z7" s="14">
        <v>1</v>
      </c>
      <c r="AA7" s="90" cm="1">
        <f t="array" ref="AA7">IF(Z7="X",(_xlfn.XLOOKUP($B7,Tabla1[SERVICIO],Tabla1[VALOR])*1),IF(Z7&gt;=1,_xlfn.XLOOKUP($B7,Tabla1[SERVICIO],Tabla1[VALOR]*Z7),0))</f>
        <v>19392.627189167735</v>
      </c>
      <c r="AB7" s="89">
        <f t="shared" si="0"/>
        <v>58177.881567503209</v>
      </c>
      <c r="AC7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7" s="175" t="s">
        <v>318</v>
      </c>
      <c r="AE7" s="126">
        <v>1</v>
      </c>
      <c r="AF7" s="121">
        <f>+Tabla46740[[#This Row],[TOTAL]]*Tabla46740[[#This Row],[% de las personas que lo usaron]]</f>
        <v>58177.881567503209</v>
      </c>
      <c r="AG7" s="240" t="s">
        <v>354</v>
      </c>
      <c r="AH7" s="243">
        <v>12</v>
      </c>
    </row>
    <row r="8" spans="1:34" x14ac:dyDescent="0.25">
      <c r="A8" s="7" t="s">
        <v>3</v>
      </c>
      <c r="B8" s="96" t="s">
        <v>4</v>
      </c>
      <c r="C8" s="96" t="str">
        <f>_xlfn.XLOOKUP(Tabla46740[[#This Row],[Servicios del Programa:]],Tabla151[CODIGO],Tabla151[VALOR])</f>
        <v>Consultas</v>
      </c>
      <c r="D8" s="14">
        <v>1</v>
      </c>
      <c r="E8" s="56" cm="1">
        <f t="array" ref="E8">IF(D8="X",(_xlfn.XLOOKUP($B8,Tabla1[SERVICIO],Tabla1[VALOR])*1),IF(D8&gt;=1,_xlfn.XLOOKUP($B8,Tabla1[SERVICIO],Tabla1[VALOR]*D8),0))</f>
        <v>20406.13276336317</v>
      </c>
      <c r="F8" s="8"/>
      <c r="G8" s="56" cm="1">
        <f t="array" ref="G8">IF(F8="X",(_xlfn.XLOOKUP($B8,Tabla1[SERVICIO],Tabla1[VALOR])*1),IF(F8&gt;=1,_xlfn.XLOOKUP($B8,Tabla1[SERVICIO],Tabla1[VALOR]*F8),0))</f>
        <v>0</v>
      </c>
      <c r="H8" s="8"/>
      <c r="I8" s="56" cm="1">
        <f t="array" ref="I8">IF(H8="X",(_xlfn.XLOOKUP($B8,Tabla1[SERVICIO],Tabla1[VALOR])*1),IF(H8&gt;=1,_xlfn.XLOOKUP($B8,Tabla1[SERVICIO],Tabla1[VALOR]*H8),0))</f>
        <v>0</v>
      </c>
      <c r="J8" s="8"/>
      <c r="K8" s="56" cm="1">
        <f t="array" ref="K8">IF(J8="X",(_xlfn.XLOOKUP($B8,Tabla1[SERVICIO],Tabla1[VALOR])*1),IF(J8&gt;=1,_xlfn.XLOOKUP($B8,Tabla1[SERVICIO],Tabla1[VALOR]*J8),0))</f>
        <v>0</v>
      </c>
      <c r="L8" s="8"/>
      <c r="M8" s="56" cm="1">
        <f t="array" ref="M8">IF(L8="X",(_xlfn.XLOOKUP($B8,Tabla1[SERVICIO],Tabla1[VALOR])*1),IF(L8&gt;=1,_xlfn.XLOOKUP($B8,Tabla1[SERVICIO],Tabla1[VALOR]*L8),0))</f>
        <v>0</v>
      </c>
      <c r="N8" s="8"/>
      <c r="O8" s="56" cm="1">
        <f t="array" ref="O8">IF(N8="X",(_xlfn.XLOOKUP($B8,Tabla1[SERVICIO],Tabla1[VALOR])*1),IF(N8&gt;=1,_xlfn.XLOOKUP($B8,Tabla1[SERVICIO],Tabla1[VALOR]*N8),0))</f>
        <v>0</v>
      </c>
      <c r="P8" s="8"/>
      <c r="Q8" s="56" cm="1">
        <f t="array" ref="Q8">IF(P8="X",(_xlfn.XLOOKUP($B8,Tabla1[SERVICIO],Tabla1[VALOR])*1),IF(P8&gt;=1,_xlfn.XLOOKUP($B8,Tabla1[SERVICIO],Tabla1[VALOR]*P8),0))</f>
        <v>0</v>
      </c>
      <c r="R8" s="8"/>
      <c r="S8" s="56" cm="1">
        <f t="array" ref="S8">IF(R8="X",(_xlfn.XLOOKUP($B8,Tabla1[SERVICIO],Tabla1[VALOR])*1),IF(R8&gt;=1,_xlfn.XLOOKUP($B8,Tabla1[SERVICIO],Tabla1[VALOR]*R8),0))</f>
        <v>0</v>
      </c>
      <c r="T8" s="8"/>
      <c r="U8" s="56" cm="1">
        <f t="array" ref="U8">IF(T8="X",(_xlfn.XLOOKUP($B8,Tabla1[SERVICIO],Tabla1[VALOR])*1),IF(T8&gt;=1,_xlfn.XLOOKUP($B8,Tabla1[SERVICIO],Tabla1[VALOR]*T8),0))</f>
        <v>0</v>
      </c>
      <c r="V8" s="8"/>
      <c r="W8" s="56" cm="1">
        <f t="array" ref="W8">IF(V8="X",(_xlfn.XLOOKUP($B8,Tabla1[SERVICIO],Tabla1[VALOR])*1),IF(V8&gt;=1,_xlfn.XLOOKUP($B8,Tabla1[SERVICIO],Tabla1[VALOR]*V8),0))</f>
        <v>0</v>
      </c>
      <c r="X8" s="8"/>
      <c r="Y8" s="56" cm="1">
        <f t="array" ref="Y8">IF(X8="X",(_xlfn.XLOOKUP($B8,Tabla1[SERVICIO],Tabla1[VALOR])*1),IF(X8&gt;=1,_xlfn.XLOOKUP($B8,Tabla1[SERVICIO],Tabla1[VALOR]*X8),0))</f>
        <v>0</v>
      </c>
      <c r="Z8" s="8"/>
      <c r="AA8" s="90" cm="1">
        <f t="array" ref="AA8">IF(Z8="X",(_xlfn.XLOOKUP($B8,Tabla1[SERVICIO],Tabla1[VALOR])*1),IF(Z8&gt;=1,_xlfn.XLOOKUP($B8,Tabla1[SERVICIO],Tabla1[VALOR]*Z8),0))</f>
        <v>0</v>
      </c>
      <c r="AB8" s="89">
        <f t="shared" si="0"/>
        <v>20406.13276336317</v>
      </c>
      <c r="AC8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8" s="175" t="s">
        <v>318</v>
      </c>
      <c r="AE8" s="126">
        <v>1</v>
      </c>
      <c r="AF8" s="121">
        <f>+Tabla46740[[#This Row],[TOTAL]]*Tabla46740[[#This Row],[% de las personas que lo usaron]]</f>
        <v>20406.13276336317</v>
      </c>
      <c r="AG8" s="240" t="s">
        <v>354</v>
      </c>
      <c r="AH8" s="243">
        <v>12</v>
      </c>
    </row>
    <row r="9" spans="1:34" x14ac:dyDescent="0.25">
      <c r="A9" s="7" t="s">
        <v>5</v>
      </c>
      <c r="B9" s="96" t="s">
        <v>6</v>
      </c>
      <c r="C9" s="96" t="str">
        <f>_xlfn.XLOOKUP(Tabla46740[[#This Row],[Servicios del Programa:]],Tabla151[CODIGO],Tabla151[VALOR])</f>
        <v>Consultas</v>
      </c>
      <c r="D9" s="14">
        <v>1</v>
      </c>
      <c r="E9" s="56" cm="1">
        <f t="array" ref="E9">IF(D9="X",(_xlfn.XLOOKUP($B9,Tabla1[SERVICIO],Tabla1[VALOR])*1),IF(D9&gt;=1,_xlfn.XLOOKUP($B9,Tabla1[SERVICIO],Tabla1[VALOR]*D9),0))</f>
        <v>18768.367820181349</v>
      </c>
      <c r="F9" s="8"/>
      <c r="G9" s="56" cm="1">
        <f t="array" ref="G9">IF(F9="X",(_xlfn.XLOOKUP($B9,Tabla1[SERVICIO],Tabla1[VALOR])*1),IF(F9&gt;=1,_xlfn.XLOOKUP($B9,Tabla1[SERVICIO],Tabla1[VALOR]*F9),0))</f>
        <v>0</v>
      </c>
      <c r="H9" s="8"/>
      <c r="I9" s="56" cm="1">
        <f t="array" ref="I9">IF(H9="X",(_xlfn.XLOOKUP($B9,Tabla1[SERVICIO],Tabla1[VALOR])*1),IF(H9&gt;=1,_xlfn.XLOOKUP($B9,Tabla1[SERVICIO],Tabla1[VALOR]*H9),0))</f>
        <v>0</v>
      </c>
      <c r="J9" s="8"/>
      <c r="K9" s="56" cm="1">
        <f t="array" ref="K9">IF(J9="X",(_xlfn.XLOOKUP($B9,Tabla1[SERVICIO],Tabla1[VALOR])*1),IF(J9&gt;=1,_xlfn.XLOOKUP($B9,Tabla1[SERVICIO],Tabla1[VALOR]*J9),0))</f>
        <v>0</v>
      </c>
      <c r="L9" s="8"/>
      <c r="M9" s="56" cm="1">
        <f t="array" ref="M9">IF(L9="X",(_xlfn.XLOOKUP($B9,Tabla1[SERVICIO],Tabla1[VALOR])*1),IF(L9&gt;=1,_xlfn.XLOOKUP($B9,Tabla1[SERVICIO],Tabla1[VALOR]*L9),0))</f>
        <v>0</v>
      </c>
      <c r="N9" s="8"/>
      <c r="O9" s="56" cm="1">
        <f t="array" ref="O9">IF(N9="X",(_xlfn.XLOOKUP($B9,Tabla1[SERVICIO],Tabla1[VALOR])*1),IF(N9&gt;=1,_xlfn.XLOOKUP($B9,Tabla1[SERVICIO],Tabla1[VALOR]*N9),0))</f>
        <v>0</v>
      </c>
      <c r="P9" s="8"/>
      <c r="Q9" s="56" cm="1">
        <f t="array" ref="Q9">IF(P9="X",(_xlfn.XLOOKUP($B9,Tabla1[SERVICIO],Tabla1[VALOR])*1),IF(P9&gt;=1,_xlfn.XLOOKUP($B9,Tabla1[SERVICIO],Tabla1[VALOR]*P9),0))</f>
        <v>0</v>
      </c>
      <c r="R9" s="8"/>
      <c r="S9" s="56" cm="1">
        <f t="array" ref="S9">IF(R9="X",(_xlfn.XLOOKUP($B9,Tabla1[SERVICIO],Tabla1[VALOR])*1),IF(R9&gt;=1,_xlfn.XLOOKUP($B9,Tabla1[SERVICIO],Tabla1[VALOR]*R9),0))</f>
        <v>0</v>
      </c>
      <c r="T9" s="8"/>
      <c r="U9" s="56" cm="1">
        <f t="array" ref="U9">IF(T9="X",(_xlfn.XLOOKUP($B9,Tabla1[SERVICIO],Tabla1[VALOR])*1),IF(T9&gt;=1,_xlfn.XLOOKUP($B9,Tabla1[SERVICIO],Tabla1[VALOR]*T9),0))</f>
        <v>0</v>
      </c>
      <c r="V9" s="8"/>
      <c r="W9" s="56" cm="1">
        <f t="array" ref="W9">IF(V9="X",(_xlfn.XLOOKUP($B9,Tabla1[SERVICIO],Tabla1[VALOR])*1),IF(V9&gt;=1,_xlfn.XLOOKUP($B9,Tabla1[SERVICIO],Tabla1[VALOR]*V9),0))</f>
        <v>0</v>
      </c>
      <c r="X9" s="8"/>
      <c r="Y9" s="56" cm="1">
        <f t="array" ref="Y9">IF(X9="X",(_xlfn.XLOOKUP($B9,Tabla1[SERVICIO],Tabla1[VALOR])*1),IF(X9&gt;=1,_xlfn.XLOOKUP($B9,Tabla1[SERVICIO],Tabla1[VALOR]*X9),0))</f>
        <v>0</v>
      </c>
      <c r="Z9" s="8"/>
      <c r="AA9" s="90" cm="1">
        <f t="array" ref="AA9">IF(Z9="X",(_xlfn.XLOOKUP($B9,Tabla1[SERVICIO],Tabla1[VALOR])*1),IF(Z9&gt;=1,_xlfn.XLOOKUP($B9,Tabla1[SERVICIO],Tabla1[VALOR]*Z9),0))</f>
        <v>0</v>
      </c>
      <c r="AB9" s="89">
        <f t="shared" si="0"/>
        <v>18768.367820181349</v>
      </c>
      <c r="AC9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9" s="175" t="s">
        <v>318</v>
      </c>
      <c r="AE9" s="126">
        <v>1</v>
      </c>
      <c r="AF9" s="121">
        <f>+Tabla46740[[#This Row],[TOTAL]]*Tabla46740[[#This Row],[% de las personas que lo usaron]]</f>
        <v>18768.367820181349</v>
      </c>
      <c r="AG9" s="240" t="s">
        <v>354</v>
      </c>
      <c r="AH9" s="243">
        <v>12</v>
      </c>
    </row>
    <row r="10" spans="1:34" x14ac:dyDescent="0.25">
      <c r="A10" s="7" t="s">
        <v>23</v>
      </c>
      <c r="B10" s="96" t="s">
        <v>24</v>
      </c>
      <c r="C10" s="96" t="str">
        <f>_xlfn.XLOOKUP(Tabla46740[[#This Row],[Servicios del Programa:]],Tabla151[CODIGO],Tabla151[VALOR])</f>
        <v>Terapias</v>
      </c>
      <c r="D10" s="14">
        <v>1</v>
      </c>
      <c r="E10" s="56" cm="1">
        <f t="array" ref="E10">IF(D10="X",(_xlfn.XLOOKUP($B10,Tabla1[SERVICIO],Tabla1[VALOR])*1),IF(D10&gt;=1,_xlfn.XLOOKUP($B10,Tabla1[SERVICIO],Tabla1[VALOR]*D10),0))</f>
        <v>31881.451880098426</v>
      </c>
      <c r="F10" s="8"/>
      <c r="G10" s="56" cm="1">
        <f t="array" ref="G10">IF(F10="X",(_xlfn.XLOOKUP($B10,Tabla1[SERVICIO],Tabla1[VALOR])*1),IF(F10&gt;=1,_xlfn.XLOOKUP($B10,Tabla1[SERVICIO],Tabla1[VALOR]*F10),0))</f>
        <v>0</v>
      </c>
      <c r="H10" s="8"/>
      <c r="I10" s="56" cm="1">
        <f t="array" ref="I10">IF(H10="X",(_xlfn.XLOOKUP($B10,Tabla1[SERVICIO],Tabla1[VALOR])*1),IF(H10&gt;=1,_xlfn.XLOOKUP($B10,Tabla1[SERVICIO],Tabla1[VALOR]*H10),0))</f>
        <v>0</v>
      </c>
      <c r="J10" s="8"/>
      <c r="K10" s="56" cm="1">
        <f t="array" ref="K10">IF(J10="X",(_xlfn.XLOOKUP($B10,Tabla1[SERVICIO],Tabla1[VALOR])*1),IF(J10&gt;=1,_xlfn.XLOOKUP($B10,Tabla1[SERVICIO],Tabla1[VALOR]*J10),0))</f>
        <v>0</v>
      </c>
      <c r="L10" s="8"/>
      <c r="M10" s="56" cm="1">
        <f t="array" ref="M10">IF(L10="X",(_xlfn.XLOOKUP($B10,Tabla1[SERVICIO],Tabla1[VALOR])*1),IF(L10&gt;=1,_xlfn.XLOOKUP($B10,Tabla1[SERVICIO],Tabla1[VALOR]*L10),0))</f>
        <v>0</v>
      </c>
      <c r="N10" s="8"/>
      <c r="O10" s="56" cm="1">
        <f t="array" ref="O10">IF(N10="X",(_xlfn.XLOOKUP($B10,Tabla1[SERVICIO],Tabla1[VALOR])*1),IF(N10&gt;=1,_xlfn.XLOOKUP($B10,Tabla1[SERVICIO],Tabla1[VALOR]*N10),0))</f>
        <v>0</v>
      </c>
      <c r="P10" s="8"/>
      <c r="Q10" s="56" cm="1">
        <f t="array" ref="Q10">IF(P10="X",(_xlfn.XLOOKUP($B10,Tabla1[SERVICIO],Tabla1[VALOR])*1),IF(P10&gt;=1,_xlfn.XLOOKUP($B10,Tabla1[SERVICIO],Tabla1[VALOR]*P10),0))</f>
        <v>0</v>
      </c>
      <c r="R10" s="8"/>
      <c r="S10" s="56" cm="1">
        <f t="array" ref="S10">IF(R10="X",(_xlfn.XLOOKUP($B10,Tabla1[SERVICIO],Tabla1[VALOR])*1),IF(R10&gt;=1,_xlfn.XLOOKUP($B10,Tabla1[SERVICIO],Tabla1[VALOR]*R10),0))</f>
        <v>0</v>
      </c>
      <c r="T10" s="8"/>
      <c r="U10" s="56" cm="1">
        <f t="array" ref="U10">IF(T10="X",(_xlfn.XLOOKUP($B10,Tabla1[SERVICIO],Tabla1[VALOR])*1),IF(T10&gt;=1,_xlfn.XLOOKUP($B10,Tabla1[SERVICIO],Tabla1[VALOR]*T10),0))</f>
        <v>0</v>
      </c>
      <c r="V10" s="8"/>
      <c r="W10" s="56" cm="1">
        <f t="array" ref="W10">IF(V10="X",(_xlfn.XLOOKUP($B10,Tabla1[SERVICIO],Tabla1[VALOR])*1),IF(V10&gt;=1,_xlfn.XLOOKUP($B10,Tabla1[SERVICIO],Tabla1[VALOR]*V10),0))</f>
        <v>0</v>
      </c>
      <c r="X10" s="8"/>
      <c r="Y10" s="56" cm="1">
        <f t="array" ref="Y10">IF(X10="X",(_xlfn.XLOOKUP($B10,Tabla1[SERVICIO],Tabla1[VALOR])*1),IF(X10&gt;=1,_xlfn.XLOOKUP($B10,Tabla1[SERVICIO],Tabla1[VALOR]*X10),0))</f>
        <v>0</v>
      </c>
      <c r="Z10" s="8"/>
      <c r="AA10" s="90" cm="1">
        <f t="array" ref="AA10">IF(Z10="X",(_xlfn.XLOOKUP($B10,Tabla1[SERVICIO],Tabla1[VALOR])*1),IF(Z10&gt;=1,_xlfn.XLOOKUP($B10,Tabla1[SERVICIO],Tabla1[VALOR]*Z10),0))</f>
        <v>0</v>
      </c>
      <c r="AB10" s="89">
        <f t="shared" si="0"/>
        <v>31881.451880098426</v>
      </c>
      <c r="AC10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0" s="175" t="s">
        <v>318</v>
      </c>
      <c r="AE10" s="126">
        <v>0.30593607305936071</v>
      </c>
      <c r="AF10" s="121">
        <f>+Tabla46740[[#This Row],[TOTAL]]*Tabla46740[[#This Row],[% de las personas que lo usaron]]</f>
        <v>9753.6861916282851</v>
      </c>
      <c r="AG10" s="240" t="s">
        <v>354</v>
      </c>
      <c r="AH10" s="243">
        <v>12</v>
      </c>
    </row>
    <row r="11" spans="1:34" x14ac:dyDescent="0.25">
      <c r="A11" s="7" t="s">
        <v>36</v>
      </c>
      <c r="B11" s="96" t="s">
        <v>100</v>
      </c>
      <c r="C11" s="96" t="str">
        <f>_xlfn.XLOOKUP(Tabla46740[[#This Row],[Servicios del Programa:]],Tabla151[CODIGO],Tabla151[VALOR])</f>
        <v>Terapias</v>
      </c>
      <c r="D11" s="14"/>
      <c r="E11" s="56" cm="1">
        <f t="array" ref="E11">IF(D11="X",(_xlfn.XLOOKUP($B11,Tabla1[SERVICIO],Tabla1[VALOR])*1),IF(D11&gt;=1,_xlfn.XLOOKUP($B11,Tabla1[SERVICIO],Tabla1[VALOR]*D11),0))</f>
        <v>0</v>
      </c>
      <c r="F11" s="14">
        <v>8</v>
      </c>
      <c r="G11" s="56" cm="1">
        <f t="array" ref="G11">IF(F11="X",(_xlfn.XLOOKUP($B11,Tabla1[SERVICIO],Tabla1[VALOR])*1),IF(F11&gt;=1,_xlfn.XLOOKUP($B11,Tabla1[SERVICIO],Tabla1[VALOR]*F11),0))</f>
        <v>70240.958933331596</v>
      </c>
      <c r="H11" s="14">
        <v>8</v>
      </c>
      <c r="I11" s="56" cm="1">
        <f t="array" ref="I11">IF(H11="X",(_xlfn.XLOOKUP($B11,Tabla1[SERVICIO],Tabla1[VALOR])*1),IF(H11&gt;=1,_xlfn.XLOOKUP($B11,Tabla1[SERVICIO],Tabla1[VALOR]*H11),0))</f>
        <v>70240.958933331596</v>
      </c>
      <c r="J11" s="14">
        <v>8</v>
      </c>
      <c r="K11" s="56" cm="1">
        <f t="array" ref="K11">IF(J11="X",(_xlfn.XLOOKUP($B11,Tabla1[SERVICIO],Tabla1[VALOR])*1),IF(J11&gt;=1,_xlfn.XLOOKUP($B11,Tabla1[SERVICIO],Tabla1[VALOR]*J11),0))</f>
        <v>70240.958933331596</v>
      </c>
      <c r="L11" s="14">
        <v>8</v>
      </c>
      <c r="M11" s="56" cm="1">
        <f t="array" ref="M11">IF(L11="X",(_xlfn.XLOOKUP($B11,Tabla1[SERVICIO],Tabla1[VALOR])*1),IF(L11&gt;=1,_xlfn.XLOOKUP($B11,Tabla1[SERVICIO],Tabla1[VALOR]*L11),0))</f>
        <v>70240.958933331596</v>
      </c>
      <c r="N11" s="14">
        <v>8</v>
      </c>
      <c r="O11" s="56" cm="1">
        <f t="array" ref="O11">IF(N11="X",(_xlfn.XLOOKUP($B11,Tabla1[SERVICIO],Tabla1[VALOR])*1),IF(N11&gt;=1,_xlfn.XLOOKUP($B11,Tabla1[SERVICIO],Tabla1[VALOR]*N11),0))</f>
        <v>70240.958933331596</v>
      </c>
      <c r="P11" s="14">
        <v>8</v>
      </c>
      <c r="Q11" s="56" cm="1">
        <f t="array" ref="Q11">IF(P11="X",(_xlfn.XLOOKUP($B11,Tabla1[SERVICIO],Tabla1[VALOR])*1),IF(P11&gt;=1,_xlfn.XLOOKUP($B11,Tabla1[SERVICIO],Tabla1[VALOR]*P11),0))</f>
        <v>70240.958933331596</v>
      </c>
      <c r="R11" s="14">
        <v>8</v>
      </c>
      <c r="S11" s="56" cm="1">
        <f t="array" ref="S11">IF(R11="X",(_xlfn.XLOOKUP($B11,Tabla1[SERVICIO],Tabla1[VALOR])*1),IF(R11&gt;=1,_xlfn.XLOOKUP($B11,Tabla1[SERVICIO],Tabla1[VALOR]*R11),0))</f>
        <v>70240.958933331596</v>
      </c>
      <c r="T11" s="14">
        <v>8</v>
      </c>
      <c r="U11" s="56" cm="1">
        <f t="array" ref="U11">IF(T11="X",(_xlfn.XLOOKUP($B11,Tabla1[SERVICIO],Tabla1[VALOR])*1),IF(T11&gt;=1,_xlfn.XLOOKUP($B11,Tabla1[SERVICIO],Tabla1[VALOR]*T11),0))</f>
        <v>70240.958933331596</v>
      </c>
      <c r="V11" s="14">
        <v>8</v>
      </c>
      <c r="W11" s="56" cm="1">
        <f t="array" ref="W11">IF(V11="X",(_xlfn.XLOOKUP($B11,Tabla1[SERVICIO],Tabla1[VALOR])*1),IF(V11&gt;=1,_xlfn.XLOOKUP($B11,Tabla1[SERVICIO],Tabla1[VALOR]*V11),0))</f>
        <v>70240.958933331596</v>
      </c>
      <c r="X11" s="14">
        <v>8</v>
      </c>
      <c r="Y11" s="56" cm="1">
        <f t="array" ref="Y11">IF(X11="X",(_xlfn.XLOOKUP($B11,Tabla1[SERVICIO],Tabla1[VALOR])*1),IF(X11&gt;=1,_xlfn.XLOOKUP($B11,Tabla1[SERVICIO],Tabla1[VALOR]*X11),0))</f>
        <v>70240.958933331596</v>
      </c>
      <c r="Z11" s="14">
        <v>8</v>
      </c>
      <c r="AA11" s="90" cm="1">
        <f t="array" ref="AA11">IF(Z11="X",(_xlfn.XLOOKUP($B11,Tabla1[SERVICIO],Tabla1[VALOR])*1),IF(Z11&gt;=1,_xlfn.XLOOKUP($B11,Tabla1[SERVICIO],Tabla1[VALOR]*Z11),0))</f>
        <v>70240.958933331596</v>
      </c>
      <c r="AB11" s="89">
        <f t="shared" si="0"/>
        <v>772650.54826664738</v>
      </c>
      <c r="AC11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88</v>
      </c>
      <c r="AD11" s="175" t="s">
        <v>318</v>
      </c>
      <c r="AE11" s="126">
        <v>1</v>
      </c>
      <c r="AF11" s="121">
        <f>+Tabla46740[[#This Row],[TOTAL]]*Tabla46740[[#This Row],[% de las personas que lo usaron]]</f>
        <v>772650.54826664738</v>
      </c>
      <c r="AG11" s="240" t="s">
        <v>354</v>
      </c>
      <c r="AH11" s="243">
        <v>12</v>
      </c>
    </row>
    <row r="12" spans="1:34" x14ac:dyDescent="0.25">
      <c r="A12" s="7" t="s">
        <v>15</v>
      </c>
      <c r="B12" s="96" t="s">
        <v>16</v>
      </c>
      <c r="C12" s="96" t="str">
        <f>_xlfn.XLOOKUP(Tabla46740[[#This Row],[Servicios del Programa:]],Tabla151[CODIGO],Tabla151[VALOR])</f>
        <v>Consultas</v>
      </c>
      <c r="D12" s="14"/>
      <c r="E12" s="56" cm="1">
        <f t="array" ref="E12">IF(D12="X",(_xlfn.XLOOKUP($B12,Tabla1[SERVICIO],Tabla1[VALOR])*1),IF(D12&gt;=1,_xlfn.XLOOKUP($B12,Tabla1[SERVICIO],Tabla1[VALOR]*D12),0))</f>
        <v>0</v>
      </c>
      <c r="F12" s="14"/>
      <c r="G12" s="56" cm="1">
        <f t="array" ref="G12">IF(F12="X",(_xlfn.XLOOKUP($B12,Tabla1[SERVICIO],Tabla1[VALOR])*1),IF(F12&gt;=1,_xlfn.XLOOKUP($B12,Tabla1[SERVICIO],Tabla1[VALOR]*F12),0))</f>
        <v>0</v>
      </c>
      <c r="H12" s="14"/>
      <c r="I12" s="56" cm="1">
        <f t="array" ref="I12">IF(H12="X",(_xlfn.XLOOKUP($B12,Tabla1[SERVICIO],Tabla1[VALOR])*1),IF(H12&gt;=1,_xlfn.XLOOKUP($B12,Tabla1[SERVICIO],Tabla1[VALOR]*H12),0))</f>
        <v>0</v>
      </c>
      <c r="J12" s="14">
        <v>1</v>
      </c>
      <c r="K12" s="56" cm="1">
        <f t="array" ref="K12">IF(J12="X",(_xlfn.XLOOKUP($B12,Tabla1[SERVICIO],Tabla1[VALOR])*1),IF(J12&gt;=1,_xlfn.XLOOKUP($B12,Tabla1[SERVICIO],Tabla1[VALOR]*J12),0))</f>
        <v>22052.520800552971</v>
      </c>
      <c r="L12" s="14"/>
      <c r="M12" s="56" cm="1">
        <f t="array" ref="M12">IF(L12="X",(_xlfn.XLOOKUP($B12,Tabla1[SERVICIO],Tabla1[VALOR])*1),IF(L12&gt;=1,_xlfn.XLOOKUP($B12,Tabla1[SERVICIO],Tabla1[VALOR]*L12),0))</f>
        <v>0</v>
      </c>
      <c r="N12" s="14"/>
      <c r="O12" s="56" cm="1">
        <f t="array" ref="O12">IF(N12="X",(_xlfn.XLOOKUP($B12,Tabla1[SERVICIO],Tabla1[VALOR])*1),IF(N12&gt;=1,_xlfn.XLOOKUP($B12,Tabla1[SERVICIO],Tabla1[VALOR]*N12),0))</f>
        <v>0</v>
      </c>
      <c r="P12" s="14"/>
      <c r="Q12" s="56" cm="1">
        <f t="array" ref="Q12">IF(P12="X",(_xlfn.XLOOKUP($B12,Tabla1[SERVICIO],Tabla1[VALOR])*1),IF(P12&gt;=1,_xlfn.XLOOKUP($B12,Tabla1[SERVICIO],Tabla1[VALOR]*P12),0))</f>
        <v>0</v>
      </c>
      <c r="R12" s="14">
        <v>1</v>
      </c>
      <c r="S12" s="56" cm="1">
        <f t="array" ref="S12">IF(R12="X",(_xlfn.XLOOKUP($B12,Tabla1[SERVICIO],Tabla1[VALOR])*1),IF(R12&gt;=1,_xlfn.XLOOKUP($B12,Tabla1[SERVICIO],Tabla1[VALOR]*R12),0))</f>
        <v>22052.520800552971</v>
      </c>
      <c r="T12" s="14"/>
      <c r="U12" s="56" cm="1">
        <f t="array" ref="U12">IF(T12="X",(_xlfn.XLOOKUP($B12,Tabla1[SERVICIO],Tabla1[VALOR])*1),IF(T12&gt;=1,_xlfn.XLOOKUP($B12,Tabla1[SERVICIO],Tabla1[VALOR]*T12),0))</f>
        <v>0</v>
      </c>
      <c r="V12" s="14"/>
      <c r="W12" s="56" cm="1">
        <f t="array" ref="W12">IF(V12="X",(_xlfn.XLOOKUP($B12,Tabla1[SERVICIO],Tabla1[VALOR])*1),IF(V12&gt;=1,_xlfn.XLOOKUP($B12,Tabla1[SERVICIO],Tabla1[VALOR]*V12),0))</f>
        <v>0</v>
      </c>
      <c r="X12" s="14"/>
      <c r="Y12" s="56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90" cm="1">
        <f t="array" ref="AA12">IF(Z12="X",(_xlfn.XLOOKUP($B12,Tabla1[SERVICIO],Tabla1[VALOR])*1),IF(Z12&gt;=1,_xlfn.XLOOKUP($B12,Tabla1[SERVICIO],Tabla1[VALOR]*Z12),0))</f>
        <v>22052.520800552971</v>
      </c>
      <c r="AB12" s="89">
        <f t="shared" si="0"/>
        <v>66157.562401658914</v>
      </c>
      <c r="AC12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12" s="175" t="s">
        <v>318</v>
      </c>
      <c r="AE12" s="126">
        <v>1.2648401826484019</v>
      </c>
      <c r="AF12" s="121">
        <f>+Tabla46740[[#This Row],[TOTAL]]*Tabla46740[[#This Row],[% de las personas que lo usaron]]</f>
        <v>83678.743311687314</v>
      </c>
      <c r="AG12" s="240" t="s">
        <v>354</v>
      </c>
      <c r="AH12" s="243">
        <v>12</v>
      </c>
    </row>
    <row r="13" spans="1:34" x14ac:dyDescent="0.25">
      <c r="A13" s="7" t="s">
        <v>17</v>
      </c>
      <c r="B13" s="96" t="s">
        <v>18</v>
      </c>
      <c r="C13" s="96" t="str">
        <f>_xlfn.XLOOKUP(Tabla46740[[#This Row],[Servicios del Programa:]],Tabla151[CODIGO],Tabla151[VALOR])</f>
        <v>Consultas</v>
      </c>
      <c r="D13" s="8"/>
      <c r="E13" s="56" cm="1">
        <f t="array" ref="E13">IF(D13="X",(_xlfn.XLOOKUP($B13,Tabla1[SERVICIO],Tabla1[VALOR])*1),IF(D13&gt;=1,_xlfn.XLOOKUP($B13,Tabla1[SERVICIO],Tabla1[VALOR]*D13),0))</f>
        <v>0</v>
      </c>
      <c r="F13" s="8"/>
      <c r="G13" s="56" cm="1">
        <f t="array" ref="G13">IF(F13="X",(_xlfn.XLOOKUP($B13,Tabla1[SERVICIO],Tabla1[VALOR])*1),IF(F13&gt;=1,_xlfn.XLOOKUP($B13,Tabla1[SERVICIO],Tabla1[VALOR]*F13),0))</f>
        <v>0</v>
      </c>
      <c r="H13" s="8"/>
      <c r="I13" s="56" cm="1">
        <f t="array" ref="I13">IF(H13="X",(_xlfn.XLOOKUP($B13,Tabla1[SERVICIO],Tabla1[VALOR])*1),IF(H13&gt;=1,_xlfn.XLOOKUP($B13,Tabla1[SERVICIO],Tabla1[VALOR]*H13),0))</f>
        <v>0</v>
      </c>
      <c r="J13" s="8"/>
      <c r="K13" s="56" cm="1">
        <f t="array" ref="K13">IF(J13="X",(_xlfn.XLOOKUP($B13,Tabla1[SERVICIO],Tabla1[VALOR])*1),IF(J13&gt;=1,_xlfn.XLOOKUP($B13,Tabla1[SERVICIO],Tabla1[VALOR]*J13),0))</f>
        <v>0</v>
      </c>
      <c r="L13" s="8"/>
      <c r="M13" s="56" cm="1">
        <f t="array" ref="M13">IF(L13="X",(_xlfn.XLOOKUP($B13,Tabla1[SERVICIO],Tabla1[VALOR])*1),IF(L13&gt;=1,_xlfn.XLOOKUP($B13,Tabla1[SERVICIO],Tabla1[VALOR]*L13),0))</f>
        <v>0</v>
      </c>
      <c r="N13" s="14">
        <v>1</v>
      </c>
      <c r="O13" s="56" cm="1">
        <f t="array" ref="O13">IF(N13="X",(_xlfn.XLOOKUP($B13,Tabla1[SERVICIO],Tabla1[VALOR])*1),IF(N13&gt;=1,_xlfn.XLOOKUP($B13,Tabla1[SERVICIO],Tabla1[VALOR]*N13),0))</f>
        <v>20414.75585737115</v>
      </c>
      <c r="P13" s="8"/>
      <c r="Q13" s="56" cm="1">
        <f t="array" ref="Q13">IF(P13="X",(_xlfn.XLOOKUP($B13,Tabla1[SERVICIO],Tabla1[VALOR])*1),IF(P13&gt;=1,_xlfn.XLOOKUP($B13,Tabla1[SERVICIO],Tabla1[VALOR]*P13),0))</f>
        <v>0</v>
      </c>
      <c r="R13" s="8"/>
      <c r="S13" s="56" cm="1">
        <f t="array" ref="S13">IF(R13="X",(_xlfn.XLOOKUP($B13,Tabla1[SERVICIO],Tabla1[VALOR])*1),IF(R13&gt;=1,_xlfn.XLOOKUP($B13,Tabla1[SERVICIO],Tabla1[VALOR]*R13),0))</f>
        <v>0</v>
      </c>
      <c r="T13" s="8"/>
      <c r="U13" s="56" cm="1">
        <f t="array" ref="U13">IF(T13="X",(_xlfn.XLOOKUP($B13,Tabla1[SERVICIO],Tabla1[VALOR])*1),IF(T13&gt;=1,_xlfn.XLOOKUP($B13,Tabla1[SERVICIO],Tabla1[VALOR]*T13),0))</f>
        <v>0</v>
      </c>
      <c r="V13" s="8"/>
      <c r="W13" s="56" cm="1">
        <f t="array" ref="W13">IF(V13="X",(_xlfn.XLOOKUP($B13,Tabla1[SERVICIO],Tabla1[VALOR])*1),IF(V13&gt;=1,_xlfn.XLOOKUP($B13,Tabla1[SERVICIO],Tabla1[VALOR]*V13),0))</f>
        <v>0</v>
      </c>
      <c r="X13" s="8"/>
      <c r="Y13" s="56" cm="1">
        <f t="array" ref="Y13">IF(X13="X",(_xlfn.XLOOKUP($B13,Tabla1[SERVICIO],Tabla1[VALOR])*1),IF(X13&gt;=1,_xlfn.XLOOKUP($B13,Tabla1[SERVICIO],Tabla1[VALOR]*X13),0))</f>
        <v>0</v>
      </c>
      <c r="Z13" s="14">
        <v>1</v>
      </c>
      <c r="AA13" s="90" cm="1">
        <f t="array" ref="AA13">IF(Z13="X",(_xlfn.XLOOKUP($B13,Tabla1[SERVICIO],Tabla1[VALOR])*1),IF(Z13&gt;=1,_xlfn.XLOOKUP($B13,Tabla1[SERVICIO],Tabla1[VALOR]*Z13),0))</f>
        <v>20414.75585737115</v>
      </c>
      <c r="AB13" s="89">
        <f t="shared" si="0"/>
        <v>40829.511714742301</v>
      </c>
      <c r="AC13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2</v>
      </c>
      <c r="AD13" s="175" t="s">
        <v>318</v>
      </c>
      <c r="AE13" s="126">
        <v>6.5019505851755528E-4</v>
      </c>
      <c r="AF13" s="121">
        <f>+Tabla46740[[#This Row],[TOTAL]]*Tabla46740[[#This Row],[% de las personas que lo usaron]]</f>
        <v>26.547146758610079</v>
      </c>
      <c r="AG13" s="240" t="s">
        <v>354</v>
      </c>
      <c r="AH13" s="243">
        <v>12</v>
      </c>
    </row>
    <row r="14" spans="1:34" x14ac:dyDescent="0.25">
      <c r="A14" s="7" t="s">
        <v>19</v>
      </c>
      <c r="B14" s="96" t="s">
        <v>20</v>
      </c>
      <c r="C14" s="96" t="str">
        <f>_xlfn.XLOOKUP(Tabla46740[[#This Row],[Servicios del Programa:]],Tabla151[CODIGO],Tabla151[VALOR])</f>
        <v>Consultas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67398.098568534639</v>
      </c>
      <c r="F14" s="8"/>
      <c r="G14" s="56" cm="1">
        <f t="array" ref="G14">IF(F14="X",(_xlfn.XLOOKUP($B14,Tabla1[SERVICIO],Tabla1[VALOR])*1),IF(F14&gt;=1,_xlfn.XLOOKUP($B14,Tabla1[SERVICIO],Tabla1[VALOR]*F14),0))</f>
        <v>0</v>
      </c>
      <c r="H14" s="8"/>
      <c r="I14" s="56" cm="1">
        <f t="array" ref="I14">IF(H14="X",(_xlfn.XLOOKUP($B14,Tabla1[SERVICIO],Tabla1[VALOR])*1),IF(H14&gt;=1,_xlfn.XLOOKUP($B14,Tabla1[SERVICIO],Tabla1[VALOR]*H14),0))</f>
        <v>0</v>
      </c>
      <c r="J14" s="8"/>
      <c r="K14" s="56" cm="1">
        <f t="array" ref="K14">IF(J14="X",(_xlfn.XLOOKUP($B14,Tabla1[SERVICIO],Tabla1[VALOR])*1),IF(J14&gt;=1,_xlfn.XLOOKUP($B14,Tabla1[SERVICIO],Tabla1[VALOR]*J14),0))</f>
        <v>0</v>
      </c>
      <c r="L14" s="8"/>
      <c r="M14" s="56" cm="1">
        <f t="array" ref="M14">IF(L14="X",(_xlfn.XLOOKUP($B14,Tabla1[SERVICIO],Tabla1[VALOR])*1),IF(L14&gt;=1,_xlfn.XLOOKUP($B14,Tabla1[SERVICIO],Tabla1[VALOR]*L14),0))</f>
        <v>0</v>
      </c>
      <c r="N14" s="8"/>
      <c r="O14" s="56" cm="1">
        <f t="array" ref="O14">IF(N14="X",(_xlfn.XLOOKUP($B14,Tabla1[SERVICIO],Tabla1[VALOR])*1),IF(N14&gt;=1,_xlfn.XLOOKUP($B14,Tabla1[SERVICIO],Tabla1[VALOR]*N14),0))</f>
        <v>0</v>
      </c>
      <c r="P14" s="8"/>
      <c r="Q14" s="56" cm="1">
        <f t="array" ref="Q14">IF(P14="X",(_xlfn.XLOOKUP($B14,Tabla1[SERVICIO],Tabla1[VALOR])*1),IF(P14&gt;=1,_xlfn.XLOOKUP($B14,Tabla1[SERVICIO],Tabla1[VALOR]*P14),0))</f>
        <v>0</v>
      </c>
      <c r="R14" s="8"/>
      <c r="S14" s="56" cm="1">
        <f t="array" ref="S14">IF(R14="X",(_xlfn.XLOOKUP($B14,Tabla1[SERVICIO],Tabla1[VALOR])*1),IF(R14&gt;=1,_xlfn.XLOOKUP($B14,Tabla1[SERVICIO],Tabla1[VALOR]*R14),0))</f>
        <v>0</v>
      </c>
      <c r="T14" s="8"/>
      <c r="U14" s="56" cm="1">
        <f t="array" ref="U14">IF(T14="X",(_xlfn.XLOOKUP($B14,Tabla1[SERVICIO],Tabla1[VALOR])*1),IF(T14&gt;=1,_xlfn.XLOOKUP($B14,Tabla1[SERVICIO],Tabla1[VALOR]*T14),0))</f>
        <v>0</v>
      </c>
      <c r="V14" s="8"/>
      <c r="W14" s="56" cm="1">
        <f t="array" ref="W14">IF(V14="X",(_xlfn.XLOOKUP($B14,Tabla1[SERVICIO],Tabla1[VALOR])*1),IF(V14&gt;=1,_xlfn.XLOOKUP($B14,Tabla1[SERVICIO],Tabla1[VALOR]*V14),0))</f>
        <v>0</v>
      </c>
      <c r="X14" s="8"/>
      <c r="Y14" s="56" cm="1">
        <f t="array" ref="Y14">IF(X14="X",(_xlfn.XLOOKUP($B14,Tabla1[SERVICIO],Tabla1[VALOR])*1),IF(X14&gt;=1,_xlfn.XLOOKUP($B14,Tabla1[SERVICIO],Tabla1[VALOR]*X14),0))</f>
        <v>0</v>
      </c>
      <c r="Z14" s="8"/>
      <c r="AA14" s="90" cm="1">
        <f t="array" ref="AA14">IF(Z14="X",(_xlfn.XLOOKUP($B14,Tabla1[SERVICIO],Tabla1[VALOR])*1),IF(Z14&gt;=1,_xlfn.XLOOKUP($B14,Tabla1[SERVICIO],Tabla1[VALOR]*Z14),0))</f>
        <v>0</v>
      </c>
      <c r="AB14" s="89">
        <f t="shared" si="0"/>
        <v>67398.098568534639</v>
      </c>
      <c r="AC14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4" s="37" t="s">
        <v>318</v>
      </c>
      <c r="AE14" s="126">
        <v>1</v>
      </c>
      <c r="AF14" s="121">
        <f>+Tabla46740[[#This Row],[TOTAL]]*Tabla46740[[#This Row],[% de las personas que lo usaron]]</f>
        <v>67398.098568534639</v>
      </c>
      <c r="AG14" s="240" t="s">
        <v>354</v>
      </c>
      <c r="AH14" s="243">
        <v>12</v>
      </c>
    </row>
    <row r="15" spans="1:34" x14ac:dyDescent="0.25">
      <c r="A15" s="7" t="s">
        <v>21</v>
      </c>
      <c r="B15" s="96" t="s">
        <v>221</v>
      </c>
      <c r="C15" s="96" t="str">
        <f>_xlfn.XLOOKUP(Tabla46740[[#This Row],[Servicios del Programa:]],Tabla151[CODIGO],Tabla151[VALOR])</f>
        <v>Consultas</v>
      </c>
      <c r="D15" s="14">
        <v>1</v>
      </c>
      <c r="E15" s="56" cm="1">
        <f t="array" ref="E15">IF(D15="X",(_xlfn.XLOOKUP($B15,Tabla1[SERVICIO],Tabla1[VALOR])*1),IF(D15&gt;=1,_xlfn.XLOOKUP($B15,Tabla1[SERVICIO],Tabla1[VALOR]*D15),0))</f>
        <v>67398.098568534639</v>
      </c>
      <c r="F15" s="14"/>
      <c r="G15" s="56" cm="1">
        <f t="array" ref="G15">IF(F15="X",(_xlfn.XLOOKUP($B15,Tabla1[SERVICIO],Tabla1[VALOR])*1),IF(F15&gt;=1,_xlfn.XLOOKUP($B15,Tabla1[SERVICIO],Tabla1[VALOR]*F15),0))</f>
        <v>0</v>
      </c>
      <c r="H15" s="14"/>
      <c r="I15" s="56" cm="1">
        <f t="array" ref="I15">IF(H15="X",(_xlfn.XLOOKUP($B15,Tabla1[SERVICIO],Tabla1[VALOR])*1),IF(H15&gt;=1,_xlfn.XLOOKUP($B15,Tabla1[SERVICIO],Tabla1[VALOR]*H15),0))</f>
        <v>0</v>
      </c>
      <c r="J15" s="14"/>
      <c r="K15" s="56" cm="1">
        <f t="array" ref="K15">IF(J15="X",(_xlfn.XLOOKUP($B15,Tabla1[SERVICIO],Tabla1[VALOR])*1),IF(J15&gt;=1,_xlfn.XLOOKUP($B15,Tabla1[SERVICIO],Tabla1[VALOR]*J15),0))</f>
        <v>0</v>
      </c>
      <c r="L15" s="14"/>
      <c r="M15" s="56" cm="1">
        <f t="array" ref="M15">IF(L15="X",(_xlfn.XLOOKUP($B15,Tabla1[SERVICIO],Tabla1[VALOR])*1),IF(L15&gt;=1,_xlfn.XLOOKUP($B15,Tabla1[SERVICIO],Tabla1[VALOR]*L15),0))</f>
        <v>0</v>
      </c>
      <c r="N15" s="14"/>
      <c r="O15" s="56" cm="1">
        <f t="array" ref="O15">IF(N15="X",(_xlfn.XLOOKUP($B15,Tabla1[SERVICIO],Tabla1[VALOR])*1),IF(N15&gt;=1,_xlfn.XLOOKUP($B15,Tabla1[SERVICIO],Tabla1[VALOR]*N15),0))</f>
        <v>0</v>
      </c>
      <c r="P15" s="14"/>
      <c r="Q15" s="56" cm="1">
        <f t="array" ref="Q15">IF(P15="X",(_xlfn.XLOOKUP($B15,Tabla1[SERVICIO],Tabla1[VALOR])*1),IF(P15&gt;=1,_xlfn.XLOOKUP($B15,Tabla1[SERVICIO],Tabla1[VALOR]*P15),0))</f>
        <v>0</v>
      </c>
      <c r="R15" s="14"/>
      <c r="S15" s="56" cm="1">
        <f t="array" ref="S15">IF(R15="X",(_xlfn.XLOOKUP($B15,Tabla1[SERVICIO],Tabla1[VALOR])*1),IF(R15&gt;=1,_xlfn.XLOOKUP($B15,Tabla1[SERVICIO],Tabla1[VALOR]*R15),0))</f>
        <v>0</v>
      </c>
      <c r="T15" s="14"/>
      <c r="U15" s="56" cm="1">
        <f t="array" ref="U15">IF(T15="X",(_xlfn.XLOOKUP($B15,Tabla1[SERVICIO],Tabla1[VALOR])*1),IF(T15&gt;=1,_xlfn.XLOOKUP($B15,Tabla1[SERVICIO],Tabla1[VALOR]*T15),0))</f>
        <v>0</v>
      </c>
      <c r="V15" s="14"/>
      <c r="W15" s="56" cm="1">
        <f t="array" ref="W15">IF(V15="X",(_xlfn.XLOOKUP($B15,Tabla1[SERVICIO],Tabla1[VALOR])*1),IF(V15&gt;=1,_xlfn.XLOOKUP($B15,Tabla1[SERVICIO],Tabla1[VALOR]*V15),0))</f>
        <v>0</v>
      </c>
      <c r="X15" s="14"/>
      <c r="Y15" s="56" cm="1">
        <f t="array" ref="Y15">IF(X15="X",(_xlfn.XLOOKUP($B15,Tabla1[SERVICIO],Tabla1[VALOR])*1),IF(X15&gt;=1,_xlfn.XLOOKUP($B15,Tabla1[SERVICIO],Tabla1[VALOR]*X15),0))</f>
        <v>0</v>
      </c>
      <c r="Z15" s="14"/>
      <c r="AA15" s="90" cm="1">
        <f t="array" ref="AA15">IF(Z15="X",(_xlfn.XLOOKUP($B15,Tabla1[SERVICIO],Tabla1[VALOR])*1),IF(Z15&gt;=1,_xlfn.XLOOKUP($B15,Tabla1[SERVICIO],Tabla1[VALOR]*Z15),0))</f>
        <v>0</v>
      </c>
      <c r="AB15" s="89">
        <f t="shared" si="0"/>
        <v>67398.098568534639</v>
      </c>
      <c r="AC15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5" s="37" t="s">
        <v>319</v>
      </c>
      <c r="AE15" s="126">
        <v>0.64052287581699341</v>
      </c>
      <c r="AF15" s="121">
        <f>+Tabla46740[[#This Row],[TOTAL]]*Tabla46740[[#This Row],[% de las personas que lo usaron]]</f>
        <v>43170.023919714993</v>
      </c>
      <c r="AG15" s="240" t="s">
        <v>354</v>
      </c>
      <c r="AH15" s="243">
        <v>12</v>
      </c>
    </row>
    <row r="16" spans="1:34" x14ac:dyDescent="0.25">
      <c r="A16" s="7" t="s">
        <v>29</v>
      </c>
      <c r="B16" s="96" t="s">
        <v>196</v>
      </c>
      <c r="C16" s="96" t="str">
        <f>_xlfn.XLOOKUP(Tabla46740[[#This Row],[Servicios del Programa:]],Tabla151[CODIGO],Tabla151[VALOR])</f>
        <v>Terapias</v>
      </c>
      <c r="D16" s="8"/>
      <c r="E16" s="56" cm="1">
        <f t="array" ref="E16">IF(D16="X",(_xlfn.XLOOKUP($B16,Tabla1[SERVICIO],Tabla1[VALOR])*1),IF(D16&gt;=1,_xlfn.XLOOKUP($B16,Tabla1[SERVICIO],Tabla1[VALOR]*D16),0))</f>
        <v>0</v>
      </c>
      <c r="F16" s="8"/>
      <c r="G16" s="56" cm="1">
        <f t="array" ref="G16">IF(F16="X",(_xlfn.XLOOKUP($B16,Tabla1[SERVICIO],Tabla1[VALOR])*1),IF(F16&gt;=1,_xlfn.XLOOKUP($B16,Tabla1[SERVICIO],Tabla1[VALOR]*F16),0))</f>
        <v>0</v>
      </c>
      <c r="H16" s="8"/>
      <c r="I16" s="56" cm="1">
        <f t="array" ref="I16">IF(H16="X",(_xlfn.XLOOKUP($B16,Tabla1[SERVICIO],Tabla1[VALOR])*1),IF(H16&gt;=1,_xlfn.XLOOKUP($B16,Tabla1[SERVICIO],Tabla1[VALOR]*H16),0))</f>
        <v>0</v>
      </c>
      <c r="J16" s="8"/>
      <c r="K16" s="56" cm="1">
        <f t="array" ref="K16">IF(J16="X",(_xlfn.XLOOKUP($B16,Tabla1[SERVICIO],Tabla1[VALOR])*1),IF(J16&gt;=1,_xlfn.XLOOKUP($B16,Tabla1[SERVICIO],Tabla1[VALOR]*J16),0))</f>
        <v>0</v>
      </c>
      <c r="L16" s="8"/>
      <c r="M16" s="56" cm="1">
        <f t="array" ref="M16">IF(L16="X",(_xlfn.XLOOKUP($B16,Tabla1[SERVICIO],Tabla1[VALOR])*1),IF(L16&gt;=1,_xlfn.XLOOKUP($B16,Tabla1[SERVICIO],Tabla1[VALOR]*L16),0))</f>
        <v>0</v>
      </c>
      <c r="N16" s="8"/>
      <c r="O16" s="56" cm="1">
        <f t="array" ref="O16">IF(N16="X",(_xlfn.XLOOKUP($B16,Tabla1[SERVICIO],Tabla1[VALOR])*1),IF(N16&gt;=1,_xlfn.XLOOKUP($B16,Tabla1[SERVICIO],Tabla1[VALOR]*N16),0))</f>
        <v>0</v>
      </c>
      <c r="P16" s="8"/>
      <c r="Q16" s="56" cm="1">
        <f t="array" ref="Q16">IF(P16="X",(_xlfn.XLOOKUP($B16,Tabla1[SERVICIO],Tabla1[VALOR])*1),IF(P16&gt;=1,_xlfn.XLOOKUP($B16,Tabla1[SERVICIO],Tabla1[VALOR]*P16),0))</f>
        <v>0</v>
      </c>
      <c r="R16" s="8"/>
      <c r="S16" s="56" cm="1">
        <f t="array" ref="S16">IF(R16="X",(_xlfn.XLOOKUP($B16,Tabla1[SERVICIO],Tabla1[VALOR])*1),IF(R16&gt;=1,_xlfn.XLOOKUP($B16,Tabla1[SERVICIO],Tabla1[VALOR]*R16),0))</f>
        <v>0</v>
      </c>
      <c r="T16" s="8"/>
      <c r="U16" s="56" cm="1">
        <f t="array" ref="U16">IF(T16="X",(_xlfn.XLOOKUP($B16,Tabla1[SERVICIO],Tabla1[VALOR])*1),IF(T16&gt;=1,_xlfn.XLOOKUP($B16,Tabla1[SERVICIO],Tabla1[VALOR]*T16),0))</f>
        <v>0</v>
      </c>
      <c r="V16" s="8"/>
      <c r="W16" s="56" cm="1">
        <f t="array" ref="W16">IF(V16="X",(_xlfn.XLOOKUP($B16,Tabla1[SERVICIO],Tabla1[VALOR])*1),IF(V16&gt;=1,_xlfn.XLOOKUP($B16,Tabla1[SERVICIO],Tabla1[VALOR]*V16),0))</f>
        <v>0</v>
      </c>
      <c r="X16" s="8"/>
      <c r="Y16" s="56" cm="1">
        <f t="array" ref="Y16">IF(X16="X",(_xlfn.XLOOKUP($B16,Tabla1[SERVICIO],Tabla1[VALOR])*1),IF(X16&gt;=1,_xlfn.XLOOKUP($B16,Tabla1[SERVICIO],Tabla1[VALOR]*X16),0))</f>
        <v>0</v>
      </c>
      <c r="Z16" s="14">
        <v>1</v>
      </c>
      <c r="AA16" s="90" cm="1">
        <f t="array" ref="AA16">IF(Z16="X",(_xlfn.XLOOKUP($B16,Tabla1[SERVICIO],Tabla1[VALOR])*1),IF(Z16&gt;=1,_xlfn.XLOOKUP($B16,Tabla1[SERVICIO],Tabla1[VALOR]*Z16),0))</f>
        <v>31881.451880098426</v>
      </c>
      <c r="AB16" s="89">
        <f t="shared" si="0"/>
        <v>31881.451880098426</v>
      </c>
      <c r="AC16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6" s="175" t="s">
        <v>318</v>
      </c>
      <c r="AE16" s="126">
        <v>2.6940639269406392</v>
      </c>
      <c r="AF16" s="121">
        <f>+Tabla46740[[#This Row],[TOTAL]]*Tabla46740[[#This Row],[% de las personas que lo usaron]]</f>
        <v>85890.669448666988</v>
      </c>
      <c r="AG16" s="240" t="s">
        <v>354</v>
      </c>
      <c r="AH16" s="243">
        <v>12</v>
      </c>
    </row>
    <row r="17" spans="1:34" x14ac:dyDescent="0.25">
      <c r="A17" s="7" t="s">
        <v>34</v>
      </c>
      <c r="B17" s="96" t="s">
        <v>35</v>
      </c>
      <c r="C17" s="96" t="str">
        <f>_xlfn.XLOOKUP(Tabla46740[[#This Row],[Servicios del Programa:]],Tabla151[CODIGO],Tabla151[VALOR])</f>
        <v>Consultas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24009.730401318589</v>
      </c>
      <c r="F17" s="8"/>
      <c r="G17" s="56" cm="1">
        <f t="array" ref="G17">IF(F17="X",(_xlfn.XLOOKUP($B17,Tabla1[SERVICIO],Tabla1[VALOR])*1),IF(F17&gt;=1,_xlfn.XLOOKUP($B17,Tabla1[SERVICIO],Tabla1[VALOR]*F17),0))</f>
        <v>0</v>
      </c>
      <c r="H17" s="8"/>
      <c r="I17" s="56" cm="1">
        <f t="array" ref="I17">IF(H17="X",(_xlfn.XLOOKUP($B17,Tabla1[SERVICIO],Tabla1[VALOR])*1),IF(H17&gt;=1,_xlfn.XLOOKUP($B17,Tabla1[SERVICIO],Tabla1[VALOR]*H17),0))</f>
        <v>0</v>
      </c>
      <c r="J17" s="8"/>
      <c r="K17" s="56" cm="1">
        <f t="array" ref="K17">IF(J17="X",(_xlfn.XLOOKUP($B17,Tabla1[SERVICIO],Tabla1[VALOR])*1),IF(J17&gt;=1,_xlfn.XLOOKUP($B17,Tabla1[SERVICIO],Tabla1[VALOR]*J17),0))</f>
        <v>0</v>
      </c>
      <c r="L17" s="8"/>
      <c r="M17" s="56" cm="1">
        <f t="array" ref="M17">IF(L17="X",(_xlfn.XLOOKUP($B17,Tabla1[SERVICIO],Tabla1[VALOR])*1),IF(L17&gt;=1,_xlfn.XLOOKUP($B17,Tabla1[SERVICIO],Tabla1[VALOR]*L17),0))</f>
        <v>0</v>
      </c>
      <c r="N17" s="8"/>
      <c r="O17" s="56" cm="1">
        <f t="array" ref="O17">IF(N17="X",(_xlfn.XLOOKUP($B17,Tabla1[SERVICIO],Tabla1[VALOR])*1),IF(N17&gt;=1,_xlfn.XLOOKUP($B17,Tabla1[SERVICIO],Tabla1[VALOR]*N17),0))</f>
        <v>0</v>
      </c>
      <c r="P17" s="8"/>
      <c r="Q17" s="56" cm="1">
        <f t="array" ref="Q17">IF(P17="X",(_xlfn.XLOOKUP($B17,Tabla1[SERVICIO],Tabla1[VALOR])*1),IF(P17&gt;=1,_xlfn.XLOOKUP($B17,Tabla1[SERVICIO],Tabla1[VALOR]*P17),0))</f>
        <v>0</v>
      </c>
      <c r="R17" s="8"/>
      <c r="S17" s="56" cm="1">
        <f t="array" ref="S17">IF(R17="X",(_xlfn.XLOOKUP($B17,Tabla1[SERVICIO],Tabla1[VALOR])*1),IF(R17&gt;=1,_xlfn.XLOOKUP($B17,Tabla1[SERVICIO],Tabla1[VALOR]*R17),0))</f>
        <v>0</v>
      </c>
      <c r="T17" s="8"/>
      <c r="U17" s="56" cm="1">
        <f t="array" ref="U17">IF(T17="X",(_xlfn.XLOOKUP($B17,Tabla1[SERVICIO],Tabla1[VALOR])*1),IF(T17&gt;=1,_xlfn.XLOOKUP($B17,Tabla1[SERVICIO],Tabla1[VALOR]*T17),0))</f>
        <v>0</v>
      </c>
      <c r="V17" s="8"/>
      <c r="W17" s="56" cm="1">
        <f t="array" ref="W17">IF(V17="X",(_xlfn.XLOOKUP($B17,Tabla1[SERVICIO],Tabla1[VALOR])*1),IF(V17&gt;=1,_xlfn.XLOOKUP($B17,Tabla1[SERVICIO],Tabla1[VALOR]*V17),0))</f>
        <v>0</v>
      </c>
      <c r="X17" s="8"/>
      <c r="Y17" s="56" cm="1">
        <f t="array" ref="Y17">IF(X17="X",(_xlfn.XLOOKUP($B17,Tabla1[SERVICIO],Tabla1[VALOR])*1),IF(X17&gt;=1,_xlfn.XLOOKUP($B17,Tabla1[SERVICIO],Tabla1[VALOR]*X17),0))</f>
        <v>0</v>
      </c>
      <c r="Z17" s="8"/>
      <c r="AA17" s="90" cm="1">
        <f t="array" ref="AA17">IF(Z17="X",(_xlfn.XLOOKUP($B17,Tabla1[SERVICIO],Tabla1[VALOR])*1),IF(Z17&gt;=1,_xlfn.XLOOKUP($B17,Tabla1[SERVICIO],Tabla1[VALOR]*Z17),0))</f>
        <v>0</v>
      </c>
      <c r="AB17" s="89">
        <f t="shared" si="0"/>
        <v>24009.730401318589</v>
      </c>
      <c r="AC17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7" s="175" t="s">
        <v>318</v>
      </c>
      <c r="AE17" s="126">
        <v>0.13698630136986301</v>
      </c>
      <c r="AF17" s="121">
        <f>+Tabla46740[[#This Row],[TOTAL]]*Tabla46740[[#This Row],[% de las personas que lo usaron]]</f>
        <v>3289.00416456419</v>
      </c>
      <c r="AG17" s="240" t="s">
        <v>354</v>
      </c>
      <c r="AH17" s="243">
        <v>12</v>
      </c>
    </row>
    <row r="18" spans="1:34" x14ac:dyDescent="0.25">
      <c r="A18" s="7" t="s">
        <v>38</v>
      </c>
      <c r="B18" s="96" t="s">
        <v>102</v>
      </c>
      <c r="C18" s="96" t="str">
        <f>_xlfn.XLOOKUP(Tabla46740[[#This Row],[Servicios del Programa:]],Tabla151[CODIGO],Tabla151[VALOR])</f>
        <v>Consultas</v>
      </c>
      <c r="D18" s="14">
        <v>1</v>
      </c>
      <c r="E18" s="56" cm="1">
        <f t="array" ref="E18">IF(D18="X",(_xlfn.XLOOKUP($B18,Tabla1[SERVICIO],Tabla1[VALOR])*1),IF(D18&gt;=1,_xlfn.XLOOKUP($B18,Tabla1[SERVICIO],Tabla1[VALOR]*D18),0))</f>
        <v>56420.692787682223</v>
      </c>
      <c r="F18" s="14"/>
      <c r="G18" s="56" cm="1">
        <f t="array" ref="G18">IF(F18="X",(_xlfn.XLOOKUP($B18,Tabla1[SERVICIO],Tabla1[VALOR])*1),IF(F18&gt;=1,_xlfn.XLOOKUP($B18,Tabla1[SERVICIO],Tabla1[VALOR]*F18),0))</f>
        <v>0</v>
      </c>
      <c r="H18" s="14"/>
      <c r="I18" s="56" cm="1">
        <f t="array" ref="I18">IF(H18="X",(_xlfn.XLOOKUP($B18,Tabla1[SERVICIO],Tabla1[VALOR])*1),IF(H18&gt;=1,_xlfn.XLOOKUP($B18,Tabla1[SERVICIO],Tabla1[VALOR]*H18),0))</f>
        <v>0</v>
      </c>
      <c r="J18" s="14"/>
      <c r="K18" s="56" cm="1">
        <f t="array" ref="K18">IF(J18="X",(_xlfn.XLOOKUP($B18,Tabla1[SERVICIO],Tabla1[VALOR])*1),IF(J18&gt;=1,_xlfn.XLOOKUP($B18,Tabla1[SERVICIO],Tabla1[VALOR]*J18),0))</f>
        <v>0</v>
      </c>
      <c r="L18" s="14"/>
      <c r="M18" s="56" cm="1">
        <f t="array" ref="M18">IF(L18="X",(_xlfn.XLOOKUP($B18,Tabla1[SERVICIO],Tabla1[VALOR])*1),IF(L18&gt;=1,_xlfn.XLOOKUP($B18,Tabla1[SERVICIO],Tabla1[VALOR]*L18),0))</f>
        <v>0</v>
      </c>
      <c r="N18" s="14"/>
      <c r="O18" s="56" cm="1">
        <f t="array" ref="O18">IF(N18="X",(_xlfn.XLOOKUP($B18,Tabla1[SERVICIO],Tabla1[VALOR])*1),IF(N18&gt;=1,_xlfn.XLOOKUP($B18,Tabla1[SERVICIO],Tabla1[VALOR]*N18),0))</f>
        <v>0</v>
      </c>
      <c r="P18" s="14"/>
      <c r="Q18" s="56" cm="1">
        <f t="array" ref="Q18">IF(P18="X",(_xlfn.XLOOKUP($B18,Tabla1[SERVICIO],Tabla1[VALOR])*1),IF(P18&gt;=1,_xlfn.XLOOKUP($B18,Tabla1[SERVICIO],Tabla1[VALOR]*P18),0))</f>
        <v>0</v>
      </c>
      <c r="R18" s="14"/>
      <c r="S18" s="56" cm="1">
        <f t="array" ref="S18">IF(R18="X",(_xlfn.XLOOKUP($B18,Tabla1[SERVICIO],Tabla1[VALOR])*1),IF(R18&gt;=1,_xlfn.XLOOKUP($B18,Tabla1[SERVICIO],Tabla1[VALOR]*R18),0))</f>
        <v>0</v>
      </c>
      <c r="T18" s="14"/>
      <c r="U18" s="56" cm="1">
        <f t="array" ref="U18">IF(T18="X",(_xlfn.XLOOKUP($B18,Tabla1[SERVICIO],Tabla1[VALOR])*1),IF(T18&gt;=1,_xlfn.XLOOKUP($B18,Tabla1[SERVICIO],Tabla1[VALOR]*T18),0))</f>
        <v>0</v>
      </c>
      <c r="V18" s="14"/>
      <c r="W18" s="56" cm="1">
        <f t="array" ref="W18">IF(V18="X",(_xlfn.XLOOKUP($B18,Tabla1[SERVICIO],Tabla1[VALOR])*1),IF(V18&gt;=1,_xlfn.XLOOKUP($B18,Tabla1[SERVICIO],Tabla1[VALOR]*V18),0))</f>
        <v>0</v>
      </c>
      <c r="X18" s="14"/>
      <c r="Y18" s="56" cm="1">
        <f t="array" ref="Y18">IF(X18="X",(_xlfn.XLOOKUP($B18,Tabla1[SERVICIO],Tabla1[VALOR])*1),IF(X18&gt;=1,_xlfn.XLOOKUP($B18,Tabla1[SERVICIO],Tabla1[VALOR]*X18),0))</f>
        <v>0</v>
      </c>
      <c r="Z18" s="14"/>
      <c r="AA18" s="90" cm="1">
        <f t="array" ref="AA18">IF(Z18="X",(_xlfn.XLOOKUP($B18,Tabla1[SERVICIO],Tabla1[VALOR])*1),IF(Z18&gt;=1,_xlfn.XLOOKUP($B18,Tabla1[SERVICIO],Tabla1[VALOR]*Z18),0))</f>
        <v>0</v>
      </c>
      <c r="AB18" s="89">
        <f t="shared" si="0"/>
        <v>56420.692787682223</v>
      </c>
      <c r="AC18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8" s="37" t="s">
        <v>319</v>
      </c>
      <c r="AE18" s="126">
        <v>9.8039215686274508E-2</v>
      </c>
      <c r="AF18" s="121">
        <f>+Tabla46740[[#This Row],[TOTAL]]*Tabla46740[[#This Row],[% de las personas que lo usaron]]</f>
        <v>5531.44046938061</v>
      </c>
      <c r="AG18" s="240" t="s">
        <v>354</v>
      </c>
      <c r="AH18" s="243">
        <v>12</v>
      </c>
    </row>
    <row r="19" spans="1:34" x14ac:dyDescent="0.25">
      <c r="A19" s="7" t="s">
        <v>32</v>
      </c>
      <c r="B19" s="96" t="s">
        <v>33</v>
      </c>
      <c r="C19" s="96" t="str">
        <f>_xlfn.XLOOKUP(Tabla46740[[#This Row],[Servicios del Programa:]],Tabla151[CODIGO],Tabla151[VALOR])</f>
        <v>Consultas</v>
      </c>
      <c r="D19" s="14">
        <v>1</v>
      </c>
      <c r="E19" s="56" cm="1">
        <f t="array" ref="E19">IF(D19="X",(_xlfn.XLOOKUP($B19,Tabla1[SERVICIO],Tabla1[VALOR])*1),IF(D19&gt;=1,_xlfn.XLOOKUP($B19,Tabla1[SERVICIO],Tabla1[VALOR]*D19),0))</f>
        <v>24009.730401318589</v>
      </c>
      <c r="F19" s="14"/>
      <c r="G19" s="56" cm="1">
        <f t="array" ref="G19">IF(F19="X",(_xlfn.XLOOKUP($B19,Tabla1[SERVICIO],Tabla1[VALOR])*1),IF(F19&gt;=1,_xlfn.XLOOKUP($B19,Tabla1[SERVICIO],Tabla1[VALOR]*F19),0))</f>
        <v>0</v>
      </c>
      <c r="H19" s="14"/>
      <c r="I19" s="56" cm="1">
        <f t="array" ref="I19">IF(H19="X",(_xlfn.XLOOKUP($B19,Tabla1[SERVICIO],Tabla1[VALOR])*1),IF(H19&gt;=1,_xlfn.XLOOKUP($B19,Tabla1[SERVICIO],Tabla1[VALOR]*H19),0))</f>
        <v>0</v>
      </c>
      <c r="J19" s="14"/>
      <c r="K19" s="56" cm="1">
        <f t="array" ref="K19">IF(J19="X",(_xlfn.XLOOKUP($B19,Tabla1[SERVICIO],Tabla1[VALOR])*1),IF(J19&gt;=1,_xlfn.XLOOKUP($B19,Tabla1[SERVICIO],Tabla1[VALOR]*J19),0))</f>
        <v>0</v>
      </c>
      <c r="L19" s="14"/>
      <c r="M19" s="56" cm="1">
        <f t="array" ref="M19">IF(L19="X",(_xlfn.XLOOKUP($B19,Tabla1[SERVICIO],Tabla1[VALOR])*1),IF(L19&gt;=1,_xlfn.XLOOKUP($B19,Tabla1[SERVICIO],Tabla1[VALOR]*L19),0))</f>
        <v>0</v>
      </c>
      <c r="N19" s="14"/>
      <c r="O19" s="56" cm="1">
        <f t="array" ref="O19">IF(N19="X",(_xlfn.XLOOKUP($B19,Tabla1[SERVICIO],Tabla1[VALOR])*1),IF(N19&gt;=1,_xlfn.XLOOKUP($B19,Tabla1[SERVICIO],Tabla1[VALOR]*N19),0))</f>
        <v>0</v>
      </c>
      <c r="P19" s="14"/>
      <c r="Q19" s="56" cm="1">
        <f t="array" ref="Q19">IF(P19="X",(_xlfn.XLOOKUP($B19,Tabla1[SERVICIO],Tabla1[VALOR])*1),IF(P19&gt;=1,_xlfn.XLOOKUP($B19,Tabla1[SERVICIO],Tabla1[VALOR]*P19),0))</f>
        <v>0</v>
      </c>
      <c r="R19" s="14"/>
      <c r="S19" s="56" cm="1">
        <f t="array" ref="S19">IF(R19="X",(_xlfn.XLOOKUP($B19,Tabla1[SERVICIO],Tabla1[VALOR])*1),IF(R19&gt;=1,_xlfn.XLOOKUP($B19,Tabla1[SERVICIO],Tabla1[VALOR]*R19),0))</f>
        <v>0</v>
      </c>
      <c r="T19" s="14"/>
      <c r="U19" s="56" cm="1">
        <f t="array" ref="U19">IF(T19="X",(_xlfn.XLOOKUP($B19,Tabla1[SERVICIO],Tabla1[VALOR])*1),IF(T19&gt;=1,_xlfn.XLOOKUP($B19,Tabla1[SERVICIO],Tabla1[VALOR]*T19),0))</f>
        <v>0</v>
      </c>
      <c r="V19" s="14"/>
      <c r="W19" s="56" cm="1">
        <f t="array" ref="W19">IF(V19="X",(_xlfn.XLOOKUP($B19,Tabla1[SERVICIO],Tabla1[VALOR])*1),IF(V19&gt;=1,_xlfn.XLOOKUP($B19,Tabla1[SERVICIO],Tabla1[VALOR]*V19),0))</f>
        <v>0</v>
      </c>
      <c r="X19" s="14"/>
      <c r="Y19" s="56" cm="1">
        <f t="array" ref="Y19">IF(X19="X",(_xlfn.XLOOKUP($B19,Tabla1[SERVICIO],Tabla1[VALOR])*1),IF(X19&gt;=1,_xlfn.XLOOKUP($B19,Tabla1[SERVICIO],Tabla1[VALOR]*X19),0))</f>
        <v>0</v>
      </c>
      <c r="Z19" s="14"/>
      <c r="AA19" s="90" cm="1">
        <f t="array" ref="AA19">IF(Z19="X",(_xlfn.XLOOKUP($B19,Tabla1[SERVICIO],Tabla1[VALOR])*1),IF(Z19&gt;=1,_xlfn.XLOOKUP($B19,Tabla1[SERVICIO],Tabla1[VALOR]*Z19),0))</f>
        <v>0</v>
      </c>
      <c r="AB19" s="89">
        <f t="shared" si="0"/>
        <v>24009.730401318589</v>
      </c>
      <c r="AC19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9" s="37" t="s">
        <v>318</v>
      </c>
      <c r="AE19" s="126">
        <v>1</v>
      </c>
      <c r="AF19" s="121">
        <f>+Tabla46740[[#This Row],[TOTAL]]*Tabla46740[[#This Row],[% de las personas que lo usaron]]</f>
        <v>24009.730401318589</v>
      </c>
      <c r="AG19" s="240" t="s">
        <v>354</v>
      </c>
      <c r="AH19" s="243">
        <v>12</v>
      </c>
    </row>
    <row r="20" spans="1:34" x14ac:dyDescent="0.25">
      <c r="A20" s="7" t="s">
        <v>1</v>
      </c>
      <c r="B20" s="96" t="s">
        <v>2</v>
      </c>
      <c r="C20" s="96" t="str">
        <f>_xlfn.XLOOKUP(Tabla46740[[#This Row],[Servicios del Programa:]],Tabla151[CODIGO],Tabla151[VALOR])</f>
        <v>Consultas</v>
      </c>
      <c r="D20" s="8"/>
      <c r="E20" s="56" cm="1">
        <f t="array" ref="E20">IF(D20="X",(_xlfn.XLOOKUP($B20,Tabla1[SERVICIO],Tabla1[VALOR])*1),IF(D20&gt;=1,_xlfn.XLOOKUP($B20,Tabla1[SERVICIO],Tabla1[VALOR]*D20),0))</f>
        <v>0</v>
      </c>
      <c r="F20" s="8"/>
      <c r="G20" s="56" cm="1">
        <f t="array" ref="G20">IF(F20="X",(_xlfn.XLOOKUP($B20,Tabla1[SERVICIO],Tabla1[VALOR])*1),IF(F20&gt;=1,_xlfn.XLOOKUP($B20,Tabla1[SERVICIO],Tabla1[VALOR]*F20),0))</f>
        <v>0</v>
      </c>
      <c r="H20" s="8"/>
      <c r="I20" s="56" cm="1">
        <f t="array" ref="I20">IF(H20="X",(_xlfn.XLOOKUP($B20,Tabla1[SERVICIO],Tabla1[VALOR])*1),IF(H20&gt;=1,_xlfn.XLOOKUP($B20,Tabla1[SERVICIO],Tabla1[VALOR]*H20),0))</f>
        <v>0</v>
      </c>
      <c r="J20" s="8"/>
      <c r="K20" s="56" cm="1">
        <f t="array" ref="K20">IF(J20="X",(_xlfn.XLOOKUP($B20,Tabla1[SERVICIO],Tabla1[VALOR])*1),IF(J20&gt;=1,_xlfn.XLOOKUP($B20,Tabla1[SERVICIO],Tabla1[VALOR]*J20),0))</f>
        <v>0</v>
      </c>
      <c r="L20" s="8"/>
      <c r="M20" s="56" cm="1">
        <f t="array" ref="M20">IF(L20="X",(_xlfn.XLOOKUP($B20,Tabla1[SERVICIO],Tabla1[VALOR])*1),IF(L20&gt;=1,_xlfn.XLOOKUP($B20,Tabla1[SERVICIO],Tabla1[VALOR]*L20),0))</f>
        <v>0</v>
      </c>
      <c r="N20" s="8"/>
      <c r="O20" s="56" cm="1">
        <f t="array" ref="O20">IF(N20="X",(_xlfn.XLOOKUP($B20,Tabla1[SERVICIO],Tabla1[VALOR])*1),IF(N20&gt;=1,_xlfn.XLOOKUP($B20,Tabla1[SERVICIO],Tabla1[VALOR]*N20),0))</f>
        <v>0</v>
      </c>
      <c r="P20" s="8"/>
      <c r="Q20" s="56" cm="1">
        <f t="array" ref="Q20">IF(P20="X",(_xlfn.XLOOKUP($B20,Tabla1[SERVICIO],Tabla1[VALOR])*1),IF(P20&gt;=1,_xlfn.XLOOKUP($B20,Tabla1[SERVICIO],Tabla1[VALOR]*P20),0))</f>
        <v>0</v>
      </c>
      <c r="R20" s="8"/>
      <c r="S20" s="56" cm="1">
        <f t="array" ref="S20">IF(R20="X",(_xlfn.XLOOKUP($B20,Tabla1[SERVICIO],Tabla1[VALOR])*1),IF(R20&gt;=1,_xlfn.XLOOKUP($B20,Tabla1[SERVICIO],Tabla1[VALOR]*R20),0))</f>
        <v>0</v>
      </c>
      <c r="T20" s="8"/>
      <c r="U20" s="56" cm="1">
        <f t="array" ref="U20">IF(T20="X",(_xlfn.XLOOKUP($B20,Tabla1[SERVICIO],Tabla1[VALOR])*1),IF(T20&gt;=1,_xlfn.XLOOKUP($B20,Tabla1[SERVICIO],Tabla1[VALOR]*T20),0))</f>
        <v>0</v>
      </c>
      <c r="V20" s="8"/>
      <c r="W20" s="56" cm="1">
        <f t="array" ref="W20">IF(V20="X",(_xlfn.XLOOKUP($B20,Tabla1[SERVICIO],Tabla1[VALOR])*1),IF(V20&gt;=1,_xlfn.XLOOKUP($B20,Tabla1[SERVICIO],Tabla1[VALOR]*V20),0))</f>
        <v>0</v>
      </c>
      <c r="X20" s="8"/>
      <c r="Y20" s="56" cm="1">
        <f t="array" ref="Y20">IF(X20="X",(_xlfn.XLOOKUP($B20,Tabla1[SERVICIO],Tabla1[VALOR])*1),IF(X20&gt;=1,_xlfn.XLOOKUP($B20,Tabla1[SERVICIO],Tabla1[VALOR]*X20),0))</f>
        <v>0</v>
      </c>
      <c r="Z20" s="14">
        <v>1</v>
      </c>
      <c r="AA20" s="90" cm="1">
        <f t="array" ref="AA20">IF(Z20="X",(_xlfn.XLOOKUP($B20,Tabla1[SERVICIO],Tabla1[VALOR])*1),IF(Z20&gt;=1,_xlfn.XLOOKUP($B20,Tabla1[SERVICIO],Tabla1[VALOR]*Z20),0))</f>
        <v>21014.39667403782</v>
      </c>
      <c r="AB20" s="89">
        <f t="shared" si="0"/>
        <v>21014.39667403782</v>
      </c>
      <c r="AC20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0" s="175" t="s">
        <v>318</v>
      </c>
      <c r="AE20" s="126">
        <v>1</v>
      </c>
      <c r="AF20" s="121">
        <f>+Tabla46740[[#This Row],[TOTAL]]*Tabla46740[[#This Row],[% de las personas que lo usaron]]</f>
        <v>21014.39667403782</v>
      </c>
      <c r="AG20" s="240" t="s">
        <v>354</v>
      </c>
      <c r="AH20" s="243">
        <v>12</v>
      </c>
    </row>
    <row r="21" spans="1:34" x14ac:dyDescent="0.25">
      <c r="A21" s="7" t="s">
        <v>46</v>
      </c>
      <c r="B21" s="96" t="s">
        <v>47</v>
      </c>
      <c r="C21" s="96" t="str">
        <f>_xlfn.XLOOKUP(Tabla46740[[#This Row],[Servicios del Programa:]],Tabla151[CODIGO],Tabla151[VALOR])</f>
        <v>Consultas</v>
      </c>
      <c r="D21" s="14">
        <v>1</v>
      </c>
      <c r="E21" s="56" cm="1">
        <f t="array" ref="E21">IF(D21="X",(_xlfn.XLOOKUP($B21,Tabla1[SERVICIO],Tabla1[VALOR])*1),IF(D21&gt;=1,_xlfn.XLOOKUP($B21,Tabla1[SERVICIO],Tabla1[VALOR]*D21),0))</f>
        <v>83398.098568534639</v>
      </c>
      <c r="F21" s="8"/>
      <c r="G21" s="56" cm="1">
        <f t="array" ref="G21">IF(F21="X",(_xlfn.XLOOKUP($B21,Tabla1[SERVICIO],Tabla1[VALOR])*1),IF(F21&gt;=1,_xlfn.XLOOKUP($B21,Tabla1[SERVICIO],Tabla1[VALOR]*F21),0))</f>
        <v>0</v>
      </c>
      <c r="H21" s="8"/>
      <c r="I21" s="56" cm="1">
        <f t="array" ref="I21">IF(H21="X",(_xlfn.XLOOKUP($B21,Tabla1[SERVICIO],Tabla1[VALOR])*1),IF(H21&gt;=1,_xlfn.XLOOKUP($B21,Tabla1[SERVICIO],Tabla1[VALOR]*H21),0))</f>
        <v>0</v>
      </c>
      <c r="J21" s="8"/>
      <c r="K21" s="56" cm="1">
        <f t="array" ref="K21">IF(J21="X",(_xlfn.XLOOKUP($B21,Tabla1[SERVICIO],Tabla1[VALOR])*1),IF(J21&gt;=1,_xlfn.XLOOKUP($B21,Tabla1[SERVICIO],Tabla1[VALOR]*J21),0))</f>
        <v>0</v>
      </c>
      <c r="L21" s="8"/>
      <c r="M21" s="56" cm="1">
        <f t="array" ref="M21">IF(L21="X",(_xlfn.XLOOKUP($B21,Tabla1[SERVICIO],Tabla1[VALOR])*1),IF(L21&gt;=1,_xlfn.XLOOKUP($B21,Tabla1[SERVICIO],Tabla1[VALOR]*L21),0))</f>
        <v>0</v>
      </c>
      <c r="N21" s="8"/>
      <c r="O21" s="56" cm="1">
        <f t="array" ref="O21">IF(N21="X",(_xlfn.XLOOKUP($B21,Tabla1[SERVICIO],Tabla1[VALOR])*1),IF(N21&gt;=1,_xlfn.XLOOKUP($B21,Tabla1[SERVICIO],Tabla1[VALOR]*N21),0))</f>
        <v>0</v>
      </c>
      <c r="P21" s="8"/>
      <c r="Q21" s="56" cm="1">
        <f t="array" ref="Q21">IF(P21="X",(_xlfn.XLOOKUP($B21,Tabla1[SERVICIO],Tabla1[VALOR])*1),IF(P21&gt;=1,_xlfn.XLOOKUP($B21,Tabla1[SERVICIO],Tabla1[VALOR]*P21),0))</f>
        <v>0</v>
      </c>
      <c r="R21" s="8"/>
      <c r="S21" s="56" cm="1">
        <f t="array" ref="S21">IF(R21="X",(_xlfn.XLOOKUP($B21,Tabla1[SERVICIO],Tabla1[VALOR])*1),IF(R21&gt;=1,_xlfn.XLOOKUP($B21,Tabla1[SERVICIO],Tabla1[VALOR]*R21),0))</f>
        <v>0</v>
      </c>
      <c r="T21" s="8"/>
      <c r="U21" s="56" cm="1">
        <f t="array" ref="U21">IF(T21="X",(_xlfn.XLOOKUP($B21,Tabla1[SERVICIO],Tabla1[VALOR])*1),IF(T21&gt;=1,_xlfn.XLOOKUP($B21,Tabla1[SERVICIO],Tabla1[VALOR]*T21),0))</f>
        <v>0</v>
      </c>
      <c r="V21" s="8"/>
      <c r="W21" s="56" cm="1">
        <f t="array" ref="W21">IF(V21="X",(_xlfn.XLOOKUP($B21,Tabla1[SERVICIO],Tabla1[VALOR])*1),IF(V21&gt;=1,_xlfn.XLOOKUP($B21,Tabla1[SERVICIO],Tabla1[VALOR]*V21),0))</f>
        <v>0</v>
      </c>
      <c r="X21" s="8"/>
      <c r="Y21" s="56" cm="1">
        <f t="array" ref="Y21">IF(X21="X",(_xlfn.XLOOKUP($B21,Tabla1[SERVICIO],Tabla1[VALOR])*1),IF(X21&gt;=1,_xlfn.XLOOKUP($B21,Tabla1[SERVICIO],Tabla1[VALOR]*X21),0))</f>
        <v>0</v>
      </c>
      <c r="Z21" s="8"/>
      <c r="AA21" s="90" cm="1">
        <f t="array" ref="AA21">IF(Z21="X",(_xlfn.XLOOKUP($B21,Tabla1[SERVICIO],Tabla1[VALOR])*1),IF(Z21&gt;=1,_xlfn.XLOOKUP($B21,Tabla1[SERVICIO],Tabla1[VALOR]*Z21),0))</f>
        <v>0</v>
      </c>
      <c r="AB21" s="89">
        <f t="shared" si="0"/>
        <v>83398.098568534639</v>
      </c>
      <c r="AC21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1" s="37" t="s">
        <v>319</v>
      </c>
      <c r="AE21" s="126">
        <v>0.1095890410958904</v>
      </c>
      <c r="AF21" s="121">
        <f>+Tabla46740[[#This Row],[TOTAL]]*Tabla46740[[#This Row],[% de las personas que lo usaron]]</f>
        <v>9139.5176513462611</v>
      </c>
      <c r="AG21" s="240" t="s">
        <v>354</v>
      </c>
      <c r="AH21" s="243">
        <v>12</v>
      </c>
    </row>
    <row r="22" spans="1:34" x14ac:dyDescent="0.25">
      <c r="A22" s="7" t="s">
        <v>48</v>
      </c>
      <c r="B22" s="96" t="s">
        <v>222</v>
      </c>
      <c r="C22" s="96" t="str">
        <f>_xlfn.XLOOKUP(Tabla46740[[#This Row],[Servicios del Programa:]],Tabla151[CODIGO],Tabla151[VALOR])</f>
        <v>Consultas</v>
      </c>
      <c r="D22" s="14">
        <v>1</v>
      </c>
      <c r="E22" s="56" cm="1">
        <f t="array" ref="E22">IF(D22="X",(_xlfn.XLOOKUP($B22,Tabla1[SERVICIO],Tabla1[VALOR])*1),IF(D22&gt;=1,_xlfn.XLOOKUP($B22,Tabla1[SERVICIO],Tabla1[VALOR]*D22),0))</f>
        <v>77398.098568534639</v>
      </c>
      <c r="F22" s="14"/>
      <c r="G22" s="56" cm="1">
        <f t="array" ref="G22">IF(F22="X",(_xlfn.XLOOKUP($B22,Tabla1[SERVICIO],Tabla1[VALOR])*1),IF(F22&gt;=1,_xlfn.XLOOKUP($B22,Tabla1[SERVICIO],Tabla1[VALOR]*F22),0))</f>
        <v>0</v>
      </c>
      <c r="H22" s="14"/>
      <c r="I22" s="56" cm="1">
        <f t="array" ref="I22">IF(H22="X",(_xlfn.XLOOKUP($B22,Tabla1[SERVICIO],Tabla1[VALOR])*1),IF(H22&gt;=1,_xlfn.XLOOKUP($B22,Tabla1[SERVICIO],Tabla1[VALOR]*H22),0))</f>
        <v>0</v>
      </c>
      <c r="J22" s="14"/>
      <c r="K22" s="56" cm="1">
        <f t="array" ref="K22">IF(J22="X",(_xlfn.XLOOKUP($B22,Tabla1[SERVICIO],Tabla1[VALOR])*1),IF(J22&gt;=1,_xlfn.XLOOKUP($B22,Tabla1[SERVICIO],Tabla1[VALOR]*J22),0))</f>
        <v>0</v>
      </c>
      <c r="L22" s="14"/>
      <c r="M22" s="56" cm="1">
        <f t="array" ref="M22">IF(L22="X",(_xlfn.XLOOKUP($B22,Tabla1[SERVICIO],Tabla1[VALOR])*1),IF(L22&gt;=1,_xlfn.XLOOKUP($B22,Tabla1[SERVICIO],Tabla1[VALOR]*L22),0))</f>
        <v>0</v>
      </c>
      <c r="N22" s="14"/>
      <c r="O22" s="56" cm="1">
        <f t="array" ref="O22">IF(N22="X",(_xlfn.XLOOKUP($B22,Tabla1[SERVICIO],Tabla1[VALOR])*1),IF(N22&gt;=1,_xlfn.XLOOKUP($B22,Tabla1[SERVICIO],Tabla1[VALOR]*N22),0))</f>
        <v>0</v>
      </c>
      <c r="P22" s="14"/>
      <c r="Q22" s="56" cm="1">
        <f t="array" ref="Q22">IF(P22="X",(_xlfn.XLOOKUP($B22,Tabla1[SERVICIO],Tabla1[VALOR])*1),IF(P22&gt;=1,_xlfn.XLOOKUP($B22,Tabla1[SERVICIO],Tabla1[VALOR]*P22),0))</f>
        <v>0</v>
      </c>
      <c r="R22" s="14"/>
      <c r="S22" s="56" cm="1">
        <f t="array" ref="S22">IF(R22="X",(_xlfn.XLOOKUP($B22,Tabla1[SERVICIO],Tabla1[VALOR])*1),IF(R22&gt;=1,_xlfn.XLOOKUP($B22,Tabla1[SERVICIO],Tabla1[VALOR]*R22),0))</f>
        <v>0</v>
      </c>
      <c r="T22" s="14"/>
      <c r="U22" s="56" cm="1">
        <f t="array" ref="U22">IF(T22="X",(_xlfn.XLOOKUP($B22,Tabla1[SERVICIO],Tabla1[VALOR])*1),IF(T22&gt;=1,_xlfn.XLOOKUP($B22,Tabla1[SERVICIO],Tabla1[VALOR]*T22),0))</f>
        <v>0</v>
      </c>
      <c r="V22" s="14"/>
      <c r="W22" s="56" cm="1">
        <f t="array" ref="W22">IF(V22="X",(_xlfn.XLOOKUP($B22,Tabla1[SERVICIO],Tabla1[VALOR])*1),IF(V22&gt;=1,_xlfn.XLOOKUP($B22,Tabla1[SERVICIO],Tabla1[VALOR]*V22),0))</f>
        <v>0</v>
      </c>
      <c r="X22" s="14"/>
      <c r="Y22" s="56" cm="1">
        <f t="array" ref="Y22">IF(X22="X",(_xlfn.XLOOKUP($B22,Tabla1[SERVICIO],Tabla1[VALOR])*1),IF(X22&gt;=1,_xlfn.XLOOKUP($B22,Tabla1[SERVICIO],Tabla1[VALOR]*X22),0))</f>
        <v>0</v>
      </c>
      <c r="Z22" s="14"/>
      <c r="AA22" s="90" cm="1">
        <f t="array" ref="AA22">IF(Z22="X",(_xlfn.XLOOKUP($B22,Tabla1[SERVICIO],Tabla1[VALOR])*1),IF(Z22&gt;=1,_xlfn.XLOOKUP($B22,Tabla1[SERVICIO],Tabla1[VALOR]*Z22),0))</f>
        <v>0</v>
      </c>
      <c r="AB22" s="89">
        <f t="shared" si="0"/>
        <v>77398.098568534639</v>
      </c>
      <c r="AC22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2" s="37" t="s">
        <v>319</v>
      </c>
      <c r="AE22" s="126">
        <v>2.6143790849673203E-2</v>
      </c>
      <c r="AF22" s="121">
        <f>+Tabla46740[[#This Row],[TOTAL]]*Tabla46740[[#This Row],[% de las personas que lo usaron]]</f>
        <v>2023.4797011381606</v>
      </c>
      <c r="AG22" s="240" t="s">
        <v>354</v>
      </c>
      <c r="AH22" s="243">
        <v>12</v>
      </c>
    </row>
    <row r="23" spans="1:34" x14ac:dyDescent="0.25">
      <c r="A23" s="7" t="s">
        <v>9</v>
      </c>
      <c r="B23" s="96" t="s">
        <v>220</v>
      </c>
      <c r="C23" s="96" t="str">
        <f>_xlfn.XLOOKUP(Tabla46740[[#This Row],[Servicios del Programa:]],Tabla151[CODIGO],Tabla151[VALOR])</f>
        <v>Consultas</v>
      </c>
      <c r="D23" s="14"/>
      <c r="E23" s="56" cm="1">
        <f t="array" ref="E23">IF(D23="X",(_xlfn.XLOOKUP($B23,Tabla1[SERVICIO],Tabla1[VALOR])*1),IF(D23&gt;=1,_xlfn.XLOOKUP($B23,Tabla1[SERVICIO],Tabla1[VALOR]*D23),0))</f>
        <v>0</v>
      </c>
      <c r="F23" s="14"/>
      <c r="G23" s="56" cm="1">
        <f t="array" ref="G23">IF(F23="X",(_xlfn.XLOOKUP($B23,Tabla1[SERVICIO],Tabla1[VALOR])*1),IF(F23&gt;=1,_xlfn.XLOOKUP($B23,Tabla1[SERVICIO],Tabla1[VALOR]*F23),0))</f>
        <v>0</v>
      </c>
      <c r="H23" s="14">
        <v>1</v>
      </c>
      <c r="I23" s="56" cm="1">
        <f t="array" ref="I23">IF(H23="X",(_xlfn.XLOOKUP($B23,Tabla1[SERVICIO],Tabla1[VALOR])*1),IF(H23&gt;=1,_xlfn.XLOOKUP($B23,Tabla1[SERVICIO],Tabla1[VALOR]*H23),0))</f>
        <v>55794.181771015559</v>
      </c>
      <c r="J23" s="14"/>
      <c r="K23" s="56" cm="1">
        <f t="array" ref="K23">IF(J23="X",(_xlfn.XLOOKUP($B23,Tabla1[SERVICIO],Tabla1[VALOR])*1),IF(J23&gt;=1,_xlfn.XLOOKUP($B23,Tabla1[SERVICIO],Tabla1[VALOR]*J23),0))</f>
        <v>0</v>
      </c>
      <c r="L23" s="14"/>
      <c r="M23" s="56" cm="1">
        <f t="array" ref="M23">IF(L23="X",(_xlfn.XLOOKUP($B23,Tabla1[SERVICIO],Tabla1[VALOR])*1),IF(L23&gt;=1,_xlfn.XLOOKUP($B23,Tabla1[SERVICIO],Tabla1[VALOR]*L23),0))</f>
        <v>0</v>
      </c>
      <c r="N23" s="14">
        <v>1</v>
      </c>
      <c r="O23" s="56" cm="1">
        <f t="array" ref="O23">IF(N23="X",(_xlfn.XLOOKUP($B23,Tabla1[SERVICIO],Tabla1[VALOR])*1),IF(N23&gt;=1,_xlfn.XLOOKUP($B23,Tabla1[SERVICIO],Tabla1[VALOR]*N23),0))</f>
        <v>55794.181771015559</v>
      </c>
      <c r="P23" s="14"/>
      <c r="Q23" s="56" cm="1">
        <f t="array" ref="Q23">IF(P23="X",(_xlfn.XLOOKUP($B23,Tabla1[SERVICIO],Tabla1[VALOR])*1),IF(P23&gt;=1,_xlfn.XLOOKUP($B23,Tabla1[SERVICIO],Tabla1[VALOR]*P23),0))</f>
        <v>0</v>
      </c>
      <c r="R23" s="14"/>
      <c r="S23" s="56" cm="1">
        <f t="array" ref="S23">IF(R23="X",(_xlfn.XLOOKUP($B23,Tabla1[SERVICIO],Tabla1[VALOR])*1),IF(R23&gt;=1,_xlfn.XLOOKUP($B23,Tabla1[SERVICIO],Tabla1[VALOR]*R23),0))</f>
        <v>0</v>
      </c>
      <c r="T23" s="14">
        <v>1</v>
      </c>
      <c r="U23" s="56" cm="1">
        <f t="array" ref="U23">IF(T23="X",(_xlfn.XLOOKUP($B23,Tabla1[SERVICIO],Tabla1[VALOR])*1),IF(T23&gt;=1,_xlfn.XLOOKUP($B23,Tabla1[SERVICIO],Tabla1[VALOR]*T23),0))</f>
        <v>55794.181771015559</v>
      </c>
      <c r="V23" s="14"/>
      <c r="W23" s="56" cm="1">
        <f t="array" ref="W23">IF(V23="X",(_xlfn.XLOOKUP($B23,Tabla1[SERVICIO],Tabla1[VALOR])*1),IF(V23&gt;=1,_xlfn.XLOOKUP($B23,Tabla1[SERVICIO],Tabla1[VALOR]*V23),0))</f>
        <v>0</v>
      </c>
      <c r="X23" s="14"/>
      <c r="Y23" s="56" cm="1">
        <f t="array" ref="Y23">IF(X23="X",(_xlfn.XLOOKUP($B23,Tabla1[SERVICIO],Tabla1[VALOR])*1),IF(X23&gt;=1,_xlfn.XLOOKUP($B23,Tabla1[SERVICIO],Tabla1[VALOR]*X23),0))</f>
        <v>0</v>
      </c>
      <c r="Z23" s="14">
        <v>1</v>
      </c>
      <c r="AA23" s="90" cm="1">
        <f t="array" ref="AA23">IF(Z23="X",(_xlfn.XLOOKUP($B23,Tabla1[SERVICIO],Tabla1[VALOR])*1),IF(Z23&gt;=1,_xlfn.XLOOKUP($B23,Tabla1[SERVICIO],Tabla1[VALOR]*Z23),0))</f>
        <v>55794.181771015559</v>
      </c>
      <c r="AB23" s="89">
        <f t="shared" si="0"/>
        <v>223176.72708406224</v>
      </c>
      <c r="AC23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4</v>
      </c>
      <c r="AD23" s="175" t="s">
        <v>318</v>
      </c>
      <c r="AE23" s="126">
        <v>3.1963470319634701E-2</v>
      </c>
      <c r="AF23" s="121">
        <f>+Tabla46740[[#This Row],[TOTAL]]*Tabla46740[[#This Row],[% de las personas que lo usaron]]</f>
        <v>7133.5026921846375</v>
      </c>
      <c r="AG23" s="240" t="s">
        <v>354</v>
      </c>
      <c r="AH23" s="243">
        <v>12</v>
      </c>
    </row>
    <row r="24" spans="1:34" x14ac:dyDescent="0.25">
      <c r="A24" s="7" t="s">
        <v>7</v>
      </c>
      <c r="B24" s="96" t="s">
        <v>8</v>
      </c>
      <c r="C24" s="96" t="str">
        <f>_xlfn.XLOOKUP(Tabla46740[[#This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55794.181771015559</v>
      </c>
      <c r="F24" s="8"/>
      <c r="G24" s="56" cm="1">
        <f t="array" ref="G24">IF(F24="X",(_xlfn.XLOOKUP($B24,Tabla1[SERVICIO],Tabla1[VALOR])*1),IF(F24&gt;=1,_xlfn.XLOOKUP($B24,Tabla1[SERVICIO],Tabla1[VALOR]*F24),0))</f>
        <v>0</v>
      </c>
      <c r="H24" s="8"/>
      <c r="I24" s="56" cm="1">
        <f t="array" ref="I24">IF(H24="X",(_xlfn.XLOOKUP($B24,Tabla1[SERVICIO],Tabla1[VALOR])*1),IF(H24&gt;=1,_xlfn.XLOOKUP($B24,Tabla1[SERVICIO],Tabla1[VALOR]*H24),0))</f>
        <v>0</v>
      </c>
      <c r="J24" s="8"/>
      <c r="K24" s="56" cm="1">
        <f t="array" ref="K24">IF(J24="X",(_xlfn.XLOOKUP($B24,Tabla1[SERVICIO],Tabla1[VALOR])*1),IF(J24&gt;=1,_xlfn.XLOOKUP($B24,Tabla1[SERVICIO],Tabla1[VALOR]*J24),0))</f>
        <v>0</v>
      </c>
      <c r="L24" s="8"/>
      <c r="M24" s="56" cm="1">
        <f t="array" ref="M24">IF(L24="X",(_xlfn.XLOOKUP($B24,Tabla1[SERVICIO],Tabla1[VALOR])*1),IF(L24&gt;=1,_xlfn.XLOOKUP($B24,Tabla1[SERVICIO],Tabla1[VALOR]*L24),0))</f>
        <v>0</v>
      </c>
      <c r="N24" s="8"/>
      <c r="O24" s="56" cm="1">
        <f t="array" ref="O24">IF(N24="X",(_xlfn.XLOOKUP($B24,Tabla1[SERVICIO],Tabla1[VALOR])*1),IF(N24&gt;=1,_xlfn.XLOOKUP($B24,Tabla1[SERVICIO],Tabla1[VALOR]*N24),0))</f>
        <v>0</v>
      </c>
      <c r="P24" s="8"/>
      <c r="Q24" s="56" cm="1">
        <f t="array" ref="Q24">IF(P24="X",(_xlfn.XLOOKUP($B24,Tabla1[SERVICIO],Tabla1[VALOR])*1),IF(P24&gt;=1,_xlfn.XLOOKUP($B24,Tabla1[SERVICIO],Tabla1[VALOR]*P24),0))</f>
        <v>0</v>
      </c>
      <c r="R24" s="8"/>
      <c r="S24" s="56" cm="1">
        <f t="array" ref="S24">IF(R24="X",(_xlfn.XLOOKUP($B24,Tabla1[SERVICIO],Tabla1[VALOR])*1),IF(R24&gt;=1,_xlfn.XLOOKUP($B24,Tabla1[SERVICIO],Tabla1[VALOR]*R24),0))</f>
        <v>0</v>
      </c>
      <c r="T24" s="8"/>
      <c r="U24" s="56" cm="1">
        <f t="array" ref="U24">IF(T24="X",(_xlfn.XLOOKUP($B24,Tabla1[SERVICIO],Tabla1[VALOR])*1),IF(T24&gt;=1,_xlfn.XLOOKUP($B24,Tabla1[SERVICIO],Tabla1[VALOR]*T24),0))</f>
        <v>0</v>
      </c>
      <c r="V24" s="8"/>
      <c r="W24" s="56" cm="1">
        <f t="array" ref="W24">IF(V24="X",(_xlfn.XLOOKUP($B24,Tabla1[SERVICIO],Tabla1[VALOR])*1),IF(V24&gt;=1,_xlfn.XLOOKUP($B24,Tabla1[SERVICIO],Tabla1[VALOR]*V24),0))</f>
        <v>0</v>
      </c>
      <c r="X24" s="8"/>
      <c r="Y24" s="56" cm="1">
        <f t="array" ref="Y24">IF(X24="X",(_xlfn.XLOOKUP($B24,Tabla1[SERVICIO],Tabla1[VALOR])*1),IF(X24&gt;=1,_xlfn.XLOOKUP($B24,Tabla1[SERVICIO],Tabla1[VALOR]*X24),0))</f>
        <v>0</v>
      </c>
      <c r="Z24" s="8"/>
      <c r="AA24" s="90" cm="1">
        <f t="array" ref="AA24">IF(Z24="X",(_xlfn.XLOOKUP($B24,Tabla1[SERVICIO],Tabla1[VALOR])*1),IF(Z24&gt;=1,_xlfn.XLOOKUP($B24,Tabla1[SERVICIO],Tabla1[VALOR]*Z24),0))</f>
        <v>0</v>
      </c>
      <c r="AB24" s="89">
        <f t="shared" si="0"/>
        <v>55794.181771015559</v>
      </c>
      <c r="AC24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4" s="175" t="s">
        <v>318</v>
      </c>
      <c r="AE24" s="126">
        <v>1</v>
      </c>
      <c r="AF24" s="121">
        <f>+Tabla46740[[#This Row],[TOTAL]]*Tabla46740[[#This Row],[% de las personas que lo usaron]]</f>
        <v>55794.181771015559</v>
      </c>
      <c r="AG24" s="240" t="s">
        <v>354</v>
      </c>
      <c r="AH24" s="243">
        <v>12</v>
      </c>
    </row>
    <row r="25" spans="1:34" x14ac:dyDescent="0.25">
      <c r="A25" s="7" t="s">
        <v>52</v>
      </c>
      <c r="B25" s="96" t="s">
        <v>191</v>
      </c>
      <c r="C25" s="96" t="str">
        <f>_xlfn.XLOOKUP(Tabla46740[[#This Row],[Servicios del Programa:]],Tabla151[CODIGO],Tabla151[VALOR])</f>
        <v>Consultas</v>
      </c>
      <c r="D25" s="14">
        <v>1</v>
      </c>
      <c r="E25" s="56" cm="1">
        <f t="array" ref="E25">IF(D25="X",(_xlfn.XLOOKUP($B25,Tabla1[SERVICIO],Tabla1[VALOR])*1),IF(D25&gt;=1,_xlfn.XLOOKUP($B25,Tabla1[SERVICIO],Tabla1[VALOR]*D25),0))</f>
        <v>26897.079640267821</v>
      </c>
      <c r="F25" s="8"/>
      <c r="G25" s="56" cm="1">
        <f t="array" ref="G25">IF(F25="X",(_xlfn.XLOOKUP($B25,Tabla1[SERVICIO],Tabla1[VALOR])*1),IF(F25&gt;=1,_xlfn.XLOOKUP($B25,Tabla1[SERVICIO],Tabla1[VALOR]*F25),0))</f>
        <v>0</v>
      </c>
      <c r="H25" s="8"/>
      <c r="I25" s="56" cm="1">
        <f t="array" ref="I25">IF(H25="X",(_xlfn.XLOOKUP($B25,Tabla1[SERVICIO],Tabla1[VALOR])*1),IF(H25&gt;=1,_xlfn.XLOOKUP($B25,Tabla1[SERVICIO],Tabla1[VALOR]*H25),0))</f>
        <v>0</v>
      </c>
      <c r="J25" s="8"/>
      <c r="K25" s="56" cm="1">
        <f t="array" ref="K25">IF(J25="X",(_xlfn.XLOOKUP($B25,Tabla1[SERVICIO],Tabla1[VALOR])*1),IF(J25&gt;=1,_xlfn.XLOOKUP($B25,Tabla1[SERVICIO],Tabla1[VALOR]*J25),0))</f>
        <v>0</v>
      </c>
      <c r="L25" s="8"/>
      <c r="M25" s="56" cm="1">
        <f t="array" ref="M25">IF(L25="X",(_xlfn.XLOOKUP($B25,Tabla1[SERVICIO],Tabla1[VALOR])*1),IF(L25&gt;=1,_xlfn.XLOOKUP($B25,Tabla1[SERVICIO],Tabla1[VALOR]*L25),0))</f>
        <v>0</v>
      </c>
      <c r="N25" s="8"/>
      <c r="O25" s="56" cm="1">
        <f t="array" ref="O25">IF(N25="X",(_xlfn.XLOOKUP($B25,Tabla1[SERVICIO],Tabla1[VALOR])*1),IF(N25&gt;=1,_xlfn.XLOOKUP($B25,Tabla1[SERVICIO],Tabla1[VALOR]*N25),0))</f>
        <v>0</v>
      </c>
      <c r="P25" s="8"/>
      <c r="Q25" s="56" cm="1">
        <f t="array" ref="Q25">IF(P25="X",(_xlfn.XLOOKUP($B25,Tabla1[SERVICIO],Tabla1[VALOR])*1),IF(P25&gt;=1,_xlfn.XLOOKUP($B25,Tabla1[SERVICIO],Tabla1[VALOR]*P25),0))</f>
        <v>0</v>
      </c>
      <c r="R25" s="8"/>
      <c r="S25" s="56" cm="1">
        <f t="array" ref="S25">IF(R25="X",(_xlfn.XLOOKUP($B25,Tabla1[SERVICIO],Tabla1[VALOR])*1),IF(R25&gt;=1,_xlfn.XLOOKUP($B25,Tabla1[SERVICIO],Tabla1[VALOR]*R25),0))</f>
        <v>0</v>
      </c>
      <c r="T25" s="8"/>
      <c r="U25" s="56" cm="1">
        <f t="array" ref="U25">IF(T25="X",(_xlfn.XLOOKUP($B25,Tabla1[SERVICIO],Tabla1[VALOR])*1),IF(T25&gt;=1,_xlfn.XLOOKUP($B25,Tabla1[SERVICIO],Tabla1[VALOR]*T25),0))</f>
        <v>0</v>
      </c>
      <c r="V25" s="8"/>
      <c r="W25" s="56" cm="1">
        <f t="array" ref="W25">IF(V25="X",(_xlfn.XLOOKUP($B25,Tabla1[SERVICIO],Tabla1[VALOR])*1),IF(V25&gt;=1,_xlfn.XLOOKUP($B25,Tabla1[SERVICIO],Tabla1[VALOR]*V25),0))</f>
        <v>0</v>
      </c>
      <c r="X25" s="8"/>
      <c r="Y25" s="56" cm="1">
        <f t="array" ref="Y25">IF(X25="X",(_xlfn.XLOOKUP($B25,Tabla1[SERVICIO],Tabla1[VALOR])*1),IF(X25&gt;=1,_xlfn.XLOOKUP($B25,Tabla1[SERVICIO],Tabla1[VALOR]*X25),0))</f>
        <v>0</v>
      </c>
      <c r="Z25" s="8"/>
      <c r="AA25" s="90" cm="1">
        <f t="array" ref="AA25">IF(Z25="X",(_xlfn.XLOOKUP($B25,Tabla1[SERVICIO],Tabla1[VALOR])*1),IF(Z25&gt;=1,_xlfn.XLOOKUP($B25,Tabla1[SERVICIO],Tabla1[VALOR]*Z25),0))</f>
        <v>0</v>
      </c>
      <c r="AB25" s="89">
        <f t="shared" si="0"/>
        <v>26897.079640267821</v>
      </c>
      <c r="AC25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5" s="37" t="s">
        <v>319</v>
      </c>
      <c r="AE25" s="126">
        <v>6.5359477124183009E-3</v>
      </c>
      <c r="AF25" s="121">
        <f>+Tabla46740[[#This Row],[TOTAL]]*Tabla46740[[#This Row],[% de las personas que lo usaron]]</f>
        <v>175.7979061455413</v>
      </c>
      <c r="AG25" s="240" t="s">
        <v>354</v>
      </c>
      <c r="AH25" s="243">
        <v>12</v>
      </c>
    </row>
    <row r="26" spans="1:34" x14ac:dyDescent="0.25">
      <c r="A26" s="7" t="s">
        <v>53</v>
      </c>
      <c r="B26" s="96" t="s">
        <v>230</v>
      </c>
      <c r="C26" s="96" t="str">
        <f>_xlfn.XLOOKUP(Tabla46740[[#This Row],[Servicios del Programa:]],Tabla151[CODIGO],Tabla151[VALOR])</f>
        <v>Consultas</v>
      </c>
      <c r="D26" s="14">
        <v>1</v>
      </c>
      <c r="E26" s="56" cm="1">
        <f t="array" ref="E26">IF(D26="X",(_xlfn.XLOOKUP($B26,Tabla1[SERVICIO],Tabla1[VALOR])*1),IF(D26&gt;=1,_xlfn.XLOOKUP($B26,Tabla1[SERVICIO],Tabla1[VALOR]*D26),0))</f>
        <v>26897.079640267817</v>
      </c>
      <c r="F26" s="14"/>
      <c r="G26" s="56" cm="1">
        <f t="array" ref="G26">IF(F26="X",(_xlfn.XLOOKUP($B26,Tabla1[SERVICIO],Tabla1[VALOR])*1),IF(F26&gt;=1,_xlfn.XLOOKUP($B26,Tabla1[SERVICIO],Tabla1[VALOR]*F26),0))</f>
        <v>0</v>
      </c>
      <c r="H26" s="14"/>
      <c r="I26" s="56" cm="1">
        <f t="array" ref="I26">IF(H26="X",(_xlfn.XLOOKUP($B26,Tabla1[SERVICIO],Tabla1[VALOR])*1),IF(H26&gt;=1,_xlfn.XLOOKUP($B26,Tabla1[SERVICIO],Tabla1[VALOR]*H26),0))</f>
        <v>0</v>
      </c>
      <c r="J26" s="14"/>
      <c r="K26" s="56" cm="1">
        <f t="array" ref="K26">IF(J26="X",(_xlfn.XLOOKUP($B26,Tabla1[SERVICIO],Tabla1[VALOR])*1),IF(J26&gt;=1,_xlfn.XLOOKUP($B26,Tabla1[SERVICIO],Tabla1[VALOR]*J26),0))</f>
        <v>0</v>
      </c>
      <c r="L26" s="14"/>
      <c r="M26" s="56" cm="1">
        <f t="array" ref="M26">IF(L26="X",(_xlfn.XLOOKUP($B26,Tabla1[SERVICIO],Tabla1[VALOR])*1),IF(L26&gt;=1,_xlfn.XLOOKUP($B26,Tabla1[SERVICIO],Tabla1[VALOR]*L26),0))</f>
        <v>0</v>
      </c>
      <c r="N26" s="14"/>
      <c r="O26" s="56" cm="1">
        <f t="array" ref="O26">IF(N26="X",(_xlfn.XLOOKUP($B26,Tabla1[SERVICIO],Tabla1[VALOR])*1),IF(N26&gt;=1,_xlfn.XLOOKUP($B26,Tabla1[SERVICIO],Tabla1[VALOR]*N26),0))</f>
        <v>0</v>
      </c>
      <c r="P26" s="14"/>
      <c r="Q26" s="56" cm="1">
        <f t="array" ref="Q26">IF(P26="X",(_xlfn.XLOOKUP($B26,Tabla1[SERVICIO],Tabla1[VALOR])*1),IF(P26&gt;=1,_xlfn.XLOOKUP($B26,Tabla1[SERVICIO],Tabla1[VALOR]*P26),0))</f>
        <v>0</v>
      </c>
      <c r="R26" s="14"/>
      <c r="S26" s="56" cm="1">
        <f t="array" ref="S26">IF(R26="X",(_xlfn.XLOOKUP($B26,Tabla1[SERVICIO],Tabla1[VALOR])*1),IF(R26&gt;=1,_xlfn.XLOOKUP($B26,Tabla1[SERVICIO],Tabla1[VALOR]*R26),0))</f>
        <v>0</v>
      </c>
      <c r="T26" s="14"/>
      <c r="U26" s="56" cm="1">
        <f t="array" ref="U26">IF(T26="X",(_xlfn.XLOOKUP($B26,Tabla1[SERVICIO],Tabla1[VALOR])*1),IF(T26&gt;=1,_xlfn.XLOOKUP($B26,Tabla1[SERVICIO],Tabla1[VALOR]*T26),0))</f>
        <v>0</v>
      </c>
      <c r="V26" s="14"/>
      <c r="W26" s="56" cm="1">
        <f t="array" ref="W26">IF(V26="X",(_xlfn.XLOOKUP($B26,Tabla1[SERVICIO],Tabla1[VALOR])*1),IF(V26&gt;=1,_xlfn.XLOOKUP($B26,Tabla1[SERVICIO],Tabla1[VALOR]*V26),0))</f>
        <v>0</v>
      </c>
      <c r="X26" s="14"/>
      <c r="Y26" s="56" cm="1">
        <f t="array" ref="Y26">IF(X26="X",(_xlfn.XLOOKUP($B26,Tabla1[SERVICIO],Tabla1[VALOR])*1),IF(X26&gt;=1,_xlfn.XLOOKUP($B26,Tabla1[SERVICIO],Tabla1[VALOR]*X26),0))</f>
        <v>0</v>
      </c>
      <c r="Z26" s="14"/>
      <c r="AA26" s="90" cm="1">
        <f t="array" ref="AA26">IF(Z26="X",(_xlfn.XLOOKUP($B26,Tabla1[SERVICIO],Tabla1[VALOR])*1),IF(Z26&gt;=1,_xlfn.XLOOKUP($B26,Tabla1[SERVICIO],Tabla1[VALOR]*Z26),0))</f>
        <v>0</v>
      </c>
      <c r="AB26" s="89">
        <f t="shared" si="0"/>
        <v>26897.079640267817</v>
      </c>
      <c r="AC26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6" s="37" t="s">
        <v>319</v>
      </c>
      <c r="AE26" s="126">
        <v>6.5359477124183009E-3</v>
      </c>
      <c r="AF26" s="121">
        <f>+Tabla46740[[#This Row],[TOTAL]]*Tabla46740[[#This Row],[% de las personas que lo usaron]]</f>
        <v>175.7979061455413</v>
      </c>
      <c r="AG26" s="240" t="s">
        <v>354</v>
      </c>
      <c r="AH26" s="243">
        <v>12</v>
      </c>
    </row>
    <row r="27" spans="1:34" x14ac:dyDescent="0.25">
      <c r="A27" s="7" t="s">
        <v>113</v>
      </c>
      <c r="B27" s="98" t="s">
        <v>116</v>
      </c>
      <c r="C27" s="96" t="str">
        <f>_xlfn.XLOOKUP(Tabla46740[[#This Row],[Servicios del Programa:]],Tabla151[CODIGO],Tabla151[VALOR])</f>
        <v>Consultas</v>
      </c>
      <c r="D27" s="14">
        <v>1</v>
      </c>
      <c r="E27" s="56" cm="1">
        <f t="array" ref="E27">IF(D27="X",(_xlfn.XLOOKUP($B27,Tabla1[SERVICIO],Tabla1[VALOR])*1),IF(D27&gt;=1,_xlfn.XLOOKUP($B27,Tabla1[SERVICIO],Tabla1[VALOR]*D27),0))</f>
        <v>60236.092716419647</v>
      </c>
      <c r="F27" s="14"/>
      <c r="G27" s="56" cm="1">
        <f t="array" ref="G27">IF(F27="X",(_xlfn.XLOOKUP($B27,Tabla1[SERVICIO],Tabla1[VALOR])*1),IF(F27&gt;=1,_xlfn.XLOOKUP($B27,Tabla1[SERVICIO],Tabla1[VALOR]*F27),0))</f>
        <v>0</v>
      </c>
      <c r="H27" s="14"/>
      <c r="I27" s="56" cm="1">
        <f t="array" ref="I27">IF(H27="X",(_xlfn.XLOOKUP($B27,Tabla1[SERVICIO],Tabla1[VALOR])*1),IF(H27&gt;=1,_xlfn.XLOOKUP($B27,Tabla1[SERVICIO],Tabla1[VALOR]*H27),0))</f>
        <v>0</v>
      </c>
      <c r="J27" s="14"/>
      <c r="K27" s="56" cm="1">
        <f t="array" ref="K27">IF(J27="X",(_xlfn.XLOOKUP($B27,Tabla1[SERVICIO],Tabla1[VALOR])*1),IF(J27&gt;=1,_xlfn.XLOOKUP($B27,Tabla1[SERVICIO],Tabla1[VALOR]*J27),0))</f>
        <v>0</v>
      </c>
      <c r="L27" s="14"/>
      <c r="M27" s="56" cm="1">
        <f t="array" ref="M27">IF(L27="X",(_xlfn.XLOOKUP($B27,Tabla1[SERVICIO],Tabla1[VALOR])*1),IF(L27&gt;=1,_xlfn.XLOOKUP($B27,Tabla1[SERVICIO],Tabla1[VALOR]*L27),0))</f>
        <v>0</v>
      </c>
      <c r="N27" s="14"/>
      <c r="O27" s="56" cm="1">
        <f t="array" ref="O27">IF(N27="X",(_xlfn.XLOOKUP($B27,Tabla1[SERVICIO],Tabla1[VALOR])*1),IF(N27&gt;=1,_xlfn.XLOOKUP($B27,Tabla1[SERVICIO],Tabla1[VALOR]*N27),0))</f>
        <v>0</v>
      </c>
      <c r="P27" s="14"/>
      <c r="Q27" s="56" cm="1">
        <f t="array" ref="Q27">IF(P27="X",(_xlfn.XLOOKUP($B27,Tabla1[SERVICIO],Tabla1[VALOR])*1),IF(P27&gt;=1,_xlfn.XLOOKUP($B27,Tabla1[SERVICIO],Tabla1[VALOR]*P27),0))</f>
        <v>0</v>
      </c>
      <c r="R27" s="14"/>
      <c r="S27" s="56" cm="1">
        <f t="array" ref="S27">IF(R27="X",(_xlfn.XLOOKUP($B27,Tabla1[SERVICIO],Tabla1[VALOR])*1),IF(R27&gt;=1,_xlfn.XLOOKUP($B27,Tabla1[SERVICIO],Tabla1[VALOR]*R27),0))</f>
        <v>0</v>
      </c>
      <c r="T27" s="14"/>
      <c r="U27" s="56" cm="1">
        <f t="array" ref="U27">IF(T27="X",(_xlfn.XLOOKUP($B27,Tabla1[SERVICIO],Tabla1[VALOR])*1),IF(T27&gt;=1,_xlfn.XLOOKUP($B27,Tabla1[SERVICIO],Tabla1[VALOR]*T27),0))</f>
        <v>0</v>
      </c>
      <c r="V27" s="14"/>
      <c r="W27" s="56" cm="1">
        <f t="array" ref="W27">IF(V27="X",(_xlfn.XLOOKUP($B27,Tabla1[SERVICIO],Tabla1[VALOR])*1),IF(V27&gt;=1,_xlfn.XLOOKUP($B27,Tabla1[SERVICIO],Tabla1[VALOR]*V27),0))</f>
        <v>0</v>
      </c>
      <c r="X27" s="14"/>
      <c r="Y27" s="56" cm="1">
        <f t="array" ref="Y27">IF(X27="X",(_xlfn.XLOOKUP($B27,Tabla1[SERVICIO],Tabla1[VALOR])*1),IF(X27&gt;=1,_xlfn.XLOOKUP($B27,Tabla1[SERVICIO],Tabla1[VALOR]*X27),0))</f>
        <v>0</v>
      </c>
      <c r="Z27" s="14"/>
      <c r="AA27" s="90" cm="1">
        <f t="array" ref="AA27">IF(Z27="X",(_xlfn.XLOOKUP($B27,Tabla1[SERVICIO],Tabla1[VALOR])*1),IF(Z27&gt;=1,_xlfn.XLOOKUP($B27,Tabla1[SERVICIO],Tabla1[VALOR]*Z27),0))</f>
        <v>0</v>
      </c>
      <c r="AB27" s="89">
        <f t="shared" si="0"/>
        <v>60236.092716419647</v>
      </c>
      <c r="AC27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7" s="37" t="s">
        <v>319</v>
      </c>
      <c r="AE27" s="126">
        <v>9.1503267973856203E-2</v>
      </c>
      <c r="AF27" s="121">
        <f>+Tabla46740[[#This Row],[TOTAL]]*Tabla46740[[#This Row],[% de las personas que lo usaron]]</f>
        <v>5511.7993335285946</v>
      </c>
      <c r="AG27" s="240" t="s">
        <v>354</v>
      </c>
      <c r="AH27" s="243">
        <v>12</v>
      </c>
    </row>
    <row r="28" spans="1:34" x14ac:dyDescent="0.25">
      <c r="A28" s="7" t="s">
        <v>114</v>
      </c>
      <c r="B28" s="96" t="s">
        <v>117</v>
      </c>
      <c r="C28" s="96" t="str">
        <f>_xlfn.XLOOKUP(Tabla46740[[#This Row],[Servicios del Programa:]],Tabla151[CODIGO],Tabla151[VALOR])</f>
        <v>Consultas</v>
      </c>
      <c r="D28" s="14"/>
      <c r="E28" s="56" cm="1">
        <f t="array" ref="E28">IF(D28="X",(_xlfn.XLOOKUP($B28,Tabla1[SERVICIO],Tabla1[VALOR])*1),IF(D28&gt;=1,_xlfn.XLOOKUP($B28,Tabla1[SERVICIO],Tabla1[VALOR]*D28),0))</f>
        <v>0</v>
      </c>
      <c r="F28" s="14"/>
      <c r="G28" s="56" cm="1">
        <f t="array" ref="G28">IF(F28="X",(_xlfn.XLOOKUP($B28,Tabla1[SERVICIO],Tabla1[VALOR])*1),IF(F28&gt;=1,_xlfn.XLOOKUP($B28,Tabla1[SERVICIO],Tabla1[VALOR]*F28),0))</f>
        <v>0</v>
      </c>
      <c r="H28" s="14"/>
      <c r="I28" s="56" cm="1">
        <f t="array" ref="I28">IF(H28="X",(_xlfn.XLOOKUP($B28,Tabla1[SERVICIO],Tabla1[VALOR])*1),IF(H28&gt;=1,_xlfn.XLOOKUP($B28,Tabla1[SERVICIO],Tabla1[VALOR]*H28),0))</f>
        <v>0</v>
      </c>
      <c r="J28" s="14">
        <v>1</v>
      </c>
      <c r="K28" s="56" cm="1">
        <f t="array" ref="K28">IF(J28="X",(_xlfn.XLOOKUP($B28,Tabla1[SERVICIO],Tabla1[VALOR])*1),IF(J28&gt;=1,_xlfn.XLOOKUP($B28,Tabla1[SERVICIO],Tabla1[VALOR]*J28),0))</f>
        <v>62748.232282880919</v>
      </c>
      <c r="L28" s="14"/>
      <c r="M28" s="56" cm="1">
        <f t="array" ref="M28">IF(L28="X",(_xlfn.XLOOKUP($B28,Tabla1[SERVICIO],Tabla1[VALOR])*1),IF(L28&gt;=1,_xlfn.XLOOKUP($B28,Tabla1[SERVICIO],Tabla1[VALOR]*L28),0))</f>
        <v>0</v>
      </c>
      <c r="N28" s="14"/>
      <c r="O28" s="56" cm="1">
        <f t="array" ref="O28">IF(N28="X",(_xlfn.XLOOKUP($B28,Tabla1[SERVICIO],Tabla1[VALOR])*1),IF(N28&gt;=1,_xlfn.XLOOKUP($B28,Tabla1[SERVICIO],Tabla1[VALOR]*N28),0))</f>
        <v>0</v>
      </c>
      <c r="P28" s="14">
        <v>1</v>
      </c>
      <c r="Q28" s="56" cm="1">
        <f t="array" ref="Q28">IF(P28="X",(_xlfn.XLOOKUP($B28,Tabla1[SERVICIO],Tabla1[VALOR])*1),IF(P28&gt;=1,_xlfn.XLOOKUP($B28,Tabla1[SERVICIO],Tabla1[VALOR]*P28),0))</f>
        <v>62748.232282880919</v>
      </c>
      <c r="R28" s="14"/>
      <c r="S28" s="56" cm="1">
        <f t="array" ref="S28">IF(R28="X",(_xlfn.XLOOKUP($B28,Tabla1[SERVICIO],Tabla1[VALOR])*1),IF(R28&gt;=1,_xlfn.XLOOKUP($B28,Tabla1[SERVICIO],Tabla1[VALOR]*R28),0))</f>
        <v>0</v>
      </c>
      <c r="T28" s="14"/>
      <c r="U28" s="56" cm="1">
        <f t="array" ref="U28">IF(T28="X",(_xlfn.XLOOKUP($B28,Tabla1[SERVICIO],Tabla1[VALOR])*1),IF(T28&gt;=1,_xlfn.XLOOKUP($B28,Tabla1[SERVICIO],Tabla1[VALOR]*T28),0))</f>
        <v>0</v>
      </c>
      <c r="V28" s="14">
        <v>1</v>
      </c>
      <c r="W28" s="56" cm="1">
        <f t="array" ref="W28">IF(V28="X",(_xlfn.XLOOKUP($B28,Tabla1[SERVICIO],Tabla1[VALOR])*1),IF(V28&gt;=1,_xlfn.XLOOKUP($B28,Tabla1[SERVICIO],Tabla1[VALOR]*V28),0))</f>
        <v>62748.232282880919</v>
      </c>
      <c r="X28" s="14"/>
      <c r="Y28" s="56" cm="1">
        <f t="array" ref="Y28">IF(X28="X",(_xlfn.XLOOKUP($B28,Tabla1[SERVICIO],Tabla1[VALOR])*1),IF(X28&gt;=1,_xlfn.XLOOKUP($B28,Tabla1[SERVICIO],Tabla1[VALOR]*X28),0))</f>
        <v>0</v>
      </c>
      <c r="Z28" s="14"/>
      <c r="AA28" s="90" cm="1">
        <f t="array" ref="AA28">IF(Z28="X",(_xlfn.XLOOKUP($B28,Tabla1[SERVICIO],Tabla1[VALOR])*1),IF(Z28&gt;=1,_xlfn.XLOOKUP($B28,Tabla1[SERVICIO],Tabla1[VALOR]*Z28),0))</f>
        <v>0</v>
      </c>
      <c r="AB28" s="89">
        <f t="shared" si="0"/>
        <v>188244.69684864275</v>
      </c>
      <c r="AC28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28" s="37" t="s">
        <v>319</v>
      </c>
      <c r="AE28" s="126">
        <v>4.5751633986928102E-2</v>
      </c>
      <c r="AF28" s="121">
        <f>+Tabla46740[[#This Row],[TOTAL]]*Tabla46740[[#This Row],[% de las personas que lo usaron]]</f>
        <v>8612.5024701993407</v>
      </c>
      <c r="AG28" s="240" t="s">
        <v>354</v>
      </c>
      <c r="AH28" s="243">
        <v>12</v>
      </c>
    </row>
    <row r="29" spans="1:34" x14ac:dyDescent="0.25">
      <c r="A29" s="7" t="s">
        <v>115</v>
      </c>
      <c r="B29" s="96" t="s">
        <v>118</v>
      </c>
      <c r="C29" s="96" t="str">
        <f>_xlfn.XLOOKUP(Tabla46740[[#This Row],[Servicios del Programa:]],Tabla151[CODIGO],Tabla151[VALOR])</f>
        <v>Consultas</v>
      </c>
      <c r="D29" s="14"/>
      <c r="E29" s="56" cm="1">
        <f t="array" ref="E29">IF(D29="X",(_xlfn.XLOOKUP($B29,Tabla1[SERVICIO],Tabla1[VALOR])*1),IF(D29&gt;=1,_xlfn.XLOOKUP($B29,Tabla1[SERVICIO],Tabla1[VALOR]*D29),0))</f>
        <v>0</v>
      </c>
      <c r="F29" s="14"/>
      <c r="G29" s="56" cm="1">
        <f t="array" ref="G29">IF(F29="X",(_xlfn.XLOOKUP($B29,Tabla1[SERVICIO],Tabla1[VALOR])*1),IF(F29&gt;=1,_xlfn.XLOOKUP($B29,Tabla1[SERVICIO],Tabla1[VALOR]*F29),0))</f>
        <v>0</v>
      </c>
      <c r="H29" s="14"/>
      <c r="I29" s="56" cm="1">
        <f t="array" ref="I29">IF(H29="X",(_xlfn.XLOOKUP($B29,Tabla1[SERVICIO],Tabla1[VALOR])*1),IF(H29&gt;=1,_xlfn.XLOOKUP($B29,Tabla1[SERVICIO],Tabla1[VALOR]*H29),0))</f>
        <v>0</v>
      </c>
      <c r="J29" s="14"/>
      <c r="K29" s="56" cm="1">
        <f t="array" ref="K29">IF(J29="X",(_xlfn.XLOOKUP($B29,Tabla1[SERVICIO],Tabla1[VALOR])*1),IF(J29&gt;=1,_xlfn.XLOOKUP($B29,Tabla1[SERVICIO],Tabla1[VALOR]*J29),0))</f>
        <v>0</v>
      </c>
      <c r="L29" s="14"/>
      <c r="M29" s="56" cm="1">
        <f t="array" ref="M29">IF(L29="X",(_xlfn.XLOOKUP($B29,Tabla1[SERVICIO],Tabla1[VALOR])*1),IF(L29&gt;=1,_xlfn.XLOOKUP($B29,Tabla1[SERVICIO],Tabla1[VALOR]*L29),0))</f>
        <v>0</v>
      </c>
      <c r="N29" s="14"/>
      <c r="O29" s="56" cm="1">
        <f t="array" ref="O29">IF(N29="X",(_xlfn.XLOOKUP($B29,Tabla1[SERVICIO],Tabla1[VALOR])*1),IF(N29&gt;=1,_xlfn.XLOOKUP($B29,Tabla1[SERVICIO],Tabla1[VALOR]*N29),0))</f>
        <v>0</v>
      </c>
      <c r="P29" s="14"/>
      <c r="Q29" s="56" cm="1">
        <f t="array" ref="Q29">IF(P29="X",(_xlfn.XLOOKUP($B29,Tabla1[SERVICIO],Tabla1[VALOR])*1),IF(P29&gt;=1,_xlfn.XLOOKUP($B29,Tabla1[SERVICIO],Tabla1[VALOR]*P29),0))</f>
        <v>0</v>
      </c>
      <c r="R29" s="14"/>
      <c r="S29" s="56" cm="1">
        <f t="array" ref="S29">IF(R29="X",(_xlfn.XLOOKUP($B29,Tabla1[SERVICIO],Tabla1[VALOR])*1),IF(R29&gt;=1,_xlfn.XLOOKUP($B29,Tabla1[SERVICIO],Tabla1[VALOR]*R29),0))</f>
        <v>0</v>
      </c>
      <c r="T29" s="14"/>
      <c r="U29" s="56" cm="1">
        <f t="array" ref="U29">IF(T29="X",(_xlfn.XLOOKUP($B29,Tabla1[SERVICIO],Tabla1[VALOR])*1),IF(T29&gt;=1,_xlfn.XLOOKUP($B29,Tabla1[SERVICIO],Tabla1[VALOR]*T29),0))</f>
        <v>0</v>
      </c>
      <c r="V29" s="14"/>
      <c r="W29" s="56" cm="1">
        <f t="array" ref="W29">IF(V29="X",(_xlfn.XLOOKUP($B29,Tabla1[SERVICIO],Tabla1[VALOR])*1),IF(V29&gt;=1,_xlfn.XLOOKUP($B29,Tabla1[SERVICIO],Tabla1[VALOR]*V29),0))</f>
        <v>0</v>
      </c>
      <c r="X29" s="14"/>
      <c r="Y29" s="56" cm="1">
        <f t="array" ref="Y29">IF(X29="X",(_xlfn.XLOOKUP($B29,Tabla1[SERVICIO],Tabla1[VALOR])*1),IF(X29&gt;=1,_xlfn.XLOOKUP($B29,Tabla1[SERVICIO],Tabla1[VALOR]*X29),0))</f>
        <v>0</v>
      </c>
      <c r="Z29" s="14">
        <v>1</v>
      </c>
      <c r="AA29" s="88" cm="1">
        <f t="array" ref="AA29">IF(Z29="X",(_xlfn.XLOOKUP($B29,Tabla1[SERVICIO],Tabla1[VALOR])*1),IF(Z29&gt;=1,_xlfn.XLOOKUP($B29,Tabla1[SERVICIO],Tabla1[VALOR]*Z29),0))</f>
        <v>62748.232282880919</v>
      </c>
      <c r="AB29" s="89">
        <f t="shared" si="0"/>
        <v>62748.232282880919</v>
      </c>
      <c r="AC29" s="153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9" s="37" t="s">
        <v>319</v>
      </c>
      <c r="AE29" s="126">
        <v>0</v>
      </c>
      <c r="AF29" s="121">
        <f>+Tabla46740[[#This Row],[TOTAL]]*Tabla46740[[#This Row],[% de las personas que lo usaron]]</f>
        <v>0</v>
      </c>
      <c r="AG29" s="244" t="s">
        <v>354</v>
      </c>
      <c r="AH29" s="243">
        <v>12</v>
      </c>
    </row>
    <row r="30" spans="1:34" x14ac:dyDescent="0.25">
      <c r="A30" s="9"/>
      <c r="B30" s="10" t="s">
        <v>247</v>
      </c>
      <c r="C30" s="10"/>
      <c r="D30" s="10">
        <f>SUBTOTAL(109,Tabla46740[MES 1])</f>
        <v>18</v>
      </c>
      <c r="E30" s="16">
        <f>SUBTOTAL(109,Tabla46740[MES 13])</f>
        <v>742226.52264368034</v>
      </c>
      <c r="F30" s="10">
        <f>SUBTOTAL(109,Tabla46740[MES 2])</f>
        <v>8</v>
      </c>
      <c r="G30" s="72">
        <f>SUBTOTAL(109,Tabla46740[MES 22])</f>
        <v>70240.958933331596</v>
      </c>
      <c r="H30" s="10">
        <f>SUBTOTAL(109,Tabla46740[MES 3])</f>
        <v>9</v>
      </c>
      <c r="I30" s="72">
        <f>SUBTOTAL(109,Tabla46740[MES 32])</f>
        <v>126035.14070434716</v>
      </c>
      <c r="J30" s="10">
        <f>SUBTOTAL(109,Tabla46740[MES 4])</f>
        <v>10</v>
      </c>
      <c r="K30" s="72">
        <f>SUBTOTAL(109,Tabla46740[MES 42])</f>
        <v>155041.71201676549</v>
      </c>
      <c r="L30" s="10">
        <f>SUBTOTAL(109,Tabla46740[MES 5])</f>
        <v>8</v>
      </c>
      <c r="M30" s="72">
        <f>SUBTOTAL(109,Tabla46740[MES 52])</f>
        <v>70240.958933331596</v>
      </c>
      <c r="N30" s="10">
        <f>SUBTOTAL(109,Tabla46740[MES 6])</f>
        <v>12</v>
      </c>
      <c r="O30" s="72">
        <f>SUBTOTAL(109,Tabla46740[MES 62])</f>
        <v>209323.34064154635</v>
      </c>
      <c r="P30" s="10">
        <f>SUBTOTAL(109,Tabla46740[MES 7])</f>
        <v>9</v>
      </c>
      <c r="Q30" s="72">
        <f>SUBTOTAL(109,Tabla46740[MES 72])</f>
        <v>132989.19121621252</v>
      </c>
      <c r="R30" s="10">
        <f>SUBTOTAL(109,Tabla46740[MES 8])</f>
        <v>9</v>
      </c>
      <c r="S30" s="72">
        <f>SUBTOTAL(109,Tabla46740[MES 82])</f>
        <v>92293.479733884567</v>
      </c>
      <c r="T30" s="10">
        <f>SUBTOTAL(109,Tabla46740[MES 9])</f>
        <v>9</v>
      </c>
      <c r="U30" s="72">
        <f>SUBTOTAL(109,Tabla46740[MES 92])</f>
        <v>126035.14070434716</v>
      </c>
      <c r="V30" s="10">
        <f>SUBTOTAL(109,Tabla46740[MES 10])</f>
        <v>9</v>
      </c>
      <c r="W30" s="72">
        <f>SUBTOTAL(109,Tabla46740[MES 102])</f>
        <v>132989.19121621252</v>
      </c>
      <c r="X30" s="10">
        <f>SUBTOTAL(109,Tabla46740[MES 11])</f>
        <v>8</v>
      </c>
      <c r="Y30" s="72">
        <f>SUBTOTAL(109,Tabla46740[MES 112])</f>
        <v>70240.958933331596</v>
      </c>
      <c r="Z30" s="10">
        <f>SUBTOTAL(109,Tabla46740[MES 12])</f>
        <v>17</v>
      </c>
      <c r="AA30" s="101">
        <f>SUBTOTAL(109,Tabla46740[MES 122])</f>
        <v>364907.33108952601</v>
      </c>
      <c r="AB30" s="92">
        <f>SUBTOTAL(109,Tabla46740[TOTAL])</f>
        <v>2292563.9267665166</v>
      </c>
      <c r="AC30" s="124">
        <f>SUBTOTAL(109,Tabla46740[TOTAL SERVICIOS])</f>
        <v>126</v>
      </c>
      <c r="AD30"/>
      <c r="AE30"/>
      <c r="AF30" s="174">
        <f>SUBTOTAL(109,Tabla46740[VALOR COSTO])</f>
        <v>1471331.3563234289</v>
      </c>
      <c r="AG30" s="339">
        <f>+AF30/12</f>
        <v>122610.94636028574</v>
      </c>
      <c r="AH30" s="95"/>
    </row>
    <row r="32" spans="1:34" ht="30.75" customHeight="1" x14ac:dyDescent="0.25">
      <c r="A32" s="44" t="s">
        <v>210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6"/>
    </row>
    <row r="33" spans="1:46" s="204" customFormat="1" ht="30" x14ac:dyDescent="0.25">
      <c r="A33" s="20" t="s">
        <v>0</v>
      </c>
      <c r="B33" s="147" t="s">
        <v>209</v>
      </c>
      <c r="C33" s="183" t="s">
        <v>347</v>
      </c>
      <c r="D33" s="94" t="s">
        <v>56</v>
      </c>
      <c r="E33" s="94" t="s">
        <v>303</v>
      </c>
      <c r="F33" s="94" t="s">
        <v>57</v>
      </c>
      <c r="G33" s="94" t="s">
        <v>293</v>
      </c>
      <c r="H33" s="94" t="s">
        <v>58</v>
      </c>
      <c r="I33" s="94" t="s">
        <v>294</v>
      </c>
      <c r="J33" s="94" t="s">
        <v>59</v>
      </c>
      <c r="K33" s="94" t="s">
        <v>295</v>
      </c>
      <c r="L33" s="94" t="s">
        <v>60</v>
      </c>
      <c r="M33" s="94" t="s">
        <v>296</v>
      </c>
      <c r="N33" s="94" t="s">
        <v>61</v>
      </c>
      <c r="O33" s="94" t="s">
        <v>297</v>
      </c>
      <c r="P33" s="94" t="s">
        <v>62</v>
      </c>
      <c r="Q33" s="94" t="s">
        <v>298</v>
      </c>
      <c r="R33" s="94" t="s">
        <v>63</v>
      </c>
      <c r="S33" s="94" t="s">
        <v>299</v>
      </c>
      <c r="T33" s="94" t="s">
        <v>64</v>
      </c>
      <c r="U33" s="94" t="s">
        <v>300</v>
      </c>
      <c r="V33" s="94" t="s">
        <v>65</v>
      </c>
      <c r="W33" s="94" t="s">
        <v>301</v>
      </c>
      <c r="X33" s="94" t="s">
        <v>66</v>
      </c>
      <c r="Y33" s="94" t="s">
        <v>302</v>
      </c>
      <c r="Z33" s="94" t="s">
        <v>67</v>
      </c>
      <c r="AA33" s="94" t="s">
        <v>304</v>
      </c>
      <c r="AB33" s="94" t="s">
        <v>68</v>
      </c>
      <c r="AC33" s="94" t="s">
        <v>305</v>
      </c>
      <c r="AD33" s="94" t="s">
        <v>69</v>
      </c>
      <c r="AE33" s="94" t="s">
        <v>306</v>
      </c>
      <c r="AF33" s="94" t="s">
        <v>70</v>
      </c>
      <c r="AG33" s="94" t="s">
        <v>307</v>
      </c>
      <c r="AH33" s="94" t="s">
        <v>71</v>
      </c>
      <c r="AI33" s="94" t="s">
        <v>308</v>
      </c>
      <c r="AJ33" s="94" t="s">
        <v>72</v>
      </c>
      <c r="AK33" s="178" t="s">
        <v>309</v>
      </c>
      <c r="AL33" s="178" t="s">
        <v>73</v>
      </c>
      <c r="AM33" s="105" t="s">
        <v>310</v>
      </c>
      <c r="AN33" s="162" t="s">
        <v>247</v>
      </c>
      <c r="AO33" s="157" t="s">
        <v>313</v>
      </c>
      <c r="AP33" s="173" t="s">
        <v>187</v>
      </c>
      <c r="AQ33" s="103" t="s">
        <v>316</v>
      </c>
      <c r="AR33" s="157" t="s">
        <v>317</v>
      </c>
      <c r="AS33" s="105" t="s">
        <v>348</v>
      </c>
      <c r="AT33" s="105" t="s">
        <v>406</v>
      </c>
    </row>
    <row r="34" spans="1:46" x14ac:dyDescent="0.25">
      <c r="A34" s="7" t="s">
        <v>13</v>
      </c>
      <c r="B34" s="8" t="s">
        <v>14</v>
      </c>
      <c r="C34" s="96" t="str">
        <f>_xlfn.XLOOKUP(Tabla4671941[[#This Row],[Servicios del Programa:]],Tabla151[CODIGO],Tabla151[VALOR])</f>
        <v>Gestion y seguimiento</v>
      </c>
      <c r="D34" s="14">
        <v>1</v>
      </c>
      <c r="E34" s="56" cm="1">
        <f t="array" ref="E34">IF(D34="X",(_xlfn.XLOOKUP($B34,Tabla1[SERVICIO],Tabla1[VALOR])*1),IF(D34&gt;=1,_xlfn.XLOOKUP($B34,Tabla1[SERVICIO],Tabla1[VALOR]*D34),0))</f>
        <v>20552.755657371155</v>
      </c>
      <c r="F34" s="8"/>
      <c r="G34" s="56" cm="1">
        <f t="array" ref="G34">IF(F34="X",(_xlfn.XLOOKUP($B34,Tabla1[SERVICIO],Tabla1[VALOR])*1),IF(F34&gt;=1,_xlfn.XLOOKUP($B34,Tabla1[SERVICIO],Tabla1[VALOR]*F34),0))</f>
        <v>0</v>
      </c>
      <c r="H34" s="8"/>
      <c r="I34" s="56" cm="1">
        <f t="array" ref="I34">IF(H34="X",(_xlfn.XLOOKUP($B34,Tabla1[SERVICIO],Tabla1[VALOR])*1),IF(H34&gt;=1,_xlfn.XLOOKUP($B34,Tabla1[SERVICIO],Tabla1[VALOR]*H34),0))</f>
        <v>0</v>
      </c>
      <c r="J34" s="8"/>
      <c r="K34" s="56" cm="1">
        <f t="array" ref="K34">IF(J34="X",(_xlfn.XLOOKUP($B34,Tabla1[SERVICIO],Tabla1[VALOR])*1),IF(J34&gt;=1,_xlfn.XLOOKUP($B34,Tabla1[SERVICIO],Tabla1[VALOR]*J34),0))</f>
        <v>0</v>
      </c>
      <c r="L34" s="8"/>
      <c r="M34" s="56" cm="1">
        <f t="array" ref="M34">IF(L34="X",(_xlfn.XLOOKUP($B34,Tabla1[SERVICIO],Tabla1[VALOR])*1),IF(L34&gt;=1,_xlfn.XLOOKUP($B34,Tabla1[SERVICIO],Tabla1[VALOR]*L34),0))</f>
        <v>0</v>
      </c>
      <c r="N34" s="8"/>
      <c r="O34" s="56" cm="1">
        <f t="array" ref="O34">IF(N34="X",(_xlfn.XLOOKUP($B34,Tabla1[SERVICIO],Tabla1[VALOR])*1),IF(N34&gt;=1,_xlfn.XLOOKUP($B34,Tabla1[SERVICIO],Tabla1[VALOR]*N34),0))</f>
        <v>0</v>
      </c>
      <c r="P34" s="8"/>
      <c r="Q34" s="56" cm="1">
        <f t="array" ref="Q34">IF(P34="X",(_xlfn.XLOOKUP($B34,Tabla1[SERVICIO],Tabla1[VALOR])*1),IF(P34&gt;=1,_xlfn.XLOOKUP($B34,Tabla1[SERVICIO],Tabla1[VALOR]*P34),0))</f>
        <v>0</v>
      </c>
      <c r="R34" s="8"/>
      <c r="S34" s="56" cm="1">
        <f t="array" ref="S34">IF(R34="X",(_xlfn.XLOOKUP($B34,Tabla1[SERVICIO],Tabla1[VALOR])*1),IF(R34&gt;=1,_xlfn.XLOOKUP($B34,Tabla1[SERVICIO],Tabla1[VALOR]*R34),0))</f>
        <v>0</v>
      </c>
      <c r="T34" s="8"/>
      <c r="U34" s="56" cm="1">
        <f t="array" ref="U34">IF(T34="X",(_xlfn.XLOOKUP($B34,Tabla1[SERVICIO],Tabla1[VALOR])*1),IF(T34&gt;=1,_xlfn.XLOOKUP($B34,Tabla1[SERVICIO],Tabla1[VALOR]*T34),0))</f>
        <v>0</v>
      </c>
      <c r="V34" s="8"/>
      <c r="W34" s="56" cm="1">
        <f t="array" ref="W34">IF(V34="X",(_xlfn.XLOOKUP($B34,Tabla1[SERVICIO],Tabla1[VALOR])*1),IF(V34&gt;=1,_xlfn.XLOOKUP($B34,Tabla1[SERVICIO],Tabla1[VALOR]*V34),0))</f>
        <v>0</v>
      </c>
      <c r="X34" s="8"/>
      <c r="Y34" s="56" cm="1">
        <f t="array" ref="Y34">IF(X34="X",(_xlfn.XLOOKUP($B34,Tabla1[SERVICIO],Tabla1[VALOR])*1),IF(X34&gt;=1,_xlfn.XLOOKUP($B34,Tabla1[SERVICIO],Tabla1[VALOR]*X34),0))</f>
        <v>0</v>
      </c>
      <c r="Z34" s="8"/>
      <c r="AA34" s="56" cm="1">
        <f t="array" ref="AA34">IF(Z34="X",(_xlfn.XLOOKUP($B34,Tabla1[SERVICIO],Tabla1[VALOR])*1),IF(Z34&gt;=1,_xlfn.XLOOKUP($B34,Tabla1[SERVICIO],Tabla1[VALOR]*Z34),0))</f>
        <v>0</v>
      </c>
      <c r="AB34" s="8"/>
      <c r="AC34" s="56" cm="1">
        <f t="array" ref="AC34">IF(AB34="X",(_xlfn.XLOOKUP($B34,Tabla1[SERVICIO],Tabla1[VALOR])*1),IF(AB34&gt;=1,_xlfn.XLOOKUP($B34,Tabla1[SERVICIO],Tabla1[VALOR]*AB34),0))</f>
        <v>0</v>
      </c>
      <c r="AD34" s="8"/>
      <c r="AE34" s="56" cm="1">
        <f t="array" ref="AE34">IF(AD34="X",(_xlfn.XLOOKUP($B34,Tabla1[SERVICIO],Tabla1[VALOR])*1),IF(AD34&gt;=1,_xlfn.XLOOKUP($B34,Tabla1[SERVICIO],Tabla1[VALOR]*AD34),0))</f>
        <v>0</v>
      </c>
      <c r="AF34" s="8"/>
      <c r="AG34" s="56" cm="1">
        <f t="array" ref="AG34">IF(AF34="X",(_xlfn.XLOOKUP($B34,Tabla1[SERVICIO],Tabla1[VALOR])*1),IF(AF34&gt;=1,_xlfn.XLOOKUP($B34,Tabla1[SERVICIO],Tabla1[VALOR]*AF34),0))</f>
        <v>0</v>
      </c>
      <c r="AH34" s="8"/>
      <c r="AI34" s="56" cm="1">
        <f t="array" ref="AI34">IF(AH34="X",(_xlfn.XLOOKUP($B34,Tabla1[SERVICIO],Tabla1[VALOR])*1),IF(AH34&gt;=1,_xlfn.XLOOKUP($B34,Tabla1[SERVICIO],Tabla1[VALOR]*AH34),0))</f>
        <v>0</v>
      </c>
      <c r="AJ34" s="8"/>
      <c r="AK34" s="56" cm="1">
        <f t="array" ref="AK34">IF(AJ34="X",(_xlfn.XLOOKUP($B34,Tabla1[SERVICIO],Tabla1[VALOR])*1),IF(AJ34&gt;=1,_xlfn.XLOOKUP($B34,Tabla1[SERVICIO],Tabla1[VALOR]*AJ34),0))</f>
        <v>0</v>
      </c>
      <c r="AL34" s="8"/>
      <c r="AM34" s="91" cm="1">
        <f t="array" ref="AM34">IF(AL34="X",(_xlfn.XLOOKUP($B34,Tabla1[SERVICIO],Tabla1[VALOR])*1),IF(AL34&gt;=1,_xlfn.XLOOKUP($B34,Tabla1[SERVICIO],Tabla1[VALOR]*AL34),0))</f>
        <v>0</v>
      </c>
      <c r="AN34" s="89">
        <f>SUM(E34,G34,I34,K34,M34,O34,Q34,S34,U34,W34+Y34,AA34,AC34,AE34,AG34,AI34,AK34,AM34)</f>
        <v>20552.755657371155</v>
      </c>
      <c r="AO34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4" s="175" t="s">
        <v>318</v>
      </c>
      <c r="AQ34" s="126">
        <v>1</v>
      </c>
      <c r="AR34" s="121">
        <f>+Tabla4671941[[#This Row],[TOTAL]]*Tabla4671941[[#This Row],[% de las personas que lo usaron]]</f>
        <v>20552.755657371155</v>
      </c>
      <c r="AS34" s="243" t="s">
        <v>354</v>
      </c>
      <c r="AT34" s="243">
        <v>18</v>
      </c>
    </row>
    <row r="35" spans="1:46" x14ac:dyDescent="0.25">
      <c r="A35" s="7" t="s">
        <v>98</v>
      </c>
      <c r="B35" s="8" t="s">
        <v>99</v>
      </c>
      <c r="C35" s="96" t="str">
        <f>_xlfn.XLOOKUP(Tabla4671941[[#This Row],[Servicios del Programa:]],Tabla151[CODIGO],Tabla151[VALOR])</f>
        <v>Consultas</v>
      </c>
      <c r="D35" s="14">
        <v>1</v>
      </c>
      <c r="E35" s="56" cm="1">
        <f t="array" ref="E35">IF(D35="X",(_xlfn.XLOOKUP($B35,Tabla1[SERVICIO],Tabla1[VALOR])*1),IF(D35&gt;=1,_xlfn.XLOOKUP($B35,Tabla1[SERVICIO],Tabla1[VALOR]*D35),0))</f>
        <v>17887.388810409495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8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8"/>
      <c r="AM35" s="90" cm="1">
        <f t="array" ref="AM35">IF(AL35="X",(_xlfn.XLOOKUP($B35,Tabla1[SERVICIO],Tabla1[VALOR])*1),IF(AL35&gt;=1,_xlfn.XLOOKUP($B35,Tabla1[SERVICIO],Tabla1[VALOR]*AL35),0))</f>
        <v>0</v>
      </c>
      <c r="AN35" s="89">
        <f t="shared" ref="AN35:AN60" si="1">SUM(E35,G35,I35,K35,M35,O35,Q35,S35,U35,W35+Y35,AA35,AC35,AE35,AG35,AI35,AK35,AM35)</f>
        <v>17887.388810409495</v>
      </c>
      <c r="AO35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5" s="175" t="s">
        <v>318</v>
      </c>
      <c r="AQ35" s="126">
        <v>1</v>
      </c>
      <c r="AR35" s="121">
        <f>+Tabla4671941[[#This Row],[TOTAL]]*Tabla4671941[[#This Row],[% de las personas que lo usaron]]</f>
        <v>17887.388810409495</v>
      </c>
      <c r="AS35" s="240" t="s">
        <v>354</v>
      </c>
      <c r="AT35" s="243">
        <v>18</v>
      </c>
    </row>
    <row r="36" spans="1:46" x14ac:dyDescent="0.25">
      <c r="A36" s="7" t="s">
        <v>104</v>
      </c>
      <c r="B36" s="8" t="s">
        <v>105</v>
      </c>
      <c r="C36" s="96" t="str">
        <f>_xlfn.XLOOKUP(Tabla4671941[[#This Row],[Servicios del Programa:]],Tabla151[CODIGO],Tabla151[VALOR])</f>
        <v>Consultas</v>
      </c>
      <c r="D36" s="14"/>
      <c r="E36" s="56" cm="1">
        <f t="array" ref="E36">IF(D36="X",(_xlfn.XLOOKUP($B36,Tabla1[SERVICIO],Tabla1[VALOR])*1),IF(D36&gt;=1,_xlfn.XLOOKUP($B36,Tabla1[SERVICIO],Tabla1[VALOR]*D36),0))</f>
        <v>0</v>
      </c>
      <c r="F36" s="8"/>
      <c r="G36" s="56" cm="1">
        <f t="array" ref="G36">IF(F36="X",(_xlfn.XLOOKUP($B36,Tabla1[SERVICIO],Tabla1[VALOR])*1),IF(F36&gt;=1,_xlfn.XLOOKUP($B36,Tabla1[SERVICIO],Tabla1[VALOR]*F36),0))</f>
        <v>0</v>
      </c>
      <c r="H36" s="8"/>
      <c r="I36" s="56" cm="1">
        <f t="array" ref="I36">IF(H36="X",(_xlfn.XLOOKUP($B36,Tabla1[SERVICIO],Tabla1[VALOR])*1),IF(H36&gt;=1,_xlfn.XLOOKUP($B36,Tabla1[SERVICIO],Tabla1[VALOR]*H36),0))</f>
        <v>0</v>
      </c>
      <c r="J36" s="8"/>
      <c r="K36" s="56" cm="1">
        <f t="array" ref="K36">IF(J36="X",(_xlfn.XLOOKUP($B36,Tabla1[SERVICIO],Tabla1[VALOR])*1),IF(J36&gt;=1,_xlfn.XLOOKUP($B36,Tabla1[SERVICIO],Tabla1[VALOR]*J36),0))</f>
        <v>0</v>
      </c>
      <c r="L36" s="8"/>
      <c r="M36" s="56" cm="1">
        <f t="array" ref="M36">IF(L36="X",(_xlfn.XLOOKUP($B36,Tabla1[SERVICIO],Tabla1[VALOR])*1),IF(L36&gt;=1,_xlfn.XLOOKUP($B36,Tabla1[SERVICIO],Tabla1[VALOR]*L36),0))</f>
        <v>0</v>
      </c>
      <c r="N36" s="14"/>
      <c r="O36" s="56" cm="1">
        <f t="array" ref="O36">IF(N36="X",(_xlfn.XLOOKUP($B36,Tabla1[SERVICIO],Tabla1[VALOR])*1),IF(N36&gt;=1,_xlfn.XLOOKUP($B36,Tabla1[SERVICIO],Tabla1[VALOR]*N36),0))</f>
        <v>0</v>
      </c>
      <c r="P36" s="8"/>
      <c r="Q36" s="56" cm="1">
        <f t="array" ref="Q36">IF(P36="X",(_xlfn.XLOOKUP($B36,Tabla1[SERVICIO],Tabla1[VALOR])*1),IF(P36&gt;=1,_xlfn.XLOOKUP($B36,Tabla1[SERVICIO],Tabla1[VALOR]*P36),0))</f>
        <v>0</v>
      </c>
      <c r="R36" s="8"/>
      <c r="S36" s="56" cm="1">
        <f t="array" ref="S36">IF(R36="X",(_xlfn.XLOOKUP($B36,Tabla1[SERVICIO],Tabla1[VALOR])*1),IF(R36&gt;=1,_xlfn.XLOOKUP($B36,Tabla1[SERVICIO],Tabla1[VALOR]*R36),0))</f>
        <v>0</v>
      </c>
      <c r="T36" s="8"/>
      <c r="U36" s="56" cm="1">
        <f t="array" ref="U36">IF(T36="X",(_xlfn.XLOOKUP($B36,Tabla1[SERVICIO],Tabla1[VALOR])*1),IF(T36&gt;=1,_xlfn.XLOOKUP($B36,Tabla1[SERVICIO],Tabla1[VALOR]*T36),0))</f>
        <v>0</v>
      </c>
      <c r="V36" s="8"/>
      <c r="W36" s="56" cm="1">
        <f t="array" ref="W36">IF(V36="X",(_xlfn.XLOOKUP($B36,Tabla1[SERVICIO],Tabla1[VALOR])*1),IF(V36&gt;=1,_xlfn.XLOOKUP($B36,Tabla1[SERVICIO],Tabla1[VALOR]*V36),0))</f>
        <v>0</v>
      </c>
      <c r="X36" s="8"/>
      <c r="Y36" s="56" cm="1">
        <f t="array" ref="Y36">IF(X36="X",(_xlfn.XLOOKUP($B36,Tabla1[SERVICIO],Tabla1[VALOR])*1),IF(X36&gt;=1,_xlfn.XLOOKUP($B36,Tabla1[SERVICIO],Tabla1[VALOR]*X36),0))</f>
        <v>0</v>
      </c>
      <c r="Z36" s="8"/>
      <c r="AA36" s="56" cm="1">
        <f t="array" ref="AA36">IF(Z36="X",(_xlfn.XLOOKUP($B36,Tabla1[SERVICIO],Tabla1[VALOR])*1),IF(Z36&gt;=1,_xlfn.XLOOKUP($B36,Tabla1[SERVICIO],Tabla1[VALOR]*Z36),0))</f>
        <v>0</v>
      </c>
      <c r="AB36" s="8"/>
      <c r="AC36" s="56" cm="1">
        <f t="array" ref="AC36">IF(AB36="X",(_xlfn.XLOOKUP($B36,Tabla1[SERVICIO],Tabla1[VALOR])*1),IF(AB36&gt;=1,_xlfn.XLOOKUP($B36,Tabla1[SERVICIO],Tabla1[VALOR]*AB36),0))</f>
        <v>0</v>
      </c>
      <c r="AD36" s="8"/>
      <c r="AE36" s="56" cm="1">
        <f t="array" ref="AE36">IF(AD36="X",(_xlfn.XLOOKUP($B36,Tabla1[SERVICIO],Tabla1[VALOR])*1),IF(AD36&gt;=1,_xlfn.XLOOKUP($B36,Tabla1[SERVICIO],Tabla1[VALOR]*AD36),0))</f>
        <v>0</v>
      </c>
      <c r="AF36" s="8"/>
      <c r="AG36" s="56" cm="1">
        <f t="array" ref="AG36">IF(AF36="X",(_xlfn.XLOOKUP($B36,Tabla1[SERVICIO],Tabla1[VALOR])*1),IF(AF36&gt;=1,_xlfn.XLOOKUP($B36,Tabla1[SERVICIO],Tabla1[VALOR]*AF36),0))</f>
        <v>0</v>
      </c>
      <c r="AH36" s="8"/>
      <c r="AI36" s="56" cm="1">
        <f t="array" ref="AI36">IF(AH36="X",(_xlfn.XLOOKUP($B36,Tabla1[SERVICIO],Tabla1[VALOR])*1),IF(AH36&gt;=1,_xlfn.XLOOKUP($B36,Tabla1[SERVICIO],Tabla1[VALOR]*AH36),0))</f>
        <v>0</v>
      </c>
      <c r="AJ36" s="8"/>
      <c r="AK36" s="56" cm="1">
        <f t="array" ref="AK36">IF(AJ36="X",(_xlfn.XLOOKUP($B36,Tabla1[SERVICIO],Tabla1[VALOR])*1),IF(AJ36&gt;=1,_xlfn.XLOOKUP($B36,Tabla1[SERVICIO],Tabla1[VALOR]*AJ36),0))</f>
        <v>0</v>
      </c>
      <c r="AL36" s="15">
        <v>1</v>
      </c>
      <c r="AM36" s="90" cm="1">
        <f t="array" ref="AM36">IF(AL36="X",(_xlfn.XLOOKUP($B36,Tabla1[SERVICIO],Tabla1[VALOR])*1),IF(AL36&gt;=1,_xlfn.XLOOKUP($B36,Tabla1[SERVICIO],Tabla1[VALOR]*AL36),0))</f>
        <v>17887.388810409495</v>
      </c>
      <c r="AN36" s="89">
        <f t="shared" si="1"/>
        <v>17887.388810409495</v>
      </c>
      <c r="AO36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6" s="37" t="s">
        <v>319</v>
      </c>
      <c r="AQ36" s="126">
        <v>6.5359477124183009E-3</v>
      </c>
      <c r="AR36" s="121">
        <f>+Tabla4671941[[#This Row],[TOTAL]]*Tabla4671941[[#This Row],[% de las personas que lo usaron]]</f>
        <v>116.91103797653265</v>
      </c>
      <c r="AS36" s="240" t="s">
        <v>354</v>
      </c>
      <c r="AT36" s="243">
        <v>18</v>
      </c>
    </row>
    <row r="37" spans="1:46" x14ac:dyDescent="0.25">
      <c r="A37" s="7" t="s">
        <v>27</v>
      </c>
      <c r="B37" s="8" t="s">
        <v>28</v>
      </c>
      <c r="C37" s="96" t="str">
        <f>_xlfn.XLOOKUP(Tabla4671941[[#This Row],[Servicios del Programa:]],Tabla151[CODIGO],Tabla151[VALOR])</f>
        <v>Diagnosticos</v>
      </c>
      <c r="D37" s="14">
        <v>1</v>
      </c>
      <c r="E37" s="56" cm="1">
        <f t="array" ref="E37">IF(D37="X",(_xlfn.XLOOKUP($B37,Tabla1[SERVICIO],Tabla1[VALOR])*1),IF(D37&gt;=1,_xlfn.XLOOKUP($B37,Tabla1[SERVICIO],Tabla1[VALOR]*D37),0))</f>
        <v>43480.816890660324</v>
      </c>
      <c r="F37" s="8"/>
      <c r="G37" s="56" cm="1">
        <f t="array" ref="G37">IF(F37="X",(_xlfn.XLOOKUP($B37,Tabla1[SERVICIO],Tabla1[VALOR])*1),IF(F37&gt;=1,_xlfn.XLOOKUP($B37,Tabla1[SERVICIO],Tabla1[VALOR]*F37),0))</f>
        <v>0</v>
      </c>
      <c r="H37" s="8"/>
      <c r="I37" s="56" cm="1">
        <f t="array" ref="I37">IF(H37="X",(_xlfn.XLOOKUP($B37,Tabla1[SERVICIO],Tabla1[VALOR])*1),IF(H37&gt;=1,_xlfn.XLOOKUP($B37,Tabla1[SERVICIO],Tabla1[VALOR]*H37),0))</f>
        <v>0</v>
      </c>
      <c r="J37" s="8"/>
      <c r="K37" s="56" cm="1">
        <f t="array" ref="K37">IF(J37="X",(_xlfn.XLOOKUP($B37,Tabla1[SERVICIO],Tabla1[VALOR])*1),IF(J37&gt;=1,_xlfn.XLOOKUP($B37,Tabla1[SERVICIO],Tabla1[VALOR]*J37),0))</f>
        <v>0</v>
      </c>
      <c r="L37" s="8"/>
      <c r="M37" s="56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6" cm="1">
        <f t="array" ref="O37">IF(N37="X",(_xlfn.XLOOKUP($B37,Tabla1[SERVICIO],Tabla1[VALOR])*1),IF(N37&gt;=1,_xlfn.XLOOKUP($B37,Tabla1[SERVICIO],Tabla1[VALOR]*N37),0))</f>
        <v>43480.816890660324</v>
      </c>
      <c r="P37" s="8"/>
      <c r="Q37" s="56" cm="1">
        <f t="array" ref="Q37">IF(P37="X",(_xlfn.XLOOKUP($B37,Tabla1[SERVICIO],Tabla1[VALOR])*1),IF(P37&gt;=1,_xlfn.XLOOKUP($B37,Tabla1[SERVICIO],Tabla1[VALOR]*P37),0))</f>
        <v>0</v>
      </c>
      <c r="R37" s="8"/>
      <c r="S37" s="56" cm="1">
        <f t="array" ref="S37">IF(R37="X",(_xlfn.XLOOKUP($B37,Tabla1[SERVICIO],Tabla1[VALOR])*1),IF(R37&gt;=1,_xlfn.XLOOKUP($B37,Tabla1[SERVICIO],Tabla1[VALOR]*R37),0))</f>
        <v>0</v>
      </c>
      <c r="T37" s="8"/>
      <c r="U37" s="56" cm="1">
        <f t="array" ref="U37">IF(T37="X",(_xlfn.XLOOKUP($B37,Tabla1[SERVICIO],Tabla1[VALOR])*1),IF(T37&gt;=1,_xlfn.XLOOKUP($B37,Tabla1[SERVICIO],Tabla1[VALOR]*T37),0))</f>
        <v>0</v>
      </c>
      <c r="V37" s="8"/>
      <c r="W37" s="56" cm="1">
        <f t="array" ref="W37">IF(V37="X",(_xlfn.XLOOKUP($B37,Tabla1[SERVICIO],Tabla1[VALOR])*1),IF(V37&gt;=1,_xlfn.XLOOKUP($B37,Tabla1[SERVICIO],Tabla1[VALOR]*V37),0))</f>
        <v>0</v>
      </c>
      <c r="X37" s="8"/>
      <c r="Y37" s="56" cm="1">
        <f t="array" ref="Y37">IF(X37="X",(_xlfn.XLOOKUP($B37,Tabla1[SERVICIO],Tabla1[VALOR])*1),IF(X37&gt;=1,_xlfn.XLOOKUP($B37,Tabla1[SERVICIO],Tabla1[VALOR]*X37),0))</f>
        <v>0</v>
      </c>
      <c r="Z37" s="8"/>
      <c r="AA37" s="56" cm="1">
        <f t="array" ref="AA37">IF(Z37="X",(_xlfn.XLOOKUP($B37,Tabla1[SERVICIO],Tabla1[VALOR])*1),IF(Z37&gt;=1,_xlfn.XLOOKUP($B37,Tabla1[SERVICIO],Tabla1[VALOR]*Z37),0))</f>
        <v>0</v>
      </c>
      <c r="AB37" s="8"/>
      <c r="AC37" s="56" cm="1">
        <f t="array" ref="AC37">IF(AB37="X",(_xlfn.XLOOKUP($B37,Tabla1[SERVICIO],Tabla1[VALOR])*1),IF(AB37&gt;=1,_xlfn.XLOOKUP($B37,Tabla1[SERVICIO],Tabla1[VALOR]*AB37),0))</f>
        <v>0</v>
      </c>
      <c r="AD37" s="8"/>
      <c r="AE37" s="56" cm="1">
        <f t="array" ref="AE37">IF(AD37="X",(_xlfn.XLOOKUP($B37,Tabla1[SERVICIO],Tabla1[VALOR])*1),IF(AD37&gt;=1,_xlfn.XLOOKUP($B37,Tabla1[SERVICIO],Tabla1[VALOR]*AD37),0))</f>
        <v>0</v>
      </c>
      <c r="AF37" s="8"/>
      <c r="AG37" s="56" cm="1">
        <f t="array" ref="AG37">IF(AF37="X",(_xlfn.XLOOKUP($B37,Tabla1[SERVICIO],Tabla1[VALOR])*1),IF(AF37&gt;=1,_xlfn.XLOOKUP($B37,Tabla1[SERVICIO],Tabla1[VALOR]*AF37),0))</f>
        <v>0</v>
      </c>
      <c r="AH37" s="8"/>
      <c r="AI37" s="56" cm="1">
        <f t="array" ref="AI37">IF(AH37="X",(_xlfn.XLOOKUP($B37,Tabla1[SERVICIO],Tabla1[VALOR])*1),IF(AH37&gt;=1,_xlfn.XLOOKUP($B37,Tabla1[SERVICIO],Tabla1[VALOR]*AH37),0))</f>
        <v>0</v>
      </c>
      <c r="AJ37" s="8"/>
      <c r="AK37" s="56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90" cm="1">
        <f t="array" ref="AM37">IF(AL37="X",(_xlfn.XLOOKUP($B37,Tabla1[SERVICIO],Tabla1[VALOR])*1),IF(AL37&gt;=1,_xlfn.XLOOKUP($B37,Tabla1[SERVICIO],Tabla1[VALOR]*AL37),0))</f>
        <v>43480.816890660324</v>
      </c>
      <c r="AN37" s="89">
        <f t="shared" si="1"/>
        <v>130442.45067198097</v>
      </c>
      <c r="AO37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37" s="175" t="s">
        <v>318</v>
      </c>
      <c r="AQ37" s="126">
        <v>1</v>
      </c>
      <c r="AR37" s="121">
        <f>+Tabla4671941[[#This Row],[TOTAL]]*Tabla4671941[[#This Row],[% de las personas que lo usaron]]</f>
        <v>130442.45067198097</v>
      </c>
      <c r="AS37" s="240" t="s">
        <v>354</v>
      </c>
      <c r="AT37" s="243">
        <v>18</v>
      </c>
    </row>
    <row r="38" spans="1:46" x14ac:dyDescent="0.25">
      <c r="A38" s="7" t="s">
        <v>25</v>
      </c>
      <c r="B38" s="8" t="s">
        <v>26</v>
      </c>
      <c r="C38" s="96" t="str">
        <f>_xlfn.XLOOKUP(Tabla4671941[[#This Row],[Servicios del Programa:]],Tabla151[CODIGO],Tabla151[VALOR])</f>
        <v>Diagnosticos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19392.627189167735</v>
      </c>
      <c r="F38" s="8"/>
      <c r="G38" s="56" cm="1">
        <f t="array" ref="G38">IF(F38="X",(_xlfn.XLOOKUP($B38,Tabla1[SERVICIO],Tabla1[VALOR])*1),IF(F38&gt;=1,_xlfn.XLOOKUP($B38,Tabla1[SERVICIO],Tabla1[VALOR]*F38),0))</f>
        <v>0</v>
      </c>
      <c r="H38" s="8"/>
      <c r="I38" s="56" cm="1">
        <f t="array" ref="I38">IF(H38="X",(_xlfn.XLOOKUP($B38,Tabla1[SERVICIO],Tabla1[VALOR])*1),IF(H38&gt;=1,_xlfn.XLOOKUP($B38,Tabla1[SERVICIO],Tabla1[VALOR]*H38),0))</f>
        <v>0</v>
      </c>
      <c r="J38" s="8"/>
      <c r="K38" s="56" cm="1">
        <f t="array" ref="K38">IF(J38="X",(_xlfn.XLOOKUP($B38,Tabla1[SERVICIO],Tabla1[VALOR])*1),IF(J38&gt;=1,_xlfn.XLOOKUP($B38,Tabla1[SERVICIO],Tabla1[VALOR]*J38),0))</f>
        <v>0</v>
      </c>
      <c r="L38" s="8"/>
      <c r="M38" s="56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6" cm="1">
        <f t="array" ref="O38">IF(N38="X",(_xlfn.XLOOKUP($B38,Tabla1[SERVICIO],Tabla1[VALOR])*1),IF(N38&gt;=1,_xlfn.XLOOKUP($B38,Tabla1[SERVICIO],Tabla1[VALOR]*N38),0))</f>
        <v>19392.627189167735</v>
      </c>
      <c r="P38" s="8"/>
      <c r="Q38" s="56" cm="1">
        <f t="array" ref="Q38">IF(P38="X",(_xlfn.XLOOKUP($B38,Tabla1[SERVICIO],Tabla1[VALOR])*1),IF(P38&gt;=1,_xlfn.XLOOKUP($B38,Tabla1[SERVICIO],Tabla1[VALOR]*P38),0))</f>
        <v>0</v>
      </c>
      <c r="R38" s="8"/>
      <c r="S38" s="56" cm="1">
        <f t="array" ref="S38">IF(R38="X",(_xlfn.XLOOKUP($B38,Tabla1[SERVICIO],Tabla1[VALOR])*1),IF(R38&gt;=1,_xlfn.XLOOKUP($B38,Tabla1[SERVICIO],Tabla1[VALOR]*R38),0))</f>
        <v>0</v>
      </c>
      <c r="T38" s="8"/>
      <c r="U38" s="56" cm="1">
        <f t="array" ref="U38">IF(T38="X",(_xlfn.XLOOKUP($B38,Tabla1[SERVICIO],Tabla1[VALOR])*1),IF(T38&gt;=1,_xlfn.XLOOKUP($B38,Tabla1[SERVICIO],Tabla1[VALOR]*T38),0))</f>
        <v>0</v>
      </c>
      <c r="V38" s="8"/>
      <c r="W38" s="56" cm="1">
        <f t="array" ref="W38">IF(V38="X",(_xlfn.XLOOKUP($B38,Tabla1[SERVICIO],Tabla1[VALOR])*1),IF(V38&gt;=1,_xlfn.XLOOKUP($B38,Tabla1[SERVICIO],Tabla1[VALOR]*V38),0))</f>
        <v>0</v>
      </c>
      <c r="X38" s="8"/>
      <c r="Y38" s="56" cm="1">
        <f t="array" ref="Y38">IF(X38="X",(_xlfn.XLOOKUP($B38,Tabla1[SERVICIO],Tabla1[VALOR])*1),IF(X38&gt;=1,_xlfn.XLOOKUP($B38,Tabla1[SERVICIO],Tabla1[VALOR]*X38),0))</f>
        <v>0</v>
      </c>
      <c r="Z38" s="8"/>
      <c r="AA38" s="56" cm="1">
        <f t="array" ref="AA38">IF(Z38="X",(_xlfn.XLOOKUP($B38,Tabla1[SERVICIO],Tabla1[VALOR])*1),IF(Z38&gt;=1,_xlfn.XLOOKUP($B38,Tabla1[SERVICIO],Tabla1[VALOR]*Z38),0))</f>
        <v>0</v>
      </c>
      <c r="AB38" s="8"/>
      <c r="AC38" s="56" cm="1">
        <f t="array" ref="AC38">IF(AB38="X",(_xlfn.XLOOKUP($B38,Tabla1[SERVICIO],Tabla1[VALOR])*1),IF(AB38&gt;=1,_xlfn.XLOOKUP($B38,Tabla1[SERVICIO],Tabla1[VALOR]*AB38),0))</f>
        <v>0</v>
      </c>
      <c r="AD38" s="8"/>
      <c r="AE38" s="56" cm="1">
        <f t="array" ref="AE38">IF(AD38="X",(_xlfn.XLOOKUP($B38,Tabla1[SERVICIO],Tabla1[VALOR])*1),IF(AD38&gt;=1,_xlfn.XLOOKUP($B38,Tabla1[SERVICIO],Tabla1[VALOR]*AD38),0))</f>
        <v>0</v>
      </c>
      <c r="AF38" s="8"/>
      <c r="AG38" s="56" cm="1">
        <f t="array" ref="AG38">IF(AF38="X",(_xlfn.XLOOKUP($B38,Tabla1[SERVICIO],Tabla1[VALOR])*1),IF(AF38&gt;=1,_xlfn.XLOOKUP($B38,Tabla1[SERVICIO],Tabla1[VALOR]*AF38),0))</f>
        <v>0</v>
      </c>
      <c r="AH38" s="8"/>
      <c r="AI38" s="56" cm="1">
        <f t="array" ref="AI38">IF(AH38="X",(_xlfn.XLOOKUP($B38,Tabla1[SERVICIO],Tabla1[VALOR])*1),IF(AH38&gt;=1,_xlfn.XLOOKUP($B38,Tabla1[SERVICIO],Tabla1[VALOR]*AH38),0))</f>
        <v>0</v>
      </c>
      <c r="AJ38" s="8"/>
      <c r="AK38" s="56" cm="1">
        <f t="array" ref="AK38">IF(AJ38="X",(_xlfn.XLOOKUP($B38,Tabla1[SERVICIO],Tabla1[VALOR])*1),IF(AJ38&gt;=1,_xlfn.XLOOKUP($B38,Tabla1[SERVICIO],Tabla1[VALOR]*AJ38),0))</f>
        <v>0</v>
      </c>
      <c r="AL38" s="14">
        <v>1</v>
      </c>
      <c r="AM38" s="90" cm="1">
        <f t="array" ref="AM38">IF(AL38="X",(_xlfn.XLOOKUP($B38,Tabla1[SERVICIO],Tabla1[VALOR])*1),IF(AL38&gt;=1,_xlfn.XLOOKUP($B38,Tabla1[SERVICIO],Tabla1[VALOR]*AL38),0))</f>
        <v>19392.627189167735</v>
      </c>
      <c r="AN38" s="89">
        <f t="shared" si="1"/>
        <v>58177.881567503209</v>
      </c>
      <c r="AO38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38" s="175" t="s">
        <v>318</v>
      </c>
      <c r="AQ38" s="126">
        <v>1</v>
      </c>
      <c r="AR38" s="121">
        <f>+Tabla4671941[[#This Row],[TOTAL]]*Tabla4671941[[#This Row],[% de las personas que lo usaron]]</f>
        <v>58177.881567503209</v>
      </c>
      <c r="AS38" s="240" t="s">
        <v>354</v>
      </c>
      <c r="AT38" s="243">
        <v>18</v>
      </c>
    </row>
    <row r="39" spans="1:46" x14ac:dyDescent="0.25">
      <c r="A39" s="7" t="s">
        <v>3</v>
      </c>
      <c r="B39" s="8" t="s">
        <v>4</v>
      </c>
      <c r="C39" s="96" t="str">
        <f>_xlfn.XLOOKUP(Tabla4671941[[#This Row],[Servicios del Programa:]],Tabla151[CODIGO],Tabla151[VALOR])</f>
        <v>Consultas</v>
      </c>
      <c r="D39" s="14">
        <v>1</v>
      </c>
      <c r="E39" s="56" cm="1">
        <f t="array" ref="E39">IF(D39="X",(_xlfn.XLOOKUP($B39,Tabla1[SERVICIO],Tabla1[VALOR])*1),IF(D39&gt;=1,_xlfn.XLOOKUP($B39,Tabla1[SERVICIO],Tabla1[VALOR]*D39),0))</f>
        <v>20406.13276336317</v>
      </c>
      <c r="F39" s="8"/>
      <c r="G39" s="56" cm="1">
        <f t="array" ref="G39">IF(F39="X",(_xlfn.XLOOKUP($B39,Tabla1[SERVICIO],Tabla1[VALOR])*1),IF(F39&gt;=1,_xlfn.XLOOKUP($B39,Tabla1[SERVICIO],Tabla1[VALOR]*F39),0))</f>
        <v>0</v>
      </c>
      <c r="H39" s="8"/>
      <c r="I39" s="56" cm="1">
        <f t="array" ref="I39">IF(H39="X",(_xlfn.XLOOKUP($B39,Tabla1[SERVICIO],Tabla1[VALOR])*1),IF(H39&gt;=1,_xlfn.XLOOKUP($B39,Tabla1[SERVICIO],Tabla1[VALOR]*H39),0))</f>
        <v>0</v>
      </c>
      <c r="J39" s="8"/>
      <c r="K39" s="56" cm="1">
        <f t="array" ref="K39">IF(J39="X",(_xlfn.XLOOKUP($B39,Tabla1[SERVICIO],Tabla1[VALOR])*1),IF(J39&gt;=1,_xlfn.XLOOKUP($B39,Tabla1[SERVICIO],Tabla1[VALOR]*J39),0))</f>
        <v>0</v>
      </c>
      <c r="L39" s="8"/>
      <c r="M39" s="56" cm="1">
        <f t="array" ref="M39">IF(L39="X",(_xlfn.XLOOKUP($B39,Tabla1[SERVICIO],Tabla1[VALOR])*1),IF(L39&gt;=1,_xlfn.XLOOKUP($B39,Tabla1[SERVICIO],Tabla1[VALOR]*L39),0))</f>
        <v>0</v>
      </c>
      <c r="N39" s="8"/>
      <c r="O39" s="56" cm="1">
        <f t="array" ref="O39">IF(N39="X",(_xlfn.XLOOKUP($B39,Tabla1[SERVICIO],Tabla1[VALOR])*1),IF(N39&gt;=1,_xlfn.XLOOKUP($B39,Tabla1[SERVICIO],Tabla1[VALOR]*N39),0))</f>
        <v>0</v>
      </c>
      <c r="P39" s="8"/>
      <c r="Q39" s="56" cm="1">
        <f t="array" ref="Q39">IF(P39="X",(_xlfn.XLOOKUP($B39,Tabla1[SERVICIO],Tabla1[VALOR])*1),IF(P39&gt;=1,_xlfn.XLOOKUP($B39,Tabla1[SERVICIO],Tabla1[VALOR]*P39),0))</f>
        <v>0</v>
      </c>
      <c r="R39" s="8"/>
      <c r="S39" s="56" cm="1">
        <f t="array" ref="S39">IF(R39="X",(_xlfn.XLOOKUP($B39,Tabla1[SERVICIO],Tabla1[VALOR])*1),IF(R39&gt;=1,_xlfn.XLOOKUP($B39,Tabla1[SERVICIO],Tabla1[VALOR]*R39),0))</f>
        <v>0</v>
      </c>
      <c r="T39" s="8"/>
      <c r="U39" s="56" cm="1">
        <f t="array" ref="U39">IF(T39="X",(_xlfn.XLOOKUP($B39,Tabla1[SERVICIO],Tabla1[VALOR])*1),IF(T39&gt;=1,_xlfn.XLOOKUP($B39,Tabla1[SERVICIO],Tabla1[VALOR]*T39),0))</f>
        <v>0</v>
      </c>
      <c r="V39" s="8"/>
      <c r="W39" s="56" cm="1">
        <f t="array" ref="W39">IF(V39="X",(_xlfn.XLOOKUP($B39,Tabla1[SERVICIO],Tabla1[VALOR])*1),IF(V39&gt;=1,_xlfn.XLOOKUP($B39,Tabla1[SERVICIO],Tabla1[VALOR]*V39),0))</f>
        <v>0</v>
      </c>
      <c r="X39" s="8"/>
      <c r="Y39" s="56" cm="1">
        <f t="array" ref="Y39">IF(X39="X",(_xlfn.XLOOKUP($B39,Tabla1[SERVICIO],Tabla1[VALOR])*1),IF(X39&gt;=1,_xlfn.XLOOKUP($B39,Tabla1[SERVICIO],Tabla1[VALOR]*X39),0))</f>
        <v>0</v>
      </c>
      <c r="Z39" s="8"/>
      <c r="AA39" s="56" cm="1">
        <f t="array" ref="AA39">IF(Z39="X",(_xlfn.XLOOKUP($B39,Tabla1[SERVICIO],Tabla1[VALOR])*1),IF(Z39&gt;=1,_xlfn.XLOOKUP($B39,Tabla1[SERVICIO],Tabla1[VALOR]*Z39),0))</f>
        <v>0</v>
      </c>
      <c r="AB39" s="8"/>
      <c r="AC39" s="56" cm="1">
        <f t="array" ref="AC39">IF(AB39="X",(_xlfn.XLOOKUP($B39,Tabla1[SERVICIO],Tabla1[VALOR])*1),IF(AB39&gt;=1,_xlfn.XLOOKUP($B39,Tabla1[SERVICIO],Tabla1[VALOR]*AB39),0))</f>
        <v>0</v>
      </c>
      <c r="AD39" s="8"/>
      <c r="AE39" s="56" cm="1">
        <f t="array" ref="AE39">IF(AD39="X",(_xlfn.XLOOKUP($B39,Tabla1[SERVICIO],Tabla1[VALOR])*1),IF(AD39&gt;=1,_xlfn.XLOOKUP($B39,Tabla1[SERVICIO],Tabla1[VALOR]*AD39),0))</f>
        <v>0</v>
      </c>
      <c r="AF39" s="8"/>
      <c r="AG39" s="56" cm="1">
        <f t="array" ref="AG39">IF(AF39="X",(_xlfn.XLOOKUP($B39,Tabla1[SERVICIO],Tabla1[VALOR])*1),IF(AF39&gt;=1,_xlfn.XLOOKUP($B39,Tabla1[SERVICIO],Tabla1[VALOR]*AF39),0))</f>
        <v>0</v>
      </c>
      <c r="AH39" s="8"/>
      <c r="AI39" s="56" cm="1">
        <f t="array" ref="AI39">IF(AH39="X",(_xlfn.XLOOKUP($B39,Tabla1[SERVICIO],Tabla1[VALOR])*1),IF(AH39&gt;=1,_xlfn.XLOOKUP($B39,Tabla1[SERVICIO],Tabla1[VALOR]*AH39),0))</f>
        <v>0</v>
      </c>
      <c r="AJ39" s="8"/>
      <c r="AK39" s="56" cm="1">
        <f t="array" ref="AK39">IF(AJ39="X",(_xlfn.XLOOKUP($B39,Tabla1[SERVICIO],Tabla1[VALOR])*1),IF(AJ39&gt;=1,_xlfn.XLOOKUP($B39,Tabla1[SERVICIO],Tabla1[VALOR]*AJ39),0))</f>
        <v>0</v>
      </c>
      <c r="AL39" s="8"/>
      <c r="AM39" s="90" cm="1">
        <f t="array" ref="AM39">IF(AL39="X",(_xlfn.XLOOKUP($B39,Tabla1[SERVICIO],Tabla1[VALOR])*1),IF(AL39&gt;=1,_xlfn.XLOOKUP($B39,Tabla1[SERVICIO],Tabla1[VALOR]*AL39),0))</f>
        <v>0</v>
      </c>
      <c r="AN39" s="89">
        <f t="shared" si="1"/>
        <v>20406.13276336317</v>
      </c>
      <c r="AO39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9" s="175" t="s">
        <v>318</v>
      </c>
      <c r="AQ39" s="126">
        <v>1</v>
      </c>
      <c r="AR39" s="121">
        <f>+Tabla4671941[[#This Row],[TOTAL]]*Tabla4671941[[#This Row],[% de las personas que lo usaron]]</f>
        <v>20406.13276336317</v>
      </c>
      <c r="AS39" s="240" t="s">
        <v>354</v>
      </c>
      <c r="AT39" s="243">
        <v>18</v>
      </c>
    </row>
    <row r="40" spans="1:46" x14ac:dyDescent="0.25">
      <c r="A40" s="7" t="s">
        <v>5</v>
      </c>
      <c r="B40" s="8" t="s">
        <v>6</v>
      </c>
      <c r="C40" s="96" t="str">
        <f>_xlfn.XLOOKUP(Tabla4671941[[#This Row],[Servicios del Programa:]],Tabla151[CODIGO],Tabla151[VALOR])</f>
        <v>Consultas</v>
      </c>
      <c r="D40" s="14">
        <v>1</v>
      </c>
      <c r="E40" s="56" cm="1">
        <f t="array" ref="E40">IF(D40="X",(_xlfn.XLOOKUP($B40,Tabla1[SERVICIO],Tabla1[VALOR])*1),IF(D40&gt;=1,_xlfn.XLOOKUP($B40,Tabla1[SERVICIO],Tabla1[VALOR]*D40),0))</f>
        <v>18768.367820181349</v>
      </c>
      <c r="F40" s="8"/>
      <c r="G40" s="56" cm="1">
        <f t="array" ref="G40">IF(F40="X",(_xlfn.XLOOKUP($B40,Tabla1[SERVICIO],Tabla1[VALOR])*1),IF(F40&gt;=1,_xlfn.XLOOKUP($B40,Tabla1[SERVICIO],Tabla1[VALOR]*F40),0))</f>
        <v>0</v>
      </c>
      <c r="H40" s="8"/>
      <c r="I40" s="56" cm="1">
        <f t="array" ref="I40">IF(H40="X",(_xlfn.XLOOKUP($B40,Tabla1[SERVICIO],Tabla1[VALOR])*1),IF(H40&gt;=1,_xlfn.XLOOKUP($B40,Tabla1[SERVICIO],Tabla1[VALOR]*H40),0))</f>
        <v>0</v>
      </c>
      <c r="J40" s="8"/>
      <c r="K40" s="56" cm="1">
        <f t="array" ref="K40">IF(J40="X",(_xlfn.XLOOKUP($B40,Tabla1[SERVICIO],Tabla1[VALOR])*1),IF(J40&gt;=1,_xlfn.XLOOKUP($B40,Tabla1[SERVICIO],Tabla1[VALOR]*J40),0))</f>
        <v>0</v>
      </c>
      <c r="L40" s="8"/>
      <c r="M40" s="56" cm="1">
        <f t="array" ref="M40">IF(L40="X",(_xlfn.XLOOKUP($B40,Tabla1[SERVICIO],Tabla1[VALOR])*1),IF(L40&gt;=1,_xlfn.XLOOKUP($B40,Tabla1[SERVICIO],Tabla1[VALOR]*L40),0))</f>
        <v>0</v>
      </c>
      <c r="N40" s="8"/>
      <c r="O40" s="56" cm="1">
        <f t="array" ref="O40">IF(N40="X",(_xlfn.XLOOKUP($B40,Tabla1[SERVICIO],Tabla1[VALOR])*1),IF(N40&gt;=1,_xlfn.XLOOKUP($B40,Tabla1[SERVICIO],Tabla1[VALOR]*N40),0))</f>
        <v>0</v>
      </c>
      <c r="P40" s="8"/>
      <c r="Q40" s="56" cm="1">
        <f t="array" ref="Q40">IF(P40="X",(_xlfn.XLOOKUP($B40,Tabla1[SERVICIO],Tabla1[VALOR])*1),IF(P40&gt;=1,_xlfn.XLOOKUP($B40,Tabla1[SERVICIO],Tabla1[VALOR]*P40),0))</f>
        <v>0</v>
      </c>
      <c r="R40" s="8"/>
      <c r="S40" s="56" cm="1">
        <f t="array" ref="S40">IF(R40="X",(_xlfn.XLOOKUP($B40,Tabla1[SERVICIO],Tabla1[VALOR])*1),IF(R40&gt;=1,_xlfn.XLOOKUP($B40,Tabla1[SERVICIO],Tabla1[VALOR]*R40),0))</f>
        <v>0</v>
      </c>
      <c r="T40" s="8"/>
      <c r="U40" s="56" cm="1">
        <f t="array" ref="U40">IF(T40="X",(_xlfn.XLOOKUP($B40,Tabla1[SERVICIO],Tabla1[VALOR])*1),IF(T40&gt;=1,_xlfn.XLOOKUP($B40,Tabla1[SERVICIO],Tabla1[VALOR]*T40),0))</f>
        <v>0</v>
      </c>
      <c r="V40" s="8"/>
      <c r="W40" s="56" cm="1">
        <f t="array" ref="W40">IF(V40="X",(_xlfn.XLOOKUP($B40,Tabla1[SERVICIO],Tabla1[VALOR])*1),IF(V40&gt;=1,_xlfn.XLOOKUP($B40,Tabla1[SERVICIO],Tabla1[VALOR]*V40),0))</f>
        <v>0</v>
      </c>
      <c r="X40" s="8"/>
      <c r="Y40" s="56" cm="1">
        <f t="array" ref="Y40">IF(X40="X",(_xlfn.XLOOKUP($B40,Tabla1[SERVICIO],Tabla1[VALOR])*1),IF(X40&gt;=1,_xlfn.XLOOKUP($B40,Tabla1[SERVICIO],Tabla1[VALOR]*X40),0))</f>
        <v>0</v>
      </c>
      <c r="Z40" s="8"/>
      <c r="AA40" s="56" cm="1">
        <f t="array" ref="AA40">IF(Z40="X",(_xlfn.XLOOKUP($B40,Tabla1[SERVICIO],Tabla1[VALOR])*1),IF(Z40&gt;=1,_xlfn.XLOOKUP($B40,Tabla1[SERVICIO],Tabla1[VALOR]*Z40),0))</f>
        <v>0</v>
      </c>
      <c r="AB40" s="8"/>
      <c r="AC40" s="56" cm="1">
        <f t="array" ref="AC40">IF(AB40="X",(_xlfn.XLOOKUP($B40,Tabla1[SERVICIO],Tabla1[VALOR])*1),IF(AB40&gt;=1,_xlfn.XLOOKUP($B40,Tabla1[SERVICIO],Tabla1[VALOR]*AB40),0))</f>
        <v>0</v>
      </c>
      <c r="AD40" s="8"/>
      <c r="AE40" s="56" cm="1">
        <f t="array" ref="AE40">IF(AD40="X",(_xlfn.XLOOKUP($B40,Tabla1[SERVICIO],Tabla1[VALOR])*1),IF(AD40&gt;=1,_xlfn.XLOOKUP($B40,Tabla1[SERVICIO],Tabla1[VALOR]*AD40),0))</f>
        <v>0</v>
      </c>
      <c r="AF40" s="8"/>
      <c r="AG40" s="56" cm="1">
        <f t="array" ref="AG40">IF(AF40="X",(_xlfn.XLOOKUP($B40,Tabla1[SERVICIO],Tabla1[VALOR])*1),IF(AF40&gt;=1,_xlfn.XLOOKUP($B40,Tabla1[SERVICIO],Tabla1[VALOR]*AF40),0))</f>
        <v>0</v>
      </c>
      <c r="AH40" s="8"/>
      <c r="AI40" s="56" cm="1">
        <f t="array" ref="AI40">IF(AH40="X",(_xlfn.XLOOKUP($B40,Tabla1[SERVICIO],Tabla1[VALOR])*1),IF(AH40&gt;=1,_xlfn.XLOOKUP($B40,Tabla1[SERVICIO],Tabla1[VALOR]*AH40),0))</f>
        <v>0</v>
      </c>
      <c r="AJ40" s="8"/>
      <c r="AK40" s="56" cm="1">
        <f t="array" ref="AK40">IF(AJ40="X",(_xlfn.XLOOKUP($B40,Tabla1[SERVICIO],Tabla1[VALOR])*1),IF(AJ40&gt;=1,_xlfn.XLOOKUP($B40,Tabla1[SERVICIO],Tabla1[VALOR]*AJ40),0))</f>
        <v>0</v>
      </c>
      <c r="AL40" s="8"/>
      <c r="AM40" s="90" cm="1">
        <f t="array" ref="AM40">IF(AL40="X",(_xlfn.XLOOKUP($B40,Tabla1[SERVICIO],Tabla1[VALOR])*1),IF(AL40&gt;=1,_xlfn.XLOOKUP($B40,Tabla1[SERVICIO],Tabla1[VALOR]*AL40),0))</f>
        <v>0</v>
      </c>
      <c r="AN40" s="89">
        <f t="shared" si="1"/>
        <v>18768.367820181349</v>
      </c>
      <c r="AO40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0" s="175" t="s">
        <v>318</v>
      </c>
      <c r="AQ40" s="126">
        <v>1</v>
      </c>
      <c r="AR40" s="121">
        <f>+Tabla4671941[[#This Row],[TOTAL]]*Tabla4671941[[#This Row],[% de las personas que lo usaron]]</f>
        <v>18768.367820181349</v>
      </c>
      <c r="AS40" s="240" t="s">
        <v>354</v>
      </c>
      <c r="AT40" s="243">
        <v>18</v>
      </c>
    </row>
    <row r="41" spans="1:46" x14ac:dyDescent="0.25">
      <c r="A41" s="7" t="s">
        <v>23</v>
      </c>
      <c r="B41" s="8" t="s">
        <v>24</v>
      </c>
      <c r="C41" s="96" t="str">
        <f>_xlfn.XLOOKUP(Tabla4671941[[#This Row],[Servicios del Programa:]],Tabla151[CODIGO],Tabla151[VALOR])</f>
        <v>Terapias</v>
      </c>
      <c r="D41" s="14">
        <v>1</v>
      </c>
      <c r="E41" s="56" cm="1">
        <f t="array" ref="E41">IF(D41="X",(_xlfn.XLOOKUP($B41,Tabla1[SERVICIO],Tabla1[VALOR])*1),IF(D41&gt;=1,_xlfn.XLOOKUP($B41,Tabla1[SERVICIO],Tabla1[VALOR]*D41),0))</f>
        <v>31881.451880098426</v>
      </c>
      <c r="F41" s="8"/>
      <c r="G41" s="56" cm="1">
        <f t="array" ref="G41">IF(F41="X",(_xlfn.XLOOKUP($B41,Tabla1[SERVICIO],Tabla1[VALOR])*1),IF(F41&gt;=1,_xlfn.XLOOKUP($B41,Tabla1[SERVICIO],Tabla1[VALOR]*F41),0))</f>
        <v>0</v>
      </c>
      <c r="H41" s="8"/>
      <c r="I41" s="56" cm="1">
        <f t="array" ref="I41">IF(H41="X",(_xlfn.XLOOKUP($B41,Tabla1[SERVICIO],Tabla1[VALOR])*1),IF(H41&gt;=1,_xlfn.XLOOKUP($B41,Tabla1[SERVICIO],Tabla1[VALOR]*H41),0))</f>
        <v>0</v>
      </c>
      <c r="J41" s="8"/>
      <c r="K41" s="56" cm="1">
        <f t="array" ref="K41">IF(J41="X",(_xlfn.XLOOKUP($B41,Tabla1[SERVICIO],Tabla1[VALOR])*1),IF(J41&gt;=1,_xlfn.XLOOKUP($B41,Tabla1[SERVICIO],Tabla1[VALOR]*J41),0))</f>
        <v>0</v>
      </c>
      <c r="L41" s="8"/>
      <c r="M41" s="56" cm="1">
        <f t="array" ref="M41">IF(L41="X",(_xlfn.XLOOKUP($B41,Tabla1[SERVICIO],Tabla1[VALOR])*1),IF(L41&gt;=1,_xlfn.XLOOKUP($B41,Tabla1[SERVICIO],Tabla1[VALOR]*L41),0))</f>
        <v>0</v>
      </c>
      <c r="N41" s="8"/>
      <c r="O41" s="56" cm="1">
        <f t="array" ref="O41">IF(N41="X",(_xlfn.XLOOKUP($B41,Tabla1[SERVICIO],Tabla1[VALOR])*1),IF(N41&gt;=1,_xlfn.XLOOKUP($B41,Tabla1[SERVICIO],Tabla1[VALOR]*N41),0))</f>
        <v>0</v>
      </c>
      <c r="P41" s="8"/>
      <c r="Q41" s="56" cm="1">
        <f t="array" ref="Q41">IF(P41="X",(_xlfn.XLOOKUP($B41,Tabla1[SERVICIO],Tabla1[VALOR])*1),IF(P41&gt;=1,_xlfn.XLOOKUP($B41,Tabla1[SERVICIO],Tabla1[VALOR]*P41),0))</f>
        <v>0</v>
      </c>
      <c r="R41" s="8"/>
      <c r="S41" s="56" cm="1">
        <f t="array" ref="S41">IF(R41="X",(_xlfn.XLOOKUP($B41,Tabla1[SERVICIO],Tabla1[VALOR])*1),IF(R41&gt;=1,_xlfn.XLOOKUP($B41,Tabla1[SERVICIO],Tabla1[VALOR]*R41),0))</f>
        <v>0</v>
      </c>
      <c r="T41" s="8"/>
      <c r="U41" s="56" cm="1">
        <f t="array" ref="U41">IF(T41="X",(_xlfn.XLOOKUP($B41,Tabla1[SERVICIO],Tabla1[VALOR])*1),IF(T41&gt;=1,_xlfn.XLOOKUP($B41,Tabla1[SERVICIO],Tabla1[VALOR]*T41),0))</f>
        <v>0</v>
      </c>
      <c r="V41" s="8"/>
      <c r="W41" s="56" cm="1">
        <f t="array" ref="W41">IF(V41="X",(_xlfn.XLOOKUP($B41,Tabla1[SERVICIO],Tabla1[VALOR])*1),IF(V41&gt;=1,_xlfn.XLOOKUP($B41,Tabla1[SERVICIO],Tabla1[VALOR]*V41),0))</f>
        <v>0</v>
      </c>
      <c r="X41" s="8"/>
      <c r="Y41" s="56" cm="1">
        <f t="array" ref="Y41">IF(X41="X",(_xlfn.XLOOKUP($B41,Tabla1[SERVICIO],Tabla1[VALOR])*1),IF(X41&gt;=1,_xlfn.XLOOKUP($B41,Tabla1[SERVICIO],Tabla1[VALOR]*X41),0))</f>
        <v>0</v>
      </c>
      <c r="Z41" s="8"/>
      <c r="AA41" s="56" cm="1">
        <f t="array" ref="AA41">IF(Z41="X",(_xlfn.XLOOKUP($B41,Tabla1[SERVICIO],Tabla1[VALOR])*1),IF(Z41&gt;=1,_xlfn.XLOOKUP($B41,Tabla1[SERVICIO],Tabla1[VALOR]*Z41),0))</f>
        <v>0</v>
      </c>
      <c r="AB41" s="8"/>
      <c r="AC41" s="56" cm="1">
        <f t="array" ref="AC41">IF(AB41="X",(_xlfn.XLOOKUP($B41,Tabla1[SERVICIO],Tabla1[VALOR])*1),IF(AB41&gt;=1,_xlfn.XLOOKUP($B41,Tabla1[SERVICIO],Tabla1[VALOR]*AB41),0))</f>
        <v>0</v>
      </c>
      <c r="AD41" s="8"/>
      <c r="AE41" s="56" cm="1">
        <f t="array" ref="AE41">IF(AD41="X",(_xlfn.XLOOKUP($B41,Tabla1[SERVICIO],Tabla1[VALOR])*1),IF(AD41&gt;=1,_xlfn.XLOOKUP($B41,Tabla1[SERVICIO],Tabla1[VALOR]*AD41),0))</f>
        <v>0</v>
      </c>
      <c r="AF41" s="8"/>
      <c r="AG41" s="56" cm="1">
        <f t="array" ref="AG41">IF(AF41="X",(_xlfn.XLOOKUP($B41,Tabla1[SERVICIO],Tabla1[VALOR])*1),IF(AF41&gt;=1,_xlfn.XLOOKUP($B41,Tabla1[SERVICIO],Tabla1[VALOR]*AF41),0))</f>
        <v>0</v>
      </c>
      <c r="AH41" s="8"/>
      <c r="AI41" s="56" cm="1">
        <f t="array" ref="AI41">IF(AH41="X",(_xlfn.XLOOKUP($B41,Tabla1[SERVICIO],Tabla1[VALOR])*1),IF(AH41&gt;=1,_xlfn.XLOOKUP($B41,Tabla1[SERVICIO],Tabla1[VALOR]*AH41),0))</f>
        <v>0</v>
      </c>
      <c r="AJ41" s="8"/>
      <c r="AK41" s="56" cm="1">
        <f t="array" ref="AK41">IF(AJ41="X",(_xlfn.XLOOKUP($B41,Tabla1[SERVICIO],Tabla1[VALOR])*1),IF(AJ41&gt;=1,_xlfn.XLOOKUP($B41,Tabla1[SERVICIO],Tabla1[VALOR]*AJ41),0))</f>
        <v>0</v>
      </c>
      <c r="AL41" s="8"/>
      <c r="AM41" s="90" cm="1">
        <f t="array" ref="AM41">IF(AL41="X",(_xlfn.XLOOKUP($B41,Tabla1[SERVICIO],Tabla1[VALOR])*1),IF(AL41&gt;=1,_xlfn.XLOOKUP($B41,Tabla1[SERVICIO],Tabla1[VALOR]*AL41),0))</f>
        <v>0</v>
      </c>
      <c r="AN41" s="89">
        <f t="shared" si="1"/>
        <v>31881.451880098426</v>
      </c>
      <c r="AO41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1" s="175" t="s">
        <v>318</v>
      </c>
      <c r="AQ41" s="126">
        <v>0.30593607305936071</v>
      </c>
      <c r="AR41" s="121">
        <f>+Tabla4671941[[#This Row],[TOTAL]]*Tabla4671941[[#This Row],[% de las personas que lo usaron]]</f>
        <v>9753.6861916282851</v>
      </c>
      <c r="AS41" s="240" t="s">
        <v>354</v>
      </c>
      <c r="AT41" s="243">
        <v>18</v>
      </c>
    </row>
    <row r="42" spans="1:46" x14ac:dyDescent="0.25">
      <c r="A42" s="7" t="s">
        <v>36</v>
      </c>
      <c r="B42" s="8" t="s">
        <v>100</v>
      </c>
      <c r="C42" s="96" t="str">
        <f>_xlfn.XLOOKUP(Tabla4671941[[#This Row],[Servicios del Programa:]],Tabla151[CODIGO],Tabla151[VALOR])</f>
        <v>Terapias</v>
      </c>
      <c r="D42" s="14"/>
      <c r="E42" s="56" cm="1">
        <f t="array" ref="E42">IF(D42="X",(_xlfn.XLOOKUP($B42,Tabla1[SERVICIO],Tabla1[VALOR])*1),IF(D42&gt;=1,_xlfn.XLOOKUP($B42,Tabla1[SERVICIO],Tabla1[VALOR]*D42),0))</f>
        <v>0</v>
      </c>
      <c r="F42" s="14">
        <v>8</v>
      </c>
      <c r="G42" s="56" cm="1">
        <f t="array" ref="G42">IF(F42="X",(_xlfn.XLOOKUP($B42,Tabla1[SERVICIO],Tabla1[VALOR])*1),IF(F42&gt;=1,_xlfn.XLOOKUP($B42,Tabla1[SERVICIO],Tabla1[VALOR]*F42),0))</f>
        <v>70240.958933331596</v>
      </c>
      <c r="H42" s="14">
        <v>8</v>
      </c>
      <c r="I42" s="56" cm="1">
        <f t="array" ref="I42">IF(H42="X",(_xlfn.XLOOKUP($B42,Tabla1[SERVICIO],Tabla1[VALOR])*1),IF(H42&gt;=1,_xlfn.XLOOKUP($B42,Tabla1[SERVICIO],Tabla1[VALOR]*H42),0))</f>
        <v>70240.958933331596</v>
      </c>
      <c r="J42" s="14">
        <v>8</v>
      </c>
      <c r="K42" s="56" cm="1">
        <f t="array" ref="K42">IF(J42="X",(_xlfn.XLOOKUP($B42,Tabla1[SERVICIO],Tabla1[VALOR])*1),IF(J42&gt;=1,_xlfn.XLOOKUP($B42,Tabla1[SERVICIO],Tabla1[VALOR]*J42),0))</f>
        <v>70240.958933331596</v>
      </c>
      <c r="L42" s="14">
        <v>8</v>
      </c>
      <c r="M42" s="56" cm="1">
        <f t="array" ref="M42">IF(L42="X",(_xlfn.XLOOKUP($B42,Tabla1[SERVICIO],Tabla1[VALOR])*1),IF(L42&gt;=1,_xlfn.XLOOKUP($B42,Tabla1[SERVICIO],Tabla1[VALOR]*L42),0))</f>
        <v>70240.958933331596</v>
      </c>
      <c r="N42" s="14">
        <v>8</v>
      </c>
      <c r="O42" s="56" cm="1">
        <f t="array" ref="O42">IF(N42="X",(_xlfn.XLOOKUP($B42,Tabla1[SERVICIO],Tabla1[VALOR])*1),IF(N42&gt;=1,_xlfn.XLOOKUP($B42,Tabla1[SERVICIO],Tabla1[VALOR]*N42),0))</f>
        <v>70240.958933331596</v>
      </c>
      <c r="P42" s="14">
        <v>8</v>
      </c>
      <c r="Q42" s="56" cm="1">
        <f t="array" ref="Q42">IF(P42="X",(_xlfn.XLOOKUP($B42,Tabla1[SERVICIO],Tabla1[VALOR])*1),IF(P42&gt;=1,_xlfn.XLOOKUP($B42,Tabla1[SERVICIO],Tabla1[VALOR]*P42),0))</f>
        <v>70240.958933331596</v>
      </c>
      <c r="R42" s="14">
        <v>8</v>
      </c>
      <c r="S42" s="56" cm="1">
        <f t="array" ref="S42">IF(R42="X",(_xlfn.XLOOKUP($B42,Tabla1[SERVICIO],Tabla1[VALOR])*1),IF(R42&gt;=1,_xlfn.XLOOKUP($B42,Tabla1[SERVICIO],Tabla1[VALOR]*R42),0))</f>
        <v>70240.958933331596</v>
      </c>
      <c r="T42" s="14">
        <v>8</v>
      </c>
      <c r="U42" s="56" cm="1">
        <f t="array" ref="U42">IF(T42="X",(_xlfn.XLOOKUP($B42,Tabla1[SERVICIO],Tabla1[VALOR])*1),IF(T42&gt;=1,_xlfn.XLOOKUP($B42,Tabla1[SERVICIO],Tabla1[VALOR]*T42),0))</f>
        <v>70240.958933331596</v>
      </c>
      <c r="V42" s="14">
        <v>8</v>
      </c>
      <c r="W42" s="56" cm="1">
        <f t="array" ref="W42">IF(V42="X",(_xlfn.XLOOKUP($B42,Tabla1[SERVICIO],Tabla1[VALOR])*1),IF(V42&gt;=1,_xlfn.XLOOKUP($B42,Tabla1[SERVICIO],Tabla1[VALOR]*V42),0))</f>
        <v>70240.958933331596</v>
      </c>
      <c r="X42" s="14">
        <v>8</v>
      </c>
      <c r="Y42" s="56" cm="1">
        <f t="array" ref="Y42">IF(X42="X",(_xlfn.XLOOKUP($B42,Tabla1[SERVICIO],Tabla1[VALOR])*1),IF(X42&gt;=1,_xlfn.XLOOKUP($B42,Tabla1[SERVICIO],Tabla1[VALOR]*X42),0))</f>
        <v>70240.958933331596</v>
      </c>
      <c r="Z42" s="14">
        <v>8</v>
      </c>
      <c r="AA42" s="56" cm="1">
        <f t="array" ref="AA42">IF(Z42="X",(_xlfn.XLOOKUP($B42,Tabla1[SERVICIO],Tabla1[VALOR])*1),IF(Z42&gt;=1,_xlfn.XLOOKUP($B42,Tabla1[SERVICIO],Tabla1[VALOR]*Z42),0))</f>
        <v>70240.958933331596</v>
      </c>
      <c r="AB42" s="14">
        <v>8</v>
      </c>
      <c r="AC42" s="56" cm="1">
        <f t="array" ref="AC42">IF(AB42="X",(_xlfn.XLOOKUP($B42,Tabla1[SERVICIO],Tabla1[VALOR])*1),IF(AB42&gt;=1,_xlfn.XLOOKUP($B42,Tabla1[SERVICIO],Tabla1[VALOR]*AB42),0))</f>
        <v>70240.958933331596</v>
      </c>
      <c r="AD42" s="14">
        <v>8</v>
      </c>
      <c r="AE42" s="56" cm="1">
        <f t="array" ref="AE42">IF(AD42="X",(_xlfn.XLOOKUP($B42,Tabla1[SERVICIO],Tabla1[VALOR])*1),IF(AD42&gt;=1,_xlfn.XLOOKUP($B42,Tabla1[SERVICIO],Tabla1[VALOR]*AD42),0))</f>
        <v>70240.958933331596</v>
      </c>
      <c r="AF42" s="14">
        <v>8</v>
      </c>
      <c r="AG42" s="56" cm="1">
        <f t="array" ref="AG42">IF(AF42="X",(_xlfn.XLOOKUP($B42,Tabla1[SERVICIO],Tabla1[VALOR])*1),IF(AF42&gt;=1,_xlfn.XLOOKUP($B42,Tabla1[SERVICIO],Tabla1[VALOR]*AF42),0))</f>
        <v>70240.958933331596</v>
      </c>
      <c r="AH42" s="14">
        <v>8</v>
      </c>
      <c r="AI42" s="56" cm="1">
        <f t="array" ref="AI42">IF(AH42="X",(_xlfn.XLOOKUP($B42,Tabla1[SERVICIO],Tabla1[VALOR])*1),IF(AH42&gt;=1,_xlfn.XLOOKUP($B42,Tabla1[SERVICIO],Tabla1[VALOR]*AH42),0))</f>
        <v>70240.958933331596</v>
      </c>
      <c r="AJ42" s="14">
        <v>8</v>
      </c>
      <c r="AK42" s="56" cm="1">
        <f t="array" ref="AK42">IF(AJ42="X",(_xlfn.XLOOKUP($B42,Tabla1[SERVICIO],Tabla1[VALOR])*1),IF(AJ42&gt;=1,_xlfn.XLOOKUP($B42,Tabla1[SERVICIO],Tabla1[VALOR]*AJ42),0))</f>
        <v>70240.958933331596</v>
      </c>
      <c r="AL42" s="14">
        <v>8</v>
      </c>
      <c r="AM42" s="90" cm="1">
        <f t="array" ref="AM42">IF(AL42="X",(_xlfn.XLOOKUP($B42,Tabla1[SERVICIO],Tabla1[VALOR])*1),IF(AL42&gt;=1,_xlfn.XLOOKUP($B42,Tabla1[SERVICIO],Tabla1[VALOR]*AL42),0))</f>
        <v>70240.958933331596</v>
      </c>
      <c r="AN42" s="89">
        <f t="shared" si="1"/>
        <v>1194096.3018666368</v>
      </c>
      <c r="AO42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136</v>
      </c>
      <c r="AP42" s="175" t="s">
        <v>318</v>
      </c>
      <c r="AQ42" s="126">
        <v>1</v>
      </c>
      <c r="AR42" s="121">
        <f>+Tabla4671941[[#This Row],[TOTAL]]*Tabla4671941[[#This Row],[% de las personas que lo usaron]]</f>
        <v>1194096.3018666368</v>
      </c>
      <c r="AS42" s="240" t="s">
        <v>354</v>
      </c>
      <c r="AT42" s="243">
        <v>18</v>
      </c>
    </row>
    <row r="43" spans="1:46" x14ac:dyDescent="0.25">
      <c r="A43" s="7" t="s">
        <v>15</v>
      </c>
      <c r="B43" s="25" t="s">
        <v>16</v>
      </c>
      <c r="C43" s="96" t="str">
        <f>_xlfn.XLOOKUP(Tabla4671941[[#This Row],[Servicios del Programa:]],Tabla151[CODIGO],Tabla151[VALOR])</f>
        <v>Consultas</v>
      </c>
      <c r="D43" s="14"/>
      <c r="E43" s="56" cm="1">
        <f t="array" ref="E43">IF(D43="X",(_xlfn.XLOOKUP($B43,Tabla1[SERVICIO],Tabla1[VALOR])*1),IF(D43&gt;=1,_xlfn.XLOOKUP($B43,Tabla1[SERVICIO],Tabla1[VALOR]*D43),0))</f>
        <v>0</v>
      </c>
      <c r="F43" s="14"/>
      <c r="G43" s="56" cm="1">
        <f t="array" ref="G43">IF(F43="X",(_xlfn.XLOOKUP($B43,Tabla1[SERVICIO],Tabla1[VALOR])*1),IF(F43&gt;=1,_xlfn.XLOOKUP($B43,Tabla1[SERVICIO],Tabla1[VALOR]*F43),0))</f>
        <v>0</v>
      </c>
      <c r="H43" s="14"/>
      <c r="I43" s="56" cm="1">
        <f t="array" ref="I43">IF(H43="X",(_xlfn.XLOOKUP($B43,Tabla1[SERVICIO],Tabla1[VALOR])*1),IF(H43&gt;=1,_xlfn.XLOOKUP($B43,Tabla1[SERVICIO],Tabla1[VALOR]*H43),0))</f>
        <v>0</v>
      </c>
      <c r="J43" s="14">
        <v>1</v>
      </c>
      <c r="K43" s="56" cm="1">
        <f t="array" ref="K43">IF(J43="X",(_xlfn.XLOOKUP($B43,Tabla1[SERVICIO],Tabla1[VALOR])*1),IF(J43&gt;=1,_xlfn.XLOOKUP($B43,Tabla1[SERVICIO],Tabla1[VALOR]*J43),0))</f>
        <v>22052.520800552971</v>
      </c>
      <c r="L43" s="14"/>
      <c r="M43" s="56" cm="1">
        <f t="array" ref="M43">IF(L43="X",(_xlfn.XLOOKUP($B43,Tabla1[SERVICIO],Tabla1[VALOR])*1),IF(L43&gt;=1,_xlfn.XLOOKUP($B43,Tabla1[SERVICIO],Tabla1[VALOR]*L43),0))</f>
        <v>0</v>
      </c>
      <c r="N43" s="14"/>
      <c r="O43" s="56" cm="1">
        <f t="array" ref="O43">IF(N43="X",(_xlfn.XLOOKUP($B43,Tabla1[SERVICIO],Tabla1[VALOR])*1),IF(N43&gt;=1,_xlfn.XLOOKUP($B43,Tabla1[SERVICIO],Tabla1[VALOR]*N43),0))</f>
        <v>0</v>
      </c>
      <c r="P43" s="14"/>
      <c r="Q43" s="56" cm="1">
        <f t="array" ref="Q43">IF(P43="X",(_xlfn.XLOOKUP($B43,Tabla1[SERVICIO],Tabla1[VALOR])*1),IF(P43&gt;=1,_xlfn.XLOOKUP($B43,Tabla1[SERVICIO],Tabla1[VALOR]*P43),0))</f>
        <v>0</v>
      </c>
      <c r="R43" s="14">
        <v>1</v>
      </c>
      <c r="S43" s="56" cm="1">
        <f t="array" ref="S43">IF(R43="X",(_xlfn.XLOOKUP($B43,Tabla1[SERVICIO],Tabla1[VALOR])*1),IF(R43&gt;=1,_xlfn.XLOOKUP($B43,Tabla1[SERVICIO],Tabla1[VALOR]*R43),0))</f>
        <v>22052.520800552971</v>
      </c>
      <c r="T43" s="14"/>
      <c r="U43" s="56" cm="1">
        <f t="array" ref="U43">IF(T43="X",(_xlfn.XLOOKUP($B43,Tabla1[SERVICIO],Tabla1[VALOR])*1),IF(T43&gt;=1,_xlfn.XLOOKUP($B43,Tabla1[SERVICIO],Tabla1[VALOR]*T43),0))</f>
        <v>0</v>
      </c>
      <c r="V43" s="14"/>
      <c r="W43" s="56" cm="1">
        <f t="array" ref="W43">IF(V43="X",(_xlfn.XLOOKUP($B43,Tabla1[SERVICIO],Tabla1[VALOR])*1),IF(V43&gt;=1,_xlfn.XLOOKUP($B43,Tabla1[SERVICIO],Tabla1[VALOR]*V43),0))</f>
        <v>0</v>
      </c>
      <c r="X43" s="14"/>
      <c r="Y43" s="56" cm="1">
        <f t="array" ref="Y43">IF(X43="X",(_xlfn.XLOOKUP($B43,Tabla1[SERVICIO],Tabla1[VALOR])*1),IF(X43&gt;=1,_xlfn.XLOOKUP($B43,Tabla1[SERVICIO],Tabla1[VALOR]*X43),0))</f>
        <v>0</v>
      </c>
      <c r="Z43" s="14"/>
      <c r="AA43" s="56" cm="1">
        <f t="array" ref="AA43">IF(Z43="X",(_xlfn.XLOOKUP($B43,Tabla1[SERVICIO],Tabla1[VALOR])*1),IF(Z43&gt;=1,_xlfn.XLOOKUP($B43,Tabla1[SERVICIO],Tabla1[VALOR]*Z43),0))</f>
        <v>0</v>
      </c>
      <c r="AB43" s="14"/>
      <c r="AC43" s="56" cm="1">
        <f t="array" ref="AC43">IF(AB43="X",(_xlfn.XLOOKUP($B43,Tabla1[SERVICIO],Tabla1[VALOR])*1),IF(AB43&gt;=1,_xlfn.XLOOKUP($B43,Tabla1[SERVICIO],Tabla1[VALOR]*AB43),0))</f>
        <v>0</v>
      </c>
      <c r="AD43" s="14"/>
      <c r="AE43" s="56" cm="1">
        <f t="array" ref="AE43">IF(AD43="X",(_xlfn.XLOOKUP($B43,Tabla1[SERVICIO],Tabla1[VALOR])*1),IF(AD43&gt;=1,_xlfn.XLOOKUP($B43,Tabla1[SERVICIO],Tabla1[VALOR]*AD43),0))</f>
        <v>0</v>
      </c>
      <c r="AF43" s="14"/>
      <c r="AG43" s="56" cm="1">
        <f t="array" ref="AG43">IF(AF43="X",(_xlfn.XLOOKUP($B43,Tabla1[SERVICIO],Tabla1[VALOR])*1),IF(AF43&gt;=1,_xlfn.XLOOKUP($B43,Tabla1[SERVICIO],Tabla1[VALOR]*AF43),0))</f>
        <v>0</v>
      </c>
      <c r="AH43" s="14"/>
      <c r="AI43" s="56" cm="1">
        <f t="array" ref="AI43">IF(AH43="X",(_xlfn.XLOOKUP($B43,Tabla1[SERVICIO],Tabla1[VALOR])*1),IF(AH43&gt;=1,_xlfn.XLOOKUP($B43,Tabla1[SERVICIO],Tabla1[VALOR]*AH43),0))</f>
        <v>0</v>
      </c>
      <c r="AJ43" s="14"/>
      <c r="AK43" s="56" cm="1">
        <f t="array" ref="AK43">IF(AJ43="X",(_xlfn.XLOOKUP($B43,Tabla1[SERVICIO],Tabla1[VALOR])*1),IF(AJ43&gt;=1,_xlfn.XLOOKUP($B43,Tabla1[SERVICIO],Tabla1[VALOR]*AJ43),0))</f>
        <v>0</v>
      </c>
      <c r="AL43" s="14">
        <v>1</v>
      </c>
      <c r="AM43" s="90" cm="1">
        <f t="array" ref="AM43">IF(AL43="X",(_xlfn.XLOOKUP($B43,Tabla1[SERVICIO],Tabla1[VALOR])*1),IF(AL43&gt;=1,_xlfn.XLOOKUP($B43,Tabla1[SERVICIO],Tabla1[VALOR]*AL43),0))</f>
        <v>22052.520800552971</v>
      </c>
      <c r="AN43" s="89">
        <f t="shared" si="1"/>
        <v>66157.562401658914</v>
      </c>
      <c r="AO43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43" s="175" t="s">
        <v>318</v>
      </c>
      <c r="AQ43" s="126">
        <v>1.2648401826484019</v>
      </c>
      <c r="AR43" s="121">
        <f>+Tabla4671941[[#This Row],[TOTAL]]*Tabla4671941[[#This Row],[% de las personas que lo usaron]]</f>
        <v>83678.743311687314</v>
      </c>
      <c r="AS43" s="240" t="s">
        <v>354</v>
      </c>
      <c r="AT43" s="243">
        <v>18</v>
      </c>
    </row>
    <row r="44" spans="1:46" x14ac:dyDescent="0.25">
      <c r="A44" s="7" t="s">
        <v>17</v>
      </c>
      <c r="B44" s="8" t="s">
        <v>18</v>
      </c>
      <c r="C44" s="96" t="str">
        <f>_xlfn.XLOOKUP(Tabla4671941[[#This Row],[Servicios del Programa:]],Tabla151[CODIGO],Tabla151[VALOR])</f>
        <v>Consultas</v>
      </c>
      <c r="D44" s="8"/>
      <c r="E44" s="56" cm="1">
        <f t="array" ref="E44">IF(D44="X",(_xlfn.XLOOKUP($B44,Tabla1[SERVICIO],Tabla1[VALOR])*1),IF(D44&gt;=1,_xlfn.XLOOKUP($B44,Tabla1[SERVICIO],Tabla1[VALOR]*D44),0))</f>
        <v>0</v>
      </c>
      <c r="F44" s="8"/>
      <c r="G44" s="56" cm="1">
        <f t="array" ref="G44">IF(F44="X",(_xlfn.XLOOKUP($B44,Tabla1[SERVICIO],Tabla1[VALOR])*1),IF(F44&gt;=1,_xlfn.XLOOKUP($B44,Tabla1[SERVICIO],Tabla1[VALOR]*F44),0))</f>
        <v>0</v>
      </c>
      <c r="H44" s="8"/>
      <c r="I44" s="56" cm="1">
        <f t="array" ref="I44">IF(H44="X",(_xlfn.XLOOKUP($B44,Tabla1[SERVICIO],Tabla1[VALOR])*1),IF(H44&gt;=1,_xlfn.XLOOKUP($B44,Tabla1[SERVICIO],Tabla1[VALOR]*H44),0))</f>
        <v>0</v>
      </c>
      <c r="J44" s="8"/>
      <c r="K44" s="56" cm="1">
        <f t="array" ref="K44">IF(J44="X",(_xlfn.XLOOKUP($B44,Tabla1[SERVICIO],Tabla1[VALOR])*1),IF(J44&gt;=1,_xlfn.XLOOKUP($B44,Tabla1[SERVICIO],Tabla1[VALOR]*J44),0))</f>
        <v>0</v>
      </c>
      <c r="L44" s="8"/>
      <c r="M44" s="56" cm="1">
        <f t="array" ref="M44">IF(L44="X",(_xlfn.XLOOKUP($B44,Tabla1[SERVICIO],Tabla1[VALOR])*1),IF(L44&gt;=1,_xlfn.XLOOKUP($B44,Tabla1[SERVICIO],Tabla1[VALOR]*L44),0))</f>
        <v>0</v>
      </c>
      <c r="N44" s="14">
        <v>1</v>
      </c>
      <c r="O44" s="56" cm="1">
        <f t="array" ref="O44">IF(N44="X",(_xlfn.XLOOKUP($B44,Tabla1[SERVICIO],Tabla1[VALOR])*1),IF(N44&gt;=1,_xlfn.XLOOKUP($B44,Tabla1[SERVICIO],Tabla1[VALOR]*N44),0))</f>
        <v>20414.75585737115</v>
      </c>
      <c r="P44" s="8"/>
      <c r="Q44" s="56" cm="1">
        <f t="array" ref="Q44">IF(P44="X",(_xlfn.XLOOKUP($B44,Tabla1[SERVICIO],Tabla1[VALOR])*1),IF(P44&gt;=1,_xlfn.XLOOKUP($B44,Tabla1[SERVICIO],Tabla1[VALOR]*P44),0))</f>
        <v>0</v>
      </c>
      <c r="R44" s="8"/>
      <c r="S44" s="56" cm="1">
        <f t="array" ref="S44">IF(R44="X",(_xlfn.XLOOKUP($B44,Tabla1[SERVICIO],Tabla1[VALOR])*1),IF(R44&gt;=1,_xlfn.XLOOKUP($B44,Tabla1[SERVICIO],Tabla1[VALOR]*R44),0))</f>
        <v>0</v>
      </c>
      <c r="T44" s="8"/>
      <c r="U44" s="56" cm="1">
        <f t="array" ref="U44">IF(T44="X",(_xlfn.XLOOKUP($B44,Tabla1[SERVICIO],Tabla1[VALOR])*1),IF(T44&gt;=1,_xlfn.XLOOKUP($B44,Tabla1[SERVICIO],Tabla1[VALOR]*T44),0))</f>
        <v>0</v>
      </c>
      <c r="V44" s="8"/>
      <c r="W44" s="56" cm="1">
        <f t="array" ref="W44">IF(V44="X",(_xlfn.XLOOKUP($B44,Tabla1[SERVICIO],Tabla1[VALOR])*1),IF(V44&gt;=1,_xlfn.XLOOKUP($B44,Tabla1[SERVICIO],Tabla1[VALOR]*V44),0))</f>
        <v>0</v>
      </c>
      <c r="X44" s="8"/>
      <c r="Y44" s="56" cm="1">
        <f t="array" ref="Y44">IF(X44="X",(_xlfn.XLOOKUP($B44,Tabla1[SERVICIO],Tabla1[VALOR])*1),IF(X44&gt;=1,_xlfn.XLOOKUP($B44,Tabla1[SERVICIO],Tabla1[VALOR]*X44),0))</f>
        <v>0</v>
      </c>
      <c r="Z44" s="8"/>
      <c r="AA44" s="56" cm="1">
        <f t="array" ref="AA44">IF(Z44="X",(_xlfn.XLOOKUP($B44,Tabla1[SERVICIO],Tabla1[VALOR])*1),IF(Z44&gt;=1,_xlfn.XLOOKUP($B44,Tabla1[SERVICIO],Tabla1[VALOR]*Z44),0))</f>
        <v>0</v>
      </c>
      <c r="AB44" s="8"/>
      <c r="AC44" s="56" cm="1">
        <f t="array" ref="AC44">IF(AB44="X",(_xlfn.XLOOKUP($B44,Tabla1[SERVICIO],Tabla1[VALOR])*1),IF(AB44&gt;=1,_xlfn.XLOOKUP($B44,Tabla1[SERVICIO],Tabla1[VALOR]*AB44),0))</f>
        <v>0</v>
      </c>
      <c r="AD44" s="8"/>
      <c r="AE44" s="56" cm="1">
        <f t="array" ref="AE44">IF(AD44="X",(_xlfn.XLOOKUP($B44,Tabla1[SERVICIO],Tabla1[VALOR])*1),IF(AD44&gt;=1,_xlfn.XLOOKUP($B44,Tabla1[SERVICIO],Tabla1[VALOR]*AD44),0))</f>
        <v>0</v>
      </c>
      <c r="AF44" s="8"/>
      <c r="AG44" s="56" cm="1">
        <f t="array" ref="AG44">IF(AF44="X",(_xlfn.XLOOKUP($B44,Tabla1[SERVICIO],Tabla1[VALOR])*1),IF(AF44&gt;=1,_xlfn.XLOOKUP($B44,Tabla1[SERVICIO],Tabla1[VALOR]*AF44),0))</f>
        <v>0</v>
      </c>
      <c r="AH44" s="8"/>
      <c r="AI44" s="56" cm="1">
        <f t="array" ref="AI44">IF(AH44="X",(_xlfn.XLOOKUP($B44,Tabla1[SERVICIO],Tabla1[VALOR])*1),IF(AH44&gt;=1,_xlfn.XLOOKUP($B44,Tabla1[SERVICIO],Tabla1[VALOR]*AH44),0))</f>
        <v>0</v>
      </c>
      <c r="AJ44" s="8"/>
      <c r="AK44" s="56" cm="1">
        <f t="array" ref="AK44">IF(AJ44="X",(_xlfn.XLOOKUP($B44,Tabla1[SERVICIO],Tabla1[VALOR])*1),IF(AJ44&gt;=1,_xlfn.XLOOKUP($B44,Tabla1[SERVICIO],Tabla1[VALOR]*AJ44),0))</f>
        <v>0</v>
      </c>
      <c r="AL44" s="14">
        <v>1</v>
      </c>
      <c r="AM44" s="90" cm="1">
        <f t="array" ref="AM44">IF(AL44="X",(_xlfn.XLOOKUP($B44,Tabla1[SERVICIO],Tabla1[VALOR])*1),IF(AL44&gt;=1,_xlfn.XLOOKUP($B44,Tabla1[SERVICIO],Tabla1[VALOR]*AL44),0))</f>
        <v>20414.75585737115</v>
      </c>
      <c r="AN44" s="89">
        <f t="shared" si="1"/>
        <v>40829.511714742301</v>
      </c>
      <c r="AO44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2</v>
      </c>
      <c r="AP44" s="175" t="s">
        <v>318</v>
      </c>
      <c r="AQ44" s="126">
        <v>6.5019505851755528E-4</v>
      </c>
      <c r="AR44" s="121">
        <f>+Tabla4671941[[#This Row],[TOTAL]]*Tabla4671941[[#This Row],[% de las personas que lo usaron]]</f>
        <v>26.547146758610079</v>
      </c>
      <c r="AS44" s="240" t="s">
        <v>354</v>
      </c>
      <c r="AT44" s="243">
        <v>18</v>
      </c>
    </row>
    <row r="45" spans="1:46" x14ac:dyDescent="0.25">
      <c r="A45" s="7" t="s">
        <v>19</v>
      </c>
      <c r="B45" s="8" t="s">
        <v>20</v>
      </c>
      <c r="C45" s="96" t="str">
        <f>_xlfn.XLOOKUP(Tabla4671941[[#This Row],[Servicios del Programa:]],Tabla151[CODIGO],Tabla151[VALOR])</f>
        <v>Consultas</v>
      </c>
      <c r="D45" s="14">
        <v>1</v>
      </c>
      <c r="E45" s="56" cm="1">
        <f t="array" ref="E45">IF(D45="X",(_xlfn.XLOOKUP($B45,Tabla1[SERVICIO],Tabla1[VALOR])*1),IF(D45&gt;=1,_xlfn.XLOOKUP($B45,Tabla1[SERVICIO],Tabla1[VALOR]*D45),0))</f>
        <v>67398.098568534639</v>
      </c>
      <c r="F45" s="8"/>
      <c r="G45" s="56" cm="1">
        <f t="array" ref="G45">IF(F45="X",(_xlfn.XLOOKUP($B45,Tabla1[SERVICIO],Tabla1[VALOR])*1),IF(F45&gt;=1,_xlfn.XLOOKUP($B45,Tabla1[SERVICIO],Tabla1[VALOR]*F45),0))</f>
        <v>0</v>
      </c>
      <c r="H45" s="8"/>
      <c r="I45" s="56" cm="1">
        <f t="array" ref="I45">IF(H45="X",(_xlfn.XLOOKUP($B45,Tabla1[SERVICIO],Tabla1[VALOR])*1),IF(H45&gt;=1,_xlfn.XLOOKUP($B45,Tabla1[SERVICIO],Tabla1[VALOR]*H45),0))</f>
        <v>0</v>
      </c>
      <c r="J45" s="8"/>
      <c r="K45" s="56" cm="1">
        <f t="array" ref="K45">IF(J45="X",(_xlfn.XLOOKUP($B45,Tabla1[SERVICIO],Tabla1[VALOR])*1),IF(J45&gt;=1,_xlfn.XLOOKUP($B45,Tabla1[SERVICIO],Tabla1[VALOR]*J45),0))</f>
        <v>0</v>
      </c>
      <c r="L45" s="8"/>
      <c r="M45" s="56" cm="1">
        <f t="array" ref="M45">IF(L45="X",(_xlfn.XLOOKUP($B45,Tabla1[SERVICIO],Tabla1[VALOR])*1),IF(L45&gt;=1,_xlfn.XLOOKUP($B45,Tabla1[SERVICIO],Tabla1[VALOR]*L45),0))</f>
        <v>0</v>
      </c>
      <c r="N45" s="8"/>
      <c r="O45" s="56" cm="1">
        <f t="array" ref="O45">IF(N45="X",(_xlfn.XLOOKUP($B45,Tabla1[SERVICIO],Tabla1[VALOR])*1),IF(N45&gt;=1,_xlfn.XLOOKUP($B45,Tabla1[SERVICIO],Tabla1[VALOR]*N45),0))</f>
        <v>0</v>
      </c>
      <c r="P45" s="8"/>
      <c r="Q45" s="56" cm="1">
        <f t="array" ref="Q45">IF(P45="X",(_xlfn.XLOOKUP($B45,Tabla1[SERVICIO],Tabla1[VALOR])*1),IF(P45&gt;=1,_xlfn.XLOOKUP($B45,Tabla1[SERVICIO],Tabla1[VALOR]*P45),0))</f>
        <v>0</v>
      </c>
      <c r="R45" s="8"/>
      <c r="S45" s="56" cm="1">
        <f t="array" ref="S45">IF(R45="X",(_xlfn.XLOOKUP($B45,Tabla1[SERVICIO],Tabla1[VALOR])*1),IF(R45&gt;=1,_xlfn.XLOOKUP($B45,Tabla1[SERVICIO],Tabla1[VALOR]*R45),0))</f>
        <v>0</v>
      </c>
      <c r="T45" s="8"/>
      <c r="U45" s="56" cm="1">
        <f t="array" ref="U45">IF(T45="X",(_xlfn.XLOOKUP($B45,Tabla1[SERVICIO],Tabla1[VALOR])*1),IF(T45&gt;=1,_xlfn.XLOOKUP($B45,Tabla1[SERVICIO],Tabla1[VALOR]*T45),0))</f>
        <v>0</v>
      </c>
      <c r="V45" s="8"/>
      <c r="W45" s="56" cm="1">
        <f t="array" ref="W45">IF(V45="X",(_xlfn.XLOOKUP($B45,Tabla1[SERVICIO],Tabla1[VALOR])*1),IF(V45&gt;=1,_xlfn.XLOOKUP($B45,Tabla1[SERVICIO],Tabla1[VALOR]*V45),0))</f>
        <v>0</v>
      </c>
      <c r="X45" s="8"/>
      <c r="Y45" s="56" cm="1">
        <f t="array" ref="Y45">IF(X45="X",(_xlfn.XLOOKUP($B45,Tabla1[SERVICIO],Tabla1[VALOR])*1),IF(X45&gt;=1,_xlfn.XLOOKUP($B45,Tabla1[SERVICIO],Tabla1[VALOR]*X45),0))</f>
        <v>0</v>
      </c>
      <c r="Z45" s="8"/>
      <c r="AA45" s="56" cm="1">
        <f t="array" ref="AA45">IF(Z45="X",(_xlfn.XLOOKUP($B45,Tabla1[SERVICIO],Tabla1[VALOR])*1),IF(Z45&gt;=1,_xlfn.XLOOKUP($B45,Tabla1[SERVICIO],Tabla1[VALOR]*Z45),0))</f>
        <v>0</v>
      </c>
      <c r="AB45" s="8"/>
      <c r="AC45" s="56" cm="1">
        <f t="array" ref="AC45">IF(AB45="X",(_xlfn.XLOOKUP($B45,Tabla1[SERVICIO],Tabla1[VALOR])*1),IF(AB45&gt;=1,_xlfn.XLOOKUP($B45,Tabla1[SERVICIO],Tabla1[VALOR]*AB45),0))</f>
        <v>0</v>
      </c>
      <c r="AD45" s="8"/>
      <c r="AE45" s="56" cm="1">
        <f t="array" ref="AE45">IF(AD45="X",(_xlfn.XLOOKUP($B45,Tabla1[SERVICIO],Tabla1[VALOR])*1),IF(AD45&gt;=1,_xlfn.XLOOKUP($B45,Tabla1[SERVICIO],Tabla1[VALOR]*AD45),0))</f>
        <v>0</v>
      </c>
      <c r="AF45" s="8"/>
      <c r="AG45" s="56" cm="1">
        <f t="array" ref="AG45">IF(AF45="X",(_xlfn.XLOOKUP($B45,Tabla1[SERVICIO],Tabla1[VALOR])*1),IF(AF45&gt;=1,_xlfn.XLOOKUP($B45,Tabla1[SERVICIO],Tabla1[VALOR]*AF45),0))</f>
        <v>0</v>
      </c>
      <c r="AH45" s="8"/>
      <c r="AI45" s="56" cm="1">
        <f t="array" ref="AI45">IF(AH45="X",(_xlfn.XLOOKUP($B45,Tabla1[SERVICIO],Tabla1[VALOR])*1),IF(AH45&gt;=1,_xlfn.XLOOKUP($B45,Tabla1[SERVICIO],Tabla1[VALOR]*AH45),0))</f>
        <v>0</v>
      </c>
      <c r="AJ45" s="8"/>
      <c r="AK45" s="56" cm="1">
        <f t="array" ref="AK45">IF(AJ45="X",(_xlfn.XLOOKUP($B45,Tabla1[SERVICIO],Tabla1[VALOR])*1),IF(AJ45&gt;=1,_xlfn.XLOOKUP($B45,Tabla1[SERVICIO],Tabla1[VALOR]*AJ45),0))</f>
        <v>0</v>
      </c>
      <c r="AL45" s="8"/>
      <c r="AM45" s="90" cm="1">
        <f t="array" ref="AM45">IF(AL45="X",(_xlfn.XLOOKUP($B45,Tabla1[SERVICIO],Tabla1[VALOR])*1),IF(AL45&gt;=1,_xlfn.XLOOKUP($B45,Tabla1[SERVICIO],Tabla1[VALOR]*AL45),0))</f>
        <v>0</v>
      </c>
      <c r="AN45" s="89">
        <f t="shared" si="1"/>
        <v>67398.098568534639</v>
      </c>
      <c r="AO45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5" s="37" t="s">
        <v>318</v>
      </c>
      <c r="AQ45" s="126">
        <v>1</v>
      </c>
      <c r="AR45" s="121">
        <f>+Tabla4671941[[#This Row],[TOTAL]]*Tabla4671941[[#This Row],[% de las personas que lo usaron]]</f>
        <v>67398.098568534639</v>
      </c>
      <c r="AS45" s="240" t="s">
        <v>354</v>
      </c>
      <c r="AT45" s="243">
        <v>18</v>
      </c>
    </row>
    <row r="46" spans="1:46" x14ac:dyDescent="0.25">
      <c r="A46" s="7" t="s">
        <v>21</v>
      </c>
      <c r="B46" s="8" t="s">
        <v>221</v>
      </c>
      <c r="C46" s="96" t="str">
        <f>_xlfn.XLOOKUP(Tabla4671941[[#This Row],[Servicios del Programa:]],Tabla151[CODIGO],Tabla151[VALOR])</f>
        <v>Consultas</v>
      </c>
      <c r="D46" s="14">
        <v>1</v>
      </c>
      <c r="E46" s="56" cm="1">
        <f t="array" ref="E46">IF(D46="X",(_xlfn.XLOOKUP($B46,Tabla1[SERVICIO],Tabla1[VALOR])*1),IF(D46&gt;=1,_xlfn.XLOOKUP($B46,Tabla1[SERVICIO],Tabla1[VALOR]*D46),0))</f>
        <v>67398.098568534639</v>
      </c>
      <c r="F46" s="14"/>
      <c r="G46" s="56" cm="1">
        <f t="array" ref="G46">IF(F46="X",(_xlfn.XLOOKUP($B46,Tabla1[SERVICIO],Tabla1[VALOR])*1),IF(F46&gt;=1,_xlfn.XLOOKUP($B46,Tabla1[SERVICIO],Tabla1[VALOR]*F46),0))</f>
        <v>0</v>
      </c>
      <c r="H46" s="14"/>
      <c r="I46" s="56" cm="1">
        <f t="array" ref="I46">IF(H46="X",(_xlfn.XLOOKUP($B46,Tabla1[SERVICIO],Tabla1[VALOR])*1),IF(H46&gt;=1,_xlfn.XLOOKUP($B46,Tabla1[SERVICIO],Tabla1[VALOR]*H46),0))</f>
        <v>0</v>
      </c>
      <c r="J46" s="14"/>
      <c r="K46" s="56" cm="1">
        <f t="array" ref="K46">IF(J46="X",(_xlfn.XLOOKUP($B46,Tabla1[SERVICIO],Tabla1[VALOR])*1),IF(J46&gt;=1,_xlfn.XLOOKUP($B46,Tabla1[SERVICIO],Tabla1[VALOR]*J46),0))</f>
        <v>0</v>
      </c>
      <c r="L46" s="14"/>
      <c r="M46" s="56" cm="1">
        <f t="array" ref="M46">IF(L46="X",(_xlfn.XLOOKUP($B46,Tabla1[SERVICIO],Tabla1[VALOR])*1),IF(L46&gt;=1,_xlfn.XLOOKUP($B46,Tabla1[SERVICIO],Tabla1[VALOR]*L46),0))</f>
        <v>0</v>
      </c>
      <c r="N46" s="14"/>
      <c r="O46" s="56" cm="1">
        <f t="array" ref="O46">IF(N46="X",(_xlfn.XLOOKUP($B46,Tabla1[SERVICIO],Tabla1[VALOR])*1),IF(N46&gt;=1,_xlfn.XLOOKUP($B46,Tabla1[SERVICIO],Tabla1[VALOR]*N46),0))</f>
        <v>0</v>
      </c>
      <c r="P46" s="14"/>
      <c r="Q46" s="56" cm="1">
        <f t="array" ref="Q46">IF(P46="X",(_xlfn.XLOOKUP($B46,Tabla1[SERVICIO],Tabla1[VALOR])*1),IF(P46&gt;=1,_xlfn.XLOOKUP($B46,Tabla1[SERVICIO],Tabla1[VALOR]*P46),0))</f>
        <v>0</v>
      </c>
      <c r="R46" s="14"/>
      <c r="S46" s="56" cm="1">
        <f t="array" ref="S46">IF(R46="X",(_xlfn.XLOOKUP($B46,Tabla1[SERVICIO],Tabla1[VALOR])*1),IF(R46&gt;=1,_xlfn.XLOOKUP($B46,Tabla1[SERVICIO],Tabla1[VALOR]*R46),0))</f>
        <v>0</v>
      </c>
      <c r="T46" s="14"/>
      <c r="U46" s="56" cm="1">
        <f t="array" ref="U46">IF(T46="X",(_xlfn.XLOOKUP($B46,Tabla1[SERVICIO],Tabla1[VALOR])*1),IF(T46&gt;=1,_xlfn.XLOOKUP($B46,Tabla1[SERVICIO],Tabla1[VALOR]*T46),0))</f>
        <v>0</v>
      </c>
      <c r="V46" s="14"/>
      <c r="W46" s="56" cm="1">
        <f t="array" ref="W46">IF(V46="X",(_xlfn.XLOOKUP($B46,Tabla1[SERVICIO],Tabla1[VALOR])*1),IF(V46&gt;=1,_xlfn.XLOOKUP($B46,Tabla1[SERVICIO],Tabla1[VALOR]*V46),0))</f>
        <v>0</v>
      </c>
      <c r="X46" s="14"/>
      <c r="Y46" s="56" cm="1">
        <f t="array" ref="Y46">IF(X46="X",(_xlfn.XLOOKUP($B46,Tabla1[SERVICIO],Tabla1[VALOR])*1),IF(X46&gt;=1,_xlfn.XLOOKUP($B46,Tabla1[SERVICIO],Tabla1[VALOR]*X46),0))</f>
        <v>0</v>
      </c>
      <c r="Z46" s="14"/>
      <c r="AA46" s="56" cm="1">
        <f t="array" ref="AA46">IF(Z46="X",(_xlfn.XLOOKUP($B46,Tabla1[SERVICIO],Tabla1[VALOR])*1),IF(Z46&gt;=1,_xlfn.XLOOKUP($B46,Tabla1[SERVICIO],Tabla1[VALOR]*Z46),0))</f>
        <v>0</v>
      </c>
      <c r="AB46" s="14"/>
      <c r="AC46" s="56" cm="1">
        <f t="array" ref="AC46">IF(AB46="X",(_xlfn.XLOOKUP($B46,Tabla1[SERVICIO],Tabla1[VALOR])*1),IF(AB46&gt;=1,_xlfn.XLOOKUP($B46,Tabla1[SERVICIO],Tabla1[VALOR]*AB46),0))</f>
        <v>0</v>
      </c>
      <c r="AD46" s="14"/>
      <c r="AE46" s="56" cm="1">
        <f t="array" ref="AE46">IF(AD46="X",(_xlfn.XLOOKUP($B46,Tabla1[SERVICIO],Tabla1[VALOR])*1),IF(AD46&gt;=1,_xlfn.XLOOKUP($B46,Tabla1[SERVICIO],Tabla1[VALOR]*AD46),0))</f>
        <v>0</v>
      </c>
      <c r="AF46" s="14"/>
      <c r="AG46" s="56" cm="1">
        <f t="array" ref="AG46">IF(AF46="X",(_xlfn.XLOOKUP($B46,Tabla1[SERVICIO],Tabla1[VALOR])*1),IF(AF46&gt;=1,_xlfn.XLOOKUP($B46,Tabla1[SERVICIO],Tabla1[VALOR]*AF46),0))</f>
        <v>0</v>
      </c>
      <c r="AH46" s="14"/>
      <c r="AI46" s="56" cm="1">
        <f t="array" ref="AI46">IF(AH46="X",(_xlfn.XLOOKUP($B46,Tabla1[SERVICIO],Tabla1[VALOR])*1),IF(AH46&gt;=1,_xlfn.XLOOKUP($B46,Tabla1[SERVICIO],Tabla1[VALOR]*AH46),0))</f>
        <v>0</v>
      </c>
      <c r="AJ46" s="14"/>
      <c r="AK46" s="56" cm="1">
        <f t="array" ref="AK46">IF(AJ46="X",(_xlfn.XLOOKUP($B46,Tabla1[SERVICIO],Tabla1[VALOR])*1),IF(AJ46&gt;=1,_xlfn.XLOOKUP($B46,Tabla1[SERVICIO],Tabla1[VALOR]*AJ46),0))</f>
        <v>0</v>
      </c>
      <c r="AL46" s="14"/>
      <c r="AM46" s="90" cm="1">
        <f t="array" ref="AM46">IF(AL46="X",(_xlfn.XLOOKUP($B46,Tabla1[SERVICIO],Tabla1[VALOR])*1),IF(AL46&gt;=1,_xlfn.XLOOKUP($B46,Tabla1[SERVICIO],Tabla1[VALOR]*AL46),0))</f>
        <v>0</v>
      </c>
      <c r="AN46" s="89">
        <f t="shared" si="1"/>
        <v>67398.098568534639</v>
      </c>
      <c r="AO46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6" s="37" t="s">
        <v>319</v>
      </c>
      <c r="AQ46" s="126">
        <v>0.64052287581699341</v>
      </c>
      <c r="AR46" s="121">
        <f>+Tabla4671941[[#This Row],[TOTAL]]*Tabla4671941[[#This Row],[% de las personas que lo usaron]]</f>
        <v>43170.023919714993</v>
      </c>
      <c r="AS46" s="240" t="s">
        <v>354</v>
      </c>
      <c r="AT46" s="243">
        <v>18</v>
      </c>
    </row>
    <row r="47" spans="1:46" x14ac:dyDescent="0.25">
      <c r="A47" s="7" t="s">
        <v>29</v>
      </c>
      <c r="B47" s="8" t="s">
        <v>196</v>
      </c>
      <c r="C47" s="96" t="str">
        <f>_xlfn.XLOOKUP(Tabla4671941[[#This Row],[Servicios del Programa:]],Tabla151[CODIGO],Tabla151[VALOR])</f>
        <v>Terapias</v>
      </c>
      <c r="D47" s="8"/>
      <c r="E47" s="56" cm="1">
        <f t="array" ref="E47">IF(D47="X",(_xlfn.XLOOKUP($B47,Tabla1[SERVICIO],Tabla1[VALOR])*1),IF(D47&gt;=1,_xlfn.XLOOKUP($B47,Tabla1[SERVICIO],Tabla1[VALOR]*D47),0))</f>
        <v>0</v>
      </c>
      <c r="F47" s="8"/>
      <c r="G47" s="56" cm="1">
        <f t="array" ref="G47">IF(F47="X",(_xlfn.XLOOKUP($B47,Tabla1[SERVICIO],Tabla1[VALOR])*1),IF(F47&gt;=1,_xlfn.XLOOKUP($B47,Tabla1[SERVICIO],Tabla1[VALOR]*F47),0))</f>
        <v>0</v>
      </c>
      <c r="H47" s="8"/>
      <c r="I47" s="56" cm="1">
        <f t="array" ref="I47">IF(H47="X",(_xlfn.XLOOKUP($B47,Tabla1[SERVICIO],Tabla1[VALOR])*1),IF(H47&gt;=1,_xlfn.XLOOKUP($B47,Tabla1[SERVICIO],Tabla1[VALOR]*H47),0))</f>
        <v>0</v>
      </c>
      <c r="J47" s="8"/>
      <c r="K47" s="56" cm="1">
        <f t="array" ref="K47">IF(J47="X",(_xlfn.XLOOKUP($B47,Tabla1[SERVICIO],Tabla1[VALOR])*1),IF(J47&gt;=1,_xlfn.XLOOKUP($B47,Tabla1[SERVICIO],Tabla1[VALOR]*J47),0))</f>
        <v>0</v>
      </c>
      <c r="L47" s="8"/>
      <c r="M47" s="56" cm="1">
        <f t="array" ref="M47">IF(L47="X",(_xlfn.XLOOKUP($B47,Tabla1[SERVICIO],Tabla1[VALOR])*1),IF(L47&gt;=1,_xlfn.XLOOKUP($B47,Tabla1[SERVICIO],Tabla1[VALOR]*L47),0))</f>
        <v>0</v>
      </c>
      <c r="N47" s="8"/>
      <c r="O47" s="56" cm="1">
        <f t="array" ref="O47">IF(N47="X",(_xlfn.XLOOKUP($B47,Tabla1[SERVICIO],Tabla1[VALOR])*1),IF(N47&gt;=1,_xlfn.XLOOKUP($B47,Tabla1[SERVICIO],Tabla1[VALOR]*N47),0))</f>
        <v>0</v>
      </c>
      <c r="P47" s="8"/>
      <c r="Q47" s="56" cm="1">
        <f t="array" ref="Q47">IF(P47="X",(_xlfn.XLOOKUP($B47,Tabla1[SERVICIO],Tabla1[VALOR])*1),IF(P47&gt;=1,_xlfn.XLOOKUP($B47,Tabla1[SERVICIO],Tabla1[VALOR]*P47),0))</f>
        <v>0</v>
      </c>
      <c r="R47" s="8"/>
      <c r="S47" s="56" cm="1">
        <f t="array" ref="S47">IF(R47="X",(_xlfn.XLOOKUP($B47,Tabla1[SERVICIO],Tabla1[VALOR])*1),IF(R47&gt;=1,_xlfn.XLOOKUP($B47,Tabla1[SERVICIO],Tabla1[VALOR]*R47),0))</f>
        <v>0</v>
      </c>
      <c r="T47" s="8"/>
      <c r="U47" s="56" cm="1">
        <f t="array" ref="U47">IF(T47="X",(_xlfn.XLOOKUP($B47,Tabla1[SERVICIO],Tabla1[VALOR])*1),IF(T47&gt;=1,_xlfn.XLOOKUP($B47,Tabla1[SERVICIO],Tabla1[VALOR]*T47),0))</f>
        <v>0</v>
      </c>
      <c r="V47" s="8"/>
      <c r="W47" s="56" cm="1">
        <f t="array" ref="W47">IF(V47="X",(_xlfn.XLOOKUP($B47,Tabla1[SERVICIO],Tabla1[VALOR])*1),IF(V47&gt;=1,_xlfn.XLOOKUP($B47,Tabla1[SERVICIO],Tabla1[VALOR]*V47),0))</f>
        <v>0</v>
      </c>
      <c r="X47" s="8"/>
      <c r="Y47" s="56" cm="1">
        <f t="array" ref="Y47">IF(X47="X",(_xlfn.XLOOKUP($B47,Tabla1[SERVICIO],Tabla1[VALOR])*1),IF(X47&gt;=1,_xlfn.XLOOKUP($B47,Tabla1[SERVICIO],Tabla1[VALOR]*X47),0))</f>
        <v>0</v>
      </c>
      <c r="Z47" s="8"/>
      <c r="AA47" s="56" cm="1">
        <f t="array" ref="AA47">IF(Z47="X",(_xlfn.XLOOKUP($B47,Tabla1[SERVICIO],Tabla1[VALOR])*1),IF(Z47&gt;=1,_xlfn.XLOOKUP($B47,Tabla1[SERVICIO],Tabla1[VALOR]*Z47),0))</f>
        <v>0</v>
      </c>
      <c r="AB47" s="8"/>
      <c r="AC47" s="56" cm="1">
        <f t="array" ref="AC47">IF(AB47="X",(_xlfn.XLOOKUP($B47,Tabla1[SERVICIO],Tabla1[VALOR])*1),IF(AB47&gt;=1,_xlfn.XLOOKUP($B47,Tabla1[SERVICIO],Tabla1[VALOR]*AB47),0))</f>
        <v>0</v>
      </c>
      <c r="AD47" s="8"/>
      <c r="AE47" s="56" cm="1">
        <f t="array" ref="AE47">IF(AD47="X",(_xlfn.XLOOKUP($B47,Tabla1[SERVICIO],Tabla1[VALOR])*1),IF(AD47&gt;=1,_xlfn.XLOOKUP($B47,Tabla1[SERVICIO],Tabla1[VALOR]*AD47),0))</f>
        <v>0</v>
      </c>
      <c r="AF47" s="8"/>
      <c r="AG47" s="56" cm="1">
        <f t="array" ref="AG47">IF(AF47="X",(_xlfn.XLOOKUP($B47,Tabla1[SERVICIO],Tabla1[VALOR])*1),IF(AF47&gt;=1,_xlfn.XLOOKUP($B47,Tabla1[SERVICIO],Tabla1[VALOR]*AF47),0))</f>
        <v>0</v>
      </c>
      <c r="AH47" s="8"/>
      <c r="AI47" s="56" cm="1">
        <f t="array" ref="AI47">IF(AH47="X",(_xlfn.XLOOKUP($B47,Tabla1[SERVICIO],Tabla1[VALOR])*1),IF(AH47&gt;=1,_xlfn.XLOOKUP($B47,Tabla1[SERVICIO],Tabla1[VALOR]*AH47),0))</f>
        <v>0</v>
      </c>
      <c r="AJ47" s="8"/>
      <c r="AK47" s="56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90" cm="1">
        <f t="array" ref="AM47">IF(AL47="X",(_xlfn.XLOOKUP($B47,Tabla1[SERVICIO],Tabla1[VALOR])*1),IF(AL47&gt;=1,_xlfn.XLOOKUP($B47,Tabla1[SERVICIO],Tabla1[VALOR]*AL47),0))</f>
        <v>31881.451880098426</v>
      </c>
      <c r="AN47" s="89">
        <f t="shared" si="1"/>
        <v>31881.451880098426</v>
      </c>
      <c r="AO47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7" s="175" t="s">
        <v>318</v>
      </c>
      <c r="AQ47" s="126">
        <v>2.6940639269406392</v>
      </c>
      <c r="AR47" s="121">
        <f>+Tabla4671941[[#This Row],[TOTAL]]*Tabla4671941[[#This Row],[% de las personas que lo usaron]]</f>
        <v>85890.669448666988</v>
      </c>
      <c r="AS47" s="240" t="s">
        <v>354</v>
      </c>
      <c r="AT47" s="243">
        <v>18</v>
      </c>
    </row>
    <row r="48" spans="1:46" x14ac:dyDescent="0.25">
      <c r="A48" s="7" t="s">
        <v>34</v>
      </c>
      <c r="B48" s="8" t="s">
        <v>35</v>
      </c>
      <c r="C48" s="96" t="str">
        <f>_xlfn.XLOOKUP(Tabla4671941[[#This Row],[Servicios del Programa:]],Tabla151[CODIGO],Tabla151[VALOR])</f>
        <v>Consultas</v>
      </c>
      <c r="D48" s="14">
        <v>1</v>
      </c>
      <c r="E48" s="56" cm="1">
        <f t="array" ref="E48">IF(D48="X",(_xlfn.XLOOKUP($B48,Tabla1[SERVICIO],Tabla1[VALOR])*1),IF(D48&gt;=1,_xlfn.XLOOKUP($B48,Tabla1[SERVICIO],Tabla1[VALOR]*D48),0))</f>
        <v>24009.730401318589</v>
      </c>
      <c r="F48" s="8"/>
      <c r="G48" s="56" cm="1">
        <f t="array" ref="G48">IF(F48="X",(_xlfn.XLOOKUP($B48,Tabla1[SERVICIO],Tabla1[VALOR])*1),IF(F48&gt;=1,_xlfn.XLOOKUP($B48,Tabla1[SERVICIO],Tabla1[VALOR]*F48),0))</f>
        <v>0</v>
      </c>
      <c r="H48" s="8"/>
      <c r="I48" s="56" cm="1">
        <f t="array" ref="I48">IF(H48="X",(_xlfn.XLOOKUP($B48,Tabla1[SERVICIO],Tabla1[VALOR])*1),IF(H48&gt;=1,_xlfn.XLOOKUP($B48,Tabla1[SERVICIO],Tabla1[VALOR]*H48),0))</f>
        <v>0</v>
      </c>
      <c r="J48" s="8"/>
      <c r="K48" s="56" cm="1">
        <f t="array" ref="K48">IF(J48="X",(_xlfn.XLOOKUP($B48,Tabla1[SERVICIO],Tabla1[VALOR])*1),IF(J48&gt;=1,_xlfn.XLOOKUP($B48,Tabla1[SERVICIO],Tabla1[VALOR]*J48),0))</f>
        <v>0</v>
      </c>
      <c r="L48" s="8"/>
      <c r="M48" s="56" cm="1">
        <f t="array" ref="M48">IF(L48="X",(_xlfn.XLOOKUP($B48,Tabla1[SERVICIO],Tabla1[VALOR])*1),IF(L48&gt;=1,_xlfn.XLOOKUP($B48,Tabla1[SERVICIO],Tabla1[VALOR]*L48),0))</f>
        <v>0</v>
      </c>
      <c r="N48" s="8"/>
      <c r="O48" s="56" cm="1">
        <f t="array" ref="O48">IF(N48="X",(_xlfn.XLOOKUP($B48,Tabla1[SERVICIO],Tabla1[VALOR])*1),IF(N48&gt;=1,_xlfn.XLOOKUP($B48,Tabla1[SERVICIO],Tabla1[VALOR]*N48),0))</f>
        <v>0</v>
      </c>
      <c r="P48" s="8"/>
      <c r="Q48" s="56" cm="1">
        <f t="array" ref="Q48">IF(P48="X",(_xlfn.XLOOKUP($B48,Tabla1[SERVICIO],Tabla1[VALOR])*1),IF(P48&gt;=1,_xlfn.XLOOKUP($B48,Tabla1[SERVICIO],Tabla1[VALOR]*P48),0))</f>
        <v>0</v>
      </c>
      <c r="R48" s="8"/>
      <c r="S48" s="56" cm="1">
        <f t="array" ref="S48">IF(R48="X",(_xlfn.XLOOKUP($B48,Tabla1[SERVICIO],Tabla1[VALOR])*1),IF(R48&gt;=1,_xlfn.XLOOKUP($B48,Tabla1[SERVICIO],Tabla1[VALOR]*R48),0))</f>
        <v>0</v>
      </c>
      <c r="T48" s="8"/>
      <c r="U48" s="56" cm="1">
        <f t="array" ref="U48">IF(T48="X",(_xlfn.XLOOKUP($B48,Tabla1[SERVICIO],Tabla1[VALOR])*1),IF(T48&gt;=1,_xlfn.XLOOKUP($B48,Tabla1[SERVICIO],Tabla1[VALOR]*T48),0))</f>
        <v>0</v>
      </c>
      <c r="V48" s="8"/>
      <c r="W48" s="56" cm="1">
        <f t="array" ref="W48">IF(V48="X",(_xlfn.XLOOKUP($B48,Tabla1[SERVICIO],Tabla1[VALOR])*1),IF(V48&gt;=1,_xlfn.XLOOKUP($B48,Tabla1[SERVICIO],Tabla1[VALOR]*V48),0))</f>
        <v>0</v>
      </c>
      <c r="X48" s="8"/>
      <c r="Y48" s="56" cm="1">
        <f t="array" ref="Y48">IF(X48="X",(_xlfn.XLOOKUP($B48,Tabla1[SERVICIO],Tabla1[VALOR])*1),IF(X48&gt;=1,_xlfn.XLOOKUP($B48,Tabla1[SERVICIO],Tabla1[VALOR]*X48),0))</f>
        <v>0</v>
      </c>
      <c r="Z48" s="8"/>
      <c r="AA48" s="56" cm="1">
        <f t="array" ref="AA48">IF(Z48="X",(_xlfn.XLOOKUP($B48,Tabla1[SERVICIO],Tabla1[VALOR])*1),IF(Z48&gt;=1,_xlfn.XLOOKUP($B48,Tabla1[SERVICIO],Tabla1[VALOR]*Z48),0))</f>
        <v>0</v>
      </c>
      <c r="AB48" s="8"/>
      <c r="AC48" s="56" cm="1">
        <f t="array" ref="AC48">IF(AB48="X",(_xlfn.XLOOKUP($B48,Tabla1[SERVICIO],Tabla1[VALOR])*1),IF(AB48&gt;=1,_xlfn.XLOOKUP($B48,Tabla1[SERVICIO],Tabla1[VALOR]*AB48),0))</f>
        <v>0</v>
      </c>
      <c r="AD48" s="8"/>
      <c r="AE48" s="56" cm="1">
        <f t="array" ref="AE48">IF(AD48="X",(_xlfn.XLOOKUP($B48,Tabla1[SERVICIO],Tabla1[VALOR])*1),IF(AD48&gt;=1,_xlfn.XLOOKUP($B48,Tabla1[SERVICIO],Tabla1[VALOR]*AD48),0))</f>
        <v>0</v>
      </c>
      <c r="AF48" s="8"/>
      <c r="AG48" s="56" cm="1">
        <f t="array" ref="AG48">IF(AF48="X",(_xlfn.XLOOKUP($B48,Tabla1[SERVICIO],Tabla1[VALOR])*1),IF(AF48&gt;=1,_xlfn.XLOOKUP($B48,Tabla1[SERVICIO],Tabla1[VALOR]*AF48),0))</f>
        <v>0</v>
      </c>
      <c r="AH48" s="8"/>
      <c r="AI48" s="56" cm="1">
        <f t="array" ref="AI48">IF(AH48="X",(_xlfn.XLOOKUP($B48,Tabla1[SERVICIO],Tabla1[VALOR])*1),IF(AH48&gt;=1,_xlfn.XLOOKUP($B48,Tabla1[SERVICIO],Tabla1[VALOR]*AH48),0))</f>
        <v>0</v>
      </c>
      <c r="AJ48" s="8"/>
      <c r="AK48" s="56" cm="1">
        <f t="array" ref="AK48">IF(AJ48="X",(_xlfn.XLOOKUP($B48,Tabla1[SERVICIO],Tabla1[VALOR])*1),IF(AJ48&gt;=1,_xlfn.XLOOKUP($B48,Tabla1[SERVICIO],Tabla1[VALOR]*AJ48),0))</f>
        <v>0</v>
      </c>
      <c r="AL48" s="8"/>
      <c r="AM48" s="90" cm="1">
        <f t="array" ref="AM48">IF(AL48="X",(_xlfn.XLOOKUP($B48,Tabla1[SERVICIO],Tabla1[VALOR])*1),IF(AL48&gt;=1,_xlfn.XLOOKUP($B48,Tabla1[SERVICIO],Tabla1[VALOR]*AL48),0))</f>
        <v>0</v>
      </c>
      <c r="AN48" s="89">
        <f t="shared" si="1"/>
        <v>24009.730401318589</v>
      </c>
      <c r="AO48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8" s="175" t="s">
        <v>318</v>
      </c>
      <c r="AQ48" s="126">
        <v>0.13698630136986301</v>
      </c>
      <c r="AR48" s="121">
        <f>+Tabla4671941[[#This Row],[TOTAL]]*Tabla4671941[[#This Row],[% de las personas que lo usaron]]</f>
        <v>3289.00416456419</v>
      </c>
      <c r="AS48" s="240" t="s">
        <v>354</v>
      </c>
      <c r="AT48" s="243">
        <v>18</v>
      </c>
    </row>
    <row r="49" spans="1:46" x14ac:dyDescent="0.25">
      <c r="A49" s="7" t="s">
        <v>38</v>
      </c>
      <c r="B49" s="8" t="s">
        <v>102</v>
      </c>
      <c r="C49" s="96" t="str">
        <f>_xlfn.XLOOKUP(Tabla4671941[[#This Row],[Servicios del Programa:]],Tabla151[CODIGO],Tabla151[VALOR])</f>
        <v>Consultas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56420.692787682223</v>
      </c>
      <c r="F49" s="14"/>
      <c r="G49" s="56" cm="1">
        <f t="array" ref="G49">IF(F49="X",(_xlfn.XLOOKUP($B49,Tabla1[SERVICIO],Tabla1[VALOR])*1),IF(F49&gt;=1,_xlfn.XLOOKUP($B49,Tabla1[SERVICIO],Tabla1[VALOR]*F49),0))</f>
        <v>0</v>
      </c>
      <c r="H49" s="14"/>
      <c r="I49" s="56" cm="1">
        <f t="array" ref="I49">IF(H49="X",(_xlfn.XLOOKUP($B49,Tabla1[SERVICIO],Tabla1[VALOR])*1),IF(H49&gt;=1,_xlfn.XLOOKUP($B49,Tabla1[SERVICIO],Tabla1[VALOR]*H49),0))</f>
        <v>0</v>
      </c>
      <c r="J49" s="14"/>
      <c r="K49" s="56" cm="1">
        <f t="array" ref="K49">IF(J49="X",(_xlfn.XLOOKUP($B49,Tabla1[SERVICIO],Tabla1[VALOR])*1),IF(J49&gt;=1,_xlfn.XLOOKUP($B49,Tabla1[SERVICIO],Tabla1[VALOR]*J49),0))</f>
        <v>0</v>
      </c>
      <c r="L49" s="14"/>
      <c r="M49" s="56" cm="1">
        <f t="array" ref="M49">IF(L49="X",(_xlfn.XLOOKUP($B49,Tabla1[SERVICIO],Tabla1[VALOR])*1),IF(L49&gt;=1,_xlfn.XLOOKUP($B49,Tabla1[SERVICIO],Tabla1[VALOR]*L49),0))</f>
        <v>0</v>
      </c>
      <c r="N49" s="14"/>
      <c r="O49" s="56" cm="1">
        <f t="array" ref="O49">IF(N49="X",(_xlfn.XLOOKUP($B49,Tabla1[SERVICIO],Tabla1[VALOR])*1),IF(N49&gt;=1,_xlfn.XLOOKUP($B49,Tabla1[SERVICIO],Tabla1[VALOR]*N49),0))</f>
        <v>0</v>
      </c>
      <c r="P49" s="14"/>
      <c r="Q49" s="56" cm="1">
        <f t="array" ref="Q49">IF(P49="X",(_xlfn.XLOOKUP($B49,Tabla1[SERVICIO],Tabla1[VALOR])*1),IF(P49&gt;=1,_xlfn.XLOOKUP($B49,Tabla1[SERVICIO],Tabla1[VALOR]*P49),0))</f>
        <v>0</v>
      </c>
      <c r="R49" s="14"/>
      <c r="S49" s="56" cm="1">
        <f t="array" ref="S49">IF(R49="X",(_xlfn.XLOOKUP($B49,Tabla1[SERVICIO],Tabla1[VALOR])*1),IF(R49&gt;=1,_xlfn.XLOOKUP($B49,Tabla1[SERVICIO],Tabla1[VALOR]*R49),0))</f>
        <v>0</v>
      </c>
      <c r="T49" s="14"/>
      <c r="U49" s="56" cm="1">
        <f t="array" ref="U49">IF(T49="X",(_xlfn.XLOOKUP($B49,Tabla1[SERVICIO],Tabla1[VALOR])*1),IF(T49&gt;=1,_xlfn.XLOOKUP($B49,Tabla1[SERVICIO],Tabla1[VALOR]*T49),0))</f>
        <v>0</v>
      </c>
      <c r="V49" s="14"/>
      <c r="W49" s="56" cm="1">
        <f t="array" ref="W49">IF(V49="X",(_xlfn.XLOOKUP($B49,Tabla1[SERVICIO],Tabla1[VALOR])*1),IF(V49&gt;=1,_xlfn.XLOOKUP($B49,Tabla1[SERVICIO],Tabla1[VALOR]*V49),0))</f>
        <v>0</v>
      </c>
      <c r="X49" s="14"/>
      <c r="Y49" s="56" cm="1">
        <f t="array" ref="Y49">IF(X49="X",(_xlfn.XLOOKUP($B49,Tabla1[SERVICIO],Tabla1[VALOR])*1),IF(X49&gt;=1,_xlfn.XLOOKUP($B49,Tabla1[SERVICIO],Tabla1[VALOR]*X49),0))</f>
        <v>0</v>
      </c>
      <c r="Z49" s="14"/>
      <c r="AA49" s="56" cm="1">
        <f t="array" ref="AA49">IF(Z49="X",(_xlfn.XLOOKUP($B49,Tabla1[SERVICIO],Tabla1[VALOR])*1),IF(Z49&gt;=1,_xlfn.XLOOKUP($B49,Tabla1[SERVICIO],Tabla1[VALOR]*Z49),0))</f>
        <v>0</v>
      </c>
      <c r="AB49" s="14"/>
      <c r="AC49" s="56" cm="1">
        <f t="array" ref="AC49">IF(AB49="X",(_xlfn.XLOOKUP($B49,Tabla1[SERVICIO],Tabla1[VALOR])*1),IF(AB49&gt;=1,_xlfn.XLOOKUP($B49,Tabla1[SERVICIO],Tabla1[VALOR]*AB49),0))</f>
        <v>0</v>
      </c>
      <c r="AD49" s="14"/>
      <c r="AE49" s="56" cm="1">
        <f t="array" ref="AE49">IF(AD49="X",(_xlfn.XLOOKUP($B49,Tabla1[SERVICIO],Tabla1[VALOR])*1),IF(AD49&gt;=1,_xlfn.XLOOKUP($B49,Tabla1[SERVICIO],Tabla1[VALOR]*AD49),0))</f>
        <v>0</v>
      </c>
      <c r="AF49" s="14"/>
      <c r="AG49" s="56" cm="1">
        <f t="array" ref="AG49">IF(AF49="X",(_xlfn.XLOOKUP($B49,Tabla1[SERVICIO],Tabla1[VALOR])*1),IF(AF49&gt;=1,_xlfn.XLOOKUP($B49,Tabla1[SERVICIO],Tabla1[VALOR]*AF49),0))</f>
        <v>0</v>
      </c>
      <c r="AH49" s="14"/>
      <c r="AI49" s="56" cm="1">
        <f t="array" ref="AI49">IF(AH49="X",(_xlfn.XLOOKUP($B49,Tabla1[SERVICIO],Tabla1[VALOR])*1),IF(AH49&gt;=1,_xlfn.XLOOKUP($B49,Tabla1[SERVICIO],Tabla1[VALOR]*AH49),0))</f>
        <v>0</v>
      </c>
      <c r="AJ49" s="14"/>
      <c r="AK49" s="56" cm="1">
        <f t="array" ref="AK49">IF(AJ49="X",(_xlfn.XLOOKUP($B49,Tabla1[SERVICIO],Tabla1[VALOR])*1),IF(AJ49&gt;=1,_xlfn.XLOOKUP($B49,Tabla1[SERVICIO],Tabla1[VALOR]*AJ49),0))</f>
        <v>0</v>
      </c>
      <c r="AL49" s="14"/>
      <c r="AM49" s="90" cm="1">
        <f t="array" ref="AM49">IF(AL49="X",(_xlfn.XLOOKUP($B49,Tabla1[SERVICIO],Tabla1[VALOR])*1),IF(AL49&gt;=1,_xlfn.XLOOKUP($B49,Tabla1[SERVICIO],Tabla1[VALOR]*AL49),0))</f>
        <v>0</v>
      </c>
      <c r="AN49" s="89">
        <f t="shared" si="1"/>
        <v>56420.692787682223</v>
      </c>
      <c r="AO49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9" s="37" t="s">
        <v>319</v>
      </c>
      <c r="AQ49" s="126">
        <v>9.8039215686274508E-2</v>
      </c>
      <c r="AR49" s="121">
        <f>+Tabla4671941[[#This Row],[TOTAL]]*Tabla4671941[[#This Row],[% de las personas que lo usaron]]</f>
        <v>5531.44046938061</v>
      </c>
      <c r="AS49" s="240" t="s">
        <v>354</v>
      </c>
      <c r="AT49" s="243">
        <v>18</v>
      </c>
    </row>
    <row r="50" spans="1:46" x14ac:dyDescent="0.25">
      <c r="A50" s="7" t="s">
        <v>32</v>
      </c>
      <c r="B50" s="8" t="s">
        <v>33</v>
      </c>
      <c r="C50" s="96" t="str">
        <f>_xlfn.XLOOKUP(Tabla4671941[[#This Row],[Servicios del Programa:]],Tabla151[CODIGO],Tabla151[VALOR])</f>
        <v>Consultas</v>
      </c>
      <c r="D50" s="14">
        <v>1</v>
      </c>
      <c r="E50" s="56" cm="1">
        <f t="array" ref="E50">IF(D50="X",(_xlfn.XLOOKUP($B50,Tabla1[SERVICIO],Tabla1[VALOR])*1),IF(D50&gt;=1,_xlfn.XLOOKUP($B50,Tabla1[SERVICIO],Tabla1[VALOR]*D50),0))</f>
        <v>24009.730401318589</v>
      </c>
      <c r="F50" s="14"/>
      <c r="G50" s="56" cm="1">
        <f t="array" ref="G50">IF(F50="X",(_xlfn.XLOOKUP($B50,Tabla1[SERVICIO],Tabla1[VALOR])*1),IF(F50&gt;=1,_xlfn.XLOOKUP($B50,Tabla1[SERVICIO],Tabla1[VALOR]*F50),0))</f>
        <v>0</v>
      </c>
      <c r="H50" s="14"/>
      <c r="I50" s="56" cm="1">
        <f t="array" ref="I50">IF(H50="X",(_xlfn.XLOOKUP($B50,Tabla1[SERVICIO],Tabla1[VALOR])*1),IF(H50&gt;=1,_xlfn.XLOOKUP($B50,Tabla1[SERVICIO],Tabla1[VALOR]*H50),0))</f>
        <v>0</v>
      </c>
      <c r="J50" s="14"/>
      <c r="K50" s="56" cm="1">
        <f t="array" ref="K50">IF(J50="X",(_xlfn.XLOOKUP($B50,Tabla1[SERVICIO],Tabla1[VALOR])*1),IF(J50&gt;=1,_xlfn.XLOOKUP($B50,Tabla1[SERVICIO],Tabla1[VALOR]*J50),0))</f>
        <v>0</v>
      </c>
      <c r="L50" s="14"/>
      <c r="M50" s="56" cm="1">
        <f t="array" ref="M50">IF(L50="X",(_xlfn.XLOOKUP($B50,Tabla1[SERVICIO],Tabla1[VALOR])*1),IF(L50&gt;=1,_xlfn.XLOOKUP($B50,Tabla1[SERVICIO],Tabla1[VALOR]*L50),0))</f>
        <v>0</v>
      </c>
      <c r="N50" s="14"/>
      <c r="O50" s="56" cm="1">
        <f t="array" ref="O50">IF(N50="X",(_xlfn.XLOOKUP($B50,Tabla1[SERVICIO],Tabla1[VALOR])*1),IF(N50&gt;=1,_xlfn.XLOOKUP($B50,Tabla1[SERVICIO],Tabla1[VALOR]*N50),0))</f>
        <v>0</v>
      </c>
      <c r="P50" s="14"/>
      <c r="Q50" s="56" cm="1">
        <f t="array" ref="Q50">IF(P50="X",(_xlfn.XLOOKUP($B50,Tabla1[SERVICIO],Tabla1[VALOR])*1),IF(P50&gt;=1,_xlfn.XLOOKUP($B50,Tabla1[SERVICIO],Tabla1[VALOR]*P50),0))</f>
        <v>0</v>
      </c>
      <c r="R50" s="14"/>
      <c r="S50" s="56" cm="1">
        <f t="array" ref="S50">IF(R50="X",(_xlfn.XLOOKUP($B50,Tabla1[SERVICIO],Tabla1[VALOR])*1),IF(R50&gt;=1,_xlfn.XLOOKUP($B50,Tabla1[SERVICIO],Tabla1[VALOR]*R50),0))</f>
        <v>0</v>
      </c>
      <c r="T50" s="14"/>
      <c r="U50" s="56" cm="1">
        <f t="array" ref="U50">IF(T50="X",(_xlfn.XLOOKUP($B50,Tabla1[SERVICIO],Tabla1[VALOR])*1),IF(T50&gt;=1,_xlfn.XLOOKUP($B50,Tabla1[SERVICIO],Tabla1[VALOR]*T50),0))</f>
        <v>0</v>
      </c>
      <c r="V50" s="14"/>
      <c r="W50" s="56" cm="1">
        <f t="array" ref="W50">IF(V50="X",(_xlfn.XLOOKUP($B50,Tabla1[SERVICIO],Tabla1[VALOR])*1),IF(V50&gt;=1,_xlfn.XLOOKUP($B50,Tabla1[SERVICIO],Tabla1[VALOR]*V50),0))</f>
        <v>0</v>
      </c>
      <c r="X50" s="14"/>
      <c r="Y50" s="56" cm="1">
        <f t="array" ref="Y50">IF(X50="X",(_xlfn.XLOOKUP($B50,Tabla1[SERVICIO],Tabla1[VALOR])*1),IF(X50&gt;=1,_xlfn.XLOOKUP($B50,Tabla1[SERVICIO],Tabla1[VALOR]*X50),0))</f>
        <v>0</v>
      </c>
      <c r="Z50" s="14"/>
      <c r="AA50" s="56" cm="1">
        <f t="array" ref="AA50">IF(Z50="X",(_xlfn.XLOOKUP($B50,Tabla1[SERVICIO],Tabla1[VALOR])*1),IF(Z50&gt;=1,_xlfn.XLOOKUP($B50,Tabla1[SERVICIO],Tabla1[VALOR]*Z50),0))</f>
        <v>0</v>
      </c>
      <c r="AB50" s="14"/>
      <c r="AC50" s="56" cm="1">
        <f t="array" ref="AC50">IF(AB50="X",(_xlfn.XLOOKUP($B50,Tabla1[SERVICIO],Tabla1[VALOR])*1),IF(AB50&gt;=1,_xlfn.XLOOKUP($B50,Tabla1[SERVICIO],Tabla1[VALOR]*AB50),0))</f>
        <v>0</v>
      </c>
      <c r="AD50" s="14"/>
      <c r="AE50" s="56" cm="1">
        <f t="array" ref="AE50">IF(AD50="X",(_xlfn.XLOOKUP($B50,Tabla1[SERVICIO],Tabla1[VALOR])*1),IF(AD50&gt;=1,_xlfn.XLOOKUP($B50,Tabla1[SERVICIO],Tabla1[VALOR]*AD50),0))</f>
        <v>0</v>
      </c>
      <c r="AF50" s="14"/>
      <c r="AG50" s="56" cm="1">
        <f t="array" ref="AG50">IF(AF50="X",(_xlfn.XLOOKUP($B50,Tabla1[SERVICIO],Tabla1[VALOR])*1),IF(AF50&gt;=1,_xlfn.XLOOKUP($B50,Tabla1[SERVICIO],Tabla1[VALOR]*AF50),0))</f>
        <v>0</v>
      </c>
      <c r="AH50" s="14"/>
      <c r="AI50" s="56" cm="1">
        <f t="array" ref="AI50">IF(AH50="X",(_xlfn.XLOOKUP($B50,Tabla1[SERVICIO],Tabla1[VALOR])*1),IF(AH50&gt;=1,_xlfn.XLOOKUP($B50,Tabla1[SERVICIO],Tabla1[VALOR]*AH50),0))</f>
        <v>0</v>
      </c>
      <c r="AJ50" s="14"/>
      <c r="AK50" s="56" cm="1">
        <f t="array" ref="AK50">IF(AJ50="X",(_xlfn.XLOOKUP($B50,Tabla1[SERVICIO],Tabla1[VALOR])*1),IF(AJ50&gt;=1,_xlfn.XLOOKUP($B50,Tabla1[SERVICIO],Tabla1[VALOR]*AJ50),0))</f>
        <v>0</v>
      </c>
      <c r="AL50" s="14"/>
      <c r="AM50" s="90" cm="1">
        <f t="array" ref="AM50">IF(AL50="X",(_xlfn.XLOOKUP($B50,Tabla1[SERVICIO],Tabla1[VALOR])*1),IF(AL50&gt;=1,_xlfn.XLOOKUP($B50,Tabla1[SERVICIO],Tabla1[VALOR]*AL50),0))</f>
        <v>0</v>
      </c>
      <c r="AN50" s="89">
        <f t="shared" si="1"/>
        <v>24009.730401318589</v>
      </c>
      <c r="AO50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0" s="37" t="s">
        <v>318</v>
      </c>
      <c r="AQ50" s="126">
        <v>1</v>
      </c>
      <c r="AR50" s="121">
        <f>+Tabla4671941[[#This Row],[TOTAL]]*Tabla4671941[[#This Row],[% de las personas que lo usaron]]</f>
        <v>24009.730401318589</v>
      </c>
      <c r="AS50" s="240" t="s">
        <v>354</v>
      </c>
      <c r="AT50" s="243">
        <v>18</v>
      </c>
    </row>
    <row r="51" spans="1:46" x14ac:dyDescent="0.25">
      <c r="A51" s="7" t="s">
        <v>1</v>
      </c>
      <c r="B51" s="8" t="s">
        <v>2</v>
      </c>
      <c r="C51" s="96" t="str">
        <f>_xlfn.XLOOKUP(Tabla4671941[[#This Row],[Servicios del Programa:]],Tabla151[CODIGO],Tabla151[VALOR])</f>
        <v>Consultas</v>
      </c>
      <c r="D51" s="8"/>
      <c r="E51" s="56" cm="1">
        <f t="array" ref="E51">IF(D51="X",(_xlfn.XLOOKUP($B51,Tabla1[SERVICIO],Tabla1[VALOR])*1),IF(D51&gt;=1,_xlfn.XLOOKUP($B51,Tabla1[SERVICIO],Tabla1[VALOR]*D51),0))</f>
        <v>0</v>
      </c>
      <c r="F51" s="8"/>
      <c r="G51" s="56" cm="1">
        <f t="array" ref="G51">IF(F51="X",(_xlfn.XLOOKUP($B51,Tabla1[SERVICIO],Tabla1[VALOR])*1),IF(F51&gt;=1,_xlfn.XLOOKUP($B51,Tabla1[SERVICIO],Tabla1[VALOR]*F51),0))</f>
        <v>0</v>
      </c>
      <c r="H51" s="8"/>
      <c r="I51" s="56" cm="1">
        <f t="array" ref="I51">IF(H51="X",(_xlfn.XLOOKUP($B51,Tabla1[SERVICIO],Tabla1[VALOR])*1),IF(H51&gt;=1,_xlfn.XLOOKUP($B51,Tabla1[SERVICIO],Tabla1[VALOR]*H51),0))</f>
        <v>0</v>
      </c>
      <c r="J51" s="8"/>
      <c r="K51" s="56" cm="1">
        <f t="array" ref="K51">IF(J51="X",(_xlfn.XLOOKUP($B51,Tabla1[SERVICIO],Tabla1[VALOR])*1),IF(J51&gt;=1,_xlfn.XLOOKUP($B51,Tabla1[SERVICIO],Tabla1[VALOR]*J51),0))</f>
        <v>0</v>
      </c>
      <c r="L51" s="8"/>
      <c r="M51" s="56" cm="1">
        <f t="array" ref="M51">IF(L51="X",(_xlfn.XLOOKUP($B51,Tabla1[SERVICIO],Tabla1[VALOR])*1),IF(L51&gt;=1,_xlfn.XLOOKUP($B51,Tabla1[SERVICIO],Tabla1[VALOR]*L51),0))</f>
        <v>0</v>
      </c>
      <c r="N51" s="8"/>
      <c r="O51" s="56" cm="1">
        <f t="array" ref="O51">IF(N51="X",(_xlfn.XLOOKUP($B51,Tabla1[SERVICIO],Tabla1[VALOR])*1),IF(N51&gt;=1,_xlfn.XLOOKUP($B51,Tabla1[SERVICIO],Tabla1[VALOR]*N51),0))</f>
        <v>0</v>
      </c>
      <c r="P51" s="8"/>
      <c r="Q51" s="56" cm="1">
        <f t="array" ref="Q51">IF(P51="X",(_xlfn.XLOOKUP($B51,Tabla1[SERVICIO],Tabla1[VALOR])*1),IF(P51&gt;=1,_xlfn.XLOOKUP($B51,Tabla1[SERVICIO],Tabla1[VALOR]*P51),0))</f>
        <v>0</v>
      </c>
      <c r="R51" s="8"/>
      <c r="S51" s="56" cm="1">
        <f t="array" ref="S51">IF(R51="X",(_xlfn.XLOOKUP($B51,Tabla1[SERVICIO],Tabla1[VALOR])*1),IF(R51&gt;=1,_xlfn.XLOOKUP($B51,Tabla1[SERVICIO],Tabla1[VALOR]*R51),0))</f>
        <v>0</v>
      </c>
      <c r="T51" s="8"/>
      <c r="U51" s="56" cm="1">
        <f t="array" ref="U51">IF(T51="X",(_xlfn.XLOOKUP($B51,Tabla1[SERVICIO],Tabla1[VALOR])*1),IF(T51&gt;=1,_xlfn.XLOOKUP($B51,Tabla1[SERVICIO],Tabla1[VALOR]*T51),0))</f>
        <v>0</v>
      </c>
      <c r="V51" s="8"/>
      <c r="W51" s="56" cm="1">
        <f t="array" ref="W51">IF(V51="X",(_xlfn.XLOOKUP($B51,Tabla1[SERVICIO],Tabla1[VALOR])*1),IF(V51&gt;=1,_xlfn.XLOOKUP($B51,Tabla1[SERVICIO],Tabla1[VALOR]*V51),0))</f>
        <v>0</v>
      </c>
      <c r="X51" s="8"/>
      <c r="Y51" s="56" cm="1">
        <f t="array" ref="Y51">IF(X51="X",(_xlfn.XLOOKUP($B51,Tabla1[SERVICIO],Tabla1[VALOR])*1),IF(X51&gt;=1,_xlfn.XLOOKUP($B51,Tabla1[SERVICIO],Tabla1[VALOR]*X51),0))</f>
        <v>0</v>
      </c>
      <c r="Z51" s="8"/>
      <c r="AA51" s="56" cm="1">
        <f t="array" ref="AA51">IF(Z51="X",(_xlfn.XLOOKUP($B51,Tabla1[SERVICIO],Tabla1[VALOR])*1),IF(Z51&gt;=1,_xlfn.XLOOKUP($B51,Tabla1[SERVICIO],Tabla1[VALOR]*Z51),0))</f>
        <v>0</v>
      </c>
      <c r="AB51" s="8"/>
      <c r="AC51" s="56" cm="1">
        <f t="array" ref="AC51">IF(AB51="X",(_xlfn.XLOOKUP($B51,Tabla1[SERVICIO],Tabla1[VALOR])*1),IF(AB51&gt;=1,_xlfn.XLOOKUP($B51,Tabla1[SERVICIO],Tabla1[VALOR]*AB51),0))</f>
        <v>0</v>
      </c>
      <c r="AD51" s="8"/>
      <c r="AE51" s="56" cm="1">
        <f t="array" ref="AE51">IF(AD51="X",(_xlfn.XLOOKUP($B51,Tabla1[SERVICIO],Tabla1[VALOR])*1),IF(AD51&gt;=1,_xlfn.XLOOKUP($B51,Tabla1[SERVICIO],Tabla1[VALOR]*AD51),0))</f>
        <v>0</v>
      </c>
      <c r="AF51" s="8"/>
      <c r="AG51" s="56" cm="1">
        <f t="array" ref="AG51">IF(AF51="X",(_xlfn.XLOOKUP($B51,Tabla1[SERVICIO],Tabla1[VALOR])*1),IF(AF51&gt;=1,_xlfn.XLOOKUP($B51,Tabla1[SERVICIO],Tabla1[VALOR]*AF51),0))</f>
        <v>0</v>
      </c>
      <c r="AH51" s="8"/>
      <c r="AI51" s="56" cm="1">
        <f t="array" ref="AI51">IF(AH51="X",(_xlfn.XLOOKUP($B51,Tabla1[SERVICIO],Tabla1[VALOR])*1),IF(AH51&gt;=1,_xlfn.XLOOKUP($B51,Tabla1[SERVICIO],Tabla1[VALOR]*AH51),0))</f>
        <v>0</v>
      </c>
      <c r="AJ51" s="8"/>
      <c r="AK51" s="56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90" cm="1">
        <f t="array" ref="AM51">IF(AL51="X",(_xlfn.XLOOKUP($B51,Tabla1[SERVICIO],Tabla1[VALOR])*1),IF(AL51&gt;=1,_xlfn.XLOOKUP($B51,Tabla1[SERVICIO],Tabla1[VALOR]*AL51),0))</f>
        <v>21014.39667403782</v>
      </c>
      <c r="AN51" s="89">
        <f t="shared" si="1"/>
        <v>21014.39667403782</v>
      </c>
      <c r="AO51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1" s="175" t="s">
        <v>318</v>
      </c>
      <c r="AQ51" s="126">
        <v>1</v>
      </c>
      <c r="AR51" s="121">
        <f>+Tabla4671941[[#This Row],[TOTAL]]*Tabla4671941[[#This Row],[% de las personas que lo usaron]]</f>
        <v>21014.39667403782</v>
      </c>
      <c r="AS51" s="240" t="s">
        <v>354</v>
      </c>
      <c r="AT51" s="243">
        <v>18</v>
      </c>
    </row>
    <row r="52" spans="1:46" x14ac:dyDescent="0.25">
      <c r="A52" s="7" t="s">
        <v>46</v>
      </c>
      <c r="B52" s="8" t="s">
        <v>47</v>
      </c>
      <c r="C52" s="96" t="str">
        <f>_xlfn.XLOOKUP(Tabla4671941[[#This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83398.098568534639</v>
      </c>
      <c r="F52" s="8"/>
      <c r="G52" s="56" cm="1">
        <f t="array" ref="G52">IF(F52="X",(_xlfn.XLOOKUP($B52,Tabla1[SERVICIO],Tabla1[VALOR])*1),IF(F52&gt;=1,_xlfn.XLOOKUP($B52,Tabla1[SERVICIO],Tabla1[VALOR]*F52),0))</f>
        <v>0</v>
      </c>
      <c r="H52" s="8"/>
      <c r="I52" s="56" cm="1">
        <f t="array" ref="I52">IF(H52="X",(_xlfn.XLOOKUP($B52,Tabla1[SERVICIO],Tabla1[VALOR])*1),IF(H52&gt;=1,_xlfn.XLOOKUP($B52,Tabla1[SERVICIO],Tabla1[VALOR]*H52),0))</f>
        <v>0</v>
      </c>
      <c r="J52" s="8"/>
      <c r="K52" s="56" cm="1">
        <f t="array" ref="K52">IF(J52="X",(_xlfn.XLOOKUP($B52,Tabla1[SERVICIO],Tabla1[VALOR])*1),IF(J52&gt;=1,_xlfn.XLOOKUP($B52,Tabla1[SERVICIO],Tabla1[VALOR]*J52),0))</f>
        <v>0</v>
      </c>
      <c r="L52" s="8"/>
      <c r="M52" s="56" cm="1">
        <f t="array" ref="M52">IF(L52="X",(_xlfn.XLOOKUP($B52,Tabla1[SERVICIO],Tabla1[VALOR])*1),IF(L52&gt;=1,_xlfn.XLOOKUP($B52,Tabla1[SERVICIO],Tabla1[VALOR]*L52),0))</f>
        <v>0</v>
      </c>
      <c r="N52" s="8"/>
      <c r="O52" s="56" cm="1">
        <f t="array" ref="O52">IF(N52="X",(_xlfn.XLOOKUP($B52,Tabla1[SERVICIO],Tabla1[VALOR])*1),IF(N52&gt;=1,_xlfn.XLOOKUP($B52,Tabla1[SERVICIO],Tabla1[VALOR]*N52),0))</f>
        <v>0</v>
      </c>
      <c r="P52" s="8"/>
      <c r="Q52" s="56" cm="1">
        <f t="array" ref="Q52">IF(P52="X",(_xlfn.XLOOKUP($B52,Tabla1[SERVICIO],Tabla1[VALOR])*1),IF(P52&gt;=1,_xlfn.XLOOKUP($B52,Tabla1[SERVICIO],Tabla1[VALOR]*P52),0))</f>
        <v>0</v>
      </c>
      <c r="R52" s="8"/>
      <c r="S52" s="56" cm="1">
        <f t="array" ref="S52">IF(R52="X",(_xlfn.XLOOKUP($B52,Tabla1[SERVICIO],Tabla1[VALOR])*1),IF(R52&gt;=1,_xlfn.XLOOKUP($B52,Tabla1[SERVICIO],Tabla1[VALOR]*R52),0))</f>
        <v>0</v>
      </c>
      <c r="T52" s="8"/>
      <c r="U52" s="56" cm="1">
        <f t="array" ref="U52">IF(T52="X",(_xlfn.XLOOKUP($B52,Tabla1[SERVICIO],Tabla1[VALOR])*1),IF(T52&gt;=1,_xlfn.XLOOKUP($B52,Tabla1[SERVICIO],Tabla1[VALOR]*T52),0))</f>
        <v>0</v>
      </c>
      <c r="V52" s="8"/>
      <c r="W52" s="56" cm="1">
        <f t="array" ref="W52">IF(V52="X",(_xlfn.XLOOKUP($B52,Tabla1[SERVICIO],Tabla1[VALOR])*1),IF(V52&gt;=1,_xlfn.XLOOKUP($B52,Tabla1[SERVICIO],Tabla1[VALOR]*V52),0))</f>
        <v>0</v>
      </c>
      <c r="X52" s="8"/>
      <c r="Y52" s="56" cm="1">
        <f t="array" ref="Y52">IF(X52="X",(_xlfn.XLOOKUP($B52,Tabla1[SERVICIO],Tabla1[VALOR])*1),IF(X52&gt;=1,_xlfn.XLOOKUP($B52,Tabla1[SERVICIO],Tabla1[VALOR]*X52),0))</f>
        <v>0</v>
      </c>
      <c r="Z52" s="8"/>
      <c r="AA52" s="56" cm="1">
        <f t="array" ref="AA52">IF(Z52="X",(_xlfn.XLOOKUP($B52,Tabla1[SERVICIO],Tabla1[VALOR])*1),IF(Z52&gt;=1,_xlfn.XLOOKUP($B52,Tabla1[SERVICIO],Tabla1[VALOR]*Z52),0))</f>
        <v>0</v>
      </c>
      <c r="AB52" s="8"/>
      <c r="AC52" s="56" cm="1">
        <f t="array" ref="AC52">IF(AB52="X",(_xlfn.XLOOKUP($B52,Tabla1[SERVICIO],Tabla1[VALOR])*1),IF(AB52&gt;=1,_xlfn.XLOOKUP($B52,Tabla1[SERVICIO],Tabla1[VALOR]*AB52),0))</f>
        <v>0</v>
      </c>
      <c r="AD52" s="8"/>
      <c r="AE52" s="56" cm="1">
        <f t="array" ref="AE52">IF(AD52="X",(_xlfn.XLOOKUP($B52,Tabla1[SERVICIO],Tabla1[VALOR])*1),IF(AD52&gt;=1,_xlfn.XLOOKUP($B52,Tabla1[SERVICIO],Tabla1[VALOR]*AD52),0))</f>
        <v>0</v>
      </c>
      <c r="AF52" s="8"/>
      <c r="AG52" s="56" cm="1">
        <f t="array" ref="AG52">IF(AF52="X",(_xlfn.XLOOKUP($B52,Tabla1[SERVICIO],Tabla1[VALOR])*1),IF(AF52&gt;=1,_xlfn.XLOOKUP($B52,Tabla1[SERVICIO],Tabla1[VALOR]*AF52),0))</f>
        <v>0</v>
      </c>
      <c r="AH52" s="8"/>
      <c r="AI52" s="56" cm="1">
        <f t="array" ref="AI52">IF(AH52="X",(_xlfn.XLOOKUP($B52,Tabla1[SERVICIO],Tabla1[VALOR])*1),IF(AH52&gt;=1,_xlfn.XLOOKUP($B52,Tabla1[SERVICIO],Tabla1[VALOR]*AH52),0))</f>
        <v>0</v>
      </c>
      <c r="AJ52" s="8"/>
      <c r="AK52" s="56" cm="1">
        <f t="array" ref="AK52">IF(AJ52="X",(_xlfn.XLOOKUP($B52,Tabla1[SERVICIO],Tabla1[VALOR])*1),IF(AJ52&gt;=1,_xlfn.XLOOKUP($B52,Tabla1[SERVICIO],Tabla1[VALOR]*AJ52),0))</f>
        <v>0</v>
      </c>
      <c r="AL52" s="8"/>
      <c r="AM52" s="90" cm="1">
        <f t="array" ref="AM52">IF(AL52="X",(_xlfn.XLOOKUP($B52,Tabla1[SERVICIO],Tabla1[VALOR])*1),IF(AL52&gt;=1,_xlfn.XLOOKUP($B52,Tabla1[SERVICIO],Tabla1[VALOR]*AL52),0))</f>
        <v>0</v>
      </c>
      <c r="AN52" s="89">
        <f t="shared" si="1"/>
        <v>83398.098568534639</v>
      </c>
      <c r="AO52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2" s="37" t="s">
        <v>319</v>
      </c>
      <c r="AQ52" s="126">
        <v>0.1095890410958904</v>
      </c>
      <c r="AR52" s="121">
        <f>+Tabla4671941[[#This Row],[TOTAL]]*Tabla4671941[[#This Row],[% de las personas que lo usaron]]</f>
        <v>9139.5176513462611</v>
      </c>
      <c r="AS52" s="240" t="s">
        <v>354</v>
      </c>
      <c r="AT52" s="243">
        <v>18</v>
      </c>
    </row>
    <row r="53" spans="1:46" x14ac:dyDescent="0.25">
      <c r="A53" s="7" t="s">
        <v>48</v>
      </c>
      <c r="B53" s="8" t="s">
        <v>222</v>
      </c>
      <c r="C53" s="96" t="str">
        <f>_xlfn.XLOOKUP(Tabla4671941[[#This Row],[Servicios del Programa:]],Tabla151[CODIGO],Tabla151[VALOR])</f>
        <v>Consultas</v>
      </c>
      <c r="D53" s="14">
        <v>1</v>
      </c>
      <c r="E53" s="56" cm="1">
        <f t="array" ref="E53">IF(D53="X",(_xlfn.XLOOKUP($B53,Tabla1[SERVICIO],Tabla1[VALOR])*1),IF(D53&gt;=1,_xlfn.XLOOKUP($B53,Tabla1[SERVICIO],Tabla1[VALOR]*D53),0))</f>
        <v>77398.098568534639</v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/>
      <c r="O53" s="56" cm="1">
        <f t="array" ref="O53">IF(N53="X",(_xlfn.XLOOKUP($B53,Tabla1[SERVICIO],Tabla1[VALOR])*1),IF(N53&gt;=1,_xlfn.XLOOKUP($B53,Tabla1[SERVICIO],Tabla1[VALOR]*N53),0))</f>
        <v>0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/>
      <c r="AM53" s="90" cm="1">
        <f t="array" ref="AM53">IF(AL53="X",(_xlfn.XLOOKUP($B53,Tabla1[SERVICIO],Tabla1[VALOR])*1),IF(AL53&gt;=1,_xlfn.XLOOKUP($B53,Tabla1[SERVICIO],Tabla1[VALOR]*AL53),0))</f>
        <v>0</v>
      </c>
      <c r="AN53" s="89">
        <f t="shared" si="1"/>
        <v>77398.098568534639</v>
      </c>
      <c r="AO53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3" s="37" t="s">
        <v>319</v>
      </c>
      <c r="AQ53" s="126">
        <v>2.6143790849673203E-2</v>
      </c>
      <c r="AR53" s="121">
        <f>+Tabla4671941[[#This Row],[TOTAL]]*Tabla4671941[[#This Row],[% de las personas que lo usaron]]</f>
        <v>2023.4797011381606</v>
      </c>
      <c r="AS53" s="240" t="s">
        <v>354</v>
      </c>
      <c r="AT53" s="243">
        <v>18</v>
      </c>
    </row>
    <row r="54" spans="1:46" x14ac:dyDescent="0.25">
      <c r="A54" s="7" t="s">
        <v>9</v>
      </c>
      <c r="B54" s="8" t="s">
        <v>220</v>
      </c>
      <c r="C54" s="96" t="str">
        <f>_xlfn.XLOOKUP(Tabla4671941[[#This Row],[Servicios del Programa:]],Tabla151[CODIGO],Tabla151[VALOR])</f>
        <v>Consultas</v>
      </c>
      <c r="D54" s="14"/>
      <c r="E54" s="56" cm="1">
        <f t="array" ref="E54">IF(D54="X",(_xlfn.XLOOKUP($B54,Tabla1[SERVICIO],Tabla1[VALOR])*1),IF(D54&gt;=1,_xlfn.XLOOKUP($B54,Tabla1[SERVICIO],Tabla1[VALOR]*D54),0))</f>
        <v>0</v>
      </c>
      <c r="F54" s="14"/>
      <c r="G54" s="56" cm="1">
        <f t="array" ref="G54">IF(F54="X",(_xlfn.XLOOKUP($B54,Tabla1[SERVICIO],Tabla1[VALOR])*1),IF(F54&gt;=1,_xlfn.XLOOKUP($B54,Tabla1[SERVICIO],Tabla1[VALOR]*F54),0))</f>
        <v>0</v>
      </c>
      <c r="H54" s="14">
        <v>1</v>
      </c>
      <c r="I54" s="56" cm="1">
        <f t="array" ref="I54">IF(H54="X",(_xlfn.XLOOKUP($B54,Tabla1[SERVICIO],Tabla1[VALOR])*1),IF(H54&gt;=1,_xlfn.XLOOKUP($B54,Tabla1[SERVICIO],Tabla1[VALOR]*H54),0))</f>
        <v>55794.181771015559</v>
      </c>
      <c r="J54" s="14"/>
      <c r="K54" s="56" cm="1">
        <f t="array" ref="K54">IF(J54="X",(_xlfn.XLOOKUP($B54,Tabla1[SERVICIO],Tabla1[VALOR])*1),IF(J54&gt;=1,_xlfn.XLOOKUP($B54,Tabla1[SERVICIO],Tabla1[VALOR]*J54),0))</f>
        <v>0</v>
      </c>
      <c r="L54" s="14"/>
      <c r="M54" s="56" cm="1">
        <f t="array" ref="M54">IF(L54="X",(_xlfn.XLOOKUP($B54,Tabla1[SERVICIO],Tabla1[VALOR])*1),IF(L54&gt;=1,_xlfn.XLOOKUP($B54,Tabla1[SERVICIO],Tabla1[VALOR]*L54),0))</f>
        <v>0</v>
      </c>
      <c r="N54" s="14">
        <v>1</v>
      </c>
      <c r="O54" s="56" cm="1">
        <f t="array" ref="O54">IF(N54="X",(_xlfn.XLOOKUP($B54,Tabla1[SERVICIO],Tabla1[VALOR])*1),IF(N54&gt;=1,_xlfn.XLOOKUP($B54,Tabla1[SERVICIO],Tabla1[VALOR]*N54),0))</f>
        <v>55794.181771015559</v>
      </c>
      <c r="P54" s="14"/>
      <c r="Q54" s="56" cm="1">
        <f t="array" ref="Q54">IF(P54="X",(_xlfn.XLOOKUP($B54,Tabla1[SERVICIO],Tabla1[VALOR])*1),IF(P54&gt;=1,_xlfn.XLOOKUP($B54,Tabla1[SERVICIO],Tabla1[VALOR]*P54),0))</f>
        <v>0</v>
      </c>
      <c r="R54" s="14"/>
      <c r="S54" s="56" cm="1">
        <f t="array" ref="S54">IF(R54="X",(_xlfn.XLOOKUP($B54,Tabla1[SERVICIO],Tabla1[VALOR])*1),IF(R54&gt;=1,_xlfn.XLOOKUP($B54,Tabla1[SERVICIO],Tabla1[VALOR]*R54),0))</f>
        <v>0</v>
      </c>
      <c r="T54" s="14">
        <v>1</v>
      </c>
      <c r="U54" s="56" cm="1">
        <f t="array" ref="U54">IF(T54="X",(_xlfn.XLOOKUP($B54,Tabla1[SERVICIO],Tabla1[VALOR])*1),IF(T54&gt;=1,_xlfn.XLOOKUP($B54,Tabla1[SERVICIO],Tabla1[VALOR]*T54),0))</f>
        <v>55794.181771015559</v>
      </c>
      <c r="V54" s="14"/>
      <c r="W54" s="56" cm="1">
        <f t="array" ref="W54">IF(V54="X",(_xlfn.XLOOKUP($B54,Tabla1[SERVICIO],Tabla1[VALOR])*1),IF(V54&gt;=1,_xlfn.XLOOKUP($B54,Tabla1[SERVICIO],Tabla1[VALOR]*V54),0))</f>
        <v>0</v>
      </c>
      <c r="X54" s="14"/>
      <c r="Y54" s="56" cm="1">
        <f t="array" ref="Y54">IF(X54="X",(_xlfn.XLOOKUP($B54,Tabla1[SERVICIO],Tabla1[VALOR])*1),IF(X54&gt;=1,_xlfn.XLOOKUP($B54,Tabla1[SERVICIO],Tabla1[VALOR]*X54),0))</f>
        <v>0</v>
      </c>
      <c r="Z54" s="14"/>
      <c r="AA54" s="56" cm="1">
        <f t="array" ref="AA54">IF(Z54="X",(_xlfn.XLOOKUP($B54,Tabla1[SERVICIO],Tabla1[VALOR])*1),IF(Z54&gt;=1,_xlfn.XLOOKUP($B54,Tabla1[SERVICIO],Tabla1[VALOR]*Z54),0))</f>
        <v>0</v>
      </c>
      <c r="AB54" s="14"/>
      <c r="AC54" s="56" cm="1">
        <f t="array" ref="AC54">IF(AB54="X",(_xlfn.XLOOKUP($B54,Tabla1[SERVICIO],Tabla1[VALOR])*1),IF(AB54&gt;=1,_xlfn.XLOOKUP($B54,Tabla1[SERVICIO],Tabla1[VALOR]*AB54),0))</f>
        <v>0</v>
      </c>
      <c r="AD54" s="14"/>
      <c r="AE54" s="56" cm="1">
        <f t="array" ref="AE54">IF(AD54="X",(_xlfn.XLOOKUP($B54,Tabla1[SERVICIO],Tabla1[VALOR])*1),IF(AD54&gt;=1,_xlfn.XLOOKUP($B54,Tabla1[SERVICIO],Tabla1[VALOR]*AD54),0))</f>
        <v>0</v>
      </c>
      <c r="AF54" s="14"/>
      <c r="AG54" s="56" cm="1">
        <f t="array" ref="AG54">IF(AF54="X",(_xlfn.XLOOKUP($B54,Tabla1[SERVICIO],Tabla1[VALOR])*1),IF(AF54&gt;=1,_xlfn.XLOOKUP($B54,Tabla1[SERVICIO],Tabla1[VALOR]*AF54),0))</f>
        <v>0</v>
      </c>
      <c r="AH54" s="14"/>
      <c r="AI54" s="56" cm="1">
        <f t="array" ref="AI54">IF(AH54="X",(_xlfn.XLOOKUP($B54,Tabla1[SERVICIO],Tabla1[VALOR])*1),IF(AH54&gt;=1,_xlfn.XLOOKUP($B54,Tabla1[SERVICIO],Tabla1[VALOR]*AH54),0))</f>
        <v>0</v>
      </c>
      <c r="AJ54" s="14"/>
      <c r="AK54" s="56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90" cm="1">
        <f t="array" ref="AM54">IF(AL54="X",(_xlfn.XLOOKUP($B54,Tabla1[SERVICIO],Tabla1[VALOR])*1),IF(AL54&gt;=1,_xlfn.XLOOKUP($B54,Tabla1[SERVICIO],Tabla1[VALOR]*AL54),0))</f>
        <v>55794.181771015559</v>
      </c>
      <c r="AN54" s="89">
        <f t="shared" si="1"/>
        <v>223176.72708406224</v>
      </c>
      <c r="AO54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4</v>
      </c>
      <c r="AP54" s="175" t="s">
        <v>318</v>
      </c>
      <c r="AQ54" s="126">
        <v>3.1963470319634701E-2</v>
      </c>
      <c r="AR54" s="121">
        <f>+Tabla4671941[[#This Row],[TOTAL]]*Tabla4671941[[#This Row],[% de las personas que lo usaron]]</f>
        <v>7133.5026921846375</v>
      </c>
      <c r="AS54" s="240" t="s">
        <v>354</v>
      </c>
      <c r="AT54" s="243">
        <v>18</v>
      </c>
    </row>
    <row r="55" spans="1:46" x14ac:dyDescent="0.25">
      <c r="A55" s="7" t="s">
        <v>7</v>
      </c>
      <c r="B55" s="8" t="s">
        <v>8</v>
      </c>
      <c r="C55" s="96" t="str">
        <f>_xlfn.XLOOKUP(Tabla4671941[[#This Row],[Servicios del Programa:]],Tabla151[CODIGO],Tabla151[VALOR])</f>
        <v>Consultas</v>
      </c>
      <c r="D55" s="14">
        <v>1</v>
      </c>
      <c r="E55" s="56" cm="1">
        <f t="array" ref="E55">IF(D55="X",(_xlfn.XLOOKUP($B55,Tabla1[SERVICIO],Tabla1[VALOR])*1),IF(D55&gt;=1,_xlfn.XLOOKUP($B55,Tabla1[SERVICIO],Tabla1[VALOR]*D55),0))</f>
        <v>55794.181771015559</v>
      </c>
      <c r="F55" s="8"/>
      <c r="G55" s="56" cm="1">
        <f t="array" ref="G55">IF(F55="X",(_xlfn.XLOOKUP($B55,Tabla1[SERVICIO],Tabla1[VALOR])*1),IF(F55&gt;=1,_xlfn.XLOOKUP($B55,Tabla1[SERVICIO],Tabla1[VALOR]*F55),0))</f>
        <v>0</v>
      </c>
      <c r="H55" s="8"/>
      <c r="I55" s="56" cm="1">
        <f t="array" ref="I55">IF(H55="X",(_xlfn.XLOOKUP($B55,Tabla1[SERVICIO],Tabla1[VALOR])*1),IF(H55&gt;=1,_xlfn.XLOOKUP($B55,Tabla1[SERVICIO],Tabla1[VALOR]*H55),0))</f>
        <v>0</v>
      </c>
      <c r="J55" s="8"/>
      <c r="K55" s="56" cm="1">
        <f t="array" ref="K55">IF(J55="X",(_xlfn.XLOOKUP($B55,Tabla1[SERVICIO],Tabla1[VALOR])*1),IF(J55&gt;=1,_xlfn.XLOOKUP($B55,Tabla1[SERVICIO],Tabla1[VALOR]*J55),0))</f>
        <v>0</v>
      </c>
      <c r="L55" s="8"/>
      <c r="M55" s="56" cm="1">
        <f t="array" ref="M55">IF(L55="X",(_xlfn.XLOOKUP($B55,Tabla1[SERVICIO],Tabla1[VALOR])*1),IF(L55&gt;=1,_xlfn.XLOOKUP($B55,Tabla1[SERVICIO],Tabla1[VALOR]*L55),0))</f>
        <v>0</v>
      </c>
      <c r="N55" s="8"/>
      <c r="O55" s="56" cm="1">
        <f t="array" ref="O55">IF(N55="X",(_xlfn.XLOOKUP($B55,Tabla1[SERVICIO],Tabla1[VALOR])*1),IF(N55&gt;=1,_xlfn.XLOOKUP($B55,Tabla1[SERVICIO],Tabla1[VALOR]*N55),0))</f>
        <v>0</v>
      </c>
      <c r="P55" s="8"/>
      <c r="Q55" s="56" cm="1">
        <f t="array" ref="Q55">IF(P55="X",(_xlfn.XLOOKUP($B55,Tabla1[SERVICIO],Tabla1[VALOR])*1),IF(P55&gt;=1,_xlfn.XLOOKUP($B55,Tabla1[SERVICIO],Tabla1[VALOR]*P55),0))</f>
        <v>0</v>
      </c>
      <c r="R55" s="8"/>
      <c r="S55" s="56" cm="1">
        <f t="array" ref="S55">IF(R55="X",(_xlfn.XLOOKUP($B55,Tabla1[SERVICIO],Tabla1[VALOR])*1),IF(R55&gt;=1,_xlfn.XLOOKUP($B55,Tabla1[SERVICIO],Tabla1[VALOR]*R55),0))</f>
        <v>0</v>
      </c>
      <c r="T55" s="8"/>
      <c r="U55" s="56" cm="1">
        <f t="array" ref="U55">IF(T55="X",(_xlfn.XLOOKUP($B55,Tabla1[SERVICIO],Tabla1[VALOR])*1),IF(T55&gt;=1,_xlfn.XLOOKUP($B55,Tabla1[SERVICIO],Tabla1[VALOR]*T55),0))</f>
        <v>0</v>
      </c>
      <c r="V55" s="8"/>
      <c r="W55" s="56" cm="1">
        <f t="array" ref="W55">IF(V55="X",(_xlfn.XLOOKUP($B55,Tabla1[SERVICIO],Tabla1[VALOR])*1),IF(V55&gt;=1,_xlfn.XLOOKUP($B55,Tabla1[SERVICIO],Tabla1[VALOR]*V55),0))</f>
        <v>0</v>
      </c>
      <c r="X55" s="8"/>
      <c r="Y55" s="56" cm="1">
        <f t="array" ref="Y55">IF(X55="X",(_xlfn.XLOOKUP($B55,Tabla1[SERVICIO],Tabla1[VALOR])*1),IF(X55&gt;=1,_xlfn.XLOOKUP($B55,Tabla1[SERVICIO],Tabla1[VALOR]*X55),0))</f>
        <v>0</v>
      </c>
      <c r="Z55" s="8"/>
      <c r="AA55" s="56" cm="1">
        <f t="array" ref="AA55">IF(Z55="X",(_xlfn.XLOOKUP($B55,Tabla1[SERVICIO],Tabla1[VALOR])*1),IF(Z55&gt;=1,_xlfn.XLOOKUP($B55,Tabla1[SERVICIO],Tabla1[VALOR]*Z55),0))</f>
        <v>0</v>
      </c>
      <c r="AB55" s="8"/>
      <c r="AC55" s="56" cm="1">
        <f t="array" ref="AC55">IF(AB55="X",(_xlfn.XLOOKUP($B55,Tabla1[SERVICIO],Tabla1[VALOR])*1),IF(AB55&gt;=1,_xlfn.XLOOKUP($B55,Tabla1[SERVICIO],Tabla1[VALOR]*AB55),0))</f>
        <v>0</v>
      </c>
      <c r="AD55" s="8"/>
      <c r="AE55" s="56" cm="1">
        <f t="array" ref="AE55">IF(AD55="X",(_xlfn.XLOOKUP($B55,Tabla1[SERVICIO],Tabla1[VALOR])*1),IF(AD55&gt;=1,_xlfn.XLOOKUP($B55,Tabla1[SERVICIO],Tabla1[VALOR]*AD55),0))</f>
        <v>0</v>
      </c>
      <c r="AF55" s="8"/>
      <c r="AG55" s="56" cm="1">
        <f t="array" ref="AG55">IF(AF55="X",(_xlfn.XLOOKUP($B55,Tabla1[SERVICIO],Tabla1[VALOR])*1),IF(AF55&gt;=1,_xlfn.XLOOKUP($B55,Tabla1[SERVICIO],Tabla1[VALOR]*AF55),0))</f>
        <v>0</v>
      </c>
      <c r="AH55" s="8"/>
      <c r="AI55" s="56" cm="1">
        <f t="array" ref="AI55">IF(AH55="X",(_xlfn.XLOOKUP($B55,Tabla1[SERVICIO],Tabla1[VALOR])*1),IF(AH55&gt;=1,_xlfn.XLOOKUP($B55,Tabla1[SERVICIO],Tabla1[VALOR]*AH55),0))</f>
        <v>0</v>
      </c>
      <c r="AJ55" s="8"/>
      <c r="AK55" s="56" cm="1">
        <f t="array" ref="AK55">IF(AJ55="X",(_xlfn.XLOOKUP($B55,Tabla1[SERVICIO],Tabla1[VALOR])*1),IF(AJ55&gt;=1,_xlfn.XLOOKUP($B55,Tabla1[SERVICIO],Tabla1[VALOR]*AJ55),0))</f>
        <v>0</v>
      </c>
      <c r="AL55" s="8"/>
      <c r="AM55" s="90" cm="1">
        <f t="array" ref="AM55">IF(AL55="X",(_xlfn.XLOOKUP($B55,Tabla1[SERVICIO],Tabla1[VALOR])*1),IF(AL55&gt;=1,_xlfn.XLOOKUP($B55,Tabla1[SERVICIO],Tabla1[VALOR]*AL55),0))</f>
        <v>0</v>
      </c>
      <c r="AN55" s="89">
        <f t="shared" si="1"/>
        <v>55794.181771015559</v>
      </c>
      <c r="AO55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5" s="175" t="s">
        <v>318</v>
      </c>
      <c r="AQ55" s="126">
        <v>1</v>
      </c>
      <c r="AR55" s="121">
        <f>+Tabla4671941[[#This Row],[TOTAL]]*Tabla4671941[[#This Row],[% de las personas que lo usaron]]</f>
        <v>55794.181771015559</v>
      </c>
      <c r="AS55" s="240" t="s">
        <v>354</v>
      </c>
      <c r="AT55" s="243">
        <v>18</v>
      </c>
    </row>
    <row r="56" spans="1:46" x14ac:dyDescent="0.25">
      <c r="A56" s="7" t="s">
        <v>52</v>
      </c>
      <c r="B56" s="8" t="s">
        <v>191</v>
      </c>
      <c r="C56" s="96" t="str">
        <f>_xlfn.XLOOKUP(Tabla4671941[[#This Row],[Servicios del Programa:]],Tabla151[CODIGO],Tabla151[VALOR])</f>
        <v>Consultas</v>
      </c>
      <c r="D56" s="14">
        <v>1</v>
      </c>
      <c r="E56" s="56" cm="1">
        <f t="array" ref="E56">IF(D56="X",(_xlfn.XLOOKUP($B56,Tabla1[SERVICIO],Tabla1[VALOR])*1),IF(D56&gt;=1,_xlfn.XLOOKUP($B56,Tabla1[SERVICIO],Tabla1[VALOR]*D56),0))</f>
        <v>26897.079640267821</v>
      </c>
      <c r="F56" s="8"/>
      <c r="G56" s="56" cm="1">
        <f t="array" ref="G56">IF(F56="X",(_xlfn.XLOOKUP($B56,Tabla1[SERVICIO],Tabla1[VALOR])*1),IF(F56&gt;=1,_xlfn.XLOOKUP($B56,Tabla1[SERVICIO],Tabla1[VALOR]*F56),0))</f>
        <v>0</v>
      </c>
      <c r="H56" s="8"/>
      <c r="I56" s="56" cm="1">
        <f t="array" ref="I56">IF(H56="X",(_xlfn.XLOOKUP($B56,Tabla1[SERVICIO],Tabla1[VALOR])*1),IF(H56&gt;=1,_xlfn.XLOOKUP($B56,Tabla1[SERVICIO],Tabla1[VALOR]*H56),0))</f>
        <v>0</v>
      </c>
      <c r="J56" s="8"/>
      <c r="K56" s="56" cm="1">
        <f t="array" ref="K56">IF(J56="X",(_xlfn.XLOOKUP($B56,Tabla1[SERVICIO],Tabla1[VALOR])*1),IF(J56&gt;=1,_xlfn.XLOOKUP($B56,Tabla1[SERVICIO],Tabla1[VALOR]*J56),0))</f>
        <v>0</v>
      </c>
      <c r="L56" s="8"/>
      <c r="M56" s="56" cm="1">
        <f t="array" ref="M56">IF(L56="X",(_xlfn.XLOOKUP($B56,Tabla1[SERVICIO],Tabla1[VALOR])*1),IF(L56&gt;=1,_xlfn.XLOOKUP($B56,Tabla1[SERVICIO],Tabla1[VALOR]*L56),0))</f>
        <v>0</v>
      </c>
      <c r="N56" s="8"/>
      <c r="O56" s="56" cm="1">
        <f t="array" ref="O56">IF(N56="X",(_xlfn.XLOOKUP($B56,Tabla1[SERVICIO],Tabla1[VALOR])*1),IF(N56&gt;=1,_xlfn.XLOOKUP($B56,Tabla1[SERVICIO],Tabla1[VALOR]*N56),0))</f>
        <v>0</v>
      </c>
      <c r="P56" s="8"/>
      <c r="Q56" s="56" cm="1">
        <f t="array" ref="Q56">IF(P56="X",(_xlfn.XLOOKUP($B56,Tabla1[SERVICIO],Tabla1[VALOR])*1),IF(P56&gt;=1,_xlfn.XLOOKUP($B56,Tabla1[SERVICIO],Tabla1[VALOR]*P56),0))</f>
        <v>0</v>
      </c>
      <c r="R56" s="8"/>
      <c r="S56" s="56" cm="1">
        <f t="array" ref="S56">IF(R56="X",(_xlfn.XLOOKUP($B56,Tabla1[SERVICIO],Tabla1[VALOR])*1),IF(R56&gt;=1,_xlfn.XLOOKUP($B56,Tabla1[SERVICIO],Tabla1[VALOR]*R56),0))</f>
        <v>0</v>
      </c>
      <c r="T56" s="8"/>
      <c r="U56" s="56" cm="1">
        <f t="array" ref="U56">IF(T56="X",(_xlfn.XLOOKUP($B56,Tabla1[SERVICIO],Tabla1[VALOR])*1),IF(T56&gt;=1,_xlfn.XLOOKUP($B56,Tabla1[SERVICIO],Tabla1[VALOR]*T56),0))</f>
        <v>0</v>
      </c>
      <c r="V56" s="8"/>
      <c r="W56" s="56" cm="1">
        <f t="array" ref="W56">IF(V56="X",(_xlfn.XLOOKUP($B56,Tabla1[SERVICIO],Tabla1[VALOR])*1),IF(V56&gt;=1,_xlfn.XLOOKUP($B56,Tabla1[SERVICIO],Tabla1[VALOR]*V56),0))</f>
        <v>0</v>
      </c>
      <c r="X56" s="8"/>
      <c r="Y56" s="56" cm="1">
        <f t="array" ref="Y56">IF(X56="X",(_xlfn.XLOOKUP($B56,Tabla1[SERVICIO],Tabla1[VALOR])*1),IF(X56&gt;=1,_xlfn.XLOOKUP($B56,Tabla1[SERVICIO],Tabla1[VALOR]*X56),0))</f>
        <v>0</v>
      </c>
      <c r="Z56" s="8"/>
      <c r="AA56" s="56" cm="1">
        <f t="array" ref="AA56">IF(Z56="X",(_xlfn.XLOOKUP($B56,Tabla1[SERVICIO],Tabla1[VALOR])*1),IF(Z56&gt;=1,_xlfn.XLOOKUP($B56,Tabla1[SERVICIO],Tabla1[VALOR]*Z56),0))</f>
        <v>0</v>
      </c>
      <c r="AB56" s="8"/>
      <c r="AC56" s="56" cm="1">
        <f t="array" ref="AC56">IF(AB56="X",(_xlfn.XLOOKUP($B56,Tabla1[SERVICIO],Tabla1[VALOR])*1),IF(AB56&gt;=1,_xlfn.XLOOKUP($B56,Tabla1[SERVICIO],Tabla1[VALOR]*AB56),0))</f>
        <v>0</v>
      </c>
      <c r="AD56" s="8"/>
      <c r="AE56" s="56" cm="1">
        <f t="array" ref="AE56">IF(AD56="X",(_xlfn.XLOOKUP($B56,Tabla1[SERVICIO],Tabla1[VALOR])*1),IF(AD56&gt;=1,_xlfn.XLOOKUP($B56,Tabla1[SERVICIO],Tabla1[VALOR]*AD56),0))</f>
        <v>0</v>
      </c>
      <c r="AF56" s="8"/>
      <c r="AG56" s="56" cm="1">
        <f t="array" ref="AG56">IF(AF56="X",(_xlfn.XLOOKUP($B56,Tabla1[SERVICIO],Tabla1[VALOR])*1),IF(AF56&gt;=1,_xlfn.XLOOKUP($B56,Tabla1[SERVICIO],Tabla1[VALOR]*AF56),0))</f>
        <v>0</v>
      </c>
      <c r="AH56" s="8"/>
      <c r="AI56" s="56" cm="1">
        <f t="array" ref="AI56">IF(AH56="X",(_xlfn.XLOOKUP($B56,Tabla1[SERVICIO],Tabla1[VALOR])*1),IF(AH56&gt;=1,_xlfn.XLOOKUP($B56,Tabla1[SERVICIO],Tabla1[VALOR]*AH56),0))</f>
        <v>0</v>
      </c>
      <c r="AJ56" s="8"/>
      <c r="AK56" s="56" cm="1">
        <f t="array" ref="AK56">IF(AJ56="X",(_xlfn.XLOOKUP($B56,Tabla1[SERVICIO],Tabla1[VALOR])*1),IF(AJ56&gt;=1,_xlfn.XLOOKUP($B56,Tabla1[SERVICIO],Tabla1[VALOR]*AJ56),0))</f>
        <v>0</v>
      </c>
      <c r="AL56" s="8"/>
      <c r="AM56" s="90" cm="1">
        <f t="array" ref="AM56">IF(AL56="X",(_xlfn.XLOOKUP($B56,Tabla1[SERVICIO],Tabla1[VALOR])*1),IF(AL56&gt;=1,_xlfn.XLOOKUP($B56,Tabla1[SERVICIO],Tabla1[VALOR]*AL56),0))</f>
        <v>0</v>
      </c>
      <c r="AN56" s="89">
        <f t="shared" si="1"/>
        <v>26897.079640267821</v>
      </c>
      <c r="AO56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6" s="37" t="s">
        <v>319</v>
      </c>
      <c r="AQ56" s="126">
        <v>6.5359477124183009E-3</v>
      </c>
      <c r="AR56" s="121">
        <f>+Tabla4671941[[#This Row],[TOTAL]]*Tabla4671941[[#This Row],[% de las personas que lo usaron]]</f>
        <v>175.7979061455413</v>
      </c>
      <c r="AS56" s="240" t="s">
        <v>354</v>
      </c>
      <c r="AT56" s="243">
        <v>18</v>
      </c>
    </row>
    <row r="57" spans="1:46" x14ac:dyDescent="0.25">
      <c r="A57" s="7" t="s">
        <v>53</v>
      </c>
      <c r="B57" s="8" t="s">
        <v>230</v>
      </c>
      <c r="C57" s="96" t="str">
        <f>_xlfn.XLOOKUP(Tabla4671941[[#This Row],[Servicios del Programa:]],Tabla151[CODIGO],Tabla151[VALOR])</f>
        <v>Consultas</v>
      </c>
      <c r="D57" s="14">
        <v>1</v>
      </c>
      <c r="E57" s="56" cm="1">
        <f t="array" ref="E57">IF(D57="X",(_xlfn.XLOOKUP($B57,Tabla1[SERVICIO],Tabla1[VALOR])*1),IF(D57&gt;=1,_xlfn.XLOOKUP($B57,Tabla1[SERVICIO],Tabla1[VALOR]*D57),0))</f>
        <v>26897.079640267817</v>
      </c>
      <c r="F57" s="14"/>
      <c r="G57" s="56" cm="1">
        <f t="array" ref="G57">IF(F57="X",(_xlfn.XLOOKUP($B57,Tabla1[SERVICIO],Tabla1[VALOR])*1),IF(F57&gt;=1,_xlfn.XLOOKUP($B57,Tabla1[SERVICIO],Tabla1[VALOR]*F57),0))</f>
        <v>0</v>
      </c>
      <c r="H57" s="14"/>
      <c r="I57" s="56" cm="1">
        <f t="array" ref="I57">IF(H57="X",(_xlfn.XLOOKUP($B57,Tabla1[SERVICIO],Tabla1[VALOR])*1),IF(H57&gt;=1,_xlfn.XLOOKUP($B57,Tabla1[SERVICIO],Tabla1[VALOR]*H57),0))</f>
        <v>0</v>
      </c>
      <c r="J57" s="14"/>
      <c r="K57" s="56" cm="1">
        <f t="array" ref="K57">IF(J57="X",(_xlfn.XLOOKUP($B57,Tabla1[SERVICIO],Tabla1[VALOR])*1),IF(J57&gt;=1,_xlfn.XLOOKUP($B57,Tabla1[SERVICIO],Tabla1[VALOR]*J57),0))</f>
        <v>0</v>
      </c>
      <c r="L57" s="14"/>
      <c r="M57" s="56" cm="1">
        <f t="array" ref="M57">IF(L57="X",(_xlfn.XLOOKUP($B57,Tabla1[SERVICIO],Tabla1[VALOR])*1),IF(L57&gt;=1,_xlfn.XLOOKUP($B57,Tabla1[SERVICIO],Tabla1[VALOR]*L57),0))</f>
        <v>0</v>
      </c>
      <c r="N57" s="14"/>
      <c r="O57" s="56" cm="1">
        <f t="array" ref="O57">IF(N57="X",(_xlfn.XLOOKUP($B57,Tabla1[SERVICIO],Tabla1[VALOR])*1),IF(N57&gt;=1,_xlfn.XLOOKUP($B57,Tabla1[SERVICIO],Tabla1[VALOR]*N57),0))</f>
        <v>0</v>
      </c>
      <c r="P57" s="14"/>
      <c r="Q57" s="56" cm="1">
        <f t="array" ref="Q57">IF(P57="X",(_xlfn.XLOOKUP($B57,Tabla1[SERVICIO],Tabla1[VALOR])*1),IF(P57&gt;=1,_xlfn.XLOOKUP($B57,Tabla1[SERVICIO],Tabla1[VALOR]*P57),0))</f>
        <v>0</v>
      </c>
      <c r="R57" s="14"/>
      <c r="S57" s="56" cm="1">
        <f t="array" ref="S57">IF(R57="X",(_xlfn.XLOOKUP($B57,Tabla1[SERVICIO],Tabla1[VALOR])*1),IF(R57&gt;=1,_xlfn.XLOOKUP($B57,Tabla1[SERVICIO],Tabla1[VALOR]*R57),0))</f>
        <v>0</v>
      </c>
      <c r="T57" s="14"/>
      <c r="U57" s="56" cm="1">
        <f t="array" ref="U57">IF(T57="X",(_xlfn.XLOOKUP($B57,Tabla1[SERVICIO],Tabla1[VALOR])*1),IF(T57&gt;=1,_xlfn.XLOOKUP($B57,Tabla1[SERVICIO],Tabla1[VALOR]*T57),0))</f>
        <v>0</v>
      </c>
      <c r="V57" s="14"/>
      <c r="W57" s="56" cm="1">
        <f t="array" ref="W57">IF(V57="X",(_xlfn.XLOOKUP($B57,Tabla1[SERVICIO],Tabla1[VALOR])*1),IF(V57&gt;=1,_xlfn.XLOOKUP($B57,Tabla1[SERVICIO],Tabla1[VALOR]*V57),0))</f>
        <v>0</v>
      </c>
      <c r="X57" s="14"/>
      <c r="Y57" s="56" cm="1">
        <f t="array" ref="Y57">IF(X57="X",(_xlfn.XLOOKUP($B57,Tabla1[SERVICIO],Tabla1[VALOR])*1),IF(X57&gt;=1,_xlfn.XLOOKUP($B57,Tabla1[SERVICIO],Tabla1[VALOR]*X57),0))</f>
        <v>0</v>
      </c>
      <c r="Z57" s="14"/>
      <c r="AA57" s="56" cm="1">
        <f t="array" ref="AA57">IF(Z57="X",(_xlfn.XLOOKUP($B57,Tabla1[SERVICIO],Tabla1[VALOR])*1),IF(Z57&gt;=1,_xlfn.XLOOKUP($B57,Tabla1[SERVICIO],Tabla1[VALOR]*Z57),0))</f>
        <v>0</v>
      </c>
      <c r="AB57" s="14"/>
      <c r="AC57" s="56" cm="1">
        <f t="array" ref="AC57">IF(AB57="X",(_xlfn.XLOOKUP($B57,Tabla1[SERVICIO],Tabla1[VALOR])*1),IF(AB57&gt;=1,_xlfn.XLOOKUP($B57,Tabla1[SERVICIO],Tabla1[VALOR]*AB57),0))</f>
        <v>0</v>
      </c>
      <c r="AD57" s="14"/>
      <c r="AE57" s="56" cm="1">
        <f t="array" ref="AE57">IF(AD57="X",(_xlfn.XLOOKUP($B57,Tabla1[SERVICIO],Tabla1[VALOR])*1),IF(AD57&gt;=1,_xlfn.XLOOKUP($B57,Tabla1[SERVICIO],Tabla1[VALOR]*AD57),0))</f>
        <v>0</v>
      </c>
      <c r="AF57" s="14"/>
      <c r="AG57" s="56" cm="1">
        <f t="array" ref="AG57">IF(AF57="X",(_xlfn.XLOOKUP($B57,Tabla1[SERVICIO],Tabla1[VALOR])*1),IF(AF57&gt;=1,_xlfn.XLOOKUP($B57,Tabla1[SERVICIO],Tabla1[VALOR]*AF57),0))</f>
        <v>0</v>
      </c>
      <c r="AH57" s="14"/>
      <c r="AI57" s="56" cm="1">
        <f t="array" ref="AI57">IF(AH57="X",(_xlfn.XLOOKUP($B57,Tabla1[SERVICIO],Tabla1[VALOR])*1),IF(AH57&gt;=1,_xlfn.XLOOKUP($B57,Tabla1[SERVICIO],Tabla1[VALOR]*AH57),0))</f>
        <v>0</v>
      </c>
      <c r="AJ57" s="14"/>
      <c r="AK57" s="56" cm="1">
        <f t="array" ref="AK57">IF(AJ57="X",(_xlfn.XLOOKUP($B57,Tabla1[SERVICIO],Tabla1[VALOR])*1),IF(AJ57&gt;=1,_xlfn.XLOOKUP($B57,Tabla1[SERVICIO],Tabla1[VALOR]*AJ57),0))</f>
        <v>0</v>
      </c>
      <c r="AL57" s="14"/>
      <c r="AM57" s="90" cm="1">
        <f t="array" ref="AM57">IF(AL57="X",(_xlfn.XLOOKUP($B57,Tabla1[SERVICIO],Tabla1[VALOR])*1),IF(AL57&gt;=1,_xlfn.XLOOKUP($B57,Tabla1[SERVICIO],Tabla1[VALOR]*AL57),0))</f>
        <v>0</v>
      </c>
      <c r="AN57" s="89">
        <f t="shared" si="1"/>
        <v>26897.079640267817</v>
      </c>
      <c r="AO57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7" s="37" t="s">
        <v>319</v>
      </c>
      <c r="AQ57" s="126">
        <v>6.5359477124183009E-3</v>
      </c>
      <c r="AR57" s="121">
        <f>+Tabla4671941[[#This Row],[TOTAL]]*Tabla4671941[[#This Row],[% de las personas que lo usaron]]</f>
        <v>175.7979061455413</v>
      </c>
      <c r="AS57" s="240" t="s">
        <v>354</v>
      </c>
      <c r="AT57" s="243">
        <v>18</v>
      </c>
    </row>
    <row r="58" spans="1:46" x14ac:dyDescent="0.25">
      <c r="A58" s="7" t="s">
        <v>113</v>
      </c>
      <c r="B58" s="25" t="s">
        <v>116</v>
      </c>
      <c r="C58" s="96" t="str">
        <f>_xlfn.XLOOKUP(Tabla4671941[[#This Row],[Servicios del Programa:]],Tabla151[CODIGO],Tabla151[VALOR])</f>
        <v>Consultas</v>
      </c>
      <c r="D58" s="14">
        <v>1</v>
      </c>
      <c r="E58" s="56" cm="1">
        <f t="array" ref="E58">IF(D58="X",(_xlfn.XLOOKUP($B58,Tabla1[SERVICIO],Tabla1[VALOR])*1),IF(D58&gt;=1,_xlfn.XLOOKUP($B58,Tabla1[SERVICIO],Tabla1[VALOR]*D58),0))</f>
        <v>60236.092716419647</v>
      </c>
      <c r="F58" s="14"/>
      <c r="G58" s="56" cm="1">
        <f t="array" ref="G58">IF(F58="X",(_xlfn.XLOOKUP($B58,Tabla1[SERVICIO],Tabla1[VALOR])*1),IF(F58&gt;=1,_xlfn.XLOOKUP($B58,Tabla1[SERVICIO],Tabla1[VALOR]*F58),0))</f>
        <v>0</v>
      </c>
      <c r="H58" s="14"/>
      <c r="I58" s="56" cm="1">
        <f t="array" ref="I58">IF(H58="X",(_xlfn.XLOOKUP($B58,Tabla1[SERVICIO],Tabla1[VALOR])*1),IF(H58&gt;=1,_xlfn.XLOOKUP($B58,Tabla1[SERVICIO],Tabla1[VALOR]*H58),0))</f>
        <v>0</v>
      </c>
      <c r="J58" s="14"/>
      <c r="K58" s="56" cm="1">
        <f t="array" ref="K58">IF(J58="X",(_xlfn.XLOOKUP($B58,Tabla1[SERVICIO],Tabla1[VALOR])*1),IF(J58&gt;=1,_xlfn.XLOOKUP($B58,Tabla1[SERVICIO],Tabla1[VALOR]*J58),0))</f>
        <v>0</v>
      </c>
      <c r="L58" s="14"/>
      <c r="M58" s="56" cm="1">
        <f t="array" ref="M58">IF(L58="X",(_xlfn.XLOOKUP($B58,Tabla1[SERVICIO],Tabla1[VALOR])*1),IF(L58&gt;=1,_xlfn.XLOOKUP($B58,Tabla1[SERVICIO],Tabla1[VALOR]*L58),0))</f>
        <v>0</v>
      </c>
      <c r="N58" s="14"/>
      <c r="O58" s="56" cm="1">
        <f t="array" ref="O58">IF(N58="X",(_xlfn.XLOOKUP($B58,Tabla1[SERVICIO],Tabla1[VALOR])*1),IF(N58&gt;=1,_xlfn.XLOOKUP($B58,Tabla1[SERVICIO],Tabla1[VALOR]*N58),0))</f>
        <v>0</v>
      </c>
      <c r="P58" s="14"/>
      <c r="Q58" s="56" cm="1">
        <f t="array" ref="Q58">IF(P58="X",(_xlfn.XLOOKUP($B58,Tabla1[SERVICIO],Tabla1[VALOR])*1),IF(P58&gt;=1,_xlfn.XLOOKUP($B58,Tabla1[SERVICIO],Tabla1[VALOR]*P58),0))</f>
        <v>0</v>
      </c>
      <c r="R58" s="14"/>
      <c r="S58" s="56" cm="1">
        <f t="array" ref="S58">IF(R58="X",(_xlfn.XLOOKUP($B58,Tabla1[SERVICIO],Tabla1[VALOR])*1),IF(R58&gt;=1,_xlfn.XLOOKUP($B58,Tabla1[SERVICIO],Tabla1[VALOR]*R58),0))</f>
        <v>0</v>
      </c>
      <c r="T58" s="14"/>
      <c r="U58" s="56" cm="1">
        <f t="array" ref="U58">IF(T58="X",(_xlfn.XLOOKUP($B58,Tabla1[SERVICIO],Tabla1[VALOR])*1),IF(T58&gt;=1,_xlfn.XLOOKUP($B58,Tabla1[SERVICIO],Tabla1[VALOR]*T58),0))</f>
        <v>0</v>
      </c>
      <c r="V58" s="14"/>
      <c r="W58" s="56" cm="1">
        <f t="array" ref="W58">IF(V58="X",(_xlfn.XLOOKUP($B58,Tabla1[SERVICIO],Tabla1[VALOR])*1),IF(V58&gt;=1,_xlfn.XLOOKUP($B58,Tabla1[SERVICIO],Tabla1[VALOR]*V58),0))</f>
        <v>0</v>
      </c>
      <c r="X58" s="14"/>
      <c r="Y58" s="56" cm="1">
        <f t="array" ref="Y58">IF(X58="X",(_xlfn.XLOOKUP($B58,Tabla1[SERVICIO],Tabla1[VALOR])*1),IF(X58&gt;=1,_xlfn.XLOOKUP($B58,Tabla1[SERVICIO],Tabla1[VALOR]*X58),0))</f>
        <v>0</v>
      </c>
      <c r="Z58" s="14"/>
      <c r="AA58" s="56" cm="1">
        <f t="array" ref="AA58">IF(Z58="X",(_xlfn.XLOOKUP($B58,Tabla1[SERVICIO],Tabla1[VALOR])*1),IF(Z58&gt;=1,_xlfn.XLOOKUP($B58,Tabla1[SERVICIO],Tabla1[VALOR]*Z58),0))</f>
        <v>0</v>
      </c>
      <c r="AB58" s="14"/>
      <c r="AC58" s="56" cm="1">
        <f t="array" ref="AC58">IF(AB58="X",(_xlfn.XLOOKUP($B58,Tabla1[SERVICIO],Tabla1[VALOR])*1),IF(AB58&gt;=1,_xlfn.XLOOKUP($B58,Tabla1[SERVICIO],Tabla1[VALOR]*AB58),0))</f>
        <v>0</v>
      </c>
      <c r="AD58" s="14"/>
      <c r="AE58" s="56" cm="1">
        <f t="array" ref="AE58">IF(AD58="X",(_xlfn.XLOOKUP($B58,Tabla1[SERVICIO],Tabla1[VALOR])*1),IF(AD58&gt;=1,_xlfn.XLOOKUP($B58,Tabla1[SERVICIO],Tabla1[VALOR]*AD58),0))</f>
        <v>0</v>
      </c>
      <c r="AF58" s="14"/>
      <c r="AG58" s="56" cm="1">
        <f t="array" ref="AG58">IF(AF58="X",(_xlfn.XLOOKUP($B58,Tabla1[SERVICIO],Tabla1[VALOR])*1),IF(AF58&gt;=1,_xlfn.XLOOKUP($B58,Tabla1[SERVICIO],Tabla1[VALOR]*AF58),0))</f>
        <v>0</v>
      </c>
      <c r="AH58" s="14"/>
      <c r="AI58" s="56" cm="1">
        <f t="array" ref="AI58">IF(AH58="X",(_xlfn.XLOOKUP($B58,Tabla1[SERVICIO],Tabla1[VALOR])*1),IF(AH58&gt;=1,_xlfn.XLOOKUP($B58,Tabla1[SERVICIO],Tabla1[VALOR]*AH58),0))</f>
        <v>0</v>
      </c>
      <c r="AJ58" s="14"/>
      <c r="AK58" s="56" cm="1">
        <f t="array" ref="AK58">IF(AJ58="X",(_xlfn.XLOOKUP($B58,Tabla1[SERVICIO],Tabla1[VALOR])*1),IF(AJ58&gt;=1,_xlfn.XLOOKUP($B58,Tabla1[SERVICIO],Tabla1[VALOR]*AJ58),0))</f>
        <v>0</v>
      </c>
      <c r="AL58" s="14"/>
      <c r="AM58" s="90" cm="1">
        <f t="array" ref="AM58">IF(AL58="X",(_xlfn.XLOOKUP($B58,Tabla1[SERVICIO],Tabla1[VALOR])*1),IF(AL58&gt;=1,_xlfn.XLOOKUP($B58,Tabla1[SERVICIO],Tabla1[VALOR]*AL58),0))</f>
        <v>0</v>
      </c>
      <c r="AN58" s="89">
        <f t="shared" si="1"/>
        <v>60236.092716419647</v>
      </c>
      <c r="AO58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8" s="37" t="s">
        <v>319</v>
      </c>
      <c r="AQ58" s="126">
        <v>9.1503267973856203E-2</v>
      </c>
      <c r="AR58" s="121">
        <f>+Tabla4671941[[#This Row],[TOTAL]]*Tabla4671941[[#This Row],[% de las personas que lo usaron]]</f>
        <v>5511.7993335285946</v>
      </c>
      <c r="AS58" s="240" t="s">
        <v>354</v>
      </c>
      <c r="AT58" s="243">
        <v>18</v>
      </c>
    </row>
    <row r="59" spans="1:46" x14ac:dyDescent="0.25">
      <c r="A59" s="7" t="s">
        <v>114</v>
      </c>
      <c r="B59" s="8" t="s">
        <v>117</v>
      </c>
      <c r="C59" s="96" t="str">
        <f>_xlfn.XLOOKUP(Tabla4671941[[#This Row],[Servicios del Programa:]],Tabla151[CODIGO],Tabla151[VALOR])</f>
        <v>Consultas</v>
      </c>
      <c r="D59" s="14"/>
      <c r="E59" s="56" cm="1">
        <f t="array" ref="E59">IF(D59="X",(_xlfn.XLOOKUP($B59,Tabla1[SERVICIO],Tabla1[VALOR])*1),IF(D59&gt;=1,_xlfn.XLOOKUP($B59,Tabla1[SERVICIO],Tabla1[VALOR]*D59),0))</f>
        <v>0</v>
      </c>
      <c r="F59" s="14"/>
      <c r="G59" s="56" cm="1">
        <f t="array" ref="G59">IF(F59="X",(_xlfn.XLOOKUP($B59,Tabla1[SERVICIO],Tabla1[VALOR])*1),IF(F59&gt;=1,_xlfn.XLOOKUP($B59,Tabla1[SERVICIO],Tabla1[VALOR]*F59),0))</f>
        <v>0</v>
      </c>
      <c r="H59" s="14"/>
      <c r="I59" s="56" cm="1">
        <f t="array" ref="I59">IF(H59="X",(_xlfn.XLOOKUP($B59,Tabla1[SERVICIO],Tabla1[VALOR])*1),IF(H59&gt;=1,_xlfn.XLOOKUP($B59,Tabla1[SERVICIO],Tabla1[VALOR]*H59),0))</f>
        <v>0</v>
      </c>
      <c r="J59" s="14">
        <v>1</v>
      </c>
      <c r="K59" s="56" cm="1">
        <f t="array" ref="K59">IF(J59="X",(_xlfn.XLOOKUP($B59,Tabla1[SERVICIO],Tabla1[VALOR])*1),IF(J59&gt;=1,_xlfn.XLOOKUP($B59,Tabla1[SERVICIO],Tabla1[VALOR]*J59),0))</f>
        <v>62748.232282880919</v>
      </c>
      <c r="L59" s="14"/>
      <c r="M59" s="56" cm="1">
        <f t="array" ref="M59">IF(L59="X",(_xlfn.XLOOKUP($B59,Tabla1[SERVICIO],Tabla1[VALOR])*1),IF(L59&gt;=1,_xlfn.XLOOKUP($B59,Tabla1[SERVICIO],Tabla1[VALOR]*L59),0))</f>
        <v>0</v>
      </c>
      <c r="N59" s="14"/>
      <c r="O59" s="56" cm="1">
        <f t="array" ref="O59">IF(N59="X",(_xlfn.XLOOKUP($B59,Tabla1[SERVICIO],Tabla1[VALOR])*1),IF(N59&gt;=1,_xlfn.XLOOKUP($B59,Tabla1[SERVICIO],Tabla1[VALOR]*N59),0))</f>
        <v>0</v>
      </c>
      <c r="P59" s="14">
        <v>1</v>
      </c>
      <c r="Q59" s="56" cm="1">
        <f t="array" ref="Q59">IF(P59="X",(_xlfn.XLOOKUP($B59,Tabla1[SERVICIO],Tabla1[VALOR])*1),IF(P59&gt;=1,_xlfn.XLOOKUP($B59,Tabla1[SERVICIO],Tabla1[VALOR]*P59),0))</f>
        <v>62748.232282880919</v>
      </c>
      <c r="R59" s="14"/>
      <c r="S59" s="56" cm="1">
        <f t="array" ref="S59">IF(R59="X",(_xlfn.XLOOKUP($B59,Tabla1[SERVICIO],Tabla1[VALOR])*1),IF(R59&gt;=1,_xlfn.XLOOKUP($B59,Tabla1[SERVICIO],Tabla1[VALOR]*R59),0))</f>
        <v>0</v>
      </c>
      <c r="T59" s="14"/>
      <c r="U59" s="56" cm="1">
        <f t="array" ref="U59">IF(T59="X",(_xlfn.XLOOKUP($B59,Tabla1[SERVICIO],Tabla1[VALOR])*1),IF(T59&gt;=1,_xlfn.XLOOKUP($B59,Tabla1[SERVICIO],Tabla1[VALOR]*T59),0))</f>
        <v>0</v>
      </c>
      <c r="V59" s="14">
        <v>1</v>
      </c>
      <c r="W59" s="56" cm="1">
        <f t="array" ref="W59">IF(V59="X",(_xlfn.XLOOKUP($B59,Tabla1[SERVICIO],Tabla1[VALOR])*1),IF(V59&gt;=1,_xlfn.XLOOKUP($B59,Tabla1[SERVICIO],Tabla1[VALOR]*V59),0))</f>
        <v>62748.232282880919</v>
      </c>
      <c r="X59" s="14"/>
      <c r="Y59" s="56" cm="1">
        <f t="array" ref="Y59">IF(X59="X",(_xlfn.XLOOKUP($B59,Tabla1[SERVICIO],Tabla1[VALOR])*1),IF(X59&gt;=1,_xlfn.XLOOKUP($B59,Tabla1[SERVICIO],Tabla1[VALOR]*X59),0))</f>
        <v>0</v>
      </c>
      <c r="Z59" s="14"/>
      <c r="AA59" s="56" cm="1">
        <f t="array" ref="AA59">IF(Z59="X",(_xlfn.XLOOKUP($B59,Tabla1[SERVICIO],Tabla1[VALOR])*1),IF(Z59&gt;=1,_xlfn.XLOOKUP($B59,Tabla1[SERVICIO],Tabla1[VALOR]*Z59),0))</f>
        <v>0</v>
      </c>
      <c r="AB59" s="14"/>
      <c r="AC59" s="56" cm="1">
        <f t="array" ref="AC59">IF(AB59="X",(_xlfn.XLOOKUP($B59,Tabla1[SERVICIO],Tabla1[VALOR])*1),IF(AB59&gt;=1,_xlfn.XLOOKUP($B59,Tabla1[SERVICIO],Tabla1[VALOR]*AB59),0))</f>
        <v>0</v>
      </c>
      <c r="AD59" s="14"/>
      <c r="AE59" s="56" cm="1">
        <f t="array" ref="AE59">IF(AD59="X",(_xlfn.XLOOKUP($B59,Tabla1[SERVICIO],Tabla1[VALOR])*1),IF(AD59&gt;=1,_xlfn.XLOOKUP($B59,Tabla1[SERVICIO],Tabla1[VALOR]*AD59),0))</f>
        <v>0</v>
      </c>
      <c r="AF59" s="14"/>
      <c r="AG59" s="56" cm="1">
        <f t="array" ref="AG59">IF(AF59="X",(_xlfn.XLOOKUP($B59,Tabla1[SERVICIO],Tabla1[VALOR])*1),IF(AF59&gt;=1,_xlfn.XLOOKUP($B59,Tabla1[SERVICIO],Tabla1[VALOR]*AF59),0))</f>
        <v>0</v>
      </c>
      <c r="AH59" s="14"/>
      <c r="AI59" s="56" cm="1">
        <f t="array" ref="AI59">IF(AH59="X",(_xlfn.XLOOKUP($B59,Tabla1[SERVICIO],Tabla1[VALOR])*1),IF(AH59&gt;=1,_xlfn.XLOOKUP($B59,Tabla1[SERVICIO],Tabla1[VALOR]*AH59),0))</f>
        <v>0</v>
      </c>
      <c r="AJ59" s="14"/>
      <c r="AK59" s="56" cm="1">
        <f t="array" ref="AK59">IF(AJ59="X",(_xlfn.XLOOKUP($B59,Tabla1[SERVICIO],Tabla1[VALOR])*1),IF(AJ59&gt;=1,_xlfn.XLOOKUP($B59,Tabla1[SERVICIO],Tabla1[VALOR]*AJ59),0))</f>
        <v>0</v>
      </c>
      <c r="AL59" s="14"/>
      <c r="AM59" s="90" cm="1">
        <f t="array" ref="AM59">IF(AL59="X",(_xlfn.XLOOKUP($B59,Tabla1[SERVICIO],Tabla1[VALOR])*1),IF(AL59&gt;=1,_xlfn.XLOOKUP($B59,Tabla1[SERVICIO],Tabla1[VALOR]*AL59),0))</f>
        <v>0</v>
      </c>
      <c r="AN59" s="89">
        <f t="shared" si="1"/>
        <v>188244.69684864275</v>
      </c>
      <c r="AO59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59" s="37" t="s">
        <v>319</v>
      </c>
      <c r="AQ59" s="126">
        <v>4.5751633986928102E-2</v>
      </c>
      <c r="AR59" s="121">
        <f>+Tabla4671941[[#This Row],[TOTAL]]*Tabla4671941[[#This Row],[% de las personas que lo usaron]]</f>
        <v>8612.5024701993407</v>
      </c>
      <c r="AS59" s="240" t="s">
        <v>354</v>
      </c>
      <c r="AT59" s="243">
        <v>18</v>
      </c>
    </row>
    <row r="60" spans="1:46" x14ac:dyDescent="0.25">
      <c r="A60" s="7" t="s">
        <v>115</v>
      </c>
      <c r="B60" s="8" t="s">
        <v>118</v>
      </c>
      <c r="C60" s="96" t="str">
        <f>_xlfn.XLOOKUP(Tabla4671941[[#This Row],[Servicios del Programa:]],Tabla151[CODIGO],Tabla151[VALOR])</f>
        <v>Consultas</v>
      </c>
      <c r="D60" s="14"/>
      <c r="E60" s="56" cm="1">
        <f t="array" ref="E60">IF(D60="X",(_xlfn.XLOOKUP($B60,Tabla1[SERVICIO],Tabla1[VALOR])*1),IF(D60&gt;=1,_xlfn.XLOOKUP($B60,Tabla1[SERVICIO],Tabla1[VALOR]*D60),0))</f>
        <v>0</v>
      </c>
      <c r="F60" s="14"/>
      <c r="G60" s="56" cm="1">
        <f t="array" ref="G60">IF(F60="X",(_xlfn.XLOOKUP($B60,Tabla1[SERVICIO],Tabla1[VALOR])*1),IF(F60&gt;=1,_xlfn.XLOOKUP($B60,Tabla1[SERVICIO],Tabla1[VALOR]*F60),0))</f>
        <v>0</v>
      </c>
      <c r="H60" s="14"/>
      <c r="I60" s="56" cm="1">
        <f t="array" ref="I60">IF(H60="X",(_xlfn.XLOOKUP($B60,Tabla1[SERVICIO],Tabla1[VALOR])*1),IF(H60&gt;=1,_xlfn.XLOOKUP($B60,Tabla1[SERVICIO],Tabla1[VALOR]*H60),0))</f>
        <v>0</v>
      </c>
      <c r="J60" s="14"/>
      <c r="K60" s="56" cm="1">
        <f t="array" ref="K60">IF(J60="X",(_xlfn.XLOOKUP($B60,Tabla1[SERVICIO],Tabla1[VALOR])*1),IF(J60&gt;=1,_xlfn.XLOOKUP($B60,Tabla1[SERVICIO],Tabla1[VALOR]*J60),0))</f>
        <v>0</v>
      </c>
      <c r="L60" s="14"/>
      <c r="M60" s="56" cm="1">
        <f t="array" ref="M60">IF(L60="X",(_xlfn.XLOOKUP($B60,Tabla1[SERVICIO],Tabla1[VALOR])*1),IF(L60&gt;=1,_xlfn.XLOOKUP($B60,Tabla1[SERVICIO],Tabla1[VALOR]*L60),0))</f>
        <v>0</v>
      </c>
      <c r="N60" s="14"/>
      <c r="O60" s="56" cm="1">
        <f t="array" ref="O60">IF(N60="X",(_xlfn.XLOOKUP($B60,Tabla1[SERVICIO],Tabla1[VALOR])*1),IF(N60&gt;=1,_xlfn.XLOOKUP($B60,Tabla1[SERVICIO],Tabla1[VALOR]*N60),0))</f>
        <v>0</v>
      </c>
      <c r="P60" s="14"/>
      <c r="Q60" s="56" cm="1">
        <f t="array" ref="Q60">IF(P60="X",(_xlfn.XLOOKUP($B60,Tabla1[SERVICIO],Tabla1[VALOR])*1),IF(P60&gt;=1,_xlfn.XLOOKUP($B60,Tabla1[SERVICIO],Tabla1[VALOR]*P60),0))</f>
        <v>0</v>
      </c>
      <c r="R60" s="14"/>
      <c r="S60" s="56" cm="1">
        <f t="array" ref="S60">IF(R60="X",(_xlfn.XLOOKUP($B60,Tabla1[SERVICIO],Tabla1[VALOR])*1),IF(R60&gt;=1,_xlfn.XLOOKUP($B60,Tabla1[SERVICIO],Tabla1[VALOR]*R60),0))</f>
        <v>0</v>
      </c>
      <c r="T60" s="14"/>
      <c r="U60" s="56" cm="1">
        <f t="array" ref="U60">IF(T60="X",(_xlfn.XLOOKUP($B60,Tabla1[SERVICIO],Tabla1[VALOR])*1),IF(T60&gt;=1,_xlfn.XLOOKUP($B60,Tabla1[SERVICIO],Tabla1[VALOR]*T60),0))</f>
        <v>0</v>
      </c>
      <c r="V60" s="14"/>
      <c r="W60" s="56" cm="1">
        <f t="array" ref="W60">IF(V60="X",(_xlfn.XLOOKUP($B60,Tabla1[SERVICIO],Tabla1[VALOR])*1),IF(V60&gt;=1,_xlfn.XLOOKUP($B60,Tabla1[SERVICIO],Tabla1[VALOR]*V60),0))</f>
        <v>0</v>
      </c>
      <c r="X60" s="14"/>
      <c r="Y60" s="56" cm="1">
        <f t="array" ref="Y60">IF(X60="X",(_xlfn.XLOOKUP($B60,Tabla1[SERVICIO],Tabla1[VALOR])*1),IF(X60&gt;=1,_xlfn.XLOOKUP($B60,Tabla1[SERVICIO],Tabla1[VALOR]*X60),0))</f>
        <v>0</v>
      </c>
      <c r="Z60" s="14"/>
      <c r="AA60" s="56" cm="1">
        <f t="array" ref="AA60">IF(Z60="X",(_xlfn.XLOOKUP($B60,Tabla1[SERVICIO],Tabla1[VALOR])*1),IF(Z60&gt;=1,_xlfn.XLOOKUP($B60,Tabla1[SERVICIO],Tabla1[VALOR]*Z60),0))</f>
        <v>0</v>
      </c>
      <c r="AB60" s="14"/>
      <c r="AC60" s="56" cm="1">
        <f t="array" ref="AC60">IF(AB60="X",(_xlfn.XLOOKUP($B60,Tabla1[SERVICIO],Tabla1[VALOR])*1),IF(AB60&gt;=1,_xlfn.XLOOKUP($B60,Tabla1[SERVICIO],Tabla1[VALOR]*AB60),0))</f>
        <v>0</v>
      </c>
      <c r="AD60" s="14"/>
      <c r="AE60" s="56" cm="1">
        <f t="array" ref="AE60">IF(AD60="X",(_xlfn.XLOOKUP($B60,Tabla1[SERVICIO],Tabla1[VALOR])*1),IF(AD60&gt;=1,_xlfn.XLOOKUP($B60,Tabla1[SERVICIO],Tabla1[VALOR]*AD60),0))</f>
        <v>0</v>
      </c>
      <c r="AF60" s="14"/>
      <c r="AG60" s="56" cm="1">
        <f t="array" ref="AG60">IF(AF60="X",(_xlfn.XLOOKUP($B60,Tabla1[SERVICIO],Tabla1[VALOR])*1),IF(AF60&gt;=1,_xlfn.XLOOKUP($B60,Tabla1[SERVICIO],Tabla1[VALOR]*AF60),0))</f>
        <v>0</v>
      </c>
      <c r="AH60" s="14"/>
      <c r="AI60" s="56" cm="1">
        <f t="array" ref="AI60">IF(AH60="X",(_xlfn.XLOOKUP($B60,Tabla1[SERVICIO],Tabla1[VALOR])*1),IF(AH60&gt;=1,_xlfn.XLOOKUP($B60,Tabla1[SERVICIO],Tabla1[VALOR]*AH60),0))</f>
        <v>0</v>
      </c>
      <c r="AJ60" s="14"/>
      <c r="AK60" s="56" cm="1">
        <f t="array" ref="AK60">IF(AJ60="X",(_xlfn.XLOOKUP($B60,Tabla1[SERVICIO],Tabla1[VALOR])*1),IF(AJ60&gt;=1,_xlfn.XLOOKUP($B60,Tabla1[SERVICIO],Tabla1[VALOR]*AJ60),0))</f>
        <v>0</v>
      </c>
      <c r="AL60" s="14">
        <v>1</v>
      </c>
      <c r="AM60" s="88" cm="1">
        <f t="array" ref="AM60">IF(AL60="X",(_xlfn.XLOOKUP($B60,Tabla1[SERVICIO],Tabla1[VALOR])*1),IF(AL60&gt;=1,_xlfn.XLOOKUP($B60,Tabla1[SERVICIO],Tabla1[VALOR]*AL60),0))</f>
        <v>62748.232282880919</v>
      </c>
      <c r="AN60" s="89">
        <f t="shared" si="1"/>
        <v>62748.232282880919</v>
      </c>
      <c r="AO60" s="153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60" s="37" t="s">
        <v>319</v>
      </c>
      <c r="AQ60" s="126">
        <v>0</v>
      </c>
      <c r="AR60" s="121">
        <f>+Tabla4671941[[#This Row],[TOTAL]]*Tabla4671941[[#This Row],[% de las personas que lo usaron]]</f>
        <v>0</v>
      </c>
      <c r="AS60" s="244" t="s">
        <v>354</v>
      </c>
      <c r="AT60" s="243">
        <v>18</v>
      </c>
    </row>
    <row r="61" spans="1:46" x14ac:dyDescent="0.25">
      <c r="A61" s="9"/>
      <c r="B61" s="10" t="s">
        <v>247</v>
      </c>
      <c r="C61" s="10"/>
      <c r="D61" s="16">
        <f>SUBTOTAL(109,Tabla4671941[MES 1])</f>
        <v>18</v>
      </c>
      <c r="E61" s="72">
        <f>SUBTOTAL(109,Tabla4671941[MES 19])</f>
        <v>742226.52264368034</v>
      </c>
      <c r="F61" s="16">
        <f>SUBTOTAL(109,Tabla4671941[MES 2])</f>
        <v>8</v>
      </c>
      <c r="G61" s="72">
        <f>SUBTOTAL(109,Tabla4671941[MES 22])</f>
        <v>70240.958933331596</v>
      </c>
      <c r="H61" s="16">
        <f>SUBTOTAL(109,Tabla4671941[MES 3])</f>
        <v>9</v>
      </c>
      <c r="I61" s="72">
        <f>SUBTOTAL(109,Tabla4671941[MES 32])</f>
        <v>126035.14070434716</v>
      </c>
      <c r="J61" s="16">
        <f>SUBTOTAL(109,Tabla4671941[MES 4])</f>
        <v>10</v>
      </c>
      <c r="K61" s="72">
        <f>SUBTOTAL(109,Tabla4671941[MES 42])</f>
        <v>155041.71201676549</v>
      </c>
      <c r="L61" s="16">
        <f>SUBTOTAL(109,Tabla4671941[MES 5])</f>
        <v>8</v>
      </c>
      <c r="M61" s="72">
        <f>SUBTOTAL(109,Tabla4671941[MES 52])</f>
        <v>70240.958933331596</v>
      </c>
      <c r="N61" s="16">
        <f>SUBTOTAL(109,Tabla4671941[MES 6])</f>
        <v>12</v>
      </c>
      <c r="O61" s="72">
        <f>SUBTOTAL(109,Tabla4671941[MES 62])</f>
        <v>209323.34064154635</v>
      </c>
      <c r="P61" s="16">
        <f>SUBTOTAL(109,Tabla4671941[MES 7])</f>
        <v>9</v>
      </c>
      <c r="Q61" s="72">
        <f>SUBTOTAL(109,Tabla4671941[MES 72])</f>
        <v>132989.19121621252</v>
      </c>
      <c r="R61" s="16">
        <f>SUBTOTAL(109,Tabla4671941[MES 8])</f>
        <v>9</v>
      </c>
      <c r="S61" s="72">
        <f>SUBTOTAL(109,Tabla4671941[MES 82])</f>
        <v>92293.479733884567</v>
      </c>
      <c r="T61" s="16">
        <f>SUBTOTAL(109,Tabla4671941[MES 9])</f>
        <v>9</v>
      </c>
      <c r="U61" s="72">
        <f>SUBTOTAL(109,Tabla4671941[MES 92])</f>
        <v>126035.14070434716</v>
      </c>
      <c r="V61" s="16">
        <f>SUBTOTAL(109,Tabla4671941[MES 10])</f>
        <v>9</v>
      </c>
      <c r="W61" s="72">
        <f>SUBTOTAL(109,Tabla4671941[MES 102])</f>
        <v>132989.19121621252</v>
      </c>
      <c r="X61" s="16">
        <f>SUBTOTAL(109,Tabla4671941[MES 11])</f>
        <v>8</v>
      </c>
      <c r="Y61" s="72">
        <f>SUBTOTAL(109,Tabla4671941[MES 112])</f>
        <v>70240.958933331596</v>
      </c>
      <c r="Z61" s="16">
        <f>SUBTOTAL(109,Tabla4671941[MES 12])</f>
        <v>8</v>
      </c>
      <c r="AA61" s="72">
        <f>SUBTOTAL(109,Tabla4671941[MES 122])</f>
        <v>70240.958933331596</v>
      </c>
      <c r="AB61" s="10">
        <f>SUBTOTAL(109,Tabla4671941[MES 13])</f>
        <v>8</v>
      </c>
      <c r="AC61" s="72">
        <f>SUBTOTAL(109,Tabla4671941[MES 132])</f>
        <v>70240.958933331596</v>
      </c>
      <c r="AD61" s="10">
        <f>SUBTOTAL(109,Tabla4671941[MES 14])</f>
        <v>8</v>
      </c>
      <c r="AE61" s="72">
        <f>SUBTOTAL(109,Tabla4671941[MES 142])</f>
        <v>70240.958933331596</v>
      </c>
      <c r="AF61" s="10">
        <f>SUBTOTAL(109,Tabla4671941[MES 15])</f>
        <v>8</v>
      </c>
      <c r="AG61" s="72">
        <f>SUBTOTAL(109,Tabla4671941[MES 152])</f>
        <v>70240.958933331596</v>
      </c>
      <c r="AH61" s="10">
        <f>SUBTOTAL(109,Tabla4671941[MES 16])</f>
        <v>8</v>
      </c>
      <c r="AI61" s="72">
        <f>SUBTOTAL(109,Tabla4671941[MES 162])</f>
        <v>70240.958933331596</v>
      </c>
      <c r="AJ61" s="10">
        <f>SUBTOTAL(109,Tabla4671941[MES 17])</f>
        <v>8</v>
      </c>
      <c r="AK61" s="72">
        <f>SUBTOTAL(109,Tabla4671941[MES 172])</f>
        <v>70240.958933331596</v>
      </c>
      <c r="AL61" s="11">
        <f>SUBTOTAL(109,Tabla4671941[MES 18])</f>
        <v>17</v>
      </c>
      <c r="AM61" s="72">
        <f>SUBTOTAL(109,Tabla4671941[MES 1722])</f>
        <v>364907.33108952601</v>
      </c>
      <c r="AN61" s="151">
        <f>SUBTOTAL(109,Tabla4671941[TOTAL])</f>
        <v>2714009.6803665063</v>
      </c>
      <c r="AO61" s="95">
        <f>SUBTOTAL(109,Tabla46740[TOTAL SERVICIOS])</f>
        <v>126</v>
      </c>
      <c r="AP61" s="95"/>
      <c r="AQ61" s="95"/>
      <c r="AR61" s="236">
        <f>SUBTOTAL(109,Tabla4671941[VALOR COSTO])</f>
        <v>1892777.1099234184</v>
      </c>
      <c r="AS61" s="95"/>
      <c r="AT61" s="95"/>
    </row>
  </sheetData>
  <phoneticPr fontId="13" type="noConversion"/>
  <conditionalFormatting sqref="A3:A4 A6:A26">
    <cfRule type="duplicateValues" dxfId="36" priority="10"/>
  </conditionalFormatting>
  <conditionalFormatting sqref="A5">
    <cfRule type="duplicateValues" dxfId="35" priority="9"/>
  </conditionalFormatting>
  <conditionalFormatting sqref="A27:A29">
    <cfRule type="duplicateValues" dxfId="34" priority="8"/>
  </conditionalFormatting>
  <conditionalFormatting sqref="A34:A35 A37:A57">
    <cfRule type="duplicateValues" dxfId="33" priority="7"/>
  </conditionalFormatting>
  <conditionalFormatting sqref="A36">
    <cfRule type="duplicateValues" dxfId="32" priority="6"/>
  </conditionalFormatting>
  <conditionalFormatting sqref="A58:A60">
    <cfRule type="duplicateValues" dxfId="31" priority="5"/>
  </conditionalFormatting>
  <conditionalFormatting sqref="AF3:AF2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4:AR6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2795-359F-4D0D-92DF-E720388C161E}">
  <sheetPr codeName="Hoja19">
    <tabColor theme="7" tint="0.39997558519241921"/>
  </sheetPr>
  <dimension ref="A1:AT63"/>
  <sheetViews>
    <sheetView zoomScale="40" zoomScaleNormal="40" workbookViewId="0">
      <selection activeCell="A3" sqref="A3:AH30"/>
    </sheetView>
    <sheetView workbookViewId="1"/>
  </sheetViews>
  <sheetFormatPr baseColWidth="10" defaultRowHeight="15" x14ac:dyDescent="0.25"/>
  <cols>
    <col min="1" max="1" width="11.42578125" style="5" customWidth="1"/>
    <col min="2" max="2" width="71.85546875" style="4" customWidth="1"/>
    <col min="3" max="3" width="20.28515625" style="4" bestFit="1" customWidth="1"/>
    <col min="4" max="4" width="15.85546875" style="4" bestFit="1" customWidth="1"/>
    <col min="5" max="5" width="5.140625" style="83" customWidth="1"/>
    <col min="6" max="6" width="16.28515625" style="4" bestFit="1" customWidth="1"/>
    <col min="7" max="7" width="5.140625" style="83" customWidth="1"/>
    <col min="8" max="8" width="12.5703125" style="4" bestFit="1" customWidth="1"/>
    <col min="9" max="9" width="5.140625" style="83" customWidth="1"/>
    <col min="10" max="10" width="16.28515625" style="4" bestFit="1" customWidth="1"/>
    <col min="11" max="11" width="5.140625" style="83" customWidth="1"/>
    <col min="12" max="12" width="16.28515625" style="4" bestFit="1" customWidth="1"/>
    <col min="13" max="13" width="5.140625" style="83" customWidth="1"/>
    <col min="14" max="14" width="16.28515625" style="4" bestFit="1" customWidth="1"/>
    <col min="15" max="15" width="5.140625" style="83" customWidth="1"/>
    <col min="16" max="16" width="16.28515625" style="4" bestFit="1" customWidth="1"/>
    <col min="17" max="17" width="5.140625" style="83" customWidth="1"/>
    <col min="18" max="18" width="13.85546875" style="4" customWidth="1"/>
    <col min="19" max="19" width="5.140625" style="83" customWidth="1"/>
    <col min="20" max="20" width="12.5703125" style="4" bestFit="1" customWidth="1"/>
    <col min="21" max="21" width="5.140625" style="83" customWidth="1"/>
    <col min="22" max="22" width="14" style="4" customWidth="1"/>
    <col min="23" max="23" width="5.140625" style="83" customWidth="1"/>
    <col min="24" max="24" width="14.85546875" style="4" customWidth="1"/>
    <col min="25" max="25" width="7" style="83" customWidth="1"/>
    <col min="26" max="26" width="13.140625" style="4" customWidth="1"/>
    <col min="27" max="27" width="16.7109375" style="4" customWidth="1"/>
    <col min="28" max="28" width="15.85546875" style="4" customWidth="1"/>
    <col min="29" max="29" width="11.42578125" style="4"/>
    <col min="30" max="30" width="12.85546875" style="4" customWidth="1"/>
    <col min="31" max="31" width="17.85546875" style="4" bestFit="1" customWidth="1"/>
    <col min="32" max="32" width="19.28515625" style="4" customWidth="1"/>
    <col min="33" max="33" width="43.42578125" style="4" bestFit="1" customWidth="1"/>
    <col min="34" max="34" width="13.42578125" style="4" bestFit="1" customWidth="1"/>
    <col min="35" max="35" width="11.42578125" style="4"/>
    <col min="36" max="36" width="13.42578125" style="4" bestFit="1" customWidth="1"/>
    <col min="37" max="37" width="11.42578125" style="4"/>
    <col min="38" max="38" width="13.42578125" style="4" bestFit="1" customWidth="1"/>
    <col min="39" max="39" width="15" style="4" bestFit="1" customWidth="1"/>
    <col min="40" max="42" width="11.42578125" style="4"/>
    <col min="43" max="43" width="21.85546875" style="4" customWidth="1"/>
    <col min="44" max="44" width="11.42578125" style="4"/>
    <col min="45" max="45" width="21.140625" style="4" bestFit="1" customWidth="1"/>
    <col min="46" max="16384" width="11.42578125" style="4"/>
  </cols>
  <sheetData>
    <row r="1" spans="1:35" ht="31.5" customHeight="1" x14ac:dyDescent="0.25">
      <c r="A1" s="43" t="s">
        <v>211</v>
      </c>
      <c r="B1" s="43"/>
      <c r="C1" s="43"/>
      <c r="D1" s="43"/>
      <c r="E1" s="206"/>
      <c r="F1" s="43"/>
      <c r="G1" s="206"/>
      <c r="H1" s="43"/>
      <c r="I1" s="206"/>
      <c r="J1" s="43"/>
      <c r="K1" s="206"/>
      <c r="L1" s="43"/>
      <c r="M1" s="206"/>
      <c r="N1" s="43"/>
    </row>
    <row r="2" spans="1:35" s="3" customFormat="1" ht="30" x14ac:dyDescent="0.2">
      <c r="A2" s="20" t="s">
        <v>0</v>
      </c>
      <c r="B2" s="17" t="s">
        <v>212</v>
      </c>
      <c r="C2" s="183" t="s">
        <v>347</v>
      </c>
      <c r="D2" s="94" t="s">
        <v>56</v>
      </c>
      <c r="E2" s="94" t="s">
        <v>68</v>
      </c>
      <c r="F2" s="207" t="s">
        <v>57</v>
      </c>
      <c r="G2" s="94" t="s">
        <v>293</v>
      </c>
      <c r="H2" s="207" t="s">
        <v>58</v>
      </c>
      <c r="I2" s="94" t="s">
        <v>294</v>
      </c>
      <c r="J2" s="207" t="s">
        <v>59</v>
      </c>
      <c r="K2" s="94" t="s">
        <v>295</v>
      </c>
      <c r="L2" s="207" t="s">
        <v>60</v>
      </c>
      <c r="M2" s="94" t="s">
        <v>296</v>
      </c>
      <c r="N2" s="207" t="s">
        <v>61</v>
      </c>
      <c r="O2" s="94" t="s">
        <v>297</v>
      </c>
      <c r="P2" s="207" t="s">
        <v>62</v>
      </c>
      <c r="Q2" s="94" t="s">
        <v>298</v>
      </c>
      <c r="R2" s="207" t="s">
        <v>63</v>
      </c>
      <c r="S2" s="94" t="s">
        <v>299</v>
      </c>
      <c r="T2" s="207" t="s">
        <v>64</v>
      </c>
      <c r="U2" s="94" t="s">
        <v>300</v>
      </c>
      <c r="V2" s="207" t="s">
        <v>65</v>
      </c>
      <c r="W2" s="94" t="s">
        <v>301</v>
      </c>
      <c r="X2" s="207" t="s">
        <v>66</v>
      </c>
      <c r="Y2" s="94" t="s">
        <v>302</v>
      </c>
      <c r="Z2" s="207" t="s">
        <v>67</v>
      </c>
      <c r="AA2" s="105" t="s">
        <v>311</v>
      </c>
      <c r="AB2" s="105" t="s">
        <v>247</v>
      </c>
      <c r="AC2" s="105" t="s">
        <v>313</v>
      </c>
      <c r="AD2" s="66" t="s">
        <v>187</v>
      </c>
      <c r="AE2" s="103" t="s">
        <v>316</v>
      </c>
      <c r="AF2" s="66" t="s">
        <v>317</v>
      </c>
      <c r="AG2" s="245" t="s">
        <v>348</v>
      </c>
      <c r="AH2" s="143" t="s">
        <v>406</v>
      </c>
    </row>
    <row r="3" spans="1:35" x14ac:dyDescent="0.25">
      <c r="A3" s="7" t="s">
        <v>13</v>
      </c>
      <c r="B3" s="96" t="s">
        <v>14</v>
      </c>
      <c r="C3" s="96" t="str">
        <f>_xlfn.XLOOKUP(Tabla4678942[[#This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78"/>
      <c r="G3" s="56" cm="1">
        <f t="array" ref="G3">IF(F3="X",(_xlfn.XLOOKUP($B3,Tabla1[SERVICIO],Tabla1[VALOR])*1),IF(F3&gt;=1,_xlfn.XLOOKUP($B3,Tabla1[SERVICIO],Tabla1[VALOR]*F3),0))</f>
        <v>0</v>
      </c>
      <c r="H3" s="78"/>
      <c r="I3" s="56" cm="1">
        <f t="array" ref="I3">IF(H3="X",(_xlfn.XLOOKUP($B3,Tabla1[SERVICIO],Tabla1[VALOR])*1),IF(H3&gt;=1,_xlfn.XLOOKUP($B3,Tabla1[SERVICIO],Tabla1[VALOR]*H3),0))</f>
        <v>0</v>
      </c>
      <c r="J3" s="78"/>
      <c r="K3" s="56" cm="1">
        <f t="array" ref="K3">IF(J3="X",(_xlfn.XLOOKUP($B3,Tabla1[SERVICIO],Tabla1[VALOR])*1),IF(J3&gt;=1,_xlfn.XLOOKUP($B3,Tabla1[SERVICIO],Tabla1[VALOR]*J3),0))</f>
        <v>0</v>
      </c>
      <c r="L3" s="78"/>
      <c r="M3" s="56" cm="1">
        <f t="array" ref="M3">IF(L3="X",(_xlfn.XLOOKUP($B3,Tabla1[SERVICIO],Tabla1[VALOR])*1),IF(L3&gt;=1,_xlfn.XLOOKUP($B3,Tabla1[SERVICIO],Tabla1[VALOR]*L3),0))</f>
        <v>0</v>
      </c>
      <c r="N3" s="78"/>
      <c r="O3" s="56" cm="1">
        <f t="array" ref="O3">IF(N3="X",(_xlfn.XLOOKUP($B3,Tabla1[SERVICIO],Tabla1[VALOR])*1),IF(N3&gt;=1,_xlfn.XLOOKUP($B3,Tabla1[SERVICIO],Tabla1[VALOR]*N3),0))</f>
        <v>0</v>
      </c>
      <c r="P3" s="78"/>
      <c r="Q3" s="56" cm="1">
        <f t="array" ref="Q3">IF(P3="X",(_xlfn.XLOOKUP($B3,Tabla1[SERVICIO],Tabla1[VALOR])*1),IF(P3&gt;=1,_xlfn.XLOOKUP($B3,Tabla1[SERVICIO],Tabla1[VALOR]*P3),0))</f>
        <v>0</v>
      </c>
      <c r="R3" s="78"/>
      <c r="S3" s="56" cm="1">
        <f t="array" ref="S3">IF(R3="X",(_xlfn.XLOOKUP($B3,Tabla1[SERVICIO],Tabla1[VALOR])*1),IF(R3&gt;=1,_xlfn.XLOOKUP($B3,Tabla1[SERVICIO],Tabla1[VALOR]*R3),0))</f>
        <v>0</v>
      </c>
      <c r="T3" s="78"/>
      <c r="U3" s="56" cm="1">
        <f t="array" ref="U3">IF(T3="X",(_xlfn.XLOOKUP($B3,Tabla1[SERVICIO],Tabla1[VALOR])*1),IF(T3&gt;=1,_xlfn.XLOOKUP($B3,Tabla1[SERVICIO],Tabla1[VALOR]*T3),0))</f>
        <v>0</v>
      </c>
      <c r="V3" s="78"/>
      <c r="W3" s="56" cm="1">
        <f t="array" ref="W3">IF(V3="X",(_xlfn.XLOOKUP($B3,Tabla1[SERVICIO],Tabla1[VALOR])*1),IF(V3&gt;=1,_xlfn.XLOOKUP($B3,Tabla1[SERVICIO],Tabla1[VALOR]*V3),0))</f>
        <v>0</v>
      </c>
      <c r="X3" s="78"/>
      <c r="Y3" s="56" cm="1">
        <f t="array" ref="Y3">IF(X3="X",(_xlfn.XLOOKUP($B3,Tabla1[SERVICIO],Tabla1[VALOR])*1),IF(X3&gt;=1,_xlfn.XLOOKUP($B3,Tabla1[SERVICIO],Tabla1[VALOR]*X3),0))</f>
        <v>0</v>
      </c>
      <c r="Z3" s="78"/>
      <c r="AA3" s="56" cm="1">
        <f t="array" ref="AA3">IF(Z3="X",(_xlfn.XLOOKUP($B3,Tabla1[SERVICIO],Tabla1[VALOR])*1),IF(Z3&gt;=1,_xlfn.XLOOKUP($B3,Tabla1[SERVICIO],Tabla1[VALOR]*Z3),0))</f>
        <v>0</v>
      </c>
      <c r="AB3" s="89">
        <f>SUM(E3,G3,I3,K3+M3,O3,Q3,S3,U3,W3,Y3,AA3)</f>
        <v>20552.755657371155</v>
      </c>
      <c r="AC3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3" s="122" t="s">
        <v>318</v>
      </c>
      <c r="AE3" s="126">
        <v>1</v>
      </c>
      <c r="AF3" s="121">
        <f>+Tabla4678942[[#This Row],[TOTAL]]*Tabla4678942[[#This Row],[% de las personas que lo usaron]]</f>
        <v>20552.755657371155</v>
      </c>
      <c r="AG3" s="246" t="s">
        <v>355</v>
      </c>
      <c r="AH3" s="246">
        <v>12</v>
      </c>
    </row>
    <row r="4" spans="1:35" x14ac:dyDescent="0.25">
      <c r="A4" s="7" t="s">
        <v>98</v>
      </c>
      <c r="B4" s="96" t="s">
        <v>99</v>
      </c>
      <c r="C4" s="96" t="str">
        <f>_xlfn.XLOOKUP(Tabla4678942[[#This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78"/>
      <c r="G4" s="56" cm="1">
        <f t="array" ref="G4">IF(F4="X",(_xlfn.XLOOKUP($B4,Tabla1[SERVICIO],Tabla1[VALOR])*1),IF(F4&gt;=1,_xlfn.XLOOKUP($B4,Tabla1[SERVICIO],Tabla1[VALOR]*F4),0))</f>
        <v>0</v>
      </c>
      <c r="H4" s="78"/>
      <c r="I4" s="56" cm="1">
        <f t="array" ref="I4">IF(H4="X",(_xlfn.XLOOKUP($B4,Tabla1[SERVICIO],Tabla1[VALOR])*1),IF(H4&gt;=1,_xlfn.XLOOKUP($B4,Tabla1[SERVICIO],Tabla1[VALOR]*H4),0))</f>
        <v>0</v>
      </c>
      <c r="J4" s="78"/>
      <c r="K4" s="56" cm="1">
        <f t="array" ref="K4">IF(J4="X",(_xlfn.XLOOKUP($B4,Tabla1[SERVICIO],Tabla1[VALOR])*1),IF(J4&gt;=1,_xlfn.XLOOKUP($B4,Tabla1[SERVICIO],Tabla1[VALOR]*J4),0))</f>
        <v>0</v>
      </c>
      <c r="L4" s="78"/>
      <c r="M4" s="56" cm="1">
        <f t="array" ref="M4">IF(L4="X",(_xlfn.XLOOKUP($B4,Tabla1[SERVICIO],Tabla1[VALOR])*1),IF(L4&gt;=1,_xlfn.XLOOKUP($B4,Tabla1[SERVICIO],Tabla1[VALOR]*L4),0))</f>
        <v>0</v>
      </c>
      <c r="N4" s="78"/>
      <c r="O4" s="56" cm="1">
        <f t="array" ref="O4">IF(N4="X",(_xlfn.XLOOKUP($B4,Tabla1[SERVICIO],Tabla1[VALOR])*1),IF(N4&gt;=1,_xlfn.XLOOKUP($B4,Tabla1[SERVICIO],Tabla1[VALOR]*N4),0))</f>
        <v>0</v>
      </c>
      <c r="P4" s="78"/>
      <c r="Q4" s="56" cm="1">
        <f t="array" ref="Q4">IF(P4="X",(_xlfn.XLOOKUP($B4,Tabla1[SERVICIO],Tabla1[VALOR])*1),IF(P4&gt;=1,_xlfn.XLOOKUP($B4,Tabla1[SERVICIO],Tabla1[VALOR]*P4),0))</f>
        <v>0</v>
      </c>
      <c r="R4" s="78"/>
      <c r="S4" s="56" cm="1">
        <f t="array" ref="S4">IF(R4="X",(_xlfn.XLOOKUP($B4,Tabla1[SERVICIO],Tabla1[VALOR])*1),IF(R4&gt;=1,_xlfn.XLOOKUP($B4,Tabla1[SERVICIO],Tabla1[VALOR]*R4),0))</f>
        <v>0</v>
      </c>
      <c r="T4" s="78"/>
      <c r="U4" s="56" cm="1">
        <f t="array" ref="U4">IF(T4="X",(_xlfn.XLOOKUP($B4,Tabla1[SERVICIO],Tabla1[VALOR])*1),IF(T4&gt;=1,_xlfn.XLOOKUP($B4,Tabla1[SERVICIO],Tabla1[VALOR]*T4),0))</f>
        <v>0</v>
      </c>
      <c r="V4" s="78"/>
      <c r="W4" s="56" cm="1">
        <f t="array" ref="W4">IF(V4="X",(_xlfn.XLOOKUP($B4,Tabla1[SERVICIO],Tabla1[VALOR])*1),IF(V4&gt;=1,_xlfn.XLOOKUP($B4,Tabla1[SERVICIO],Tabla1[VALOR]*V4),0))</f>
        <v>0</v>
      </c>
      <c r="X4" s="78"/>
      <c r="Y4" s="56" cm="1">
        <f t="array" ref="Y4">IF(X4="X",(_xlfn.XLOOKUP($B4,Tabla1[SERVICIO],Tabla1[VALOR])*1),IF(X4&gt;=1,_xlfn.XLOOKUP($B4,Tabla1[SERVICIO],Tabla1[VALOR]*X4),0))</f>
        <v>0</v>
      </c>
      <c r="Z4" s="78"/>
      <c r="AA4" s="56" cm="1">
        <f t="array" ref="AA4">IF(Z4="X",(_xlfn.XLOOKUP($B4,Tabla1[SERVICIO],Tabla1[VALOR])*1),IF(Z4&gt;=1,_xlfn.XLOOKUP($B4,Tabla1[SERVICIO],Tabla1[VALOR]*Z4),0))</f>
        <v>0</v>
      </c>
      <c r="AB4" s="89">
        <f t="shared" ref="AB4:AB30" si="0">SUM(E4,G4,I4,K4+M4,O4,Q4,S4,U4,W4,Y4,AA4)</f>
        <v>17887.388810409495</v>
      </c>
      <c r="AC4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4" s="122" t="s">
        <v>318</v>
      </c>
      <c r="AE4" s="126">
        <v>1</v>
      </c>
      <c r="AF4" s="121">
        <f>+Tabla4678942[[#This Row],[TOTAL]]*Tabla4678942[[#This Row],[% de las personas que lo usaron]]</f>
        <v>17887.388810409495</v>
      </c>
      <c r="AG4" s="246" t="s">
        <v>355</v>
      </c>
      <c r="AH4" s="246">
        <v>12</v>
      </c>
    </row>
    <row r="5" spans="1:35" x14ac:dyDescent="0.25">
      <c r="A5" s="7" t="s">
        <v>104</v>
      </c>
      <c r="B5" s="96" t="s">
        <v>105</v>
      </c>
      <c r="C5" s="96" t="str">
        <f>_xlfn.XLOOKUP(Tabla4678942[[#This Row],[Servicios del Programa:]],Tabla151[CODIGO],Tabla151[VALOR])</f>
        <v>Consultas</v>
      </c>
      <c r="D5" s="14"/>
      <c r="E5" s="56" cm="1">
        <f t="array" ref="E5">IF(D5="X",(_xlfn.XLOOKUP($B5,Tabla1[SERVICIO],Tabla1[VALOR])*1),IF(D5&gt;=1,_xlfn.XLOOKUP($B5,Tabla1[SERVICIO],Tabla1[VALOR]*D5),0))</f>
        <v>0</v>
      </c>
      <c r="F5" s="78"/>
      <c r="G5" s="56" cm="1">
        <f t="array" ref="G5">IF(F5="X",(_xlfn.XLOOKUP($B5,Tabla1[SERVICIO],Tabla1[VALOR])*1),IF(F5&gt;=1,_xlfn.XLOOKUP($B5,Tabla1[SERVICIO],Tabla1[VALOR]*F5),0))</f>
        <v>0</v>
      </c>
      <c r="H5" s="78"/>
      <c r="I5" s="56" cm="1">
        <f t="array" ref="I5">IF(H5="X",(_xlfn.XLOOKUP($B5,Tabla1[SERVICIO],Tabla1[VALOR])*1),IF(H5&gt;=1,_xlfn.XLOOKUP($B5,Tabla1[SERVICIO],Tabla1[VALOR]*H5),0))</f>
        <v>0</v>
      </c>
      <c r="J5" s="78"/>
      <c r="K5" s="56" cm="1">
        <f t="array" ref="K5">IF(J5="X",(_xlfn.XLOOKUP($B5,Tabla1[SERVICIO],Tabla1[VALOR])*1),IF(J5&gt;=1,_xlfn.XLOOKUP($B5,Tabla1[SERVICIO],Tabla1[VALOR]*J5),0))</f>
        <v>0</v>
      </c>
      <c r="L5" s="78"/>
      <c r="M5" s="56" cm="1">
        <f t="array" ref="M5">IF(L5="X",(_xlfn.XLOOKUP($B5,Tabla1[SERVICIO],Tabla1[VALOR])*1),IF(L5&gt;=1,_xlfn.XLOOKUP($B5,Tabla1[SERVICIO],Tabla1[VALOR]*L5),0))</f>
        <v>0</v>
      </c>
      <c r="N5" s="77"/>
      <c r="O5" s="56" cm="1">
        <f t="array" ref="O5">IF(N5="X",(_xlfn.XLOOKUP($B5,Tabla1[SERVICIO],Tabla1[VALOR])*1),IF(N5&gt;=1,_xlfn.XLOOKUP($B5,Tabla1[SERVICIO],Tabla1[VALOR]*N5),0))</f>
        <v>0</v>
      </c>
      <c r="P5" s="78"/>
      <c r="Q5" s="56" cm="1">
        <f t="array" ref="Q5">IF(P5="X",(_xlfn.XLOOKUP($B5,Tabla1[SERVICIO],Tabla1[VALOR])*1),IF(P5&gt;=1,_xlfn.XLOOKUP($B5,Tabla1[SERVICIO],Tabla1[VALOR]*P5),0))</f>
        <v>0</v>
      </c>
      <c r="R5" s="78"/>
      <c r="S5" s="56" cm="1">
        <f t="array" ref="S5">IF(R5="X",(_xlfn.XLOOKUP($B5,Tabla1[SERVICIO],Tabla1[VALOR])*1),IF(R5&gt;=1,_xlfn.XLOOKUP($B5,Tabla1[SERVICIO],Tabla1[VALOR]*R5),0))</f>
        <v>0</v>
      </c>
      <c r="T5" s="78"/>
      <c r="U5" s="56" cm="1">
        <f t="array" ref="U5">IF(T5="X",(_xlfn.XLOOKUP($B5,Tabla1[SERVICIO],Tabla1[VALOR])*1),IF(T5&gt;=1,_xlfn.XLOOKUP($B5,Tabla1[SERVICIO],Tabla1[VALOR]*T5),0))</f>
        <v>0</v>
      </c>
      <c r="V5" s="78"/>
      <c r="W5" s="56" cm="1">
        <f t="array" ref="W5">IF(V5="X",(_xlfn.XLOOKUP($B5,Tabla1[SERVICIO],Tabla1[VALOR])*1),IF(V5&gt;=1,_xlfn.XLOOKUP($B5,Tabla1[SERVICIO],Tabla1[VALOR]*V5),0))</f>
        <v>0</v>
      </c>
      <c r="X5" s="78"/>
      <c r="Y5" s="56" cm="1">
        <f t="array" ref="Y5">IF(X5="X",(_xlfn.XLOOKUP($B5,Tabla1[SERVICIO],Tabla1[VALOR])*1),IF(X5&gt;=1,_xlfn.XLOOKUP($B5,Tabla1[SERVICIO],Tabla1[VALOR]*X5),0))</f>
        <v>0</v>
      </c>
      <c r="Z5" s="80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89">
        <f t="shared" si="0"/>
        <v>17887.388810409495</v>
      </c>
      <c r="AC5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5" s="37" t="s">
        <v>319</v>
      </c>
      <c r="AE5" s="126">
        <v>0.25</v>
      </c>
      <c r="AF5" s="121">
        <f>+Tabla4678942[[#This Row],[TOTAL]]*Tabla4678942[[#This Row],[% de las personas que lo usaron]]</f>
        <v>4471.8472026023737</v>
      </c>
      <c r="AG5" s="246" t="s">
        <v>355</v>
      </c>
      <c r="AH5" s="246">
        <v>12</v>
      </c>
    </row>
    <row r="6" spans="1:35" x14ac:dyDescent="0.25">
      <c r="A6" s="7" t="s">
        <v>3</v>
      </c>
      <c r="B6" s="96" t="s">
        <v>4</v>
      </c>
      <c r="C6" s="96" t="str">
        <f>_xlfn.XLOOKUP(Tabla4678942[[#This Row],[Servicios del Programa:]],Tabla151[CODIGO],Tabla151[VALOR])</f>
        <v>Consultas</v>
      </c>
      <c r="D6" s="14">
        <v>1</v>
      </c>
      <c r="E6" s="56" cm="1">
        <f t="array" ref="E6">IF(D6="X",(_xlfn.XLOOKUP($B6,Tabla1[SERVICIO],Tabla1[VALOR])*1),IF(D6&gt;=1,_xlfn.XLOOKUP($B6,Tabla1[SERVICIO],Tabla1[VALOR]*D6),0))</f>
        <v>20406.13276336317</v>
      </c>
      <c r="F6" s="77"/>
      <c r="G6" s="56" cm="1">
        <f t="array" ref="G6">IF(F6="X",(_xlfn.XLOOKUP($B6,Tabla1[SERVICIO],Tabla1[VALOR])*1),IF(F6&gt;=1,_xlfn.XLOOKUP($B6,Tabla1[SERVICIO],Tabla1[VALOR]*F6),0))</f>
        <v>0</v>
      </c>
      <c r="H6" s="77"/>
      <c r="I6" s="56" cm="1">
        <f t="array" ref="I6">IF(H6="X",(_xlfn.XLOOKUP($B6,Tabla1[SERVICIO],Tabla1[VALOR])*1),IF(H6&gt;=1,_xlfn.XLOOKUP($B6,Tabla1[SERVICIO],Tabla1[VALOR]*H6),0))</f>
        <v>0</v>
      </c>
      <c r="J6" s="77"/>
      <c r="K6" s="56" cm="1">
        <f t="array" ref="K6">IF(J6="X",(_xlfn.XLOOKUP($B6,Tabla1[SERVICIO],Tabla1[VALOR])*1),IF(J6&gt;=1,_xlfn.XLOOKUP($B6,Tabla1[SERVICIO],Tabla1[VALOR]*J6),0))</f>
        <v>0</v>
      </c>
      <c r="L6" s="77"/>
      <c r="M6" s="56" cm="1">
        <f t="array" ref="M6">IF(L6="X",(_xlfn.XLOOKUP($B6,Tabla1[SERVICIO],Tabla1[VALOR])*1),IF(L6&gt;=1,_xlfn.XLOOKUP($B6,Tabla1[SERVICIO],Tabla1[VALOR]*L6),0))</f>
        <v>0</v>
      </c>
      <c r="N6" s="77"/>
      <c r="O6" s="56" cm="1">
        <f t="array" ref="O6">IF(N6="X",(_xlfn.XLOOKUP($B6,Tabla1[SERVICIO],Tabla1[VALOR])*1),IF(N6&gt;=1,_xlfn.XLOOKUP($B6,Tabla1[SERVICIO],Tabla1[VALOR]*N6),0))</f>
        <v>0</v>
      </c>
      <c r="P6" s="77"/>
      <c r="Q6" s="56" cm="1">
        <f t="array" ref="Q6">IF(P6="X",(_xlfn.XLOOKUP($B6,Tabla1[SERVICIO],Tabla1[VALOR])*1),IF(P6&gt;=1,_xlfn.XLOOKUP($B6,Tabla1[SERVICIO],Tabla1[VALOR]*P6),0))</f>
        <v>0</v>
      </c>
      <c r="R6" s="77"/>
      <c r="S6" s="56" cm="1">
        <f t="array" ref="S6">IF(R6="X",(_xlfn.XLOOKUP($B6,Tabla1[SERVICIO],Tabla1[VALOR])*1),IF(R6&gt;=1,_xlfn.XLOOKUP($B6,Tabla1[SERVICIO],Tabla1[VALOR]*R6),0))</f>
        <v>0</v>
      </c>
      <c r="T6" s="77"/>
      <c r="U6" s="56" cm="1">
        <f t="array" ref="U6">IF(T6="X",(_xlfn.XLOOKUP($B6,Tabla1[SERVICIO],Tabla1[VALOR])*1),IF(T6&gt;=1,_xlfn.XLOOKUP($B6,Tabla1[SERVICIO],Tabla1[VALOR]*T6),0))</f>
        <v>0</v>
      </c>
      <c r="V6" s="77"/>
      <c r="W6" s="56" cm="1">
        <f t="array" ref="W6">IF(V6="X",(_xlfn.XLOOKUP($B6,Tabla1[SERVICIO],Tabla1[VALOR])*1),IF(V6&gt;=1,_xlfn.XLOOKUP($B6,Tabla1[SERVICIO],Tabla1[VALOR]*V6),0))</f>
        <v>0</v>
      </c>
      <c r="X6" s="77"/>
      <c r="Y6" s="56" cm="1">
        <f t="array" ref="Y6">IF(X6="X",(_xlfn.XLOOKUP($B6,Tabla1[SERVICIO],Tabla1[VALOR])*1),IF(X6&gt;=1,_xlfn.XLOOKUP($B6,Tabla1[SERVICIO],Tabla1[VALOR]*X6),0))</f>
        <v>0</v>
      </c>
      <c r="Z6" s="77"/>
      <c r="AA6" s="56" cm="1">
        <f t="array" ref="AA6">IF(Z6="X",(_xlfn.XLOOKUP($B6,Tabla1[SERVICIO],Tabla1[VALOR])*1),IF(Z6&gt;=1,_xlfn.XLOOKUP($B6,Tabla1[SERVICIO],Tabla1[VALOR]*Z6),0))</f>
        <v>0</v>
      </c>
      <c r="AB6" s="89">
        <f t="shared" si="0"/>
        <v>20406.13276336317</v>
      </c>
      <c r="AC6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6" s="122" t="s">
        <v>318</v>
      </c>
      <c r="AE6" s="126">
        <v>1</v>
      </c>
      <c r="AF6" s="121">
        <f>+Tabla4678942[[#This Row],[TOTAL]]*Tabla4678942[[#This Row],[% de las personas que lo usaron]]</f>
        <v>20406.13276336317</v>
      </c>
      <c r="AG6" s="246" t="s">
        <v>355</v>
      </c>
      <c r="AH6" s="246">
        <v>12</v>
      </c>
    </row>
    <row r="7" spans="1:35" x14ac:dyDescent="0.25">
      <c r="A7" s="7" t="s">
        <v>15</v>
      </c>
      <c r="B7" s="96" t="s">
        <v>16</v>
      </c>
      <c r="C7" s="96" t="str">
        <f>_xlfn.XLOOKUP(Tabla4678942[[#This Row],[Servicios del Programa:]],Tabla151[CODIGO],Tabla151[VALOR])</f>
        <v>Consultas</v>
      </c>
      <c r="D7" s="14"/>
      <c r="E7" s="56" cm="1">
        <f t="array" ref="E7">IF(D7="X",(_xlfn.XLOOKUP($B7,Tabla1[SERVICIO],Tabla1[VALOR])*1),IF(D7&gt;=1,_xlfn.XLOOKUP($B7,Tabla1[SERVICIO],Tabla1[VALOR]*D7),0))</f>
        <v>0</v>
      </c>
      <c r="F7" s="77"/>
      <c r="G7" s="56" cm="1">
        <f t="array" ref="G7">IF(F7="X",(_xlfn.XLOOKUP($B7,Tabla1[SERVICIO],Tabla1[VALOR])*1),IF(F7&gt;=1,_xlfn.XLOOKUP($B7,Tabla1[SERVICIO],Tabla1[VALOR]*F7),0))</f>
        <v>0</v>
      </c>
      <c r="H7" s="77"/>
      <c r="I7" s="56" cm="1">
        <f t="array" ref="I7">IF(H7="X",(_xlfn.XLOOKUP($B7,Tabla1[SERVICIO],Tabla1[VALOR])*1),IF(H7&gt;=1,_xlfn.XLOOKUP($B7,Tabla1[SERVICIO],Tabla1[VALOR]*H7),0))</f>
        <v>0</v>
      </c>
      <c r="J7" s="77"/>
      <c r="K7" s="56" cm="1">
        <f t="array" ref="K7">IF(J7="X",(_xlfn.XLOOKUP($B7,Tabla1[SERVICIO],Tabla1[VALOR])*1),IF(J7&gt;=1,_xlfn.XLOOKUP($B7,Tabla1[SERVICIO],Tabla1[VALOR]*J7),0))</f>
        <v>0</v>
      </c>
      <c r="L7" s="77"/>
      <c r="M7" s="56" cm="1">
        <f t="array" ref="M7">IF(L7="X",(_xlfn.XLOOKUP($B7,Tabla1[SERVICIO],Tabla1[VALOR])*1),IF(L7&gt;=1,_xlfn.XLOOKUP($B7,Tabla1[SERVICIO],Tabla1[VALOR]*L7),0))</f>
        <v>0</v>
      </c>
      <c r="N7" s="77">
        <v>1</v>
      </c>
      <c r="O7" s="56" cm="1">
        <f t="array" ref="O7">IF(N7="X",(_xlfn.XLOOKUP($B7,Tabla1[SERVICIO],Tabla1[VALOR])*1),IF(N7&gt;=1,_xlfn.XLOOKUP($B7,Tabla1[SERVICIO],Tabla1[VALOR]*N7),0))</f>
        <v>22052.520800552971</v>
      </c>
      <c r="P7" s="77"/>
      <c r="Q7" s="56" cm="1">
        <f t="array" ref="Q7">IF(P7="X",(_xlfn.XLOOKUP($B7,Tabla1[SERVICIO],Tabla1[VALOR])*1),IF(P7&gt;=1,_xlfn.XLOOKUP($B7,Tabla1[SERVICIO],Tabla1[VALOR]*P7),0))</f>
        <v>0</v>
      </c>
      <c r="R7" s="77"/>
      <c r="S7" s="56" cm="1">
        <f t="array" ref="S7">IF(R7="X",(_xlfn.XLOOKUP($B7,Tabla1[SERVICIO],Tabla1[VALOR])*1),IF(R7&gt;=1,_xlfn.XLOOKUP($B7,Tabla1[SERVICIO],Tabla1[VALOR]*R7),0))</f>
        <v>0</v>
      </c>
      <c r="T7" s="77"/>
      <c r="U7" s="56" cm="1">
        <f t="array" ref="U7">IF(T7="X",(_xlfn.XLOOKUP($B7,Tabla1[SERVICIO],Tabla1[VALOR])*1),IF(T7&gt;=1,_xlfn.XLOOKUP($B7,Tabla1[SERVICIO],Tabla1[VALOR]*T7),0))</f>
        <v>0</v>
      </c>
      <c r="V7" s="77"/>
      <c r="W7" s="56" cm="1">
        <f t="array" ref="W7">IF(V7="X",(_xlfn.XLOOKUP($B7,Tabla1[SERVICIO],Tabla1[VALOR])*1),IF(V7&gt;=1,_xlfn.XLOOKUP($B7,Tabla1[SERVICIO],Tabla1[VALOR]*V7),0))</f>
        <v>0</v>
      </c>
      <c r="X7" s="77"/>
      <c r="Y7" s="56" cm="1">
        <f t="array" ref="Y7">IF(X7="X",(_xlfn.XLOOKUP($B7,Tabla1[SERVICIO],Tabla1[VALOR])*1),IF(X7&gt;=1,_xlfn.XLOOKUP($B7,Tabla1[SERVICIO],Tabla1[VALOR]*X7),0))</f>
        <v>0</v>
      </c>
      <c r="Z7" s="77">
        <v>1</v>
      </c>
      <c r="AA7" s="56" cm="1">
        <f t="array" ref="AA7">IF(Z7="X",(_xlfn.XLOOKUP($B7,Tabla1[SERVICIO],Tabla1[VALOR])*1),IF(Z7&gt;=1,_xlfn.XLOOKUP($B7,Tabla1[SERVICIO],Tabla1[VALOR]*Z7),0))</f>
        <v>22052.520800552971</v>
      </c>
      <c r="AB7" s="89">
        <f t="shared" si="0"/>
        <v>44105.041601105942</v>
      </c>
      <c r="AC7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7" s="122" t="s">
        <v>318</v>
      </c>
      <c r="AE7" s="126">
        <v>1</v>
      </c>
      <c r="AF7" s="121">
        <f>+Tabla4678942[[#This Row],[TOTAL]]*Tabla4678942[[#This Row],[% de las personas que lo usaron]]</f>
        <v>44105.041601105942</v>
      </c>
      <c r="AG7" s="246" t="s">
        <v>355</v>
      </c>
      <c r="AH7" s="246">
        <v>12</v>
      </c>
    </row>
    <row r="8" spans="1:35" x14ac:dyDescent="0.25">
      <c r="A8" s="7" t="s">
        <v>74</v>
      </c>
      <c r="B8" s="96" t="s">
        <v>75</v>
      </c>
      <c r="C8" s="96" t="str">
        <f>_xlfn.XLOOKUP(Tabla4678942[[#This Row],[Servicios del Programa:]],Tabla151[CODIGO],Tabla151[VALOR])</f>
        <v>Consultas</v>
      </c>
      <c r="D8" s="14">
        <v>1</v>
      </c>
      <c r="E8" s="56" cm="1">
        <f t="array" ref="E8">IF(D8="X",(_xlfn.XLOOKUP($B8,Tabla1[SERVICIO],Tabla1[VALOR])*1),IF(D8&gt;=1,_xlfn.XLOOKUP($B8,Tabla1[SERVICIO],Tabla1[VALOR]*D8),0))</f>
        <v>19368.008636848015</v>
      </c>
      <c r="F8" s="77"/>
      <c r="G8" s="56" cm="1">
        <f t="array" ref="G8">IF(F8="X",(_xlfn.XLOOKUP($B8,Tabla1[SERVICIO],Tabla1[VALOR])*1),IF(F8&gt;=1,_xlfn.XLOOKUP($B8,Tabla1[SERVICIO],Tabla1[VALOR]*F8),0))</f>
        <v>0</v>
      </c>
      <c r="H8" s="77"/>
      <c r="I8" s="56" cm="1">
        <f t="array" ref="I8">IF(H8="X",(_xlfn.XLOOKUP($B8,Tabla1[SERVICIO],Tabla1[VALOR])*1),IF(H8&gt;=1,_xlfn.XLOOKUP($B8,Tabla1[SERVICIO],Tabla1[VALOR]*H8),0))</f>
        <v>0</v>
      </c>
      <c r="J8" s="77"/>
      <c r="K8" s="56" cm="1">
        <f t="array" ref="K8">IF(J8="X",(_xlfn.XLOOKUP($B8,Tabla1[SERVICIO],Tabla1[VALOR])*1),IF(J8&gt;=1,_xlfn.XLOOKUP($B8,Tabla1[SERVICIO],Tabla1[VALOR]*J8),0))</f>
        <v>0</v>
      </c>
      <c r="L8" s="77"/>
      <c r="M8" s="56" cm="1">
        <f t="array" ref="M8">IF(L8="X",(_xlfn.XLOOKUP($B8,Tabla1[SERVICIO],Tabla1[VALOR])*1),IF(L8&gt;=1,_xlfn.XLOOKUP($B8,Tabla1[SERVICIO],Tabla1[VALOR]*L8),0))</f>
        <v>0</v>
      </c>
      <c r="N8" s="77"/>
      <c r="O8" s="56" cm="1">
        <f t="array" ref="O8">IF(N8="X",(_xlfn.XLOOKUP($B8,Tabla1[SERVICIO],Tabla1[VALOR])*1),IF(N8&gt;=1,_xlfn.XLOOKUP($B8,Tabla1[SERVICIO],Tabla1[VALOR]*N8),0))</f>
        <v>0</v>
      </c>
      <c r="P8" s="77"/>
      <c r="Q8" s="56" cm="1">
        <f t="array" ref="Q8">IF(P8="X",(_xlfn.XLOOKUP($B8,Tabla1[SERVICIO],Tabla1[VALOR])*1),IF(P8&gt;=1,_xlfn.XLOOKUP($B8,Tabla1[SERVICIO],Tabla1[VALOR]*P8),0))</f>
        <v>0</v>
      </c>
      <c r="R8" s="77"/>
      <c r="S8" s="56" cm="1">
        <f t="array" ref="S8">IF(R8="X",(_xlfn.XLOOKUP($B8,Tabla1[SERVICIO],Tabla1[VALOR])*1),IF(R8&gt;=1,_xlfn.XLOOKUP($B8,Tabla1[SERVICIO],Tabla1[VALOR]*R8),0))</f>
        <v>0</v>
      </c>
      <c r="T8" s="77"/>
      <c r="U8" s="56" cm="1">
        <f t="array" ref="U8">IF(T8="X",(_xlfn.XLOOKUP($B8,Tabla1[SERVICIO],Tabla1[VALOR])*1),IF(T8&gt;=1,_xlfn.XLOOKUP($B8,Tabla1[SERVICIO],Tabla1[VALOR]*T8),0))</f>
        <v>0</v>
      </c>
      <c r="V8" s="77"/>
      <c r="W8" s="56" cm="1">
        <f t="array" ref="W8">IF(V8="X",(_xlfn.XLOOKUP($B8,Tabla1[SERVICIO],Tabla1[VALOR])*1),IF(V8&gt;=1,_xlfn.XLOOKUP($B8,Tabla1[SERVICIO],Tabla1[VALOR]*V8),0))</f>
        <v>0</v>
      </c>
      <c r="X8" s="77"/>
      <c r="Y8" s="56" cm="1">
        <f t="array" ref="Y8">IF(X8="X",(_xlfn.XLOOKUP($B8,Tabla1[SERVICIO],Tabla1[VALOR])*1),IF(X8&gt;=1,_xlfn.XLOOKUP($B8,Tabla1[SERVICIO],Tabla1[VALOR]*X8),0))</f>
        <v>0</v>
      </c>
      <c r="Z8" s="77"/>
      <c r="AA8" s="56" cm="1">
        <f t="array" ref="AA8">IF(Z8="X",(_xlfn.XLOOKUP($B8,Tabla1[SERVICIO],Tabla1[VALOR])*1),IF(Z8&gt;=1,_xlfn.XLOOKUP($B8,Tabla1[SERVICIO],Tabla1[VALOR]*Z8),0))</f>
        <v>0</v>
      </c>
      <c r="AB8" s="89">
        <f t="shared" si="0"/>
        <v>19368.008636848015</v>
      </c>
      <c r="AC8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8" s="37" t="s">
        <v>319</v>
      </c>
      <c r="AE8" s="126">
        <v>1</v>
      </c>
      <c r="AF8" s="121">
        <f>+Tabla4678942[[#This Row],[TOTAL]]*Tabla4678942[[#This Row],[% de las personas que lo usaron]]</f>
        <v>19368.008636848015</v>
      </c>
      <c r="AG8" s="246" t="s">
        <v>355</v>
      </c>
      <c r="AH8" s="246">
        <v>12</v>
      </c>
    </row>
    <row r="9" spans="1:35" x14ac:dyDescent="0.25">
      <c r="A9" s="7" t="s">
        <v>23</v>
      </c>
      <c r="B9" s="96" t="s">
        <v>24</v>
      </c>
      <c r="C9" s="96" t="str">
        <f>_xlfn.XLOOKUP(Tabla4678942[[#This Row],[Servicios del Programa:]],Tabla151[CODIGO],Tabla151[VALOR])</f>
        <v>Terapias</v>
      </c>
      <c r="D9" s="14">
        <v>1</v>
      </c>
      <c r="E9" s="56" cm="1">
        <f t="array" ref="E9">IF(D9="X",(_xlfn.XLOOKUP($B9,Tabla1[SERVICIO],Tabla1[VALOR])*1),IF(D9&gt;=1,_xlfn.XLOOKUP($B9,Tabla1[SERVICIO],Tabla1[VALOR]*D9),0))</f>
        <v>31881.451880098426</v>
      </c>
      <c r="F9" s="77"/>
      <c r="G9" s="56" cm="1">
        <f t="array" ref="G9">IF(F9="X",(_xlfn.XLOOKUP($B9,Tabla1[SERVICIO],Tabla1[VALOR])*1),IF(F9&gt;=1,_xlfn.XLOOKUP($B9,Tabla1[SERVICIO],Tabla1[VALOR]*F9),0))</f>
        <v>0</v>
      </c>
      <c r="H9" s="77"/>
      <c r="I9" s="56" cm="1">
        <f t="array" ref="I9">IF(H9="X",(_xlfn.XLOOKUP($B9,Tabla1[SERVICIO],Tabla1[VALOR])*1),IF(H9&gt;=1,_xlfn.XLOOKUP($B9,Tabla1[SERVICIO],Tabla1[VALOR]*H9),0))</f>
        <v>0</v>
      </c>
      <c r="J9" s="77"/>
      <c r="K9" s="56" cm="1">
        <f t="array" ref="K9">IF(J9="X",(_xlfn.XLOOKUP($B9,Tabla1[SERVICIO],Tabla1[VALOR])*1),IF(J9&gt;=1,_xlfn.XLOOKUP($B9,Tabla1[SERVICIO],Tabla1[VALOR]*J9),0))</f>
        <v>0</v>
      </c>
      <c r="L9" s="77"/>
      <c r="M9" s="56" cm="1">
        <f t="array" ref="M9">IF(L9="X",(_xlfn.XLOOKUP($B9,Tabla1[SERVICIO],Tabla1[VALOR])*1),IF(L9&gt;=1,_xlfn.XLOOKUP($B9,Tabla1[SERVICIO],Tabla1[VALOR]*L9),0))</f>
        <v>0</v>
      </c>
      <c r="N9" s="77"/>
      <c r="O9" s="56" cm="1">
        <f t="array" ref="O9">IF(N9="X",(_xlfn.XLOOKUP($B9,Tabla1[SERVICIO],Tabla1[VALOR])*1),IF(N9&gt;=1,_xlfn.XLOOKUP($B9,Tabla1[SERVICIO],Tabla1[VALOR]*N9),0))</f>
        <v>0</v>
      </c>
      <c r="P9" s="77"/>
      <c r="Q9" s="56" cm="1">
        <f t="array" ref="Q9">IF(P9="X",(_xlfn.XLOOKUP($B9,Tabla1[SERVICIO],Tabla1[VALOR])*1),IF(P9&gt;=1,_xlfn.XLOOKUP($B9,Tabla1[SERVICIO],Tabla1[VALOR]*P9),0))</f>
        <v>0</v>
      </c>
      <c r="R9" s="77"/>
      <c r="S9" s="56" cm="1">
        <f t="array" ref="S9">IF(R9="X",(_xlfn.XLOOKUP($B9,Tabla1[SERVICIO],Tabla1[VALOR])*1),IF(R9&gt;=1,_xlfn.XLOOKUP($B9,Tabla1[SERVICIO],Tabla1[VALOR]*R9),0))</f>
        <v>0</v>
      </c>
      <c r="T9" s="77"/>
      <c r="U9" s="56" cm="1">
        <f t="array" ref="U9">IF(T9="X",(_xlfn.XLOOKUP($B9,Tabla1[SERVICIO],Tabla1[VALOR])*1),IF(T9&gt;=1,_xlfn.XLOOKUP($B9,Tabla1[SERVICIO],Tabla1[VALOR]*T9),0))</f>
        <v>0</v>
      </c>
      <c r="V9" s="77"/>
      <c r="W9" s="56" cm="1">
        <f t="array" ref="W9">IF(V9="X",(_xlfn.XLOOKUP($B9,Tabla1[SERVICIO],Tabla1[VALOR])*1),IF(V9&gt;=1,_xlfn.XLOOKUP($B9,Tabla1[SERVICIO],Tabla1[VALOR]*V9),0))</f>
        <v>0</v>
      </c>
      <c r="X9" s="77"/>
      <c r="Y9" s="56" cm="1">
        <f t="array" ref="Y9">IF(X9="X",(_xlfn.XLOOKUP($B9,Tabla1[SERVICIO],Tabla1[VALOR])*1),IF(X9&gt;=1,_xlfn.XLOOKUP($B9,Tabla1[SERVICIO],Tabla1[VALOR]*X9),0))</f>
        <v>0</v>
      </c>
      <c r="Z9" s="77"/>
      <c r="AA9" s="56" cm="1">
        <f t="array" ref="AA9">IF(Z9="X",(_xlfn.XLOOKUP($B9,Tabla1[SERVICIO],Tabla1[VALOR])*1),IF(Z9&gt;=1,_xlfn.XLOOKUP($B9,Tabla1[SERVICIO],Tabla1[VALOR]*Z9),0))</f>
        <v>0</v>
      </c>
      <c r="AB9" s="89">
        <f t="shared" si="0"/>
        <v>31881.451880098426</v>
      </c>
      <c r="AC9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9" s="122" t="s">
        <v>318</v>
      </c>
      <c r="AE9" s="126">
        <v>1</v>
      </c>
      <c r="AF9" s="121">
        <f>+Tabla4678942[[#This Row],[TOTAL]]*Tabla4678942[[#This Row],[% de las personas que lo usaron]]</f>
        <v>31881.451880098426</v>
      </c>
      <c r="AG9" s="246" t="s">
        <v>355</v>
      </c>
      <c r="AH9" s="246">
        <v>12</v>
      </c>
    </row>
    <row r="10" spans="1:35" x14ac:dyDescent="0.25">
      <c r="A10" s="7" t="s">
        <v>36</v>
      </c>
      <c r="B10" s="96" t="s">
        <v>100</v>
      </c>
      <c r="C10" s="96" t="str">
        <f>_xlfn.XLOOKUP(Tabla4678942[[#This Row],[Servicios del Programa:]],Tabla151[CODIGO],Tabla151[VALOR])</f>
        <v>Terapias</v>
      </c>
      <c r="D10" s="14">
        <v>8</v>
      </c>
      <c r="E10" s="56" cm="1">
        <f t="array" ref="E10">IF(D10="X",(_xlfn.XLOOKUP($B10,Tabla1[SERVICIO],Tabla1[VALOR])*1),IF(D10&gt;=1,_xlfn.XLOOKUP($B10,Tabla1[SERVICIO],Tabla1[VALOR]*D10),0))</f>
        <v>70240.958933331596</v>
      </c>
      <c r="F10" s="77">
        <v>8</v>
      </c>
      <c r="G10" s="56" cm="1">
        <f t="array" ref="G10">IF(F10="X",(_xlfn.XLOOKUP($B10,Tabla1[SERVICIO],Tabla1[VALOR])*1),IF(F10&gt;=1,_xlfn.XLOOKUP($B10,Tabla1[SERVICIO],Tabla1[VALOR]*F10),0))</f>
        <v>70240.958933331596</v>
      </c>
      <c r="H10" s="77">
        <v>8</v>
      </c>
      <c r="I10" s="56" cm="1">
        <f t="array" ref="I10">IF(H10="X",(_xlfn.XLOOKUP($B10,Tabla1[SERVICIO],Tabla1[VALOR])*1),IF(H10&gt;=1,_xlfn.XLOOKUP($B10,Tabla1[SERVICIO],Tabla1[VALOR]*H10),0))</f>
        <v>70240.958933331596</v>
      </c>
      <c r="J10" s="77">
        <v>8</v>
      </c>
      <c r="K10" s="56" cm="1">
        <f t="array" ref="K10">IF(J10="X",(_xlfn.XLOOKUP($B10,Tabla1[SERVICIO],Tabla1[VALOR])*1),IF(J10&gt;=1,_xlfn.XLOOKUP($B10,Tabla1[SERVICIO],Tabla1[VALOR]*J10),0))</f>
        <v>70240.958933331596</v>
      </c>
      <c r="L10" s="77">
        <v>8</v>
      </c>
      <c r="M10" s="56" cm="1">
        <f t="array" ref="M10">IF(L10="X",(_xlfn.XLOOKUP($B10,Tabla1[SERVICIO],Tabla1[VALOR])*1),IF(L10&gt;=1,_xlfn.XLOOKUP($B10,Tabla1[SERVICIO],Tabla1[VALOR]*L10),0))</f>
        <v>70240.958933331596</v>
      </c>
      <c r="N10" s="77">
        <v>8</v>
      </c>
      <c r="O10" s="56" cm="1">
        <f t="array" ref="O10">IF(N10="X",(_xlfn.XLOOKUP($B10,Tabla1[SERVICIO],Tabla1[VALOR])*1),IF(N10&gt;=1,_xlfn.XLOOKUP($B10,Tabla1[SERVICIO],Tabla1[VALOR]*N10),0))</f>
        <v>70240.958933331596</v>
      </c>
      <c r="P10" s="77">
        <v>8</v>
      </c>
      <c r="Q10" s="56" cm="1">
        <f t="array" ref="Q10">IF(P10="X",(_xlfn.XLOOKUP($B10,Tabla1[SERVICIO],Tabla1[VALOR])*1),IF(P10&gt;=1,_xlfn.XLOOKUP($B10,Tabla1[SERVICIO],Tabla1[VALOR]*P10),0))</f>
        <v>70240.958933331596</v>
      </c>
      <c r="R10" s="77">
        <v>8</v>
      </c>
      <c r="S10" s="56" cm="1">
        <f t="array" ref="S10">IF(R10="X",(_xlfn.XLOOKUP($B10,Tabla1[SERVICIO],Tabla1[VALOR])*1),IF(R10&gt;=1,_xlfn.XLOOKUP($B10,Tabla1[SERVICIO],Tabla1[VALOR]*R10),0))</f>
        <v>70240.958933331596</v>
      </c>
      <c r="T10" s="77">
        <v>8</v>
      </c>
      <c r="U10" s="56" cm="1">
        <f t="array" ref="U10">IF(T10="X",(_xlfn.XLOOKUP($B10,Tabla1[SERVICIO],Tabla1[VALOR])*1),IF(T10&gt;=1,_xlfn.XLOOKUP($B10,Tabla1[SERVICIO],Tabla1[VALOR]*T10),0))</f>
        <v>70240.958933331596</v>
      </c>
      <c r="V10" s="77">
        <v>8</v>
      </c>
      <c r="W10" s="56" cm="1">
        <f t="array" ref="W10">IF(V10="X",(_xlfn.XLOOKUP($B10,Tabla1[SERVICIO],Tabla1[VALOR])*1),IF(V10&gt;=1,_xlfn.XLOOKUP($B10,Tabla1[SERVICIO],Tabla1[VALOR]*V10),0))</f>
        <v>70240.958933331596</v>
      </c>
      <c r="X10" s="77">
        <v>8</v>
      </c>
      <c r="Y10" s="56" cm="1">
        <f t="array" ref="Y10">IF(X10="X",(_xlfn.XLOOKUP($B10,Tabla1[SERVICIO],Tabla1[VALOR])*1),IF(X10&gt;=1,_xlfn.XLOOKUP($B10,Tabla1[SERVICIO],Tabla1[VALOR]*X10),0))</f>
        <v>70240.958933331596</v>
      </c>
      <c r="Z10" s="77">
        <v>8</v>
      </c>
      <c r="AA10" s="56" cm="1">
        <f t="array" ref="AA10">IF(Z10="X",(_xlfn.XLOOKUP($B10,Tabla1[SERVICIO],Tabla1[VALOR])*1),IF(Z10&gt;=1,_xlfn.XLOOKUP($B10,Tabla1[SERVICIO],Tabla1[VALOR]*Z10),0))</f>
        <v>70240.958933331596</v>
      </c>
      <c r="AB10" s="89">
        <f t="shared" si="0"/>
        <v>842891.50719997892</v>
      </c>
      <c r="AC10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96</v>
      </c>
      <c r="AD10" s="122" t="s">
        <v>318</v>
      </c>
      <c r="AE10" s="126">
        <v>1</v>
      </c>
      <c r="AF10" s="121">
        <f>+Tabla4678942[[#This Row],[TOTAL]]*Tabla4678942[[#This Row],[% de las personas que lo usaron]]</f>
        <v>842891.50719997892</v>
      </c>
      <c r="AG10" s="246" t="s">
        <v>355</v>
      </c>
      <c r="AH10" s="246">
        <v>12</v>
      </c>
    </row>
    <row r="11" spans="1:35" x14ac:dyDescent="0.25">
      <c r="A11" s="7" t="s">
        <v>11</v>
      </c>
      <c r="B11" s="96" t="s">
        <v>122</v>
      </c>
      <c r="C11" s="96" t="str">
        <f>_xlfn.XLOOKUP(Tabla4678942[[#This Row],[Servicios del Programa:]],Tabla151[CODIGO],Tabla151[VALOR])</f>
        <v>Educacion</v>
      </c>
      <c r="D11" s="14">
        <v>2</v>
      </c>
      <c r="E11" s="56" cm="1">
        <f t="array" ref="E11">IF(D11="X",(_xlfn.XLOOKUP($B11,Tabla1[SERVICIO],Tabla1[VALOR])*1),IF(D11&gt;=1,_xlfn.XLOOKUP($B11,Tabla1[SERVICIO],Tabla1[VALOR]*D11),0))</f>
        <v>25486.843284439274</v>
      </c>
      <c r="F11" s="77">
        <v>2</v>
      </c>
      <c r="G11" s="56" cm="1">
        <f t="array" ref="G11">IF(F11="X",(_xlfn.XLOOKUP($B11,Tabla1[SERVICIO],Tabla1[VALOR])*1),IF(F11&gt;=1,_xlfn.XLOOKUP($B11,Tabla1[SERVICIO],Tabla1[VALOR]*F11),0))</f>
        <v>25486.843284439274</v>
      </c>
      <c r="H11" s="77">
        <v>2</v>
      </c>
      <c r="I11" s="56" cm="1">
        <f t="array" ref="I11">IF(H11="X",(_xlfn.XLOOKUP($B11,Tabla1[SERVICIO],Tabla1[VALOR])*1),IF(H11&gt;=1,_xlfn.XLOOKUP($B11,Tabla1[SERVICIO],Tabla1[VALOR]*H11),0))</f>
        <v>25486.843284439274</v>
      </c>
      <c r="J11" s="77">
        <v>2</v>
      </c>
      <c r="K11" s="56" cm="1">
        <f t="array" ref="K11">IF(J11="X",(_xlfn.XLOOKUP($B11,Tabla1[SERVICIO],Tabla1[VALOR])*1),IF(J11&gt;=1,_xlfn.XLOOKUP($B11,Tabla1[SERVICIO],Tabla1[VALOR]*J11),0))</f>
        <v>25486.843284439274</v>
      </c>
      <c r="L11" s="77">
        <v>2</v>
      </c>
      <c r="M11" s="56" cm="1">
        <f t="array" ref="M11">IF(L11="X",(_xlfn.XLOOKUP($B11,Tabla1[SERVICIO],Tabla1[VALOR])*1),IF(L11&gt;=1,_xlfn.XLOOKUP($B11,Tabla1[SERVICIO],Tabla1[VALOR]*L11),0))</f>
        <v>25486.843284439274</v>
      </c>
      <c r="N11" s="77">
        <v>2</v>
      </c>
      <c r="O11" s="56" cm="1">
        <f t="array" ref="O11">IF(N11="X",(_xlfn.XLOOKUP($B11,Tabla1[SERVICIO],Tabla1[VALOR])*1),IF(N11&gt;=1,_xlfn.XLOOKUP($B11,Tabla1[SERVICIO],Tabla1[VALOR]*N11),0))</f>
        <v>25486.843284439274</v>
      </c>
      <c r="P11" s="77">
        <v>2</v>
      </c>
      <c r="Q11" s="56" cm="1">
        <f t="array" ref="Q11">IF(P11="X",(_xlfn.XLOOKUP($B11,Tabla1[SERVICIO],Tabla1[VALOR])*1),IF(P11&gt;=1,_xlfn.XLOOKUP($B11,Tabla1[SERVICIO],Tabla1[VALOR]*P11),0))</f>
        <v>25486.843284439274</v>
      </c>
      <c r="R11" s="77">
        <v>2</v>
      </c>
      <c r="S11" s="56" cm="1">
        <f t="array" ref="S11">IF(R11="X",(_xlfn.XLOOKUP($B11,Tabla1[SERVICIO],Tabla1[VALOR])*1),IF(R11&gt;=1,_xlfn.XLOOKUP($B11,Tabla1[SERVICIO],Tabla1[VALOR]*R11),0))</f>
        <v>25486.843284439274</v>
      </c>
      <c r="T11" s="77">
        <v>2</v>
      </c>
      <c r="U11" s="56" cm="1">
        <f t="array" ref="U11">IF(T11="X",(_xlfn.XLOOKUP($B11,Tabla1[SERVICIO],Tabla1[VALOR])*1),IF(T11&gt;=1,_xlfn.XLOOKUP($B11,Tabla1[SERVICIO],Tabla1[VALOR]*T11),0))</f>
        <v>25486.843284439274</v>
      </c>
      <c r="V11" s="77">
        <v>2</v>
      </c>
      <c r="W11" s="56" cm="1">
        <f t="array" ref="W11">IF(V11="X",(_xlfn.XLOOKUP($B11,Tabla1[SERVICIO],Tabla1[VALOR])*1),IF(V11&gt;=1,_xlfn.XLOOKUP($B11,Tabla1[SERVICIO],Tabla1[VALOR]*V11),0))</f>
        <v>25486.843284439274</v>
      </c>
      <c r="X11" s="77">
        <v>2</v>
      </c>
      <c r="Y11" s="56" cm="1">
        <f t="array" ref="Y11">IF(X11="X",(_xlfn.XLOOKUP($B11,Tabla1[SERVICIO],Tabla1[VALOR])*1),IF(X11&gt;=1,_xlfn.XLOOKUP($B11,Tabla1[SERVICIO],Tabla1[VALOR]*X11),0))</f>
        <v>25486.843284439274</v>
      </c>
      <c r="Z11" s="77">
        <v>2</v>
      </c>
      <c r="AA11" s="56" cm="1">
        <f t="array" ref="AA11">IF(Z11="X",(_xlfn.XLOOKUP($B11,Tabla1[SERVICIO],Tabla1[VALOR])*1),IF(Z11&gt;=1,_xlfn.XLOOKUP($B11,Tabla1[SERVICIO],Tabla1[VALOR]*Z11),0))</f>
        <v>25486.843284439274</v>
      </c>
      <c r="AB11" s="89">
        <f t="shared" si="0"/>
        <v>305842.11941327131</v>
      </c>
      <c r="AC11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24</v>
      </c>
      <c r="AD11" s="122" t="s">
        <v>318</v>
      </c>
      <c r="AE11" s="126">
        <v>1</v>
      </c>
      <c r="AF11" s="121">
        <f>+Tabla4678942[[#This Row],[TOTAL]]*Tabla4678942[[#This Row],[% de las personas que lo usaron]]</f>
        <v>305842.11941327131</v>
      </c>
      <c r="AG11" s="246" t="s">
        <v>355</v>
      </c>
      <c r="AH11" s="246">
        <v>12</v>
      </c>
    </row>
    <row r="12" spans="1:35" x14ac:dyDescent="0.25">
      <c r="A12" s="7" t="s">
        <v>19</v>
      </c>
      <c r="B12" s="96" t="s">
        <v>20</v>
      </c>
      <c r="C12" s="96" t="str">
        <f>_xlfn.XLOOKUP(Tabla4678942[[#This Row],[Servicios del Programa:]],Tabla151[CODIGO],Tabla151[VALOR])</f>
        <v>Consultas</v>
      </c>
      <c r="D12" s="14">
        <v>1</v>
      </c>
      <c r="E12" s="56" cm="1">
        <f t="array" ref="E12">IF(D12="X",(_xlfn.XLOOKUP($B12,Tabla1[SERVICIO],Tabla1[VALOR])*1),IF(D12&gt;=1,_xlfn.XLOOKUP($B12,Tabla1[SERVICIO],Tabla1[VALOR]*D12),0))</f>
        <v>67398.098568534639</v>
      </c>
      <c r="F12" s="77"/>
      <c r="G12" s="56" cm="1">
        <f t="array" ref="G12">IF(F12="X",(_xlfn.XLOOKUP($B12,Tabla1[SERVICIO],Tabla1[VALOR])*1),IF(F12&gt;=1,_xlfn.XLOOKUP($B12,Tabla1[SERVICIO],Tabla1[VALOR]*F12),0))</f>
        <v>0</v>
      </c>
      <c r="H12" s="77"/>
      <c r="I12" s="56" cm="1">
        <f t="array" ref="I12">IF(H12="X",(_xlfn.XLOOKUP($B12,Tabla1[SERVICIO],Tabla1[VALOR])*1),IF(H12&gt;=1,_xlfn.XLOOKUP($B12,Tabla1[SERVICIO],Tabla1[VALOR]*H12),0))</f>
        <v>0</v>
      </c>
      <c r="J12" s="77"/>
      <c r="K12" s="56" cm="1">
        <f t="array" ref="K12">IF(J12="X",(_xlfn.XLOOKUP($B12,Tabla1[SERVICIO],Tabla1[VALOR])*1),IF(J12&gt;=1,_xlfn.XLOOKUP($B12,Tabla1[SERVICIO],Tabla1[VALOR]*J12),0))</f>
        <v>0</v>
      </c>
      <c r="L12" s="77"/>
      <c r="M12" s="56" cm="1">
        <f t="array" ref="M12">IF(L12="X",(_xlfn.XLOOKUP($B12,Tabla1[SERVICIO],Tabla1[VALOR])*1),IF(L12&gt;=1,_xlfn.XLOOKUP($B12,Tabla1[SERVICIO],Tabla1[VALOR]*L12),0))</f>
        <v>0</v>
      </c>
      <c r="N12" s="77"/>
      <c r="O12" s="56" cm="1">
        <f t="array" ref="O12">IF(N12="X",(_xlfn.XLOOKUP($B12,Tabla1[SERVICIO],Tabla1[VALOR])*1),IF(N12&gt;=1,_xlfn.XLOOKUP($B12,Tabla1[SERVICIO],Tabla1[VALOR]*N12),0))</f>
        <v>0</v>
      </c>
      <c r="P12" s="77"/>
      <c r="Q12" s="56" cm="1">
        <f t="array" ref="Q12">IF(P12="X",(_xlfn.XLOOKUP($B12,Tabla1[SERVICIO],Tabla1[VALOR])*1),IF(P12&gt;=1,_xlfn.XLOOKUP($B12,Tabla1[SERVICIO],Tabla1[VALOR]*P12),0))</f>
        <v>0</v>
      </c>
      <c r="R12" s="77"/>
      <c r="S12" s="56" cm="1">
        <f t="array" ref="S12">IF(R12="X",(_xlfn.XLOOKUP($B12,Tabla1[SERVICIO],Tabla1[VALOR])*1),IF(R12&gt;=1,_xlfn.XLOOKUP($B12,Tabla1[SERVICIO],Tabla1[VALOR]*R12),0))</f>
        <v>0</v>
      </c>
      <c r="T12" s="77"/>
      <c r="U12" s="56" cm="1">
        <f t="array" ref="U12">IF(T12="X",(_xlfn.XLOOKUP($B12,Tabla1[SERVICIO],Tabla1[VALOR])*1),IF(T12&gt;=1,_xlfn.XLOOKUP($B12,Tabla1[SERVICIO],Tabla1[VALOR]*T12),0))</f>
        <v>0</v>
      </c>
      <c r="V12" s="77"/>
      <c r="W12" s="56" cm="1">
        <f t="array" ref="W12">IF(V12="X",(_xlfn.XLOOKUP($B12,Tabla1[SERVICIO],Tabla1[VALOR])*1),IF(V12&gt;=1,_xlfn.XLOOKUP($B12,Tabla1[SERVICIO],Tabla1[VALOR]*V12),0))</f>
        <v>0</v>
      </c>
      <c r="X12" s="77"/>
      <c r="Y12" s="56" cm="1">
        <f t="array" ref="Y12">IF(X12="X",(_xlfn.XLOOKUP($B12,Tabla1[SERVICIO],Tabla1[VALOR])*1),IF(X12&gt;=1,_xlfn.XLOOKUP($B12,Tabla1[SERVICIO],Tabla1[VALOR]*X12),0))</f>
        <v>0</v>
      </c>
      <c r="Z12" s="77"/>
      <c r="AA12" s="56" cm="1">
        <f t="array" ref="AA12">IF(Z12="X",(_xlfn.XLOOKUP($B12,Tabla1[SERVICIO],Tabla1[VALOR])*1),IF(Z12&gt;=1,_xlfn.XLOOKUP($B12,Tabla1[SERVICIO],Tabla1[VALOR]*Z12),0))</f>
        <v>0</v>
      </c>
      <c r="AB12" s="89">
        <f t="shared" si="0"/>
        <v>67398.098568534639</v>
      </c>
      <c r="AC12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2" s="37" t="s">
        <v>319</v>
      </c>
      <c r="AE12" s="126">
        <v>0.10714285714285714</v>
      </c>
      <c r="AF12" s="121">
        <f>+Tabla4678942[[#This Row],[TOTAL]]*Tabla4678942[[#This Row],[% de las personas que lo usaron]]</f>
        <v>7221.224846628711</v>
      </c>
      <c r="AG12" s="246" t="s">
        <v>355</v>
      </c>
      <c r="AH12" s="246">
        <v>12</v>
      </c>
    </row>
    <row r="13" spans="1:35" x14ac:dyDescent="0.25">
      <c r="A13" s="7" t="s">
        <v>21</v>
      </c>
      <c r="B13" s="96" t="s">
        <v>221</v>
      </c>
      <c r="C13" s="96" t="str">
        <f>_xlfn.XLOOKUP(Tabla4678942[[#This Row],[Servicios del Programa:]],Tabla151[CODIGO],Tabla151[VALOR])</f>
        <v>Consultas</v>
      </c>
      <c r="D13" s="14">
        <v>1</v>
      </c>
      <c r="E13" s="56" cm="1">
        <f t="array" ref="E13">IF(D13="X",(_xlfn.XLOOKUP($B13,Tabla1[SERVICIO],Tabla1[VALOR])*1),IF(D13&gt;=1,_xlfn.XLOOKUP($B13,Tabla1[SERVICIO],Tabla1[VALOR]*D13),0))</f>
        <v>67398.098568534639</v>
      </c>
      <c r="F13" s="77"/>
      <c r="G13" s="56" cm="1">
        <f t="array" ref="G13">IF(F13="X",(_xlfn.XLOOKUP($B13,Tabla1[SERVICIO],Tabla1[VALOR])*1),IF(F13&gt;=1,_xlfn.XLOOKUP($B13,Tabla1[SERVICIO],Tabla1[VALOR]*F13),0))</f>
        <v>0</v>
      </c>
      <c r="H13" s="77"/>
      <c r="I13" s="56" cm="1">
        <f t="array" ref="I13">IF(H13="X",(_xlfn.XLOOKUP($B13,Tabla1[SERVICIO],Tabla1[VALOR])*1),IF(H13&gt;=1,_xlfn.XLOOKUP($B13,Tabla1[SERVICIO],Tabla1[VALOR]*H13),0))</f>
        <v>0</v>
      </c>
      <c r="J13" s="77"/>
      <c r="K13" s="56" cm="1">
        <f t="array" ref="K13">IF(J13="X",(_xlfn.XLOOKUP($B13,Tabla1[SERVICIO],Tabla1[VALOR])*1),IF(J13&gt;=1,_xlfn.XLOOKUP($B13,Tabla1[SERVICIO],Tabla1[VALOR]*J13),0))</f>
        <v>0</v>
      </c>
      <c r="L13" s="77"/>
      <c r="M13" s="56" cm="1">
        <f t="array" ref="M13">IF(L13="X",(_xlfn.XLOOKUP($B13,Tabla1[SERVICIO],Tabla1[VALOR])*1),IF(L13&gt;=1,_xlfn.XLOOKUP($B13,Tabla1[SERVICIO],Tabla1[VALOR]*L13),0))</f>
        <v>0</v>
      </c>
      <c r="N13" s="77"/>
      <c r="O13" s="56" cm="1">
        <f t="array" ref="O13">IF(N13="X",(_xlfn.XLOOKUP($B13,Tabla1[SERVICIO],Tabla1[VALOR])*1),IF(N13&gt;=1,_xlfn.XLOOKUP($B13,Tabla1[SERVICIO],Tabla1[VALOR]*N13),0))</f>
        <v>0</v>
      </c>
      <c r="P13" s="77"/>
      <c r="Q13" s="56" cm="1">
        <f t="array" ref="Q13">IF(P13="X",(_xlfn.XLOOKUP($B13,Tabla1[SERVICIO],Tabla1[VALOR])*1),IF(P13&gt;=1,_xlfn.XLOOKUP($B13,Tabla1[SERVICIO],Tabla1[VALOR]*P13),0))</f>
        <v>0</v>
      </c>
      <c r="R13" s="77"/>
      <c r="S13" s="56" cm="1">
        <f t="array" ref="S13">IF(R13="X",(_xlfn.XLOOKUP($B13,Tabla1[SERVICIO],Tabla1[VALOR])*1),IF(R13&gt;=1,_xlfn.XLOOKUP($B13,Tabla1[SERVICIO],Tabla1[VALOR]*R13),0))</f>
        <v>0</v>
      </c>
      <c r="T13" s="77"/>
      <c r="U13" s="56" cm="1">
        <f t="array" ref="U13">IF(T13="X",(_xlfn.XLOOKUP($B13,Tabla1[SERVICIO],Tabla1[VALOR])*1),IF(T13&gt;=1,_xlfn.XLOOKUP($B13,Tabla1[SERVICIO],Tabla1[VALOR]*T13),0))</f>
        <v>0</v>
      </c>
      <c r="V13" s="77"/>
      <c r="W13" s="56" cm="1">
        <f t="array" ref="W13">IF(V13="X",(_xlfn.XLOOKUP($B13,Tabla1[SERVICIO],Tabla1[VALOR])*1),IF(V13&gt;=1,_xlfn.XLOOKUP($B13,Tabla1[SERVICIO],Tabla1[VALOR]*V13),0))</f>
        <v>0</v>
      </c>
      <c r="X13" s="77"/>
      <c r="Y13" s="56" cm="1">
        <f t="array" ref="Y13">IF(X13="X",(_xlfn.XLOOKUP($B13,Tabla1[SERVICIO],Tabla1[VALOR])*1),IF(X13&gt;=1,_xlfn.XLOOKUP($B13,Tabla1[SERVICIO],Tabla1[VALOR]*X13),0))</f>
        <v>0</v>
      </c>
      <c r="Z13" s="77"/>
      <c r="AA13" s="56" cm="1">
        <f t="array" ref="AA13">IF(Z13="X",(_xlfn.XLOOKUP($B13,Tabla1[SERVICIO],Tabla1[VALOR])*1),IF(Z13&gt;=1,_xlfn.XLOOKUP($B13,Tabla1[SERVICIO],Tabla1[VALOR]*Z13),0))</f>
        <v>0</v>
      </c>
      <c r="AB13" s="89">
        <f t="shared" si="0"/>
        <v>67398.098568534639</v>
      </c>
      <c r="AC13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3" s="37" t="s">
        <v>319</v>
      </c>
      <c r="AE13" s="126">
        <v>1</v>
      </c>
      <c r="AF13" s="121">
        <f>+Tabla4678942[[#This Row],[TOTAL]]*Tabla4678942[[#This Row],[% de las personas que lo usaron]]</f>
        <v>67398.098568534639</v>
      </c>
      <c r="AG13" s="246" t="s">
        <v>355</v>
      </c>
      <c r="AH13" s="246">
        <v>12</v>
      </c>
    </row>
    <row r="14" spans="1:35" x14ac:dyDescent="0.25">
      <c r="A14" s="7" t="s">
        <v>34</v>
      </c>
      <c r="B14" s="96" t="s">
        <v>35</v>
      </c>
      <c r="C14" s="96" t="str">
        <f>_xlfn.XLOOKUP(Tabla4678942[[#This Row],[Servicios del Programa:]],Tabla151[CODIGO],Tabla151[VALOR])</f>
        <v>Consultas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24009.730401318589</v>
      </c>
      <c r="F14" s="77"/>
      <c r="G14" s="56" cm="1">
        <f t="array" ref="G14">IF(F14="X",(_xlfn.XLOOKUP($B14,Tabla1[SERVICIO],Tabla1[VALOR])*1),IF(F14&gt;=1,_xlfn.XLOOKUP($B14,Tabla1[SERVICIO],Tabla1[VALOR]*F14),0))</f>
        <v>0</v>
      </c>
      <c r="H14" s="77"/>
      <c r="I14" s="56" cm="1">
        <f t="array" ref="I14">IF(H14="X",(_xlfn.XLOOKUP($B14,Tabla1[SERVICIO],Tabla1[VALOR])*1),IF(H14&gt;=1,_xlfn.XLOOKUP($B14,Tabla1[SERVICIO],Tabla1[VALOR]*H14),0))</f>
        <v>0</v>
      </c>
      <c r="J14" s="77"/>
      <c r="K14" s="56" cm="1">
        <f t="array" ref="K14">IF(J14="X",(_xlfn.XLOOKUP($B14,Tabla1[SERVICIO],Tabla1[VALOR])*1),IF(J14&gt;=1,_xlfn.XLOOKUP($B14,Tabla1[SERVICIO],Tabla1[VALOR]*J14),0))</f>
        <v>0</v>
      </c>
      <c r="L14" s="77"/>
      <c r="M14" s="56" cm="1">
        <f t="array" ref="M14">IF(L14="X",(_xlfn.XLOOKUP($B14,Tabla1[SERVICIO],Tabla1[VALOR])*1),IF(L14&gt;=1,_xlfn.XLOOKUP($B14,Tabla1[SERVICIO],Tabla1[VALOR]*L14),0))</f>
        <v>0</v>
      </c>
      <c r="N14" s="77"/>
      <c r="O14" s="56" cm="1">
        <f t="array" ref="O14">IF(N14="X",(_xlfn.XLOOKUP($B14,Tabla1[SERVICIO],Tabla1[VALOR])*1),IF(N14&gt;=1,_xlfn.XLOOKUP($B14,Tabla1[SERVICIO],Tabla1[VALOR]*N14),0))</f>
        <v>0</v>
      </c>
      <c r="P14" s="77"/>
      <c r="Q14" s="56" cm="1">
        <f t="array" ref="Q14">IF(P14="X",(_xlfn.XLOOKUP($B14,Tabla1[SERVICIO],Tabla1[VALOR])*1),IF(P14&gt;=1,_xlfn.XLOOKUP($B14,Tabla1[SERVICIO],Tabla1[VALOR]*P14),0))</f>
        <v>0</v>
      </c>
      <c r="R14" s="77"/>
      <c r="S14" s="56" cm="1">
        <f t="array" ref="S14">IF(R14="X",(_xlfn.XLOOKUP($B14,Tabla1[SERVICIO],Tabla1[VALOR])*1),IF(R14&gt;=1,_xlfn.XLOOKUP($B14,Tabla1[SERVICIO],Tabla1[VALOR]*R14),0))</f>
        <v>0</v>
      </c>
      <c r="T14" s="77"/>
      <c r="U14" s="56" cm="1">
        <f t="array" ref="U14">IF(T14="X",(_xlfn.XLOOKUP($B14,Tabla1[SERVICIO],Tabla1[VALOR])*1),IF(T14&gt;=1,_xlfn.XLOOKUP($B14,Tabla1[SERVICIO],Tabla1[VALOR]*T14),0))</f>
        <v>0</v>
      </c>
      <c r="V14" s="77"/>
      <c r="W14" s="56" cm="1">
        <f t="array" ref="W14">IF(V14="X",(_xlfn.XLOOKUP($B14,Tabla1[SERVICIO],Tabla1[VALOR])*1),IF(V14&gt;=1,_xlfn.XLOOKUP($B14,Tabla1[SERVICIO],Tabla1[VALOR]*V14),0))</f>
        <v>0</v>
      </c>
      <c r="X14" s="77"/>
      <c r="Y14" s="56" cm="1">
        <f t="array" ref="Y14">IF(X14="X",(_xlfn.XLOOKUP($B14,Tabla1[SERVICIO],Tabla1[VALOR])*1),IF(X14&gt;=1,_xlfn.XLOOKUP($B14,Tabla1[SERVICIO],Tabla1[VALOR]*X14),0))</f>
        <v>0</v>
      </c>
      <c r="Z14" s="77"/>
      <c r="AA14" s="56" cm="1">
        <f t="array" ref="AA14">IF(Z14="X",(_xlfn.XLOOKUP($B14,Tabla1[SERVICIO],Tabla1[VALOR])*1),IF(Z14&gt;=1,_xlfn.XLOOKUP($B14,Tabla1[SERVICIO],Tabla1[VALOR]*Z14),0))</f>
        <v>0</v>
      </c>
      <c r="AB14" s="89">
        <f t="shared" si="0"/>
        <v>24009.730401318589</v>
      </c>
      <c r="AC14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4" s="122" t="s">
        <v>318</v>
      </c>
      <c r="AE14" s="126">
        <v>1</v>
      </c>
      <c r="AF14" s="121">
        <f>+Tabla4678942[[#This Row],[TOTAL]]*Tabla4678942[[#This Row],[% de las personas que lo usaron]]</f>
        <v>24009.730401318589</v>
      </c>
      <c r="AG14" s="246" t="s">
        <v>355</v>
      </c>
      <c r="AH14" s="246">
        <v>12</v>
      </c>
    </row>
    <row r="15" spans="1:35" x14ac:dyDescent="0.25">
      <c r="A15" s="7" t="s">
        <v>32</v>
      </c>
      <c r="B15" s="96" t="s">
        <v>33</v>
      </c>
      <c r="C15" s="96" t="str">
        <f>_xlfn.XLOOKUP(Tabla4678942[[#This Row],[Servicios del Programa:]],Tabla151[CODIGO],Tabla151[VALOR])</f>
        <v>Consultas</v>
      </c>
      <c r="D15" s="14"/>
      <c r="E15" s="56" cm="1">
        <f t="array" ref="E15">IF(D15="X",(_xlfn.XLOOKUP($B15,Tabla1[SERVICIO],Tabla1[VALOR])*1),IF(D15&gt;=1,_xlfn.XLOOKUP($B15,Tabla1[SERVICIO],Tabla1[VALOR]*D15),0))</f>
        <v>0</v>
      </c>
      <c r="F15" s="77"/>
      <c r="G15" s="56" cm="1">
        <f t="array" ref="G15">IF(F15="X",(_xlfn.XLOOKUP($B15,Tabla1[SERVICIO],Tabla1[VALOR])*1),IF(F15&gt;=1,_xlfn.XLOOKUP($B15,Tabla1[SERVICIO],Tabla1[VALOR]*F15),0))</f>
        <v>0</v>
      </c>
      <c r="H15" s="77">
        <v>1</v>
      </c>
      <c r="I15" s="56" cm="1">
        <f t="array" ref="I15">IF(H15="X",(_xlfn.XLOOKUP($B15,Tabla1[SERVICIO],Tabla1[VALOR])*1),IF(H15&gt;=1,_xlfn.XLOOKUP($B15,Tabla1[SERVICIO],Tabla1[VALOR]*H15),0))</f>
        <v>24009.730401318589</v>
      </c>
      <c r="J15" s="77"/>
      <c r="K15" s="56" cm="1">
        <f t="array" ref="K15">IF(J15="X",(_xlfn.XLOOKUP($B15,Tabla1[SERVICIO],Tabla1[VALOR])*1),IF(J15&gt;=1,_xlfn.XLOOKUP($B15,Tabla1[SERVICIO],Tabla1[VALOR]*J15),0))</f>
        <v>0</v>
      </c>
      <c r="L15" s="77"/>
      <c r="M15" s="56" cm="1">
        <f t="array" ref="M15">IF(L15="X",(_xlfn.XLOOKUP($B15,Tabla1[SERVICIO],Tabla1[VALOR])*1),IF(L15&gt;=1,_xlfn.XLOOKUP($B15,Tabla1[SERVICIO],Tabla1[VALOR]*L15),0))</f>
        <v>0</v>
      </c>
      <c r="N15" s="77">
        <v>1</v>
      </c>
      <c r="O15" s="56" cm="1">
        <f t="array" ref="O15">IF(N15="X",(_xlfn.XLOOKUP($B15,Tabla1[SERVICIO],Tabla1[VALOR])*1),IF(N15&gt;=1,_xlfn.XLOOKUP($B15,Tabla1[SERVICIO],Tabla1[VALOR]*N15),0))</f>
        <v>24009.730401318589</v>
      </c>
      <c r="P15" s="77"/>
      <c r="Q15" s="56" cm="1">
        <f t="array" ref="Q15">IF(P15="X",(_xlfn.XLOOKUP($B15,Tabla1[SERVICIO],Tabla1[VALOR])*1),IF(P15&gt;=1,_xlfn.XLOOKUP($B15,Tabla1[SERVICIO],Tabla1[VALOR]*P15),0))</f>
        <v>0</v>
      </c>
      <c r="R15" s="77"/>
      <c r="S15" s="56" cm="1">
        <f t="array" ref="S15">IF(R15="X",(_xlfn.XLOOKUP($B15,Tabla1[SERVICIO],Tabla1[VALOR])*1),IF(R15&gt;=1,_xlfn.XLOOKUP($B15,Tabla1[SERVICIO],Tabla1[VALOR]*R15),0))</f>
        <v>0</v>
      </c>
      <c r="T15" s="77">
        <v>1</v>
      </c>
      <c r="U15" s="56" cm="1">
        <f t="array" ref="U15">IF(T15="X",(_xlfn.XLOOKUP($B15,Tabla1[SERVICIO],Tabla1[VALOR])*1),IF(T15&gt;=1,_xlfn.XLOOKUP($B15,Tabla1[SERVICIO],Tabla1[VALOR]*T15),0))</f>
        <v>24009.730401318589</v>
      </c>
      <c r="V15" s="77"/>
      <c r="W15" s="56" cm="1">
        <f t="array" ref="W15">IF(V15="X",(_xlfn.XLOOKUP($B15,Tabla1[SERVICIO],Tabla1[VALOR])*1),IF(V15&gt;=1,_xlfn.XLOOKUP($B15,Tabla1[SERVICIO],Tabla1[VALOR]*V15),0))</f>
        <v>0</v>
      </c>
      <c r="X15" s="77"/>
      <c r="Y15" s="56" cm="1">
        <f t="array" ref="Y15">IF(X15="X",(_xlfn.XLOOKUP($B15,Tabla1[SERVICIO],Tabla1[VALOR])*1),IF(X15&gt;=1,_xlfn.XLOOKUP($B15,Tabla1[SERVICIO],Tabla1[VALOR]*X15),0))</f>
        <v>0</v>
      </c>
      <c r="Z15" s="77">
        <v>1</v>
      </c>
      <c r="AA15" s="56" cm="1">
        <f t="array" ref="AA15">IF(Z15="X",(_xlfn.XLOOKUP($B15,Tabla1[SERVICIO],Tabla1[VALOR])*1),IF(Z15&gt;=1,_xlfn.XLOOKUP($B15,Tabla1[SERVICIO],Tabla1[VALOR]*Z15),0))</f>
        <v>24009.730401318589</v>
      </c>
      <c r="AB15" s="89">
        <f t="shared" si="0"/>
        <v>96038.921605274358</v>
      </c>
      <c r="AC15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4</v>
      </c>
      <c r="AD15" s="37" t="s">
        <v>319</v>
      </c>
      <c r="AE15" s="126">
        <v>1</v>
      </c>
      <c r="AF15" s="121">
        <f>+Tabla4678942[[#This Row],[TOTAL]]*Tabla4678942[[#This Row],[% de las personas que lo usaron]]</f>
        <v>96038.921605274358</v>
      </c>
      <c r="AG15" s="246" t="s">
        <v>355</v>
      </c>
      <c r="AH15" s="246">
        <v>12</v>
      </c>
    </row>
    <row r="16" spans="1:35" x14ac:dyDescent="0.25">
      <c r="A16" s="7" t="s">
        <v>79</v>
      </c>
      <c r="B16" s="96" t="s">
        <v>197</v>
      </c>
      <c r="C16" s="96" t="str">
        <f>_xlfn.XLOOKUP(Tabla4678942[[#This Row],[Servicios del Programa:]],Tabla151[CODIGO],Tabla151[VALOR])</f>
        <v>Terapias</v>
      </c>
      <c r="D16" s="14">
        <v>4</v>
      </c>
      <c r="E16" s="56" cm="1">
        <f t="array" ref="E16">IF(D16="X",(_xlfn.XLOOKUP($B16,Tabla1[SERVICIO],Tabla1[VALOR])*1),IF(D16&gt;=1,_xlfn.XLOOKUP($B16,Tabla1[SERVICIO],Tabla1[VALOR]*D16),0))</f>
        <v>82211.022629484622</v>
      </c>
      <c r="F16" s="77">
        <v>4</v>
      </c>
      <c r="G16" s="56" cm="1">
        <f t="array" ref="G16">IF(F16="X",(_xlfn.XLOOKUP($B16,Tabla1[SERVICIO],Tabla1[VALOR])*1),IF(F16&gt;=1,_xlfn.XLOOKUP($B16,Tabla1[SERVICIO],Tabla1[VALOR]*F16),0))</f>
        <v>82211.022629484622</v>
      </c>
      <c r="H16" s="77">
        <v>4</v>
      </c>
      <c r="I16" s="56" cm="1">
        <f t="array" ref="I16">IF(H16="X",(_xlfn.XLOOKUP($B16,Tabla1[SERVICIO],Tabla1[VALOR])*1),IF(H16&gt;=1,_xlfn.XLOOKUP($B16,Tabla1[SERVICIO],Tabla1[VALOR]*H16),0))</f>
        <v>82211.022629484622</v>
      </c>
      <c r="J16" s="77">
        <v>4</v>
      </c>
      <c r="K16" s="56" cm="1">
        <f t="array" ref="K16">IF(J16="X",(_xlfn.XLOOKUP($B16,Tabla1[SERVICIO],Tabla1[VALOR])*1),IF(J16&gt;=1,_xlfn.XLOOKUP($B16,Tabla1[SERVICIO],Tabla1[VALOR]*J16),0))</f>
        <v>82211.022629484622</v>
      </c>
      <c r="L16" s="77">
        <v>4</v>
      </c>
      <c r="M16" s="56" cm="1">
        <f t="array" ref="M16">IF(L16="X",(_xlfn.XLOOKUP($B16,Tabla1[SERVICIO],Tabla1[VALOR])*1),IF(L16&gt;=1,_xlfn.XLOOKUP($B16,Tabla1[SERVICIO],Tabla1[VALOR]*L16),0))</f>
        <v>82211.022629484622</v>
      </c>
      <c r="N16" s="77">
        <v>4</v>
      </c>
      <c r="O16" s="56" cm="1">
        <f t="array" ref="O16">IF(N16="X",(_xlfn.XLOOKUP($B16,Tabla1[SERVICIO],Tabla1[VALOR])*1),IF(N16&gt;=1,_xlfn.XLOOKUP($B16,Tabla1[SERVICIO],Tabla1[VALOR]*N16),0))</f>
        <v>82211.022629484622</v>
      </c>
      <c r="P16" s="77">
        <v>4</v>
      </c>
      <c r="Q16" s="56" cm="1">
        <f t="array" ref="Q16">IF(P16="X",(_xlfn.XLOOKUP($B16,Tabla1[SERVICIO],Tabla1[VALOR])*1),IF(P16&gt;=1,_xlfn.XLOOKUP($B16,Tabla1[SERVICIO],Tabla1[VALOR]*P16),0))</f>
        <v>82211.022629484622</v>
      </c>
      <c r="R16" s="77">
        <v>4</v>
      </c>
      <c r="S16" s="56" cm="1">
        <f t="array" ref="S16">IF(R16="X",(_xlfn.XLOOKUP($B16,Tabla1[SERVICIO],Tabla1[VALOR])*1),IF(R16&gt;=1,_xlfn.XLOOKUP($B16,Tabla1[SERVICIO],Tabla1[VALOR]*R16),0))</f>
        <v>82211.022629484622</v>
      </c>
      <c r="T16" s="77">
        <v>4</v>
      </c>
      <c r="U16" s="56" cm="1">
        <f t="array" ref="U16">IF(T16="X",(_xlfn.XLOOKUP($B16,Tabla1[SERVICIO],Tabla1[VALOR])*1),IF(T16&gt;=1,_xlfn.XLOOKUP($B16,Tabla1[SERVICIO],Tabla1[VALOR]*T16),0))</f>
        <v>82211.022629484622</v>
      </c>
      <c r="V16" s="77">
        <v>4</v>
      </c>
      <c r="W16" s="56" cm="1">
        <f t="array" ref="W16">IF(V16="X",(_xlfn.XLOOKUP($B16,Tabla1[SERVICIO],Tabla1[VALOR])*1),IF(V16&gt;=1,_xlfn.XLOOKUP($B16,Tabla1[SERVICIO],Tabla1[VALOR]*V16),0))</f>
        <v>82211.022629484622</v>
      </c>
      <c r="X16" s="77">
        <v>4</v>
      </c>
      <c r="Y16" s="56" cm="1">
        <f t="array" ref="Y16">IF(X16="X",(_xlfn.XLOOKUP($B16,Tabla1[SERVICIO],Tabla1[VALOR])*1),IF(X16&gt;=1,_xlfn.XLOOKUP($B16,Tabla1[SERVICIO],Tabla1[VALOR]*X16),0))</f>
        <v>82211.022629484622</v>
      </c>
      <c r="Z16" s="77">
        <v>4</v>
      </c>
      <c r="AA16" s="56" cm="1">
        <f t="array" ref="AA16">IF(Z16="X",(_xlfn.XLOOKUP($B16,Tabla1[SERVICIO],Tabla1[VALOR])*1),IF(Z16&gt;=1,_xlfn.XLOOKUP($B16,Tabla1[SERVICIO],Tabla1[VALOR]*Z16),0))</f>
        <v>82211.022629484622</v>
      </c>
      <c r="AB16" s="89">
        <f t="shared" si="0"/>
        <v>986532.27155381569</v>
      </c>
      <c r="AC16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48</v>
      </c>
      <c r="AD16" s="37" t="s">
        <v>318</v>
      </c>
      <c r="AE16" s="126">
        <v>1</v>
      </c>
      <c r="AF16" s="121">
        <f>+Tabla4678942[[#This Row],[TOTAL]]*Tabla4678942[[#This Row],[% de las personas que lo usaron]]</f>
        <v>986532.27155381569</v>
      </c>
      <c r="AG16" s="246" t="s">
        <v>355</v>
      </c>
      <c r="AH16" s="246">
        <v>12</v>
      </c>
      <c r="AI16" s="4" t="s">
        <v>6</v>
      </c>
    </row>
    <row r="17" spans="1:34" x14ac:dyDescent="0.25">
      <c r="A17" s="7" t="s">
        <v>27</v>
      </c>
      <c r="B17" s="96" t="s">
        <v>28</v>
      </c>
      <c r="C17" s="96" t="str">
        <f>_xlfn.XLOOKUP(Tabla4678942[[#This Row],[Servicios del Programa:]],Tabla151[CODIGO],Tabla151[VALOR])</f>
        <v>Diagnosticos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43480.816890660324</v>
      </c>
      <c r="F17" s="77"/>
      <c r="G17" s="56" cm="1">
        <f t="array" ref="G17">IF(F17="X",(_xlfn.XLOOKUP($B17,Tabla1[SERVICIO],Tabla1[VALOR])*1),IF(F17&gt;=1,_xlfn.XLOOKUP($B17,Tabla1[SERVICIO],Tabla1[VALOR]*F17),0))</f>
        <v>0</v>
      </c>
      <c r="H17" s="77"/>
      <c r="I17" s="56" cm="1">
        <f t="array" ref="I17">IF(H17="X",(_xlfn.XLOOKUP($B17,Tabla1[SERVICIO],Tabla1[VALOR])*1),IF(H17&gt;=1,_xlfn.XLOOKUP($B17,Tabla1[SERVICIO],Tabla1[VALOR]*H17),0))</f>
        <v>0</v>
      </c>
      <c r="J17" s="77"/>
      <c r="K17" s="56" cm="1">
        <f t="array" ref="K17">IF(J17="X",(_xlfn.XLOOKUP($B17,Tabla1[SERVICIO],Tabla1[VALOR])*1),IF(J17&gt;=1,_xlfn.XLOOKUP($B17,Tabla1[SERVICIO],Tabla1[VALOR]*J17),0))</f>
        <v>0</v>
      </c>
      <c r="L17" s="77"/>
      <c r="M17" s="56" cm="1">
        <f t="array" ref="M17">IF(L17="X",(_xlfn.XLOOKUP($B17,Tabla1[SERVICIO],Tabla1[VALOR])*1),IF(L17&gt;=1,_xlfn.XLOOKUP($B17,Tabla1[SERVICIO],Tabla1[VALOR]*L17),0))</f>
        <v>0</v>
      </c>
      <c r="N17" s="77"/>
      <c r="O17" s="56" cm="1">
        <f t="array" ref="O17">IF(N17="X",(_xlfn.XLOOKUP($B17,Tabla1[SERVICIO],Tabla1[VALOR])*1),IF(N17&gt;=1,_xlfn.XLOOKUP($B17,Tabla1[SERVICIO],Tabla1[VALOR]*N17),0))</f>
        <v>0</v>
      </c>
      <c r="P17" s="77"/>
      <c r="Q17" s="56" cm="1">
        <f t="array" ref="Q17">IF(P17="X",(_xlfn.XLOOKUP($B17,Tabla1[SERVICIO],Tabla1[VALOR])*1),IF(P17&gt;=1,_xlfn.XLOOKUP($B17,Tabla1[SERVICIO],Tabla1[VALOR]*P17),0))</f>
        <v>0</v>
      </c>
      <c r="R17" s="77"/>
      <c r="S17" s="56" cm="1">
        <f t="array" ref="S17">IF(R17="X",(_xlfn.XLOOKUP($B17,Tabla1[SERVICIO],Tabla1[VALOR])*1),IF(R17&gt;=1,_xlfn.XLOOKUP($B17,Tabla1[SERVICIO],Tabla1[VALOR]*R17),0))</f>
        <v>0</v>
      </c>
      <c r="T17" s="77"/>
      <c r="U17" s="56" cm="1">
        <f t="array" ref="U17">IF(T17="X",(_xlfn.XLOOKUP($B17,Tabla1[SERVICIO],Tabla1[VALOR])*1),IF(T17&gt;=1,_xlfn.XLOOKUP($B17,Tabla1[SERVICIO],Tabla1[VALOR]*T17),0))</f>
        <v>0</v>
      </c>
      <c r="V17" s="77"/>
      <c r="W17" s="56" cm="1">
        <f t="array" ref="W17">IF(V17="X",(_xlfn.XLOOKUP($B17,Tabla1[SERVICIO],Tabla1[VALOR])*1),IF(V17&gt;=1,_xlfn.XLOOKUP($B17,Tabla1[SERVICIO],Tabla1[VALOR]*V17),0))</f>
        <v>0</v>
      </c>
      <c r="X17" s="77"/>
      <c r="Y17" s="56" cm="1">
        <f t="array" ref="Y17">IF(X17="X",(_xlfn.XLOOKUP($B17,Tabla1[SERVICIO],Tabla1[VALOR])*1),IF(X17&gt;=1,_xlfn.XLOOKUP($B17,Tabla1[SERVICIO],Tabla1[VALOR]*X17),0))</f>
        <v>0</v>
      </c>
      <c r="Z17" s="77">
        <v>1</v>
      </c>
      <c r="AA17" s="56" cm="1">
        <f t="array" ref="AA17">IF(Z17="X",(_xlfn.XLOOKUP($B17,Tabla1[SERVICIO],Tabla1[VALOR])*1),IF(Z17&gt;=1,_xlfn.XLOOKUP($B17,Tabla1[SERVICIO],Tabla1[VALOR]*Z17),0))</f>
        <v>43480.816890660324</v>
      </c>
      <c r="AB17" s="89">
        <f t="shared" si="0"/>
        <v>86961.633781320648</v>
      </c>
      <c r="AC17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17" s="122" t="s">
        <v>318</v>
      </c>
      <c r="AE17" s="126">
        <v>1</v>
      </c>
      <c r="AF17" s="121">
        <f>+Tabla4678942[[#This Row],[TOTAL]]*Tabla4678942[[#This Row],[% de las personas que lo usaron]]</f>
        <v>86961.633781320648</v>
      </c>
      <c r="AG17" s="246" t="s">
        <v>355</v>
      </c>
      <c r="AH17" s="246">
        <v>12</v>
      </c>
    </row>
    <row r="18" spans="1:34" x14ac:dyDescent="0.25">
      <c r="A18" s="7" t="s">
        <v>25</v>
      </c>
      <c r="B18" s="96" t="s">
        <v>26</v>
      </c>
      <c r="C18" s="96" t="str">
        <f>_xlfn.XLOOKUP(Tabla4678942[[#This Row],[Servicios del Programa:]],Tabla151[CODIGO],Tabla151[VALOR])</f>
        <v>Diagnosticos</v>
      </c>
      <c r="D18" s="14">
        <v>1</v>
      </c>
      <c r="E18" s="56" cm="1">
        <f t="array" ref="E18">IF(D18="X",(_xlfn.XLOOKUP($B18,Tabla1[SERVICIO],Tabla1[VALOR])*1),IF(D18&gt;=1,_xlfn.XLOOKUP($B18,Tabla1[SERVICIO],Tabla1[VALOR]*D18),0))</f>
        <v>19392.627189167735</v>
      </c>
      <c r="F18" s="77"/>
      <c r="G18" s="56" cm="1">
        <f t="array" ref="G18">IF(F18="X",(_xlfn.XLOOKUP($B18,Tabla1[SERVICIO],Tabla1[VALOR])*1),IF(F18&gt;=1,_xlfn.XLOOKUP($B18,Tabla1[SERVICIO],Tabla1[VALOR]*F18),0))</f>
        <v>0</v>
      </c>
      <c r="H18" s="77"/>
      <c r="I18" s="56" cm="1">
        <f t="array" ref="I18">IF(H18="X",(_xlfn.XLOOKUP($B18,Tabla1[SERVICIO],Tabla1[VALOR])*1),IF(H18&gt;=1,_xlfn.XLOOKUP($B18,Tabla1[SERVICIO],Tabla1[VALOR]*H18),0))</f>
        <v>0</v>
      </c>
      <c r="J18" s="77"/>
      <c r="K18" s="56" cm="1">
        <f t="array" ref="K18">IF(J18="X",(_xlfn.XLOOKUP($B18,Tabla1[SERVICIO],Tabla1[VALOR])*1),IF(J18&gt;=1,_xlfn.XLOOKUP($B18,Tabla1[SERVICIO],Tabla1[VALOR]*J18),0))</f>
        <v>0</v>
      </c>
      <c r="L18" s="77"/>
      <c r="M18" s="56" cm="1">
        <f t="array" ref="M18">IF(L18="X",(_xlfn.XLOOKUP($B18,Tabla1[SERVICIO],Tabla1[VALOR])*1),IF(L18&gt;=1,_xlfn.XLOOKUP($B18,Tabla1[SERVICIO],Tabla1[VALOR]*L18),0))</f>
        <v>0</v>
      </c>
      <c r="N18" s="77"/>
      <c r="O18" s="56" cm="1">
        <f t="array" ref="O18">IF(N18="X",(_xlfn.XLOOKUP($B18,Tabla1[SERVICIO],Tabla1[VALOR])*1),IF(N18&gt;=1,_xlfn.XLOOKUP($B18,Tabla1[SERVICIO],Tabla1[VALOR]*N18),0))</f>
        <v>0</v>
      </c>
      <c r="P18" s="77"/>
      <c r="Q18" s="56" cm="1">
        <f t="array" ref="Q18">IF(P18="X",(_xlfn.XLOOKUP($B18,Tabla1[SERVICIO],Tabla1[VALOR])*1),IF(P18&gt;=1,_xlfn.XLOOKUP($B18,Tabla1[SERVICIO],Tabla1[VALOR]*P18),0))</f>
        <v>0</v>
      </c>
      <c r="R18" s="77"/>
      <c r="S18" s="56" cm="1">
        <f t="array" ref="S18">IF(R18="X",(_xlfn.XLOOKUP($B18,Tabla1[SERVICIO],Tabla1[VALOR])*1),IF(R18&gt;=1,_xlfn.XLOOKUP($B18,Tabla1[SERVICIO],Tabla1[VALOR]*R18),0))</f>
        <v>0</v>
      </c>
      <c r="T18" s="77"/>
      <c r="U18" s="56" cm="1">
        <f t="array" ref="U18">IF(T18="X",(_xlfn.XLOOKUP($B18,Tabla1[SERVICIO],Tabla1[VALOR])*1),IF(T18&gt;=1,_xlfn.XLOOKUP($B18,Tabla1[SERVICIO],Tabla1[VALOR]*T18),0))</f>
        <v>0</v>
      </c>
      <c r="V18" s="77"/>
      <c r="W18" s="56" cm="1">
        <f t="array" ref="W18">IF(V18="X",(_xlfn.XLOOKUP($B18,Tabla1[SERVICIO],Tabla1[VALOR])*1),IF(V18&gt;=1,_xlfn.XLOOKUP($B18,Tabla1[SERVICIO],Tabla1[VALOR]*V18),0))</f>
        <v>0</v>
      </c>
      <c r="X18" s="77"/>
      <c r="Y18" s="56" cm="1">
        <f t="array" ref="Y18">IF(X18="X",(_xlfn.XLOOKUP($B18,Tabla1[SERVICIO],Tabla1[VALOR])*1),IF(X18&gt;=1,_xlfn.XLOOKUP($B18,Tabla1[SERVICIO],Tabla1[VALOR]*X18),0))</f>
        <v>0</v>
      </c>
      <c r="Z18" s="77">
        <v>1</v>
      </c>
      <c r="AA18" s="56" cm="1">
        <f t="array" ref="AA18">IF(Z18="X",(_xlfn.XLOOKUP($B18,Tabla1[SERVICIO],Tabla1[VALOR])*1),IF(Z18&gt;=1,_xlfn.XLOOKUP($B18,Tabla1[SERVICIO],Tabla1[VALOR]*Z18),0))</f>
        <v>19392.627189167735</v>
      </c>
      <c r="AB18" s="89">
        <f t="shared" si="0"/>
        <v>38785.25437833547</v>
      </c>
      <c r="AC18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18" s="122" t="s">
        <v>318</v>
      </c>
      <c r="AE18" s="126">
        <v>1</v>
      </c>
      <c r="AF18" s="121">
        <f>+Tabla4678942[[#This Row],[TOTAL]]*Tabla4678942[[#This Row],[% de las personas que lo usaron]]</f>
        <v>38785.25437833547</v>
      </c>
      <c r="AG18" s="246" t="s">
        <v>355</v>
      </c>
      <c r="AH18" s="246">
        <v>12</v>
      </c>
    </row>
    <row r="19" spans="1:34" x14ac:dyDescent="0.25">
      <c r="A19" s="7" t="s">
        <v>1</v>
      </c>
      <c r="B19" s="96" t="s">
        <v>2</v>
      </c>
      <c r="C19" s="96" t="str">
        <f>_xlfn.XLOOKUP(Tabla4678942[[#This Row],[Servicios del Programa:]],Tabla151[CODIGO],Tabla151[VALOR])</f>
        <v>Consultas</v>
      </c>
      <c r="D19" s="14"/>
      <c r="E19" s="56" cm="1">
        <f t="array" ref="E19">IF(D19="X",(_xlfn.XLOOKUP($B19,Tabla1[SERVICIO],Tabla1[VALOR])*1),IF(D19&gt;=1,_xlfn.XLOOKUP($B19,Tabla1[SERVICIO],Tabla1[VALOR]*D19),0))</f>
        <v>0</v>
      </c>
      <c r="F19" s="77"/>
      <c r="G19" s="56" cm="1">
        <f t="array" ref="G19">IF(F19="X",(_xlfn.XLOOKUP($B19,Tabla1[SERVICIO],Tabla1[VALOR])*1),IF(F19&gt;=1,_xlfn.XLOOKUP($B19,Tabla1[SERVICIO],Tabla1[VALOR]*F19),0))</f>
        <v>0</v>
      </c>
      <c r="H19" s="77"/>
      <c r="I19" s="56" cm="1">
        <f t="array" ref="I19">IF(H19="X",(_xlfn.XLOOKUP($B19,Tabla1[SERVICIO],Tabla1[VALOR])*1),IF(H19&gt;=1,_xlfn.XLOOKUP($B19,Tabla1[SERVICIO],Tabla1[VALOR]*H19),0))</f>
        <v>0</v>
      </c>
      <c r="J19" s="77"/>
      <c r="K19" s="56" cm="1">
        <f t="array" ref="K19">IF(J19="X",(_xlfn.XLOOKUP($B19,Tabla1[SERVICIO],Tabla1[VALOR])*1),IF(J19&gt;=1,_xlfn.XLOOKUP($B19,Tabla1[SERVICIO],Tabla1[VALOR]*J19),0))</f>
        <v>0</v>
      </c>
      <c r="L19" s="77"/>
      <c r="M19" s="56" cm="1">
        <f t="array" ref="M19">IF(L19="X",(_xlfn.XLOOKUP($B19,Tabla1[SERVICIO],Tabla1[VALOR])*1),IF(L19&gt;=1,_xlfn.XLOOKUP($B19,Tabla1[SERVICIO],Tabla1[VALOR]*L19),0))</f>
        <v>0</v>
      </c>
      <c r="N19" s="77"/>
      <c r="O19" s="56" cm="1">
        <f t="array" ref="O19">IF(N19="X",(_xlfn.XLOOKUP($B19,Tabla1[SERVICIO],Tabla1[VALOR])*1),IF(N19&gt;=1,_xlfn.XLOOKUP($B19,Tabla1[SERVICIO],Tabla1[VALOR]*N19),0))</f>
        <v>0</v>
      </c>
      <c r="P19" s="77"/>
      <c r="Q19" s="56" cm="1">
        <f t="array" ref="Q19">IF(P19="X",(_xlfn.XLOOKUP($B19,Tabla1[SERVICIO],Tabla1[VALOR])*1),IF(P19&gt;=1,_xlfn.XLOOKUP($B19,Tabla1[SERVICIO],Tabla1[VALOR]*P19),0))</f>
        <v>0</v>
      </c>
      <c r="R19" s="77"/>
      <c r="S19" s="56" cm="1">
        <f t="array" ref="S19">IF(R19="X",(_xlfn.XLOOKUP($B19,Tabla1[SERVICIO],Tabla1[VALOR])*1),IF(R19&gt;=1,_xlfn.XLOOKUP($B19,Tabla1[SERVICIO],Tabla1[VALOR]*R19),0))</f>
        <v>0</v>
      </c>
      <c r="T19" s="77"/>
      <c r="U19" s="56" cm="1">
        <f t="array" ref="U19">IF(T19="X",(_xlfn.XLOOKUP($B19,Tabla1[SERVICIO],Tabla1[VALOR])*1),IF(T19&gt;=1,_xlfn.XLOOKUP($B19,Tabla1[SERVICIO],Tabla1[VALOR]*T19),0))</f>
        <v>0</v>
      </c>
      <c r="V19" s="77"/>
      <c r="W19" s="56" cm="1">
        <f t="array" ref="W19">IF(V19="X",(_xlfn.XLOOKUP($B19,Tabla1[SERVICIO],Tabla1[VALOR])*1),IF(V19&gt;=1,_xlfn.XLOOKUP($B19,Tabla1[SERVICIO],Tabla1[VALOR]*V19),0))</f>
        <v>0</v>
      </c>
      <c r="X19" s="77"/>
      <c r="Y19" s="56" cm="1">
        <f t="array" ref="Y19">IF(X19="X",(_xlfn.XLOOKUP($B19,Tabla1[SERVICIO],Tabla1[VALOR])*1),IF(X19&gt;=1,_xlfn.XLOOKUP($B19,Tabla1[SERVICIO],Tabla1[VALOR]*X19),0))</f>
        <v>0</v>
      </c>
      <c r="Z19" s="77">
        <v>1</v>
      </c>
      <c r="AA19" s="56" cm="1">
        <f t="array" ref="AA19">IF(Z19="X",(_xlfn.XLOOKUP($B19,Tabla1[SERVICIO],Tabla1[VALOR])*1),IF(Z19&gt;=1,_xlfn.XLOOKUP($B19,Tabla1[SERVICIO],Tabla1[VALOR]*Z19),0))</f>
        <v>21014.39667403782</v>
      </c>
      <c r="AB19" s="89">
        <f t="shared" si="0"/>
        <v>21014.39667403782</v>
      </c>
      <c r="AC19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9" s="122" t="s">
        <v>318</v>
      </c>
      <c r="AE19" s="126">
        <v>1</v>
      </c>
      <c r="AF19" s="121">
        <f>+Tabla4678942[[#This Row],[TOTAL]]*Tabla4678942[[#This Row],[% de las personas que lo usaron]]</f>
        <v>21014.39667403782</v>
      </c>
      <c r="AG19" s="246" t="s">
        <v>355</v>
      </c>
      <c r="AH19" s="246">
        <v>12</v>
      </c>
    </row>
    <row r="20" spans="1:34" x14ac:dyDescent="0.25">
      <c r="A20" s="7" t="s">
        <v>113</v>
      </c>
      <c r="B20" s="98" t="s">
        <v>116</v>
      </c>
      <c r="C20" s="96" t="str">
        <f>_xlfn.XLOOKUP(Tabla4678942[[#This Row],[Servicios del Programa:]],Tabla151[CODIGO],Tabla151[VALOR])</f>
        <v>Consultas</v>
      </c>
      <c r="D20" s="14">
        <v>1</v>
      </c>
      <c r="E20" s="56" cm="1">
        <f t="array" ref="E20">IF(D20="X",(_xlfn.XLOOKUP($B20,Tabla1[SERVICIO],Tabla1[VALOR])*1),IF(D20&gt;=1,_xlfn.XLOOKUP($B20,Tabla1[SERVICIO],Tabla1[VALOR]*D20),0))</f>
        <v>60236.092716419647</v>
      </c>
      <c r="F20" s="77"/>
      <c r="G20" s="56" cm="1">
        <f t="array" ref="G20">IF(F20="X",(_xlfn.XLOOKUP($B20,Tabla1[SERVICIO],Tabla1[VALOR])*1),IF(F20&gt;=1,_xlfn.XLOOKUP($B20,Tabla1[SERVICIO],Tabla1[VALOR]*F20),0))</f>
        <v>0</v>
      </c>
      <c r="H20" s="77"/>
      <c r="I20" s="56" cm="1">
        <f t="array" ref="I20">IF(H20="X",(_xlfn.XLOOKUP($B20,Tabla1[SERVICIO],Tabla1[VALOR])*1),IF(H20&gt;=1,_xlfn.XLOOKUP($B20,Tabla1[SERVICIO],Tabla1[VALOR]*H20),0))</f>
        <v>0</v>
      </c>
      <c r="J20" s="77"/>
      <c r="K20" s="56" cm="1">
        <f t="array" ref="K20">IF(J20="X",(_xlfn.XLOOKUP($B20,Tabla1[SERVICIO],Tabla1[VALOR])*1),IF(J20&gt;=1,_xlfn.XLOOKUP($B20,Tabla1[SERVICIO],Tabla1[VALOR]*J20),0))</f>
        <v>0</v>
      </c>
      <c r="L20" s="77"/>
      <c r="M20" s="56" cm="1">
        <f t="array" ref="M20">IF(L20="X",(_xlfn.XLOOKUP($B20,Tabla1[SERVICIO],Tabla1[VALOR])*1),IF(L20&gt;=1,_xlfn.XLOOKUP($B20,Tabla1[SERVICIO],Tabla1[VALOR]*L20),0))</f>
        <v>0</v>
      </c>
      <c r="N20" s="77"/>
      <c r="O20" s="56" cm="1">
        <f t="array" ref="O20">IF(N20="X",(_xlfn.XLOOKUP($B20,Tabla1[SERVICIO],Tabla1[VALOR])*1),IF(N20&gt;=1,_xlfn.XLOOKUP($B20,Tabla1[SERVICIO],Tabla1[VALOR]*N20),0))</f>
        <v>0</v>
      </c>
      <c r="P20" s="77"/>
      <c r="Q20" s="56" cm="1">
        <f t="array" ref="Q20">IF(P20="X",(_xlfn.XLOOKUP($B20,Tabla1[SERVICIO],Tabla1[VALOR])*1),IF(P20&gt;=1,_xlfn.XLOOKUP($B20,Tabla1[SERVICIO],Tabla1[VALOR]*P20),0))</f>
        <v>0</v>
      </c>
      <c r="R20" s="77"/>
      <c r="S20" s="56" cm="1">
        <f t="array" ref="S20">IF(R20="X",(_xlfn.XLOOKUP($B20,Tabla1[SERVICIO],Tabla1[VALOR])*1),IF(R20&gt;=1,_xlfn.XLOOKUP($B20,Tabla1[SERVICIO],Tabla1[VALOR]*R20),0))</f>
        <v>0</v>
      </c>
      <c r="T20" s="77"/>
      <c r="U20" s="56" cm="1">
        <f t="array" ref="U20">IF(T20="X",(_xlfn.XLOOKUP($B20,Tabla1[SERVICIO],Tabla1[VALOR])*1),IF(T20&gt;=1,_xlfn.XLOOKUP($B20,Tabla1[SERVICIO],Tabla1[VALOR]*T20),0))</f>
        <v>0</v>
      </c>
      <c r="V20" s="77"/>
      <c r="W20" s="56" cm="1">
        <f t="array" ref="W20">IF(V20="X",(_xlfn.XLOOKUP($B20,Tabla1[SERVICIO],Tabla1[VALOR])*1),IF(V20&gt;=1,_xlfn.XLOOKUP($B20,Tabla1[SERVICIO],Tabla1[VALOR]*V20),0))</f>
        <v>0</v>
      </c>
      <c r="X20" s="77"/>
      <c r="Y20" s="56" cm="1">
        <f t="array" ref="Y20">IF(X20="X",(_xlfn.XLOOKUP($B20,Tabla1[SERVICIO],Tabla1[VALOR])*1),IF(X20&gt;=1,_xlfn.XLOOKUP($B20,Tabla1[SERVICIO],Tabla1[VALOR]*X20),0))</f>
        <v>0</v>
      </c>
      <c r="Z20" s="77"/>
      <c r="AA20" s="56" cm="1">
        <f t="array" ref="AA20">IF(Z20="X",(_xlfn.XLOOKUP($B20,Tabla1[SERVICIO],Tabla1[VALOR])*1),IF(Z20&gt;=1,_xlfn.XLOOKUP($B20,Tabla1[SERVICIO],Tabla1[VALOR]*Z20),0))</f>
        <v>0</v>
      </c>
      <c r="AB20" s="89">
        <f t="shared" si="0"/>
        <v>60236.092716419647</v>
      </c>
      <c r="AC20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0" s="37" t="s">
        <v>319</v>
      </c>
      <c r="AE20" s="126">
        <v>3.5714285714285712E-2</v>
      </c>
      <c r="AF20" s="121">
        <f>+Tabla4678942[[#This Row],[TOTAL]]*Tabla4678942[[#This Row],[% de las personas que lo usaron]]</f>
        <v>2151.2890255864158</v>
      </c>
      <c r="AG20" s="246" t="s">
        <v>355</v>
      </c>
      <c r="AH20" s="246">
        <v>12</v>
      </c>
    </row>
    <row r="21" spans="1:34" x14ac:dyDescent="0.25">
      <c r="A21" s="7" t="s">
        <v>114</v>
      </c>
      <c r="B21" s="96" t="s">
        <v>117</v>
      </c>
      <c r="C21" s="96" t="str">
        <f>_xlfn.XLOOKUP(Tabla4678942[[#This Row],[Servicios del Programa:]],Tabla151[CODIGO],Tabla151[VALOR])</f>
        <v>Consultas</v>
      </c>
      <c r="D21" s="14"/>
      <c r="E21" s="56" cm="1">
        <f t="array" ref="E21">IF(D21="X",(_xlfn.XLOOKUP($B21,Tabla1[SERVICIO],Tabla1[VALOR])*1),IF(D21&gt;=1,_xlfn.XLOOKUP($B21,Tabla1[SERVICIO],Tabla1[VALOR]*D21),0))</f>
        <v>0</v>
      </c>
      <c r="F21" s="77"/>
      <c r="G21" s="56" cm="1">
        <f t="array" ref="G21">IF(F21="X",(_xlfn.XLOOKUP($B21,Tabla1[SERVICIO],Tabla1[VALOR])*1),IF(F21&gt;=1,_xlfn.XLOOKUP($B21,Tabla1[SERVICIO],Tabla1[VALOR]*F21),0))</f>
        <v>0</v>
      </c>
      <c r="H21" s="77"/>
      <c r="I21" s="56" cm="1">
        <f t="array" ref="I21">IF(H21="X",(_xlfn.XLOOKUP($B21,Tabla1[SERVICIO],Tabla1[VALOR])*1),IF(H21&gt;=1,_xlfn.XLOOKUP($B21,Tabla1[SERVICIO],Tabla1[VALOR]*H21),0))</f>
        <v>0</v>
      </c>
      <c r="J21" s="77"/>
      <c r="K21" s="56" cm="1">
        <f t="array" ref="K21">IF(J21="X",(_xlfn.XLOOKUP($B21,Tabla1[SERVICIO],Tabla1[VALOR])*1),IF(J21&gt;=1,_xlfn.XLOOKUP($B21,Tabla1[SERVICIO],Tabla1[VALOR]*J21),0))</f>
        <v>0</v>
      </c>
      <c r="L21" s="77"/>
      <c r="M21" s="56" cm="1">
        <f t="array" ref="M21">IF(L21="X",(_xlfn.XLOOKUP($B21,Tabla1[SERVICIO],Tabla1[VALOR])*1),IF(L21&gt;=1,_xlfn.XLOOKUP($B21,Tabla1[SERVICIO],Tabla1[VALOR]*L21),0))</f>
        <v>0</v>
      </c>
      <c r="N21" s="77"/>
      <c r="O21" s="56" cm="1">
        <f t="array" ref="O21">IF(N21="X",(_xlfn.XLOOKUP($B21,Tabla1[SERVICIO],Tabla1[VALOR])*1),IF(N21&gt;=1,_xlfn.XLOOKUP($B21,Tabla1[SERVICIO],Tabla1[VALOR]*N21),0))</f>
        <v>0</v>
      </c>
      <c r="P21" s="77"/>
      <c r="Q21" s="56" cm="1">
        <f t="array" ref="Q21">IF(P21="X",(_xlfn.XLOOKUP($B21,Tabla1[SERVICIO],Tabla1[VALOR])*1),IF(P21&gt;=1,_xlfn.XLOOKUP($B21,Tabla1[SERVICIO],Tabla1[VALOR]*P21),0))</f>
        <v>0</v>
      </c>
      <c r="R21" s="77"/>
      <c r="S21" s="56" cm="1">
        <f t="array" ref="S21">IF(R21="X",(_xlfn.XLOOKUP($B21,Tabla1[SERVICIO],Tabla1[VALOR])*1),IF(R21&gt;=1,_xlfn.XLOOKUP($B21,Tabla1[SERVICIO],Tabla1[VALOR]*R21),0))</f>
        <v>0</v>
      </c>
      <c r="T21" s="77"/>
      <c r="U21" s="56" cm="1">
        <f t="array" ref="U21">IF(T21="X",(_xlfn.XLOOKUP($B21,Tabla1[SERVICIO],Tabla1[VALOR])*1),IF(T21&gt;=1,_xlfn.XLOOKUP($B21,Tabla1[SERVICIO],Tabla1[VALOR]*T21),0))</f>
        <v>0</v>
      </c>
      <c r="V21" s="77"/>
      <c r="W21" s="56" cm="1">
        <f t="array" ref="W21">IF(V21="X",(_xlfn.XLOOKUP($B21,Tabla1[SERVICIO],Tabla1[VALOR])*1),IF(V21&gt;=1,_xlfn.XLOOKUP($B21,Tabla1[SERVICIO],Tabla1[VALOR]*V21),0))</f>
        <v>0</v>
      </c>
      <c r="X21" s="77"/>
      <c r="Y21" s="56" cm="1">
        <f t="array" ref="Y21">IF(X21="X",(_xlfn.XLOOKUP($B21,Tabla1[SERVICIO],Tabla1[VALOR])*1),IF(X21&gt;=1,_xlfn.XLOOKUP($B21,Tabla1[SERVICIO],Tabla1[VALOR]*X21),0))</f>
        <v>0</v>
      </c>
      <c r="Z21" s="77"/>
      <c r="AA21" s="56" cm="1">
        <f t="array" ref="AA21">IF(Z21="X",(_xlfn.XLOOKUP($B21,Tabla1[SERVICIO],Tabla1[VALOR])*1),IF(Z21&gt;=1,_xlfn.XLOOKUP($B21,Tabla1[SERVICIO],Tabla1[VALOR]*Z21),0))</f>
        <v>0</v>
      </c>
      <c r="AB21" s="89">
        <f t="shared" si="0"/>
        <v>0</v>
      </c>
      <c r="AC21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0</v>
      </c>
      <c r="AD21" s="37" t="s">
        <v>319</v>
      </c>
      <c r="AE21" s="126">
        <v>0</v>
      </c>
      <c r="AF21" s="121">
        <f>+Tabla4678942[[#This Row],[TOTAL]]*Tabla4678942[[#This Row],[% de las personas que lo usaron]]</f>
        <v>0</v>
      </c>
      <c r="AG21" s="246" t="s">
        <v>355</v>
      </c>
      <c r="AH21" s="246">
        <v>12</v>
      </c>
    </row>
    <row r="22" spans="1:34" x14ac:dyDescent="0.25">
      <c r="A22" s="7" t="s">
        <v>115</v>
      </c>
      <c r="B22" s="96" t="s">
        <v>118</v>
      </c>
      <c r="C22" s="96" t="str">
        <f>_xlfn.XLOOKUP(Tabla4678942[[#This Row],[Servicios del Programa:]],Tabla151[CODIGO],Tabla151[VALOR])</f>
        <v>Consultas</v>
      </c>
      <c r="D22" s="14"/>
      <c r="E22" s="56" cm="1">
        <f t="array" ref="E22">IF(D22="X",(_xlfn.XLOOKUP($B22,Tabla1[SERVICIO],Tabla1[VALOR])*1),IF(D22&gt;=1,_xlfn.XLOOKUP($B22,Tabla1[SERVICIO],Tabla1[VALOR]*D22),0))</f>
        <v>0</v>
      </c>
      <c r="F22" s="77"/>
      <c r="G22" s="56" cm="1">
        <f t="array" ref="G22">IF(F22="X",(_xlfn.XLOOKUP($B22,Tabla1[SERVICIO],Tabla1[VALOR])*1),IF(F22&gt;=1,_xlfn.XLOOKUP($B22,Tabla1[SERVICIO],Tabla1[VALOR]*F22),0))</f>
        <v>0</v>
      </c>
      <c r="H22" s="77"/>
      <c r="I22" s="56" cm="1">
        <f t="array" ref="I22">IF(H22="X",(_xlfn.XLOOKUP($B22,Tabla1[SERVICIO],Tabla1[VALOR])*1),IF(H22&gt;=1,_xlfn.XLOOKUP($B22,Tabla1[SERVICIO],Tabla1[VALOR]*H22),0))</f>
        <v>0</v>
      </c>
      <c r="J22" s="77"/>
      <c r="K22" s="56" cm="1">
        <f t="array" ref="K22">IF(J22="X",(_xlfn.XLOOKUP($B22,Tabla1[SERVICIO],Tabla1[VALOR])*1),IF(J22&gt;=1,_xlfn.XLOOKUP($B22,Tabla1[SERVICIO],Tabla1[VALOR]*J22),0))</f>
        <v>0</v>
      </c>
      <c r="L22" s="77"/>
      <c r="M22" s="56" cm="1">
        <f t="array" ref="M22">IF(L22="X",(_xlfn.XLOOKUP($B22,Tabla1[SERVICIO],Tabla1[VALOR])*1),IF(L22&gt;=1,_xlfn.XLOOKUP($B22,Tabla1[SERVICIO],Tabla1[VALOR]*L22),0))</f>
        <v>0</v>
      </c>
      <c r="N22" s="77"/>
      <c r="O22" s="56" cm="1">
        <f t="array" ref="O22">IF(N22="X",(_xlfn.XLOOKUP($B22,Tabla1[SERVICIO],Tabla1[VALOR])*1),IF(N22&gt;=1,_xlfn.XLOOKUP($B22,Tabla1[SERVICIO],Tabla1[VALOR]*N22),0))</f>
        <v>0</v>
      </c>
      <c r="P22" s="77"/>
      <c r="Q22" s="56" cm="1">
        <f t="array" ref="Q22">IF(P22="X",(_xlfn.XLOOKUP($B22,Tabla1[SERVICIO],Tabla1[VALOR])*1),IF(P22&gt;=1,_xlfn.XLOOKUP($B22,Tabla1[SERVICIO],Tabla1[VALOR]*P22),0))</f>
        <v>0</v>
      </c>
      <c r="R22" s="77"/>
      <c r="S22" s="56" cm="1">
        <f t="array" ref="S22">IF(R22="X",(_xlfn.XLOOKUP($B22,Tabla1[SERVICIO],Tabla1[VALOR])*1),IF(R22&gt;=1,_xlfn.XLOOKUP($B22,Tabla1[SERVICIO],Tabla1[VALOR]*R22),0))</f>
        <v>0</v>
      </c>
      <c r="T22" s="77"/>
      <c r="U22" s="56" cm="1">
        <f t="array" ref="U22">IF(T22="X",(_xlfn.XLOOKUP($B22,Tabla1[SERVICIO],Tabla1[VALOR])*1),IF(T22&gt;=1,_xlfn.XLOOKUP($B22,Tabla1[SERVICIO],Tabla1[VALOR]*T22),0))</f>
        <v>0</v>
      </c>
      <c r="V22" s="77"/>
      <c r="W22" s="56" cm="1">
        <f t="array" ref="W22">IF(V22="X",(_xlfn.XLOOKUP($B22,Tabla1[SERVICIO],Tabla1[VALOR])*1),IF(V22&gt;=1,_xlfn.XLOOKUP($B22,Tabla1[SERVICIO],Tabla1[VALOR]*V22),0))</f>
        <v>0</v>
      </c>
      <c r="X22" s="77"/>
      <c r="Y22" s="56" cm="1">
        <f t="array" ref="Y22">IF(X22="X",(_xlfn.XLOOKUP($B22,Tabla1[SERVICIO],Tabla1[VALOR])*1),IF(X22&gt;=1,_xlfn.XLOOKUP($B22,Tabla1[SERVICIO],Tabla1[VALOR]*X22),0))</f>
        <v>0</v>
      </c>
      <c r="Z22" s="77">
        <v>1</v>
      </c>
      <c r="AA22" s="56" cm="1">
        <f t="array" ref="AA22">IF(Z22="X",(_xlfn.XLOOKUP($B22,Tabla1[SERVICIO],Tabla1[VALOR])*1),IF(Z22&gt;=1,_xlfn.XLOOKUP($B22,Tabla1[SERVICIO],Tabla1[VALOR]*Z22),0))</f>
        <v>62748.232282880919</v>
      </c>
      <c r="AB22" s="89">
        <f t="shared" si="0"/>
        <v>62748.232282880919</v>
      </c>
      <c r="AC22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2" s="37" t="s">
        <v>319</v>
      </c>
      <c r="AE22" s="126">
        <v>0</v>
      </c>
      <c r="AF22" s="121">
        <f>+Tabla4678942[[#This Row],[TOTAL]]*Tabla4678942[[#This Row],[% de las personas que lo usaron]]</f>
        <v>0</v>
      </c>
      <c r="AG22" s="246" t="s">
        <v>355</v>
      </c>
      <c r="AH22" s="246">
        <v>12</v>
      </c>
    </row>
    <row r="23" spans="1:34" x14ac:dyDescent="0.25">
      <c r="A23" s="7" t="s">
        <v>52</v>
      </c>
      <c r="B23" s="96" t="s">
        <v>191</v>
      </c>
      <c r="C23" s="96" t="str">
        <f>_xlfn.XLOOKUP(Tabla4678942[[#This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26897.079640267821</v>
      </c>
      <c r="F23" s="77"/>
      <c r="G23" s="56" cm="1">
        <f t="array" ref="G23">IF(F23="X",(_xlfn.XLOOKUP($B23,Tabla1[SERVICIO],Tabla1[VALOR])*1),IF(F23&gt;=1,_xlfn.XLOOKUP($B23,Tabla1[SERVICIO],Tabla1[VALOR]*F23),0))</f>
        <v>0</v>
      </c>
      <c r="H23" s="77"/>
      <c r="I23" s="56" cm="1">
        <f t="array" ref="I23">IF(H23="X",(_xlfn.XLOOKUP($B23,Tabla1[SERVICIO],Tabla1[VALOR])*1),IF(H23&gt;=1,_xlfn.XLOOKUP($B23,Tabla1[SERVICIO],Tabla1[VALOR]*H23),0))</f>
        <v>0</v>
      </c>
      <c r="J23" s="77"/>
      <c r="K23" s="56" cm="1">
        <f t="array" ref="K23">IF(J23="X",(_xlfn.XLOOKUP($B23,Tabla1[SERVICIO],Tabla1[VALOR])*1),IF(J23&gt;=1,_xlfn.XLOOKUP($B23,Tabla1[SERVICIO],Tabla1[VALOR]*J23),0))</f>
        <v>0</v>
      </c>
      <c r="L23" s="77"/>
      <c r="M23" s="56" cm="1">
        <f t="array" ref="M23">IF(L23="X",(_xlfn.XLOOKUP($B23,Tabla1[SERVICIO],Tabla1[VALOR])*1),IF(L23&gt;=1,_xlfn.XLOOKUP($B23,Tabla1[SERVICIO],Tabla1[VALOR]*L23),0))</f>
        <v>0</v>
      </c>
      <c r="N23" s="77"/>
      <c r="O23" s="56" cm="1">
        <f t="array" ref="O23">IF(N23="X",(_xlfn.XLOOKUP($B23,Tabla1[SERVICIO],Tabla1[VALOR])*1),IF(N23&gt;=1,_xlfn.XLOOKUP($B23,Tabla1[SERVICIO],Tabla1[VALOR]*N23),0))</f>
        <v>0</v>
      </c>
      <c r="P23" s="77"/>
      <c r="Q23" s="56" cm="1">
        <f t="array" ref="Q23">IF(P23="X",(_xlfn.XLOOKUP($B23,Tabla1[SERVICIO],Tabla1[VALOR])*1),IF(P23&gt;=1,_xlfn.XLOOKUP($B23,Tabla1[SERVICIO],Tabla1[VALOR]*P23),0))</f>
        <v>0</v>
      </c>
      <c r="R23" s="77"/>
      <c r="S23" s="56" cm="1">
        <f t="array" ref="S23">IF(R23="X",(_xlfn.XLOOKUP($B23,Tabla1[SERVICIO],Tabla1[VALOR])*1),IF(R23&gt;=1,_xlfn.XLOOKUP($B23,Tabla1[SERVICIO],Tabla1[VALOR]*R23),0))</f>
        <v>0</v>
      </c>
      <c r="T23" s="77"/>
      <c r="U23" s="56" cm="1">
        <f t="array" ref="U23">IF(T23="X",(_xlfn.XLOOKUP($B23,Tabla1[SERVICIO],Tabla1[VALOR])*1),IF(T23&gt;=1,_xlfn.XLOOKUP($B23,Tabla1[SERVICIO],Tabla1[VALOR]*T23),0))</f>
        <v>0</v>
      </c>
      <c r="V23" s="77"/>
      <c r="W23" s="56" cm="1">
        <f t="array" ref="W23">IF(V23="X",(_xlfn.XLOOKUP($B23,Tabla1[SERVICIO],Tabla1[VALOR])*1),IF(V23&gt;=1,_xlfn.XLOOKUP($B23,Tabla1[SERVICIO],Tabla1[VALOR]*V23),0))</f>
        <v>0</v>
      </c>
      <c r="X23" s="77"/>
      <c r="Y23" s="56" cm="1">
        <f t="array" ref="Y23">IF(X23="X",(_xlfn.XLOOKUP($B23,Tabla1[SERVICIO],Tabla1[VALOR])*1),IF(X23&gt;=1,_xlfn.XLOOKUP($B23,Tabla1[SERVICIO],Tabla1[VALOR]*X23),0))</f>
        <v>0</v>
      </c>
      <c r="Z23" s="77"/>
      <c r="AA23" s="56" cm="1">
        <f t="array" ref="AA23">IF(Z23="X",(_xlfn.XLOOKUP($B23,Tabla1[SERVICIO],Tabla1[VALOR])*1),IF(Z23&gt;=1,_xlfn.XLOOKUP($B23,Tabla1[SERVICIO],Tabla1[VALOR]*Z23),0))</f>
        <v>0</v>
      </c>
      <c r="AB23" s="89">
        <f t="shared" si="0"/>
        <v>26897.079640267821</v>
      </c>
      <c r="AC23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3" s="37" t="s">
        <v>319</v>
      </c>
      <c r="AE23" s="126">
        <v>1</v>
      </c>
      <c r="AF23" s="121">
        <f>+Tabla4678942[[#This Row],[TOTAL]]*Tabla4678942[[#This Row],[% de las personas que lo usaron]]</f>
        <v>26897.079640267821</v>
      </c>
      <c r="AG23" s="246" t="s">
        <v>355</v>
      </c>
      <c r="AH23" s="246">
        <v>12</v>
      </c>
    </row>
    <row r="24" spans="1:34" x14ac:dyDescent="0.25">
      <c r="A24" s="7" t="s">
        <v>53</v>
      </c>
      <c r="B24" s="96" t="s">
        <v>230</v>
      </c>
      <c r="C24" s="96" t="str">
        <f>_xlfn.XLOOKUP(Tabla4678942[[#This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26897.079640267817</v>
      </c>
      <c r="F24" s="77"/>
      <c r="G24" s="56" cm="1">
        <f t="array" ref="G24">IF(F24="X",(_xlfn.XLOOKUP($B24,Tabla1[SERVICIO],Tabla1[VALOR])*1),IF(F24&gt;=1,_xlfn.XLOOKUP($B24,Tabla1[SERVICIO],Tabla1[VALOR]*F24),0))</f>
        <v>0</v>
      </c>
      <c r="H24" s="77"/>
      <c r="I24" s="56" cm="1">
        <f t="array" ref="I24">IF(H24="X",(_xlfn.XLOOKUP($B24,Tabla1[SERVICIO],Tabla1[VALOR])*1),IF(H24&gt;=1,_xlfn.XLOOKUP($B24,Tabla1[SERVICIO],Tabla1[VALOR]*H24),0))</f>
        <v>0</v>
      </c>
      <c r="J24" s="77"/>
      <c r="K24" s="56" cm="1">
        <f t="array" ref="K24">IF(J24="X",(_xlfn.XLOOKUP($B24,Tabla1[SERVICIO],Tabla1[VALOR])*1),IF(J24&gt;=1,_xlfn.XLOOKUP($B24,Tabla1[SERVICIO],Tabla1[VALOR]*J24),0))</f>
        <v>0</v>
      </c>
      <c r="L24" s="77"/>
      <c r="M24" s="56" cm="1">
        <f t="array" ref="M24">IF(L24="X",(_xlfn.XLOOKUP($B24,Tabla1[SERVICIO],Tabla1[VALOR])*1),IF(L24&gt;=1,_xlfn.XLOOKUP($B24,Tabla1[SERVICIO],Tabla1[VALOR]*L24),0))</f>
        <v>0</v>
      </c>
      <c r="N24" s="77"/>
      <c r="O24" s="56" cm="1">
        <f t="array" ref="O24">IF(N24="X",(_xlfn.XLOOKUP($B24,Tabla1[SERVICIO],Tabla1[VALOR])*1),IF(N24&gt;=1,_xlfn.XLOOKUP($B24,Tabla1[SERVICIO],Tabla1[VALOR]*N24),0))</f>
        <v>0</v>
      </c>
      <c r="P24" s="77"/>
      <c r="Q24" s="56" cm="1">
        <f t="array" ref="Q24">IF(P24="X",(_xlfn.XLOOKUP($B24,Tabla1[SERVICIO],Tabla1[VALOR])*1),IF(P24&gt;=1,_xlfn.XLOOKUP($B24,Tabla1[SERVICIO],Tabla1[VALOR]*P24),0))</f>
        <v>0</v>
      </c>
      <c r="R24" s="77"/>
      <c r="S24" s="56" cm="1">
        <f t="array" ref="S24">IF(R24="X",(_xlfn.XLOOKUP($B24,Tabla1[SERVICIO],Tabla1[VALOR])*1),IF(R24&gt;=1,_xlfn.XLOOKUP($B24,Tabla1[SERVICIO],Tabla1[VALOR]*R24),0))</f>
        <v>0</v>
      </c>
      <c r="T24" s="77"/>
      <c r="U24" s="56" cm="1">
        <f t="array" ref="U24">IF(T24="X",(_xlfn.XLOOKUP($B24,Tabla1[SERVICIO],Tabla1[VALOR])*1),IF(T24&gt;=1,_xlfn.XLOOKUP($B24,Tabla1[SERVICIO],Tabla1[VALOR]*T24),0))</f>
        <v>0</v>
      </c>
      <c r="V24" s="77"/>
      <c r="W24" s="56" cm="1">
        <f t="array" ref="W24">IF(V24="X",(_xlfn.XLOOKUP($B24,Tabla1[SERVICIO],Tabla1[VALOR])*1),IF(V24&gt;=1,_xlfn.XLOOKUP($B24,Tabla1[SERVICIO],Tabla1[VALOR]*V24),0))</f>
        <v>0</v>
      </c>
      <c r="X24" s="77"/>
      <c r="Y24" s="56" cm="1">
        <f t="array" ref="Y24">IF(X24="X",(_xlfn.XLOOKUP($B24,Tabla1[SERVICIO],Tabla1[VALOR])*1),IF(X24&gt;=1,_xlfn.XLOOKUP($B24,Tabla1[SERVICIO],Tabla1[VALOR]*X24),0))</f>
        <v>0</v>
      </c>
      <c r="Z24" s="77"/>
      <c r="AA24" s="56" cm="1">
        <f t="array" ref="AA24">IF(Z24="X",(_xlfn.XLOOKUP($B24,Tabla1[SERVICIO],Tabla1[VALOR])*1),IF(Z24&gt;=1,_xlfn.XLOOKUP($B24,Tabla1[SERVICIO],Tabla1[VALOR]*Z24),0))</f>
        <v>0</v>
      </c>
      <c r="AB24" s="89">
        <f t="shared" si="0"/>
        <v>26897.079640267817</v>
      </c>
      <c r="AC24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4" s="37" t="s">
        <v>319</v>
      </c>
      <c r="AE24" s="126">
        <v>3.5714285714285712E-2</v>
      </c>
      <c r="AF24" s="121">
        <f>+Tabla4678942[[#This Row],[TOTAL]]*Tabla4678942[[#This Row],[% de las personas que lo usaron]]</f>
        <v>960.60998715242204</v>
      </c>
      <c r="AG24" s="246" t="s">
        <v>355</v>
      </c>
      <c r="AH24" s="246">
        <v>12</v>
      </c>
    </row>
    <row r="25" spans="1:34" x14ac:dyDescent="0.25">
      <c r="A25" s="7" t="s">
        <v>29</v>
      </c>
      <c r="B25" s="96" t="s">
        <v>196</v>
      </c>
      <c r="C25" s="96" t="str">
        <f>_xlfn.XLOOKUP(Tabla4678942[[#This Row],[Servicios del Programa:]],Tabla151[CODIGO],Tabla151[VALOR])</f>
        <v>Terapias</v>
      </c>
      <c r="D25" s="14"/>
      <c r="E25" s="56" cm="1">
        <f t="array" ref="E25">IF(D25="X",(_xlfn.XLOOKUP($B25,Tabla1[SERVICIO],Tabla1[VALOR])*1),IF(D25&gt;=1,_xlfn.XLOOKUP($B25,Tabla1[SERVICIO],Tabla1[VALOR]*D25),0))</f>
        <v>0</v>
      </c>
      <c r="F25" s="77"/>
      <c r="G25" s="56" cm="1">
        <f t="array" ref="G25">IF(F25="X",(_xlfn.XLOOKUP($B25,Tabla1[SERVICIO],Tabla1[VALOR])*1),IF(F25&gt;=1,_xlfn.XLOOKUP($B25,Tabla1[SERVICIO],Tabla1[VALOR]*F25),0))</f>
        <v>0</v>
      </c>
      <c r="H25" s="77"/>
      <c r="I25" s="56" cm="1">
        <f t="array" ref="I25">IF(H25="X",(_xlfn.XLOOKUP($B25,Tabla1[SERVICIO],Tabla1[VALOR])*1),IF(H25&gt;=1,_xlfn.XLOOKUP($B25,Tabla1[SERVICIO],Tabla1[VALOR]*H25),0))</f>
        <v>0</v>
      </c>
      <c r="J25" s="77"/>
      <c r="K25" s="56" cm="1">
        <f t="array" ref="K25">IF(J25="X",(_xlfn.XLOOKUP($B25,Tabla1[SERVICIO],Tabla1[VALOR])*1),IF(J25&gt;=1,_xlfn.XLOOKUP($B25,Tabla1[SERVICIO],Tabla1[VALOR]*J25),0))</f>
        <v>0</v>
      </c>
      <c r="L25" s="77"/>
      <c r="M25" s="56" cm="1">
        <f t="array" ref="M25">IF(L25="X",(_xlfn.XLOOKUP($B25,Tabla1[SERVICIO],Tabla1[VALOR])*1),IF(L25&gt;=1,_xlfn.XLOOKUP($B25,Tabla1[SERVICIO],Tabla1[VALOR]*L25),0))</f>
        <v>0</v>
      </c>
      <c r="N25" s="77"/>
      <c r="O25" s="56" cm="1">
        <f t="array" ref="O25">IF(N25="X",(_xlfn.XLOOKUP($B25,Tabla1[SERVICIO],Tabla1[VALOR])*1),IF(N25&gt;=1,_xlfn.XLOOKUP($B25,Tabla1[SERVICIO],Tabla1[VALOR]*N25),0))</f>
        <v>0</v>
      </c>
      <c r="P25" s="77"/>
      <c r="Q25" s="56" cm="1">
        <f t="array" ref="Q25">IF(P25="X",(_xlfn.XLOOKUP($B25,Tabla1[SERVICIO],Tabla1[VALOR])*1),IF(P25&gt;=1,_xlfn.XLOOKUP($B25,Tabla1[SERVICIO],Tabla1[VALOR]*P25),0))</f>
        <v>0</v>
      </c>
      <c r="R25" s="77"/>
      <c r="S25" s="56" cm="1">
        <f t="array" ref="S25">IF(R25="X",(_xlfn.XLOOKUP($B25,Tabla1[SERVICIO],Tabla1[VALOR])*1),IF(R25&gt;=1,_xlfn.XLOOKUP($B25,Tabla1[SERVICIO],Tabla1[VALOR]*R25),0))</f>
        <v>0</v>
      </c>
      <c r="T25" s="77"/>
      <c r="U25" s="56" cm="1">
        <f t="array" ref="U25">IF(T25="X",(_xlfn.XLOOKUP($B25,Tabla1[SERVICIO],Tabla1[VALOR])*1),IF(T25&gt;=1,_xlfn.XLOOKUP($B25,Tabla1[SERVICIO],Tabla1[VALOR]*T25),0))</f>
        <v>0</v>
      </c>
      <c r="V25" s="77"/>
      <c r="W25" s="56" cm="1">
        <f t="array" ref="W25">IF(V25="X",(_xlfn.XLOOKUP($B25,Tabla1[SERVICIO],Tabla1[VALOR])*1),IF(V25&gt;=1,_xlfn.XLOOKUP($B25,Tabla1[SERVICIO],Tabla1[VALOR]*V25),0))</f>
        <v>0</v>
      </c>
      <c r="X25" s="77"/>
      <c r="Y25" s="56" cm="1">
        <f t="array" ref="Y25">IF(X25="X",(_xlfn.XLOOKUP($B25,Tabla1[SERVICIO],Tabla1[VALOR])*1),IF(X25&gt;=1,_xlfn.XLOOKUP($B25,Tabla1[SERVICIO],Tabla1[VALOR]*X25),0))</f>
        <v>0</v>
      </c>
      <c r="Z25" s="77">
        <v>1</v>
      </c>
      <c r="AA25" s="56" cm="1">
        <f t="array" ref="AA25">IF(Z25="X",(_xlfn.XLOOKUP($B25,Tabla1[SERVICIO],Tabla1[VALOR])*1),IF(Z25&gt;=1,_xlfn.XLOOKUP($B25,Tabla1[SERVICIO],Tabla1[VALOR]*Z25),0))</f>
        <v>31881.451880098426</v>
      </c>
      <c r="AB25" s="89">
        <f t="shared" si="0"/>
        <v>31881.451880098426</v>
      </c>
      <c r="AC25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5" s="122" t="s">
        <v>318</v>
      </c>
      <c r="AE25" s="126">
        <v>1</v>
      </c>
      <c r="AF25" s="121">
        <f>+Tabla4678942[[#This Row],[TOTAL]]*Tabla4678942[[#This Row],[% de las personas que lo usaron]]</f>
        <v>31881.451880098426</v>
      </c>
      <c r="AG25" s="246" t="s">
        <v>355</v>
      </c>
      <c r="AH25" s="246">
        <v>12</v>
      </c>
    </row>
    <row r="26" spans="1:34" x14ac:dyDescent="0.25">
      <c r="A26" s="7" t="s">
        <v>38</v>
      </c>
      <c r="B26" s="96" t="s">
        <v>102</v>
      </c>
      <c r="C26" s="96" t="str">
        <f>_xlfn.XLOOKUP(Tabla4678942[[#This Row],[Servicios del Programa:]],Tabla151[CODIGO],Tabla151[VALOR])</f>
        <v>Consultas</v>
      </c>
      <c r="D26" s="14">
        <v>1</v>
      </c>
      <c r="E26" s="56" cm="1">
        <f t="array" ref="E26">IF(D26="X",(_xlfn.XLOOKUP($B26,Tabla1[SERVICIO],Tabla1[VALOR])*1),IF(D26&gt;=1,_xlfn.XLOOKUP($B26,Tabla1[SERVICIO],Tabla1[VALOR]*D26),0))</f>
        <v>56420.692787682223</v>
      </c>
      <c r="F26" s="77"/>
      <c r="G26" s="56" cm="1">
        <f t="array" ref="G26">IF(F26="X",(_xlfn.XLOOKUP($B26,Tabla1[SERVICIO],Tabla1[VALOR])*1),IF(F26&gt;=1,_xlfn.XLOOKUP($B26,Tabla1[SERVICIO],Tabla1[VALOR]*F26),0))</f>
        <v>0</v>
      </c>
      <c r="H26" s="77"/>
      <c r="I26" s="56"/>
      <c r="J26" s="77"/>
      <c r="K26" s="56" cm="1">
        <f t="array" ref="K26">IF(J26="X",(_xlfn.XLOOKUP($B26,Tabla1[SERVICIO],Tabla1[VALOR])*1),IF(J26&gt;=1,_xlfn.XLOOKUP($B26,Tabla1[SERVICIO],Tabla1[VALOR]*J26),0))</f>
        <v>0</v>
      </c>
      <c r="L26" s="77"/>
      <c r="M26" s="56" cm="1">
        <f t="array" ref="M26">IF(L26="X",(_xlfn.XLOOKUP($B26,Tabla1[SERVICIO],Tabla1[VALOR])*1),IF(L26&gt;=1,_xlfn.XLOOKUP($B26,Tabla1[SERVICIO],Tabla1[VALOR]*L26),0))</f>
        <v>0</v>
      </c>
      <c r="N26" s="77"/>
      <c r="O26" s="56" cm="1">
        <f t="array" ref="O26">IF(N26="X",(_xlfn.XLOOKUP($B26,Tabla1[SERVICIO],Tabla1[VALOR])*1),IF(N26&gt;=1,_xlfn.XLOOKUP($B26,Tabla1[SERVICIO],Tabla1[VALOR]*N26),0))</f>
        <v>0</v>
      </c>
      <c r="P26" s="77"/>
      <c r="Q26" s="56" cm="1">
        <f t="array" ref="Q26">IF(P26="X",(_xlfn.XLOOKUP($B26,Tabla1[SERVICIO],Tabla1[VALOR])*1),IF(P26&gt;=1,_xlfn.XLOOKUP($B26,Tabla1[SERVICIO],Tabla1[VALOR]*P26),0))</f>
        <v>0</v>
      </c>
      <c r="R26" s="77"/>
      <c r="S26" s="56" cm="1">
        <f t="array" ref="S26">IF(R26="X",(_xlfn.XLOOKUP($B26,Tabla1[SERVICIO],Tabla1[VALOR])*1),IF(R26&gt;=1,_xlfn.XLOOKUP($B26,Tabla1[SERVICIO],Tabla1[VALOR]*R26),0))</f>
        <v>0</v>
      </c>
      <c r="T26" s="77"/>
      <c r="U26" s="56" cm="1">
        <f t="array" ref="U26">IF(T26="X",(_xlfn.XLOOKUP($B26,Tabla1[SERVICIO],Tabla1[VALOR])*1),IF(T26&gt;=1,_xlfn.XLOOKUP($B26,Tabla1[SERVICIO],Tabla1[VALOR]*T26),0))</f>
        <v>0</v>
      </c>
      <c r="V26" s="77"/>
      <c r="W26" s="56" cm="1">
        <f t="array" ref="W26">IF(V26="X",(_xlfn.XLOOKUP($B26,Tabla1[SERVICIO],Tabla1[VALOR])*1),IF(V26&gt;=1,_xlfn.XLOOKUP($B26,Tabla1[SERVICIO],Tabla1[VALOR]*V26),0))</f>
        <v>0</v>
      </c>
      <c r="X26" s="77"/>
      <c r="Y26" s="56" cm="1">
        <f t="array" ref="Y26">IF(X26="X",(_xlfn.XLOOKUP($B26,Tabla1[SERVICIO],Tabla1[VALOR])*1),IF(X26&gt;=1,_xlfn.XLOOKUP($B26,Tabla1[SERVICIO],Tabla1[VALOR]*X26),0))</f>
        <v>0</v>
      </c>
      <c r="Z26" s="77"/>
      <c r="AA26" s="56" cm="1">
        <f t="array" ref="AA26">IF(Z26="X",(_xlfn.XLOOKUP($B26,Tabla1[SERVICIO],Tabla1[VALOR])*1),IF(Z26&gt;=1,_xlfn.XLOOKUP($B26,Tabla1[SERVICIO],Tabla1[VALOR]*Z26),0))</f>
        <v>0</v>
      </c>
      <c r="AB26" s="89">
        <f t="shared" si="0"/>
        <v>56420.692787682223</v>
      </c>
      <c r="AC26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6" s="37" t="s">
        <v>319</v>
      </c>
      <c r="AE26" s="126">
        <v>0.14285714285714285</v>
      </c>
      <c r="AF26" s="121">
        <f>+Tabla4678942[[#This Row],[TOTAL]]*Tabla4678942[[#This Row],[% de las personas que lo usaron]]</f>
        <v>8060.0989696688885</v>
      </c>
      <c r="AG26" s="246" t="s">
        <v>355</v>
      </c>
      <c r="AH26" s="246">
        <v>12</v>
      </c>
    </row>
    <row r="27" spans="1:34" x14ac:dyDescent="0.25">
      <c r="A27" s="7" t="s">
        <v>84</v>
      </c>
      <c r="B27" s="96" t="s">
        <v>85</v>
      </c>
      <c r="C27" s="96" t="str">
        <f>_xlfn.XLOOKUP(Tabla4678942[[#This Row],[Servicios del Programa:]],Tabla151[CODIGO],Tabla151[VALOR])</f>
        <v>Diagnosticos</v>
      </c>
      <c r="D27" s="14">
        <v>1</v>
      </c>
      <c r="E27" s="56" cm="1">
        <f t="array" ref="E27">IF(D27="X",(_xlfn.XLOOKUP($B27,Tabla1[SERVICIO],Tabla1[VALOR])*1),IF(D27&gt;=1,_xlfn.XLOOKUP($B27,Tabla1[SERVICIO],Tabla1[VALOR]*D27),0))</f>
        <v>68748.387080831264</v>
      </c>
      <c r="F27" s="78"/>
      <c r="G27" s="56" cm="1">
        <f t="array" ref="G27">IF(F27="X",(_xlfn.XLOOKUP($B27,Tabla1[SERVICIO],Tabla1[VALOR])*1),IF(F27&gt;=1,_xlfn.XLOOKUP($B27,Tabla1[SERVICIO],Tabla1[VALOR]*F27),0))</f>
        <v>0</v>
      </c>
      <c r="H27" s="78"/>
      <c r="I27" s="56" cm="1">
        <f t="array" ref="I27">IF(H27="X",(_xlfn.XLOOKUP($B27,Tabla1[SERVICIO],Tabla1[VALOR])*1),IF(H27&gt;=1,_xlfn.XLOOKUP($B27,Tabla1[SERVICIO],Tabla1[VALOR]*H27),0))</f>
        <v>0</v>
      </c>
      <c r="J27" s="78"/>
      <c r="K27" s="56" cm="1">
        <f t="array" ref="K27">IF(J27="X",(_xlfn.XLOOKUP($B27,Tabla1[SERVICIO],Tabla1[VALOR])*1),IF(J27&gt;=1,_xlfn.XLOOKUP($B27,Tabla1[SERVICIO],Tabla1[VALOR]*J27),0))</f>
        <v>0</v>
      </c>
      <c r="L27" s="78"/>
      <c r="M27" s="56" cm="1">
        <f t="array" ref="M27">IF(L27="X",(_xlfn.XLOOKUP($B27,Tabla1[SERVICIO],Tabla1[VALOR])*1),IF(L27&gt;=1,_xlfn.XLOOKUP($B27,Tabla1[SERVICIO],Tabla1[VALOR]*L27),0))</f>
        <v>0</v>
      </c>
      <c r="N27" s="78"/>
      <c r="O27" s="56" cm="1">
        <f t="array" ref="O27">IF(N27="X",(_xlfn.XLOOKUP($B27,Tabla1[SERVICIO],Tabla1[VALOR])*1),IF(N27&gt;=1,_xlfn.XLOOKUP($B27,Tabla1[SERVICIO],Tabla1[VALOR]*N27),0))</f>
        <v>0</v>
      </c>
      <c r="P27" s="78"/>
      <c r="Q27" s="56" cm="1">
        <f t="array" ref="Q27">IF(P27="X",(_xlfn.XLOOKUP($B27,Tabla1[SERVICIO],Tabla1[VALOR])*1),IF(P27&gt;=1,_xlfn.XLOOKUP($B27,Tabla1[SERVICIO],Tabla1[VALOR]*P27),0))</f>
        <v>0</v>
      </c>
      <c r="R27" s="78"/>
      <c r="S27" s="56" cm="1">
        <f t="array" ref="S27">IF(R27="X",(_xlfn.XLOOKUP($B27,Tabla1[SERVICIO],Tabla1[VALOR])*1),IF(R27&gt;=1,_xlfn.XLOOKUP($B27,Tabla1[SERVICIO],Tabla1[VALOR]*R27),0))</f>
        <v>0</v>
      </c>
      <c r="T27" s="78"/>
      <c r="U27" s="56" cm="1">
        <f t="array" ref="U27">IF(T27="X",(_xlfn.XLOOKUP($B27,Tabla1[SERVICIO],Tabla1[VALOR])*1),IF(T27&gt;=1,_xlfn.XLOOKUP($B27,Tabla1[SERVICIO],Tabla1[VALOR]*T27),0))</f>
        <v>0</v>
      </c>
      <c r="V27" s="78"/>
      <c r="W27" s="56" cm="1">
        <f t="array" ref="W27">IF(V27="X",(_xlfn.XLOOKUP($B27,Tabla1[SERVICIO],Tabla1[VALOR])*1),IF(V27&gt;=1,_xlfn.XLOOKUP($B27,Tabla1[SERVICIO],Tabla1[VALOR]*V27),0))</f>
        <v>0</v>
      </c>
      <c r="X27" s="78"/>
      <c r="Y27" s="56" cm="1">
        <f t="array" ref="Y27">IF(X27="X",(_xlfn.XLOOKUP($B27,Tabla1[SERVICIO],Tabla1[VALOR])*1),IF(X27&gt;=1,_xlfn.XLOOKUP($B27,Tabla1[SERVICIO],Tabla1[VALOR]*X27),0))</f>
        <v>0</v>
      </c>
      <c r="Z27" s="78"/>
      <c r="AA27" s="56" cm="1">
        <f t="array" ref="AA27">IF(Z27="X",(_xlfn.XLOOKUP($B27,Tabla1[SERVICIO],Tabla1[VALOR])*1),IF(Z27&gt;=1,_xlfn.XLOOKUP($B27,Tabla1[SERVICIO],Tabla1[VALOR]*Z27),0))</f>
        <v>0</v>
      </c>
      <c r="AB27" s="89">
        <f t="shared" si="0"/>
        <v>68748.387080831264</v>
      </c>
      <c r="AC27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7" s="37" t="s">
        <v>319</v>
      </c>
      <c r="AE27" s="126">
        <v>1.5037593984962405E-2</v>
      </c>
      <c r="AF27" s="121">
        <f>+Tabla4678942[[#This Row],[TOTAL]]*Tabla4678942[[#This Row],[% de las personas que lo usaron]]</f>
        <v>1033.8103320425753</v>
      </c>
      <c r="AG27" s="246" t="s">
        <v>355</v>
      </c>
      <c r="AH27" s="246">
        <v>12</v>
      </c>
    </row>
    <row r="28" spans="1:34" x14ac:dyDescent="0.25">
      <c r="A28" s="7" t="s">
        <v>82</v>
      </c>
      <c r="B28" s="96" t="s">
        <v>83</v>
      </c>
      <c r="C28" s="96" t="str">
        <f>_xlfn.XLOOKUP(Tabla4678942[[#This Row],[Servicios del Programa:]],Tabla151[CODIGO],Tabla151[VALOR])</f>
        <v>Diagnosticos</v>
      </c>
      <c r="D28" s="14">
        <v>1</v>
      </c>
      <c r="E28" s="56" cm="1">
        <f t="array" ref="E28">IF(D28="X",(_xlfn.XLOOKUP($B28,Tabla1[SERVICIO],Tabla1[VALOR])*1),IF(D28&gt;=1,_xlfn.XLOOKUP($B28,Tabla1[SERVICIO],Tabla1[VALOR]*D28),0))</f>
        <v>65169.207262455195</v>
      </c>
      <c r="F28" s="78"/>
      <c r="G28" s="56" cm="1">
        <f t="array" ref="G28">IF(F28="X",(_xlfn.XLOOKUP($B28,Tabla1[SERVICIO],Tabla1[VALOR])*1),IF(F28&gt;=1,_xlfn.XLOOKUP($B28,Tabla1[SERVICIO],Tabla1[VALOR]*F28),0))</f>
        <v>0</v>
      </c>
      <c r="H28" s="78"/>
      <c r="I28" s="56" cm="1">
        <f t="array" ref="I28">IF(H28="X",(_xlfn.XLOOKUP($B28,Tabla1[SERVICIO],Tabla1[VALOR])*1),IF(H28&gt;=1,_xlfn.XLOOKUP($B28,Tabla1[SERVICIO],Tabla1[VALOR]*H28),0))</f>
        <v>0</v>
      </c>
      <c r="J28" s="78"/>
      <c r="K28" s="56" cm="1">
        <f t="array" ref="K28">IF(J28="X",(_xlfn.XLOOKUP($B28,Tabla1[SERVICIO],Tabla1[VALOR])*1),IF(J28&gt;=1,_xlfn.XLOOKUP($B28,Tabla1[SERVICIO],Tabla1[VALOR]*J28),0))</f>
        <v>0</v>
      </c>
      <c r="L28" s="78"/>
      <c r="M28" s="56" cm="1">
        <f t="array" ref="M28">IF(L28="X",(_xlfn.XLOOKUP($B28,Tabla1[SERVICIO],Tabla1[VALOR])*1),IF(L28&gt;=1,_xlfn.XLOOKUP($B28,Tabla1[SERVICIO],Tabla1[VALOR]*L28),0))</f>
        <v>0</v>
      </c>
      <c r="N28" s="78"/>
      <c r="O28" s="56" cm="1">
        <f t="array" ref="O28">IF(N28="X",(_xlfn.XLOOKUP($B28,Tabla1[SERVICIO],Tabla1[VALOR])*1),IF(N28&gt;=1,_xlfn.XLOOKUP($B28,Tabla1[SERVICIO],Tabla1[VALOR]*N28),0))</f>
        <v>0</v>
      </c>
      <c r="P28" s="78"/>
      <c r="Q28" s="56" cm="1">
        <f t="array" ref="Q28">IF(P28="X",(_xlfn.XLOOKUP($B28,Tabla1[SERVICIO],Tabla1[VALOR])*1),IF(P28&gt;=1,_xlfn.XLOOKUP($B28,Tabla1[SERVICIO],Tabla1[VALOR]*P28),0))</f>
        <v>0</v>
      </c>
      <c r="R28" s="78"/>
      <c r="S28" s="56" cm="1">
        <f t="array" ref="S28">IF(R28="X",(_xlfn.XLOOKUP($B28,Tabla1[SERVICIO],Tabla1[VALOR])*1),IF(R28&gt;=1,_xlfn.XLOOKUP($B28,Tabla1[SERVICIO],Tabla1[VALOR]*R28),0))</f>
        <v>0</v>
      </c>
      <c r="T28" s="78"/>
      <c r="U28" s="56" cm="1">
        <f t="array" ref="U28">IF(T28="X",(_xlfn.XLOOKUP($B28,Tabla1[SERVICIO],Tabla1[VALOR])*1),IF(T28&gt;=1,_xlfn.XLOOKUP($B28,Tabla1[SERVICIO],Tabla1[VALOR]*T28),0))</f>
        <v>0</v>
      </c>
      <c r="V28" s="78"/>
      <c r="W28" s="56" cm="1">
        <f t="array" ref="W28">IF(V28="X",(_xlfn.XLOOKUP($B28,Tabla1[SERVICIO],Tabla1[VALOR])*1),IF(V28&gt;=1,_xlfn.XLOOKUP($B28,Tabla1[SERVICIO],Tabla1[VALOR]*V28),0))</f>
        <v>0</v>
      </c>
      <c r="X28" s="78"/>
      <c r="Y28" s="56" cm="1">
        <f t="array" ref="Y28">IF(X28="X",(_xlfn.XLOOKUP($B28,Tabla1[SERVICIO],Tabla1[VALOR])*1),IF(X28&gt;=1,_xlfn.XLOOKUP($B28,Tabla1[SERVICIO],Tabla1[VALOR]*X28),0))</f>
        <v>0</v>
      </c>
      <c r="Z28" s="78"/>
      <c r="AA28" s="56" cm="1">
        <f t="array" ref="AA28">IF(Z28="X",(_xlfn.XLOOKUP($B28,Tabla1[SERVICIO],Tabla1[VALOR])*1),IF(Z28&gt;=1,_xlfn.XLOOKUP($B28,Tabla1[SERVICIO],Tabla1[VALOR]*Z28),0))</f>
        <v>0</v>
      </c>
      <c r="AB28" s="89">
        <f t="shared" si="0"/>
        <v>65169.207262455195</v>
      </c>
      <c r="AC28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8" s="37" t="s">
        <v>319</v>
      </c>
      <c r="AE28" s="126">
        <v>2.0885547201336674E-2</v>
      </c>
      <c r="AF28" s="121">
        <f>+Tabla4678942[[#This Row],[TOTAL]]*Tabla4678942[[#This Row],[% de las personas que lo usaron]]</f>
        <v>1361.0945543537007</v>
      </c>
      <c r="AG28" s="246" t="s">
        <v>355</v>
      </c>
      <c r="AH28" s="246">
        <v>12</v>
      </c>
    </row>
    <row r="29" spans="1:34" x14ac:dyDescent="0.25">
      <c r="A29" s="7" t="s">
        <v>54</v>
      </c>
      <c r="B29" s="96" t="s">
        <v>195</v>
      </c>
      <c r="C29" s="96" t="str">
        <f>_xlfn.XLOOKUP(Tabla4678942[[#This Row],[Servicios del Programa:]],Tabla151[CODIGO],Tabla151[VALOR])</f>
        <v>Gestion y seguimiento</v>
      </c>
      <c r="D29" s="14">
        <v>1</v>
      </c>
      <c r="E29" s="56" cm="1">
        <f t="array" ref="E29">IF(D29="X",(_xlfn.XLOOKUP($B29,Tabla1[SERVICIO],Tabla1[VALOR])*1),IF(D29&gt;=1,_xlfn.XLOOKUP($B29,Tabla1[SERVICIO],Tabla1[VALOR]*D29),0))</f>
        <v>145259.19237771924</v>
      </c>
      <c r="F29" s="78"/>
      <c r="G29" s="56" cm="1">
        <f t="array" ref="G29">IF(F29="X",(_xlfn.XLOOKUP($B29,Tabla1[SERVICIO],Tabla1[VALOR])*1),IF(F29&gt;=1,_xlfn.XLOOKUP($B29,Tabla1[SERVICIO],Tabla1[VALOR]*F29),0))</f>
        <v>0</v>
      </c>
      <c r="H29" s="78"/>
      <c r="I29" s="56" cm="1">
        <f t="array" ref="I29">IF(H29="X",(_xlfn.XLOOKUP($B29,Tabla1[SERVICIO],Tabla1[VALOR])*1),IF(H29&gt;=1,_xlfn.XLOOKUP($B29,Tabla1[SERVICIO],Tabla1[VALOR]*H29),0))</f>
        <v>0</v>
      </c>
      <c r="J29" s="78"/>
      <c r="K29" s="56" cm="1">
        <f t="array" ref="K29">IF(J29="X",(_xlfn.XLOOKUP($B29,Tabla1[SERVICIO],Tabla1[VALOR])*1),IF(J29&gt;=1,_xlfn.XLOOKUP($B29,Tabla1[SERVICIO],Tabla1[VALOR]*J29),0))</f>
        <v>0</v>
      </c>
      <c r="L29" s="78"/>
      <c r="M29" s="56" cm="1">
        <f t="array" ref="M29">IF(L29="X",(_xlfn.XLOOKUP($B29,Tabla1[SERVICIO],Tabla1[VALOR])*1),IF(L29&gt;=1,_xlfn.XLOOKUP($B29,Tabla1[SERVICIO],Tabla1[VALOR]*L29),0))</f>
        <v>0</v>
      </c>
      <c r="N29" s="78"/>
      <c r="O29" s="56" cm="1">
        <f t="array" ref="O29">IF(N29="X",(_xlfn.XLOOKUP($B29,Tabla1[SERVICIO],Tabla1[VALOR])*1),IF(N29&gt;=1,_xlfn.XLOOKUP($B29,Tabla1[SERVICIO],Tabla1[VALOR]*N29),0))</f>
        <v>0</v>
      </c>
      <c r="P29" s="78"/>
      <c r="Q29" s="56" cm="1">
        <f t="array" ref="Q29">IF(P29="X",(_xlfn.XLOOKUP($B29,Tabla1[SERVICIO],Tabla1[VALOR])*1),IF(P29&gt;=1,_xlfn.XLOOKUP($B29,Tabla1[SERVICIO],Tabla1[VALOR]*P29),0))</f>
        <v>0</v>
      </c>
      <c r="R29" s="78"/>
      <c r="S29" s="56" cm="1">
        <f t="array" ref="S29">IF(R29="X",(_xlfn.XLOOKUP($B29,Tabla1[SERVICIO],Tabla1[VALOR])*1),IF(R29&gt;=1,_xlfn.XLOOKUP($B29,Tabla1[SERVICIO],Tabla1[VALOR]*R29),0))</f>
        <v>0</v>
      </c>
      <c r="T29" s="78"/>
      <c r="U29" s="56" cm="1">
        <f t="array" ref="U29">IF(T29="X",(_xlfn.XLOOKUP($B29,Tabla1[SERVICIO],Tabla1[VALOR])*1),IF(T29&gt;=1,_xlfn.XLOOKUP($B29,Tabla1[SERVICIO],Tabla1[VALOR]*T29),0))</f>
        <v>0</v>
      </c>
      <c r="V29" s="78"/>
      <c r="W29" s="56" cm="1">
        <f t="array" ref="W29">IF(V29="X",(_xlfn.XLOOKUP($B29,Tabla1[SERVICIO],Tabla1[VALOR])*1),IF(V29&gt;=1,_xlfn.XLOOKUP($B29,Tabla1[SERVICIO],Tabla1[VALOR]*V29),0))</f>
        <v>0</v>
      </c>
      <c r="X29" s="78"/>
      <c r="Y29" s="56" cm="1">
        <f t="array" ref="Y29">IF(X29="X",(_xlfn.XLOOKUP($B29,Tabla1[SERVICIO],Tabla1[VALOR])*1),IF(X29&gt;=1,_xlfn.XLOOKUP($B29,Tabla1[SERVICIO],Tabla1[VALOR]*X29),0))</f>
        <v>0</v>
      </c>
      <c r="Z29" s="78"/>
      <c r="AA29" s="56" cm="1">
        <f t="array" ref="AA29">IF(Z29="X",(_xlfn.XLOOKUP($B29,Tabla1[SERVICIO],Tabla1[VALOR])*1),IF(Z29&gt;=1,_xlfn.XLOOKUP($B29,Tabla1[SERVICIO],Tabla1[VALOR]*Z29),0))</f>
        <v>0</v>
      </c>
      <c r="AB29" s="89">
        <f t="shared" si="0"/>
        <v>145259.19237771924</v>
      </c>
      <c r="AC29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9" s="37" t="s">
        <v>319</v>
      </c>
      <c r="AE29" s="126">
        <v>3.5714285714285712E-2</v>
      </c>
      <c r="AF29" s="121">
        <f>+Tabla4678942[[#This Row],[TOTAL]]*Tabla4678942[[#This Row],[% de las personas que lo usaron]]</f>
        <v>5187.8282992042587</v>
      </c>
      <c r="AG29" s="246" t="s">
        <v>355</v>
      </c>
      <c r="AH29" s="246">
        <v>12</v>
      </c>
    </row>
    <row r="30" spans="1:34" x14ac:dyDescent="0.25">
      <c r="A30" s="9" t="s">
        <v>30</v>
      </c>
      <c r="B30" s="100" t="s">
        <v>31</v>
      </c>
      <c r="C30" s="96" t="str">
        <f>_xlfn.XLOOKUP(Tabla4678942[[#This Row],[Servicios del Programa:]],Tabla151[CODIGO],Tabla151[VALOR])</f>
        <v>Gestion y seguimiento</v>
      </c>
      <c r="D30" s="10"/>
      <c r="E30" s="56" cm="1">
        <f t="array" ref="E30">IF(D30="X",(_xlfn.XLOOKUP($B30,Tabla1[SERVICIO],Tabla1[VALOR])*1),IF(D30&gt;=1,_xlfn.XLOOKUP($B30,Tabla1[SERVICIO],Tabla1[VALOR]*D30),0))</f>
        <v>0</v>
      </c>
      <c r="F30" s="208"/>
      <c r="G30" s="56" cm="1">
        <f t="array" ref="G30">IF(F30="X",(_xlfn.XLOOKUP($B30,Tabla1[SERVICIO],Tabla1[VALOR])*1),IF(F30&gt;=1,_xlfn.XLOOKUP($B30,Tabla1[SERVICIO],Tabla1[VALOR]*F30),0))</f>
        <v>0</v>
      </c>
      <c r="H30" s="208"/>
      <c r="I30" s="56" cm="1">
        <f t="array" ref="I30">IF(H30="X",(_xlfn.XLOOKUP($B30,Tabla1[SERVICIO],Tabla1[VALOR])*1),IF(H30&gt;=1,_xlfn.XLOOKUP($B30,Tabla1[SERVICIO],Tabla1[VALOR]*H30),0))</f>
        <v>0</v>
      </c>
      <c r="J30" s="208"/>
      <c r="K30" s="56" cm="1">
        <f t="array" ref="K30">IF(J30="X",(_xlfn.XLOOKUP($B30,Tabla1[SERVICIO],Tabla1[VALOR])*1),IF(J30&gt;=1,_xlfn.XLOOKUP($B30,Tabla1[SERVICIO],Tabla1[VALOR]*J30),0))</f>
        <v>0</v>
      </c>
      <c r="L30" s="208"/>
      <c r="M30" s="56" cm="1">
        <f t="array" ref="M30">IF(L30="X",(_xlfn.XLOOKUP($B30,Tabla1[SERVICIO],Tabla1[VALOR])*1),IF(L30&gt;=1,_xlfn.XLOOKUP($B30,Tabla1[SERVICIO],Tabla1[VALOR]*L30),0))</f>
        <v>0</v>
      </c>
      <c r="N30" s="208"/>
      <c r="O30" s="56" cm="1">
        <f t="array" ref="O30">IF(N30="X",(_xlfn.XLOOKUP($B30,Tabla1[SERVICIO],Tabla1[VALOR])*1),IF(N30&gt;=1,_xlfn.XLOOKUP($B30,Tabla1[SERVICIO],Tabla1[VALOR]*N30),0))</f>
        <v>0</v>
      </c>
      <c r="P30" s="208"/>
      <c r="Q30" s="56" cm="1">
        <f t="array" ref="Q30">IF(P30="X",(_xlfn.XLOOKUP($B30,Tabla1[SERVICIO],Tabla1[VALOR])*1),IF(P30&gt;=1,_xlfn.XLOOKUP($B30,Tabla1[SERVICIO],Tabla1[VALOR]*P30),0))</f>
        <v>0</v>
      </c>
      <c r="R30" s="208"/>
      <c r="S30" s="56" cm="1">
        <f t="array" ref="S30">IF(R30="X",(_xlfn.XLOOKUP($B30,Tabla1[SERVICIO],Tabla1[VALOR])*1),IF(R30&gt;=1,_xlfn.XLOOKUP($B30,Tabla1[SERVICIO],Tabla1[VALOR]*R30),0))</f>
        <v>0</v>
      </c>
      <c r="T30" s="208"/>
      <c r="U30" s="56" cm="1">
        <f t="array" ref="U30">IF(T30="X",(_xlfn.XLOOKUP($B30,Tabla1[SERVICIO],Tabla1[VALOR])*1),IF(T30&gt;=1,_xlfn.XLOOKUP($B30,Tabla1[SERVICIO],Tabla1[VALOR]*T30),0))</f>
        <v>0</v>
      </c>
      <c r="V30" s="208"/>
      <c r="W30" s="56" cm="1">
        <f t="array" ref="W30">IF(V30="X",(_xlfn.XLOOKUP($B30,Tabla1[SERVICIO],Tabla1[VALOR])*1),IF(V30&gt;=1,_xlfn.XLOOKUP($B30,Tabla1[SERVICIO],Tabla1[VALOR]*V30),0))</f>
        <v>0</v>
      </c>
      <c r="X30" s="208"/>
      <c r="Y30" s="56" cm="1">
        <f t="array" ref="Y30">IF(X30="X",(_xlfn.XLOOKUP($B30,Tabla1[SERVICIO],Tabla1[VALOR])*1),IF(X30&gt;=1,_xlfn.XLOOKUP($B30,Tabla1[SERVICIO],Tabla1[VALOR]*X30),0))</f>
        <v>0</v>
      </c>
      <c r="Z30" s="197">
        <v>1</v>
      </c>
      <c r="AA30" s="56" cm="1">
        <f t="array" ref="AA30">IF(Z30="X",(_xlfn.XLOOKUP($B30,Tabla1[SERVICIO],Tabla1[VALOR])*1),IF(Z30&gt;=1,_xlfn.XLOOKUP($B30,Tabla1[SERVICIO],Tabla1[VALOR]*Z30),0))</f>
        <v>12908.291642219636</v>
      </c>
      <c r="AB30" s="89">
        <f t="shared" si="0"/>
        <v>12908.291642219636</v>
      </c>
      <c r="AC30" s="153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30" s="122" t="s">
        <v>318</v>
      </c>
      <c r="AE30" s="126">
        <v>1</v>
      </c>
      <c r="AF30" s="121">
        <f>+Tabla4678942[[#This Row],[TOTAL]]*Tabla4678942[[#This Row],[% de las personas que lo usaron]]</f>
        <v>12908.291642219636</v>
      </c>
      <c r="AG30" s="246" t="s">
        <v>355</v>
      </c>
      <c r="AH30" s="246">
        <v>12</v>
      </c>
    </row>
    <row r="31" spans="1:34" x14ac:dyDescent="0.25">
      <c r="A31" s="9"/>
      <c r="B31" s="10" t="s">
        <v>247</v>
      </c>
      <c r="C31" s="10"/>
      <c r="D31" s="10">
        <f>SUBTOTAL(109,Tabla4678942[MES 1])</f>
        <v>31</v>
      </c>
      <c r="E31" s="72">
        <f>SUBTOTAL(109,Tabla4678942[MES 13])</f>
        <v>959341.6657192047</v>
      </c>
      <c r="F31" s="84">
        <f>SUBTOTAL(109,Tabla4678942[MES 2])</f>
        <v>14</v>
      </c>
      <c r="G31" s="72">
        <f>SUBTOTAL(109,Tabla4678942[MES 22])</f>
        <v>177938.82484725548</v>
      </c>
      <c r="H31" s="84">
        <f>SUBTOTAL(109,Tabla4678942[MES 3])</f>
        <v>15</v>
      </c>
      <c r="I31" s="72">
        <f>SUBTOTAL(109,Tabla4678942[MES 32])</f>
        <v>201948.55524857406</v>
      </c>
      <c r="J31" s="84">
        <f>SUBTOTAL(109,Tabla4678942[MES 4])</f>
        <v>14</v>
      </c>
      <c r="K31" s="72">
        <f>SUBTOTAL(109,Tabla4678942[MES 42])</f>
        <v>177938.82484725548</v>
      </c>
      <c r="L31" s="84">
        <f>SUBTOTAL(109,Tabla4678942[MES 5])</f>
        <v>14</v>
      </c>
      <c r="M31" s="72">
        <f>SUBTOTAL(109,Tabla4678942[MES 52])</f>
        <v>177938.82484725548</v>
      </c>
      <c r="N31" s="84">
        <f>SUBTOTAL(109,Tabla4678942[MES 6])</f>
        <v>16</v>
      </c>
      <c r="O31" s="72">
        <f>SUBTOTAL(109,Tabla4678942[MES 62])</f>
        <v>224001.07604912703</v>
      </c>
      <c r="P31" s="84">
        <f>SUBTOTAL(109,Tabla4678942[MES 7])</f>
        <v>14</v>
      </c>
      <c r="Q31" s="72">
        <f>SUBTOTAL(109,Tabla4678942[MES 72])</f>
        <v>177938.82484725548</v>
      </c>
      <c r="R31" s="84">
        <f>SUBTOTAL(109,Tabla4678942[MES 8])</f>
        <v>14</v>
      </c>
      <c r="S31" s="72">
        <f>SUBTOTAL(109,Tabla4678942[MES 82])</f>
        <v>177938.82484725548</v>
      </c>
      <c r="T31" s="84">
        <f>SUBTOTAL(109,Tabla4678942[MES 9])</f>
        <v>15</v>
      </c>
      <c r="U31" s="72">
        <f>SUBTOTAL(109,Tabla4678942[MES 92])</f>
        <v>201948.55524857406</v>
      </c>
      <c r="V31" s="84">
        <f>SUBTOTAL(109,Tabla4678942[MES 10])</f>
        <v>14</v>
      </c>
      <c r="W31" s="72">
        <f>SUBTOTAL(109,Tabla4678942[MES 102])</f>
        <v>177938.82484725548</v>
      </c>
      <c r="X31" s="84">
        <f>SUBTOTAL(109,Tabla4678942[MES 11])</f>
        <v>14</v>
      </c>
      <c r="Y31" s="72">
        <f>SUBTOTAL(109,Tabla4678942[MES 112])</f>
        <v>177938.82484725548</v>
      </c>
      <c r="Z31" s="84">
        <f>SUBTOTAL(109,Tabla4678942[MES 12])</f>
        <v>23</v>
      </c>
      <c r="AA31" s="87">
        <f>SUBTOTAL(109,Tabla4678942[MES 1122])</f>
        <v>433314.28141860134</v>
      </c>
      <c r="AB31" s="152">
        <f>SUBTOTAL(109,Tabla4678942[TOTAL])</f>
        <v>3266125.9076148695</v>
      </c>
      <c r="AC31" s="166">
        <f>SUBTOTAL(109,Tabla4678942[TOTAL SERVICIOS])</f>
        <v>198</v>
      </c>
      <c r="AD31" s="37"/>
      <c r="AE31" s="95"/>
      <c r="AF31" s="125">
        <f>SUBTOTAL(109,Tabla4678942[VALOR COSTO])</f>
        <v>2725809.3393049096</v>
      </c>
      <c r="AG31" s="246" t="s">
        <v>355</v>
      </c>
      <c r="AH31" s="246">
        <v>12</v>
      </c>
    </row>
    <row r="33" spans="1:46" ht="33.75" customHeight="1" x14ac:dyDescent="0.25">
      <c r="A33" s="44" t="s">
        <v>213</v>
      </c>
      <c r="B33" s="45"/>
      <c r="C33" s="45"/>
      <c r="D33" s="45"/>
      <c r="E33" s="209"/>
      <c r="F33" s="45"/>
      <c r="G33" s="209"/>
      <c r="H33" s="45"/>
      <c r="I33" s="209"/>
      <c r="J33" s="45"/>
      <c r="K33" s="209"/>
      <c r="L33" s="45"/>
      <c r="M33" s="209"/>
      <c r="N33" s="45"/>
      <c r="O33" s="209"/>
      <c r="P33" s="45"/>
      <c r="Q33" s="209"/>
      <c r="R33" s="45"/>
      <c r="S33" s="209"/>
      <c r="T33" s="46"/>
    </row>
    <row r="34" spans="1:46" ht="30" x14ac:dyDescent="0.25">
      <c r="A34" s="20" t="s">
        <v>0</v>
      </c>
      <c r="B34" s="17" t="s">
        <v>212</v>
      </c>
      <c r="C34" s="183" t="s">
        <v>347</v>
      </c>
      <c r="D34" s="18" t="s">
        <v>56</v>
      </c>
      <c r="E34" s="18" t="s">
        <v>303</v>
      </c>
      <c r="F34" s="210" t="s">
        <v>57</v>
      </c>
      <c r="G34" s="18" t="s">
        <v>293</v>
      </c>
      <c r="H34" s="210" t="s">
        <v>58</v>
      </c>
      <c r="I34" s="18" t="s">
        <v>294</v>
      </c>
      <c r="J34" s="210" t="s">
        <v>59</v>
      </c>
      <c r="K34" s="18" t="s">
        <v>295</v>
      </c>
      <c r="L34" s="210" t="s">
        <v>60</v>
      </c>
      <c r="M34" s="18" t="s">
        <v>296</v>
      </c>
      <c r="N34" s="210" t="s">
        <v>61</v>
      </c>
      <c r="O34" s="18" t="s">
        <v>297</v>
      </c>
      <c r="P34" s="210" t="s">
        <v>62</v>
      </c>
      <c r="Q34" s="18" t="s">
        <v>298</v>
      </c>
      <c r="R34" s="210" t="s">
        <v>63</v>
      </c>
      <c r="S34" s="18" t="s">
        <v>299</v>
      </c>
      <c r="T34" s="210" t="s">
        <v>64</v>
      </c>
      <c r="U34" s="18" t="s">
        <v>300</v>
      </c>
      <c r="V34" s="210" t="s">
        <v>65</v>
      </c>
      <c r="W34" s="18" t="s">
        <v>301</v>
      </c>
      <c r="X34" s="210" t="s">
        <v>66</v>
      </c>
      <c r="Y34" s="18" t="s">
        <v>302</v>
      </c>
      <c r="Z34" s="210" t="s">
        <v>67</v>
      </c>
      <c r="AA34" s="18" t="s">
        <v>304</v>
      </c>
      <c r="AB34" s="18" t="s">
        <v>68</v>
      </c>
      <c r="AC34" s="18" t="s">
        <v>305</v>
      </c>
      <c r="AD34" s="18" t="s">
        <v>69</v>
      </c>
      <c r="AE34" s="18" t="s">
        <v>306</v>
      </c>
      <c r="AF34" s="18" t="s">
        <v>70</v>
      </c>
      <c r="AG34" s="18" t="s">
        <v>307</v>
      </c>
      <c r="AH34" s="18" t="s">
        <v>71</v>
      </c>
      <c r="AI34" s="18" t="s">
        <v>308</v>
      </c>
      <c r="AJ34" s="18" t="s">
        <v>72</v>
      </c>
      <c r="AK34" s="19" t="s">
        <v>309</v>
      </c>
      <c r="AL34" s="19" t="s">
        <v>73</v>
      </c>
      <c r="AM34" s="66" t="s">
        <v>310</v>
      </c>
      <c r="AN34" s="66" t="s">
        <v>247</v>
      </c>
      <c r="AO34" s="105" t="s">
        <v>313</v>
      </c>
      <c r="AP34" s="66" t="s">
        <v>187</v>
      </c>
      <c r="AQ34" s="103" t="s">
        <v>316</v>
      </c>
      <c r="AR34" s="105" t="s">
        <v>317</v>
      </c>
      <c r="AS34" s="105" t="s">
        <v>348</v>
      </c>
      <c r="AT34" s="66" t="s">
        <v>406</v>
      </c>
    </row>
    <row r="35" spans="1:46" x14ac:dyDescent="0.25">
      <c r="A35" s="7" t="s">
        <v>13</v>
      </c>
      <c r="B35" s="8" t="s">
        <v>14</v>
      </c>
      <c r="C35" s="96" t="str">
        <f>_xlfn.XLOOKUP(Tabla467892043[[#This Row],[Servicios del Programa:]],Tabla151[CODIGO],Tabla151[VALOR])</f>
        <v>Gestion y seguimiento</v>
      </c>
      <c r="D35" s="14">
        <v>1</v>
      </c>
      <c r="E35" s="56" cm="1">
        <f t="array" ref="E35">IF(D35="X",(_xlfn.XLOOKUP($B35,Tabla1[SERVICIO],Tabla1[VALOR])*1),IF(D35&gt;=1,_xlfn.XLOOKUP($B35,Tabla1[SERVICIO],Tabla1[VALOR]*D35),0))</f>
        <v>20552.755657371155</v>
      </c>
      <c r="F35" s="78"/>
      <c r="G35" s="56" cm="1">
        <f t="array" ref="G35">IF(F35="X",(_xlfn.XLOOKUP($B35,Tabla1[SERVICIO],Tabla1[VALOR])*1),IF(F35&gt;=1,_xlfn.XLOOKUP($B35,Tabla1[SERVICIO],Tabla1[VALOR]*F35),0))</f>
        <v>0</v>
      </c>
      <c r="H35" s="78"/>
      <c r="I35" s="56" cm="1">
        <f t="array" ref="I35">IF(H35="X",(_xlfn.XLOOKUP($B35,Tabla1[SERVICIO],Tabla1[VALOR])*1),IF(H35&gt;=1,_xlfn.XLOOKUP($B35,Tabla1[SERVICIO],Tabla1[VALOR]*H35),0))</f>
        <v>0</v>
      </c>
      <c r="J35" s="78"/>
      <c r="K35" s="56" cm="1">
        <f t="array" ref="K35">IF(J35="X",(_xlfn.XLOOKUP($B35,Tabla1[SERVICIO],Tabla1[VALOR])*1),IF(J35&gt;=1,_xlfn.XLOOKUP($B35,Tabla1[SERVICIO],Tabla1[VALOR]*J35),0))</f>
        <v>0</v>
      </c>
      <c r="L35" s="78"/>
      <c r="M35" s="56" cm="1">
        <f t="array" ref="M35">IF(L35="X",(_xlfn.XLOOKUP($B35,Tabla1[SERVICIO],Tabla1[VALOR])*1),IF(L35&gt;=1,_xlfn.XLOOKUP($B35,Tabla1[SERVICIO],Tabla1[VALOR]*L35),0))</f>
        <v>0</v>
      </c>
      <c r="N35" s="78"/>
      <c r="O35" s="56" cm="1">
        <f t="array" ref="O35">IF(N35="X",(_xlfn.XLOOKUP($B35,Tabla1[SERVICIO],Tabla1[VALOR])*1),IF(N35&gt;=1,_xlfn.XLOOKUP($B35,Tabla1[SERVICIO],Tabla1[VALOR]*N35),0))</f>
        <v>0</v>
      </c>
      <c r="P35" s="78"/>
      <c r="Q35" s="56" cm="1">
        <f t="array" ref="Q35">IF(P35="X",(_xlfn.XLOOKUP($B35,Tabla1[SERVICIO],Tabla1[VALOR])*1),IF(P35&gt;=1,_xlfn.XLOOKUP($B35,Tabla1[SERVICIO],Tabla1[VALOR]*P35),0))</f>
        <v>0</v>
      </c>
      <c r="R35" s="78"/>
      <c r="S35" s="56" cm="1">
        <f t="array" ref="S35">IF(R35="X",(_xlfn.XLOOKUP($B35,Tabla1[SERVICIO],Tabla1[VALOR])*1),IF(R35&gt;=1,_xlfn.XLOOKUP($B35,Tabla1[SERVICIO],Tabla1[VALOR]*R35),0))</f>
        <v>0</v>
      </c>
      <c r="T35" s="78"/>
      <c r="U35" s="56" cm="1">
        <f t="array" ref="U35">IF(T35="X",(_xlfn.XLOOKUP($B35,Tabla1[SERVICIO],Tabla1[VALOR])*1),IF(T35&gt;=1,_xlfn.XLOOKUP($B35,Tabla1[SERVICIO],Tabla1[VALOR]*T35),0))</f>
        <v>0</v>
      </c>
      <c r="V35" s="78"/>
      <c r="W35" s="56" cm="1">
        <f t="array" ref="W35">IF(V35="X",(_xlfn.XLOOKUP($B35,Tabla1[SERVICIO],Tabla1[VALOR])*1),IF(V35&gt;=1,_xlfn.XLOOKUP($B35,Tabla1[SERVICIO],Tabla1[VALOR]*V35),0))</f>
        <v>0</v>
      </c>
      <c r="X35" s="78"/>
      <c r="Y35" s="56" cm="1">
        <f t="array" ref="Y35">IF(X35="X",(_xlfn.XLOOKUP($B35,Tabla1[SERVICIO],Tabla1[VALOR])*1),IF(X35&gt;=1,_xlfn.XLOOKUP($B35,Tabla1[SERVICIO],Tabla1[VALOR]*X35),0))</f>
        <v>0</v>
      </c>
      <c r="Z35" s="7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8"/>
      <c r="AM35" s="56" cm="1">
        <f t="array" ref="AM35">IF(AL35="X",(_xlfn.XLOOKUP($B35,Tabla1[SERVICIO],Tabla1[VALOR])*1),IF(AL35&gt;=1,_xlfn.XLOOKUP($B35,Tabla1[SERVICIO],Tabla1[VALOR]*AL35),0))</f>
        <v>0</v>
      </c>
      <c r="AN35" s="89">
        <f>SUM(E35,G35,I35,K35,M35,O35,Q35,S35,U35,W35+Y35,AA35,AC35,AE35,AG35,AI35,AK35,AM35)</f>
        <v>20552.755657371155</v>
      </c>
      <c r="AO35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5" s="122" t="s">
        <v>318</v>
      </c>
      <c r="AQ35" s="126">
        <v>1</v>
      </c>
      <c r="AR35" s="121">
        <f>+Tabla467892043[[#This Row],[TOTAL]]*Tabla467892043[[#This Row],[% de las personas que lo usaron]]</f>
        <v>20552.755657371155</v>
      </c>
      <c r="AS35" s="246" t="s">
        <v>355</v>
      </c>
      <c r="AT35" s="246">
        <v>18</v>
      </c>
    </row>
    <row r="36" spans="1:46" x14ac:dyDescent="0.25">
      <c r="A36" s="7" t="s">
        <v>98</v>
      </c>
      <c r="B36" s="8" t="s">
        <v>99</v>
      </c>
      <c r="C36" s="96" t="str">
        <f>_xlfn.XLOOKUP(Tabla467892043[[#This Row],[Servicios del Programa:]],Tabla151[CODIGO],Tabla151[VALOR])</f>
        <v>Consultas</v>
      </c>
      <c r="D36" s="14">
        <v>1</v>
      </c>
      <c r="E36" s="56" cm="1">
        <f t="array" ref="E36">IF(D36="X",(_xlfn.XLOOKUP($B36,Tabla1[SERVICIO],Tabla1[VALOR])*1),IF(D36&gt;=1,_xlfn.XLOOKUP($B36,Tabla1[SERVICIO],Tabla1[VALOR]*D36),0))</f>
        <v>17887.388810409495</v>
      </c>
      <c r="F36" s="78"/>
      <c r="G36" s="56" cm="1">
        <f t="array" ref="G36">IF(F36="X",(_xlfn.XLOOKUP($B36,Tabla1[SERVICIO],Tabla1[VALOR])*1),IF(F36&gt;=1,_xlfn.XLOOKUP($B36,Tabla1[SERVICIO],Tabla1[VALOR]*F36),0))</f>
        <v>0</v>
      </c>
      <c r="H36" s="78"/>
      <c r="I36" s="56" cm="1">
        <f t="array" ref="I36">IF(H36="X",(_xlfn.XLOOKUP($B36,Tabla1[SERVICIO],Tabla1[VALOR])*1),IF(H36&gt;=1,_xlfn.XLOOKUP($B36,Tabla1[SERVICIO],Tabla1[VALOR]*H36),0))</f>
        <v>0</v>
      </c>
      <c r="J36" s="78"/>
      <c r="K36" s="56" cm="1">
        <f t="array" ref="K36">IF(J36="X",(_xlfn.XLOOKUP($B36,Tabla1[SERVICIO],Tabla1[VALOR])*1),IF(J36&gt;=1,_xlfn.XLOOKUP($B36,Tabla1[SERVICIO],Tabla1[VALOR]*J36),0))</f>
        <v>0</v>
      </c>
      <c r="L36" s="78"/>
      <c r="M36" s="56" cm="1">
        <f t="array" ref="M36">IF(L36="X",(_xlfn.XLOOKUP($B36,Tabla1[SERVICIO],Tabla1[VALOR])*1),IF(L36&gt;=1,_xlfn.XLOOKUP($B36,Tabla1[SERVICIO],Tabla1[VALOR]*L36),0))</f>
        <v>0</v>
      </c>
      <c r="N36" s="78"/>
      <c r="O36" s="56" cm="1">
        <f t="array" ref="O36">IF(N36="X",(_xlfn.XLOOKUP($B36,Tabla1[SERVICIO],Tabla1[VALOR])*1),IF(N36&gt;=1,_xlfn.XLOOKUP($B36,Tabla1[SERVICIO],Tabla1[VALOR]*N36),0))</f>
        <v>0</v>
      </c>
      <c r="P36" s="78"/>
      <c r="Q36" s="56" cm="1">
        <f t="array" ref="Q36">IF(P36="X",(_xlfn.XLOOKUP($B36,Tabla1[SERVICIO],Tabla1[VALOR])*1),IF(P36&gt;=1,_xlfn.XLOOKUP($B36,Tabla1[SERVICIO],Tabla1[VALOR]*P36),0))</f>
        <v>0</v>
      </c>
      <c r="R36" s="78"/>
      <c r="S36" s="56" cm="1">
        <f t="array" ref="S36">IF(R36="X",(_xlfn.XLOOKUP($B36,Tabla1[SERVICIO],Tabla1[VALOR])*1),IF(R36&gt;=1,_xlfn.XLOOKUP($B36,Tabla1[SERVICIO],Tabla1[VALOR]*R36),0))</f>
        <v>0</v>
      </c>
      <c r="T36" s="78"/>
      <c r="U36" s="56" cm="1">
        <f t="array" ref="U36">IF(T36="X",(_xlfn.XLOOKUP($B36,Tabla1[SERVICIO],Tabla1[VALOR])*1),IF(T36&gt;=1,_xlfn.XLOOKUP($B36,Tabla1[SERVICIO],Tabla1[VALOR]*T36),0))</f>
        <v>0</v>
      </c>
      <c r="V36" s="78"/>
      <c r="W36" s="56" cm="1">
        <f t="array" ref="W36">IF(V36="X",(_xlfn.XLOOKUP($B36,Tabla1[SERVICIO],Tabla1[VALOR])*1),IF(V36&gt;=1,_xlfn.XLOOKUP($B36,Tabla1[SERVICIO],Tabla1[VALOR]*V36),0))</f>
        <v>0</v>
      </c>
      <c r="X36" s="78"/>
      <c r="Y36" s="56" cm="1">
        <f t="array" ref="Y36">IF(X36="X",(_xlfn.XLOOKUP($B36,Tabla1[SERVICIO],Tabla1[VALOR])*1),IF(X36&gt;=1,_xlfn.XLOOKUP($B36,Tabla1[SERVICIO],Tabla1[VALOR]*X36),0))</f>
        <v>0</v>
      </c>
      <c r="Z36" s="78"/>
      <c r="AA36" s="56" cm="1">
        <f t="array" ref="AA36">IF(Z36="X",(_xlfn.XLOOKUP($B36,Tabla1[SERVICIO],Tabla1[VALOR])*1),IF(Z36&gt;=1,_xlfn.XLOOKUP($B36,Tabla1[SERVICIO],Tabla1[VALOR]*Z36),0))</f>
        <v>0</v>
      </c>
      <c r="AB36" s="8"/>
      <c r="AC36" s="56" cm="1">
        <f t="array" ref="AC36">IF(AB36="X",(_xlfn.XLOOKUP($B36,Tabla1[SERVICIO],Tabla1[VALOR])*1),IF(AB36&gt;=1,_xlfn.XLOOKUP($B36,Tabla1[SERVICIO],Tabla1[VALOR]*AB36),0))</f>
        <v>0</v>
      </c>
      <c r="AD36" s="8"/>
      <c r="AE36" s="56" cm="1">
        <f t="array" ref="AE36">IF(AD36="X",(_xlfn.XLOOKUP($B36,Tabla1[SERVICIO],Tabla1[VALOR])*1),IF(AD36&gt;=1,_xlfn.XLOOKUP($B36,Tabla1[SERVICIO],Tabla1[VALOR]*AD36),0))</f>
        <v>0</v>
      </c>
      <c r="AF36" s="8"/>
      <c r="AG36" s="56" cm="1">
        <f t="array" ref="AG36">IF(AF36="X",(_xlfn.XLOOKUP($B36,Tabla1[SERVICIO],Tabla1[VALOR])*1),IF(AF36&gt;=1,_xlfn.XLOOKUP($B36,Tabla1[SERVICIO],Tabla1[VALOR]*AF36),0))</f>
        <v>0</v>
      </c>
      <c r="AH36" s="8"/>
      <c r="AI36" s="56" cm="1">
        <f t="array" ref="AI36">IF(AH36="X",(_xlfn.XLOOKUP($B36,Tabla1[SERVICIO],Tabla1[VALOR])*1),IF(AH36&gt;=1,_xlfn.XLOOKUP($B36,Tabla1[SERVICIO],Tabla1[VALOR]*AH36),0))</f>
        <v>0</v>
      </c>
      <c r="AJ36" s="8"/>
      <c r="AK36" s="56" cm="1">
        <f t="array" ref="AK36">IF(AJ36="X",(_xlfn.XLOOKUP($B36,Tabla1[SERVICIO],Tabla1[VALOR])*1),IF(AJ36&gt;=1,_xlfn.XLOOKUP($B36,Tabla1[SERVICIO],Tabla1[VALOR]*AJ36),0))</f>
        <v>0</v>
      </c>
      <c r="AL36" s="8"/>
      <c r="AM36" s="56" cm="1">
        <f t="array" ref="AM36">IF(AL36="X",(_xlfn.XLOOKUP($B36,Tabla1[SERVICIO],Tabla1[VALOR])*1),IF(AL36&gt;=1,_xlfn.XLOOKUP($B36,Tabla1[SERVICIO],Tabla1[VALOR]*AL36),0))</f>
        <v>0</v>
      </c>
      <c r="AN36" s="89">
        <f t="shared" ref="AN36:AN62" si="1">SUM(E36,G36,I36,K36,M36,O36,Q36,S36,U36,W36+Y36,AA36,AC36,AE36,AG36,AI36,AK36,AM36)</f>
        <v>17887.388810409495</v>
      </c>
      <c r="AO36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6" s="122" t="s">
        <v>318</v>
      </c>
      <c r="AQ36" s="126">
        <v>1</v>
      </c>
      <c r="AR36" s="121">
        <f>+Tabla467892043[[#This Row],[TOTAL]]*Tabla467892043[[#This Row],[% de las personas que lo usaron]]</f>
        <v>17887.388810409495</v>
      </c>
      <c r="AS36" s="246" t="s">
        <v>355</v>
      </c>
      <c r="AT36" s="246">
        <v>18</v>
      </c>
    </row>
    <row r="37" spans="1:46" x14ac:dyDescent="0.25">
      <c r="A37" s="7" t="s">
        <v>104</v>
      </c>
      <c r="B37" s="8" t="s">
        <v>105</v>
      </c>
      <c r="C37" s="96" t="str">
        <f>_xlfn.XLOOKUP(Tabla467892043[[#This Row],[Servicios del Programa:]],Tabla151[CODIGO],Tabla151[VALOR])</f>
        <v>Consultas</v>
      </c>
      <c r="D37" s="14"/>
      <c r="E37" s="56" cm="1">
        <f t="array" ref="E37">IF(D37="X",(_xlfn.XLOOKUP($B37,Tabla1[SERVICIO],Tabla1[VALOR])*1),IF(D37&gt;=1,_xlfn.XLOOKUP($B37,Tabla1[SERVICIO],Tabla1[VALOR]*D37),0))</f>
        <v>0</v>
      </c>
      <c r="F37" s="78"/>
      <c r="G37" s="56" cm="1">
        <f t="array" ref="G37">IF(F37="X",(_xlfn.XLOOKUP($B37,Tabla1[SERVICIO],Tabla1[VALOR])*1),IF(F37&gt;=1,_xlfn.XLOOKUP($B37,Tabla1[SERVICIO],Tabla1[VALOR]*F37),0))</f>
        <v>0</v>
      </c>
      <c r="H37" s="78"/>
      <c r="I37" s="56" cm="1">
        <f t="array" ref="I37">IF(H37="X",(_xlfn.XLOOKUP($B37,Tabla1[SERVICIO],Tabla1[VALOR])*1),IF(H37&gt;=1,_xlfn.XLOOKUP($B37,Tabla1[SERVICIO],Tabla1[VALOR]*H37),0))</f>
        <v>0</v>
      </c>
      <c r="J37" s="78"/>
      <c r="K37" s="56" cm="1">
        <f t="array" ref="K37">IF(J37="X",(_xlfn.XLOOKUP($B37,Tabla1[SERVICIO],Tabla1[VALOR])*1),IF(J37&gt;=1,_xlfn.XLOOKUP($B37,Tabla1[SERVICIO],Tabla1[VALOR]*J37),0))</f>
        <v>0</v>
      </c>
      <c r="L37" s="78"/>
      <c r="M37" s="56" cm="1">
        <f t="array" ref="M37">IF(L37="X",(_xlfn.XLOOKUP($B37,Tabla1[SERVICIO],Tabla1[VALOR])*1),IF(L37&gt;=1,_xlfn.XLOOKUP($B37,Tabla1[SERVICIO],Tabla1[VALOR]*L37),0))</f>
        <v>0</v>
      </c>
      <c r="N37" s="77"/>
      <c r="O37" s="56" cm="1">
        <f t="array" ref="O37">IF(N37="X",(_xlfn.XLOOKUP($B37,Tabla1[SERVICIO],Tabla1[VALOR])*1),IF(N37&gt;=1,_xlfn.XLOOKUP($B37,Tabla1[SERVICIO],Tabla1[VALOR]*N37),0))</f>
        <v>0</v>
      </c>
      <c r="P37" s="78"/>
      <c r="Q37" s="56" cm="1">
        <f t="array" ref="Q37">IF(P37="X",(_xlfn.XLOOKUP($B37,Tabla1[SERVICIO],Tabla1[VALOR])*1),IF(P37&gt;=1,_xlfn.XLOOKUP($B37,Tabla1[SERVICIO],Tabla1[VALOR]*P37),0))</f>
        <v>0</v>
      </c>
      <c r="R37" s="78"/>
      <c r="S37" s="56" cm="1">
        <f t="array" ref="S37">IF(R37="X",(_xlfn.XLOOKUP($B37,Tabla1[SERVICIO],Tabla1[VALOR])*1),IF(R37&gt;=1,_xlfn.XLOOKUP($B37,Tabla1[SERVICIO],Tabla1[VALOR]*R37),0))</f>
        <v>0</v>
      </c>
      <c r="T37" s="78"/>
      <c r="U37" s="56" cm="1">
        <f t="array" ref="U37">IF(T37="X",(_xlfn.XLOOKUP($B37,Tabla1[SERVICIO],Tabla1[VALOR])*1),IF(T37&gt;=1,_xlfn.XLOOKUP($B37,Tabla1[SERVICIO],Tabla1[VALOR]*T37),0))</f>
        <v>0</v>
      </c>
      <c r="V37" s="78"/>
      <c r="W37" s="56" cm="1">
        <f t="array" ref="W37">IF(V37="X",(_xlfn.XLOOKUP($B37,Tabla1[SERVICIO],Tabla1[VALOR])*1),IF(V37&gt;=1,_xlfn.XLOOKUP($B37,Tabla1[SERVICIO],Tabla1[VALOR]*V37),0))</f>
        <v>0</v>
      </c>
      <c r="X37" s="78"/>
      <c r="Y37" s="56" cm="1">
        <f t="array" ref="Y37">IF(X37="X",(_xlfn.XLOOKUP($B37,Tabla1[SERVICIO],Tabla1[VALOR])*1),IF(X37&gt;=1,_xlfn.XLOOKUP($B37,Tabla1[SERVICIO],Tabla1[VALOR]*X37),0))</f>
        <v>0</v>
      </c>
      <c r="Z37" s="78"/>
      <c r="AA37" s="56" cm="1">
        <f t="array" ref="AA37">IF(Z37="X",(_xlfn.XLOOKUP($B37,Tabla1[SERVICIO],Tabla1[VALOR])*1),IF(Z37&gt;=1,_xlfn.XLOOKUP($B37,Tabla1[SERVICIO],Tabla1[VALOR]*Z37),0))</f>
        <v>0</v>
      </c>
      <c r="AB37" s="8"/>
      <c r="AC37" s="56" cm="1">
        <f t="array" ref="AC37">IF(AB37="X",(_xlfn.XLOOKUP($B37,Tabla1[SERVICIO],Tabla1[VALOR])*1),IF(AB37&gt;=1,_xlfn.XLOOKUP($B37,Tabla1[SERVICIO],Tabla1[VALOR]*AB37),0))</f>
        <v>0</v>
      </c>
      <c r="AD37" s="8"/>
      <c r="AE37" s="56" cm="1">
        <f t="array" ref="AE37">IF(AD37="X",(_xlfn.XLOOKUP($B37,Tabla1[SERVICIO],Tabla1[VALOR])*1),IF(AD37&gt;=1,_xlfn.XLOOKUP($B37,Tabla1[SERVICIO],Tabla1[VALOR]*AD37),0))</f>
        <v>0</v>
      </c>
      <c r="AF37" s="8"/>
      <c r="AG37" s="56" cm="1">
        <f t="array" ref="AG37">IF(AF37="X",(_xlfn.XLOOKUP($B37,Tabla1[SERVICIO],Tabla1[VALOR])*1),IF(AF37&gt;=1,_xlfn.XLOOKUP($B37,Tabla1[SERVICIO],Tabla1[VALOR]*AF37),0))</f>
        <v>0</v>
      </c>
      <c r="AH37" s="8"/>
      <c r="AI37" s="56" cm="1">
        <f t="array" ref="AI37">IF(AH37="X",(_xlfn.XLOOKUP($B37,Tabla1[SERVICIO],Tabla1[VALOR])*1),IF(AH37&gt;=1,_xlfn.XLOOKUP($B37,Tabla1[SERVICIO],Tabla1[VALOR]*AH37),0))</f>
        <v>0</v>
      </c>
      <c r="AJ37" s="8"/>
      <c r="AK37" s="56" cm="1">
        <f t="array" ref="AK37">IF(AJ37="X",(_xlfn.XLOOKUP($B37,Tabla1[SERVICIO],Tabla1[VALOR])*1),IF(AJ37&gt;=1,_xlfn.XLOOKUP($B37,Tabla1[SERVICIO],Tabla1[VALOR]*AJ37),0))</f>
        <v>0</v>
      </c>
      <c r="AL37" s="15">
        <v>1</v>
      </c>
      <c r="AM37" s="56" cm="1">
        <f t="array" ref="AM37">IF(AL37="X",(_xlfn.XLOOKUP($B37,Tabla1[SERVICIO],Tabla1[VALOR])*1),IF(AL37&gt;=1,_xlfn.XLOOKUP($B37,Tabla1[SERVICIO],Tabla1[VALOR]*AL37),0))</f>
        <v>17887.388810409495</v>
      </c>
      <c r="AN37" s="89">
        <f t="shared" si="1"/>
        <v>17887.388810409495</v>
      </c>
      <c r="AO37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7" s="37" t="s">
        <v>319</v>
      </c>
      <c r="AQ37" s="126">
        <v>0.25</v>
      </c>
      <c r="AR37" s="121">
        <f>+Tabla467892043[[#This Row],[TOTAL]]*Tabla467892043[[#This Row],[% de las personas que lo usaron]]</f>
        <v>4471.8472026023737</v>
      </c>
      <c r="AS37" s="246" t="s">
        <v>355</v>
      </c>
      <c r="AT37" s="246">
        <v>18</v>
      </c>
    </row>
    <row r="38" spans="1:46" x14ac:dyDescent="0.25">
      <c r="A38" s="7" t="s">
        <v>3</v>
      </c>
      <c r="B38" s="8" t="s">
        <v>4</v>
      </c>
      <c r="C38" s="96" t="str">
        <f>_xlfn.XLOOKUP(Tabla467892043[[#This Row],[Servicios del Programa:]],Tabla151[CODIGO],Tabla151[VALOR])</f>
        <v>Consultas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20406.13276336317</v>
      </c>
      <c r="F38" s="77"/>
      <c r="G38" s="56" cm="1">
        <f t="array" ref="G38">IF(F38="X",(_xlfn.XLOOKUP($B38,Tabla1[SERVICIO],Tabla1[VALOR])*1),IF(F38&gt;=1,_xlfn.XLOOKUP($B38,Tabla1[SERVICIO],Tabla1[VALOR]*F38),0))</f>
        <v>0</v>
      </c>
      <c r="H38" s="77"/>
      <c r="I38" s="56" cm="1">
        <f t="array" ref="I38">IF(H38="X",(_xlfn.XLOOKUP($B38,Tabla1[SERVICIO],Tabla1[VALOR])*1),IF(H38&gt;=1,_xlfn.XLOOKUP($B38,Tabla1[SERVICIO],Tabla1[VALOR]*H38),0))</f>
        <v>0</v>
      </c>
      <c r="J38" s="77"/>
      <c r="K38" s="56" cm="1">
        <f t="array" ref="K38">IF(J38="X",(_xlfn.XLOOKUP($B38,Tabla1[SERVICIO],Tabla1[VALOR])*1),IF(J38&gt;=1,_xlfn.XLOOKUP($B38,Tabla1[SERVICIO],Tabla1[VALOR]*J38),0))</f>
        <v>0</v>
      </c>
      <c r="L38" s="77"/>
      <c r="M38" s="56" cm="1">
        <f t="array" ref="M38">IF(L38="X",(_xlfn.XLOOKUP($B38,Tabla1[SERVICIO],Tabla1[VALOR])*1),IF(L38&gt;=1,_xlfn.XLOOKUP($B38,Tabla1[SERVICIO],Tabla1[VALOR]*L38),0))</f>
        <v>0</v>
      </c>
      <c r="N38" s="77"/>
      <c r="O38" s="56" cm="1">
        <f t="array" ref="O38">IF(N38="X",(_xlfn.XLOOKUP($B38,Tabla1[SERVICIO],Tabla1[VALOR])*1),IF(N38&gt;=1,_xlfn.XLOOKUP($B38,Tabla1[SERVICIO],Tabla1[VALOR]*N38),0))</f>
        <v>0</v>
      </c>
      <c r="P38" s="77"/>
      <c r="Q38" s="56" cm="1">
        <f t="array" ref="Q38">IF(P38="X",(_xlfn.XLOOKUP($B38,Tabla1[SERVICIO],Tabla1[VALOR])*1),IF(P38&gt;=1,_xlfn.XLOOKUP($B38,Tabla1[SERVICIO],Tabla1[VALOR]*P38),0))</f>
        <v>0</v>
      </c>
      <c r="R38" s="77"/>
      <c r="S38" s="56" cm="1">
        <f t="array" ref="S38">IF(R38="X",(_xlfn.XLOOKUP($B38,Tabla1[SERVICIO],Tabla1[VALOR])*1),IF(R38&gt;=1,_xlfn.XLOOKUP($B38,Tabla1[SERVICIO],Tabla1[VALOR]*R38),0))</f>
        <v>0</v>
      </c>
      <c r="T38" s="77"/>
      <c r="U38" s="56" cm="1">
        <f t="array" ref="U38">IF(T38="X",(_xlfn.XLOOKUP($B38,Tabla1[SERVICIO],Tabla1[VALOR])*1),IF(T38&gt;=1,_xlfn.XLOOKUP($B38,Tabla1[SERVICIO],Tabla1[VALOR]*T38),0))</f>
        <v>0</v>
      </c>
      <c r="V38" s="77"/>
      <c r="W38" s="56" cm="1">
        <f t="array" ref="W38">IF(V38="X",(_xlfn.XLOOKUP($B38,Tabla1[SERVICIO],Tabla1[VALOR])*1),IF(V38&gt;=1,_xlfn.XLOOKUP($B38,Tabla1[SERVICIO],Tabla1[VALOR]*V38),0))</f>
        <v>0</v>
      </c>
      <c r="X38" s="77"/>
      <c r="Y38" s="56" cm="1">
        <f t="array" ref="Y38">IF(X38="X",(_xlfn.XLOOKUP($B38,Tabla1[SERVICIO],Tabla1[VALOR])*1),IF(X38&gt;=1,_xlfn.XLOOKUP($B38,Tabla1[SERVICIO],Tabla1[VALOR]*X38),0))</f>
        <v>0</v>
      </c>
      <c r="Z38" s="77"/>
      <c r="AA38" s="56" cm="1">
        <f t="array" ref="AA38">IF(Z38="X",(_xlfn.XLOOKUP($B38,Tabla1[SERVICIO],Tabla1[VALOR])*1),IF(Z38&gt;=1,_xlfn.XLOOKUP($B38,Tabla1[SERVICIO],Tabla1[VALOR]*Z38),0))</f>
        <v>0</v>
      </c>
      <c r="AB38" s="14"/>
      <c r="AC38" s="56" cm="1">
        <f t="array" ref="AC38">IF(AB38="X",(_xlfn.XLOOKUP($B38,Tabla1[SERVICIO],Tabla1[VALOR])*1),IF(AB38&gt;=1,_xlfn.XLOOKUP($B38,Tabla1[SERVICIO],Tabla1[VALOR]*AB38),0))</f>
        <v>0</v>
      </c>
      <c r="AD38" s="14"/>
      <c r="AE38" s="56" cm="1">
        <f t="array" ref="AE38">IF(AD38="X",(_xlfn.XLOOKUP($B38,Tabla1[SERVICIO],Tabla1[VALOR])*1),IF(AD38&gt;=1,_xlfn.XLOOKUP($B38,Tabla1[SERVICIO],Tabla1[VALOR]*AD38),0))</f>
        <v>0</v>
      </c>
      <c r="AF38" s="14"/>
      <c r="AG38" s="56" cm="1">
        <f t="array" ref="AG38">IF(AF38="X",(_xlfn.XLOOKUP($B38,Tabla1[SERVICIO],Tabla1[VALOR])*1),IF(AF38&gt;=1,_xlfn.XLOOKUP($B38,Tabla1[SERVICIO],Tabla1[VALOR]*AF38),0))</f>
        <v>0</v>
      </c>
      <c r="AH38" s="14"/>
      <c r="AI38" s="56" cm="1">
        <f t="array" ref="AI38">IF(AH38="X",(_xlfn.XLOOKUP($B38,Tabla1[SERVICIO],Tabla1[VALOR])*1),IF(AH38&gt;=1,_xlfn.XLOOKUP($B38,Tabla1[SERVICIO],Tabla1[VALOR]*AH38),0))</f>
        <v>0</v>
      </c>
      <c r="AJ38" s="14"/>
      <c r="AK38" s="56" cm="1">
        <f t="array" ref="AK38">IF(AJ38="X",(_xlfn.XLOOKUP($B38,Tabla1[SERVICIO],Tabla1[VALOR])*1),IF(AJ38&gt;=1,_xlfn.XLOOKUP($B38,Tabla1[SERVICIO],Tabla1[VALOR]*AJ38),0))</f>
        <v>0</v>
      </c>
      <c r="AL38" s="14"/>
      <c r="AM38" s="56" cm="1">
        <f t="array" ref="AM38">IF(AL38="X",(_xlfn.XLOOKUP($B38,Tabla1[SERVICIO],Tabla1[VALOR])*1),IF(AL38&gt;=1,_xlfn.XLOOKUP($B38,Tabla1[SERVICIO],Tabla1[VALOR]*AL38),0))</f>
        <v>0</v>
      </c>
      <c r="AN38" s="89">
        <f t="shared" si="1"/>
        <v>20406.13276336317</v>
      </c>
      <c r="AO38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8" s="122" t="s">
        <v>318</v>
      </c>
      <c r="AQ38" s="126">
        <v>1</v>
      </c>
      <c r="AR38" s="121">
        <f>+Tabla467892043[[#This Row],[TOTAL]]*Tabla467892043[[#This Row],[% de las personas que lo usaron]]</f>
        <v>20406.13276336317</v>
      </c>
      <c r="AS38" s="246" t="s">
        <v>355</v>
      </c>
      <c r="AT38" s="246">
        <v>18</v>
      </c>
    </row>
    <row r="39" spans="1:46" x14ac:dyDescent="0.25">
      <c r="A39" s="7" t="s">
        <v>15</v>
      </c>
      <c r="B39" s="8" t="s">
        <v>16</v>
      </c>
      <c r="C39" s="96" t="str">
        <f>_xlfn.XLOOKUP(Tabla467892043[[#This Row],[Servicios del Programa:]],Tabla151[CODIGO],Tabla151[VALOR])</f>
        <v>Consultas</v>
      </c>
      <c r="D39" s="14"/>
      <c r="E39" s="56" cm="1">
        <f t="array" ref="E39">IF(D39="X",(_xlfn.XLOOKUP($B39,Tabla1[SERVICIO],Tabla1[VALOR])*1),IF(D39&gt;=1,_xlfn.XLOOKUP($B39,Tabla1[SERVICIO],Tabla1[VALOR]*D39),0))</f>
        <v>0</v>
      </c>
      <c r="F39" s="77"/>
      <c r="G39" s="56" cm="1">
        <f t="array" ref="G39">IF(F39="X",(_xlfn.XLOOKUP($B39,Tabla1[SERVICIO],Tabla1[VALOR])*1),IF(F39&gt;=1,_xlfn.XLOOKUP($B39,Tabla1[SERVICIO],Tabla1[VALOR]*F39),0))</f>
        <v>0</v>
      </c>
      <c r="H39" s="77"/>
      <c r="I39" s="56" cm="1">
        <f t="array" ref="I39">IF(H39="X",(_xlfn.XLOOKUP($B39,Tabla1[SERVICIO],Tabla1[VALOR])*1),IF(H39&gt;=1,_xlfn.XLOOKUP($B39,Tabla1[SERVICIO],Tabla1[VALOR]*H39),0))</f>
        <v>0</v>
      </c>
      <c r="J39" s="77"/>
      <c r="K39" s="56" cm="1">
        <f t="array" ref="K39">IF(J39="X",(_xlfn.XLOOKUP($B39,Tabla1[SERVICIO],Tabla1[VALOR])*1),IF(J39&gt;=1,_xlfn.XLOOKUP($B39,Tabla1[SERVICIO],Tabla1[VALOR]*J39),0))</f>
        <v>0</v>
      </c>
      <c r="L39" s="77"/>
      <c r="M39" s="56" cm="1">
        <f t="array" ref="M39">IF(L39="X",(_xlfn.XLOOKUP($B39,Tabla1[SERVICIO],Tabla1[VALOR])*1),IF(L39&gt;=1,_xlfn.XLOOKUP($B39,Tabla1[SERVICIO],Tabla1[VALOR]*L39),0))</f>
        <v>0</v>
      </c>
      <c r="N39" s="77">
        <v>1</v>
      </c>
      <c r="O39" s="56" cm="1">
        <f t="array" ref="O39">IF(N39="X",(_xlfn.XLOOKUP($B39,Tabla1[SERVICIO],Tabla1[VALOR])*1),IF(N39&gt;=1,_xlfn.XLOOKUP($B39,Tabla1[SERVICIO],Tabla1[VALOR]*N39),0))</f>
        <v>22052.520800552971</v>
      </c>
      <c r="P39" s="77"/>
      <c r="Q39" s="56" cm="1">
        <f t="array" ref="Q39">IF(P39="X",(_xlfn.XLOOKUP($B39,Tabla1[SERVICIO],Tabla1[VALOR])*1),IF(P39&gt;=1,_xlfn.XLOOKUP($B39,Tabla1[SERVICIO],Tabla1[VALOR]*P39),0))</f>
        <v>0</v>
      </c>
      <c r="R39" s="77"/>
      <c r="S39" s="56" cm="1">
        <f t="array" ref="S39">IF(R39="X",(_xlfn.XLOOKUP($B39,Tabla1[SERVICIO],Tabla1[VALOR])*1),IF(R39&gt;=1,_xlfn.XLOOKUP($B39,Tabla1[SERVICIO],Tabla1[VALOR]*R39),0))</f>
        <v>0</v>
      </c>
      <c r="T39" s="77"/>
      <c r="U39" s="56" cm="1">
        <f t="array" ref="U39">IF(T39="X",(_xlfn.XLOOKUP($B39,Tabla1[SERVICIO],Tabla1[VALOR])*1),IF(T39&gt;=1,_xlfn.XLOOKUP($B39,Tabla1[SERVICIO],Tabla1[VALOR]*T39),0))</f>
        <v>0</v>
      </c>
      <c r="V39" s="77"/>
      <c r="W39" s="56" cm="1">
        <f t="array" ref="W39">IF(V39="X",(_xlfn.XLOOKUP($B39,Tabla1[SERVICIO],Tabla1[VALOR])*1),IF(V39&gt;=1,_xlfn.XLOOKUP($B39,Tabla1[SERVICIO],Tabla1[VALOR]*V39),0))</f>
        <v>0</v>
      </c>
      <c r="X39" s="77"/>
      <c r="Y39" s="56" cm="1">
        <f t="array" ref="Y39">IF(X39="X",(_xlfn.XLOOKUP($B39,Tabla1[SERVICIO],Tabla1[VALOR])*1),IF(X39&gt;=1,_xlfn.XLOOKUP($B39,Tabla1[SERVICIO],Tabla1[VALOR]*X39),0))</f>
        <v>0</v>
      </c>
      <c r="Z39" s="77"/>
      <c r="AA39" s="56" cm="1">
        <f t="array" ref="AA39">IF(Z39="X",(_xlfn.XLOOKUP($B39,Tabla1[SERVICIO],Tabla1[VALOR])*1),IF(Z39&gt;=1,_xlfn.XLOOKUP($B39,Tabla1[SERVICIO],Tabla1[VALOR]*Z39),0))</f>
        <v>0</v>
      </c>
      <c r="AB39" s="14"/>
      <c r="AC39" s="56" cm="1">
        <f t="array" ref="AC39">IF(AB39="X",(_xlfn.XLOOKUP($B39,Tabla1[SERVICIO],Tabla1[VALOR])*1),IF(AB39&gt;=1,_xlfn.XLOOKUP($B39,Tabla1[SERVICIO],Tabla1[VALOR]*AB39),0))</f>
        <v>0</v>
      </c>
      <c r="AD39" s="14"/>
      <c r="AE39" s="56" cm="1">
        <f t="array" ref="AE39">IF(AD39="X",(_xlfn.XLOOKUP($B39,Tabla1[SERVICIO],Tabla1[VALOR])*1),IF(AD39&gt;=1,_xlfn.XLOOKUP($B39,Tabla1[SERVICIO],Tabla1[VALOR]*AD39),0))</f>
        <v>0</v>
      </c>
      <c r="AF39" s="14"/>
      <c r="AG39" s="56" cm="1">
        <f t="array" ref="AG39">IF(AF39="X",(_xlfn.XLOOKUP($B39,Tabla1[SERVICIO],Tabla1[VALOR])*1),IF(AF39&gt;=1,_xlfn.XLOOKUP($B39,Tabla1[SERVICIO],Tabla1[VALOR]*AF39),0))</f>
        <v>0</v>
      </c>
      <c r="AH39" s="14"/>
      <c r="AI39" s="56" cm="1">
        <f t="array" ref="AI39">IF(AH39="X",(_xlfn.XLOOKUP($B39,Tabla1[SERVICIO],Tabla1[VALOR])*1),IF(AH39&gt;=1,_xlfn.XLOOKUP($B39,Tabla1[SERVICIO],Tabla1[VALOR]*AH39),0))</f>
        <v>0</v>
      </c>
      <c r="AJ39" s="14"/>
      <c r="AK39" s="56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6" cm="1">
        <f t="array" ref="AM39">IF(AL39="X",(_xlfn.XLOOKUP($B39,Tabla1[SERVICIO],Tabla1[VALOR])*1),IF(AL39&gt;=1,_xlfn.XLOOKUP($B39,Tabla1[SERVICIO],Tabla1[VALOR]*AL39),0))</f>
        <v>22052.520800552971</v>
      </c>
      <c r="AN39" s="89">
        <f t="shared" si="1"/>
        <v>44105.041601105942</v>
      </c>
      <c r="AO39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39" s="122" t="s">
        <v>318</v>
      </c>
      <c r="AQ39" s="126">
        <v>1</v>
      </c>
      <c r="AR39" s="121">
        <f>+Tabla467892043[[#This Row],[TOTAL]]*Tabla467892043[[#This Row],[% de las personas que lo usaron]]</f>
        <v>44105.041601105942</v>
      </c>
      <c r="AS39" s="246" t="s">
        <v>355</v>
      </c>
      <c r="AT39" s="246">
        <v>18</v>
      </c>
    </row>
    <row r="40" spans="1:46" x14ac:dyDescent="0.25">
      <c r="A40" s="7" t="s">
        <v>74</v>
      </c>
      <c r="B40" s="8" t="s">
        <v>75</v>
      </c>
      <c r="C40" s="96" t="str">
        <f>_xlfn.XLOOKUP(Tabla467892043[[#This Row],[Servicios del Programa:]],Tabla151[CODIGO],Tabla151[VALOR])</f>
        <v>Consultas</v>
      </c>
      <c r="D40" s="14">
        <v>1</v>
      </c>
      <c r="E40" s="56" cm="1">
        <f t="array" ref="E40">IF(D40="X",(_xlfn.XLOOKUP($B40,Tabla1[SERVICIO],Tabla1[VALOR])*1),IF(D40&gt;=1,_xlfn.XLOOKUP($B40,Tabla1[SERVICIO],Tabla1[VALOR]*D40),0))</f>
        <v>19368.008636848015</v>
      </c>
      <c r="F40" s="77"/>
      <c r="G40" s="56" cm="1">
        <f t="array" ref="G40">IF(F40="X",(_xlfn.XLOOKUP($B40,Tabla1[SERVICIO],Tabla1[VALOR])*1),IF(F40&gt;=1,_xlfn.XLOOKUP($B40,Tabla1[SERVICIO],Tabla1[VALOR]*F40),0))</f>
        <v>0</v>
      </c>
      <c r="H40" s="77"/>
      <c r="I40" s="56" cm="1">
        <f t="array" ref="I40">IF(H40="X",(_xlfn.XLOOKUP($B40,Tabla1[SERVICIO],Tabla1[VALOR])*1),IF(H40&gt;=1,_xlfn.XLOOKUP($B40,Tabla1[SERVICIO],Tabla1[VALOR]*H40),0))</f>
        <v>0</v>
      </c>
      <c r="J40" s="77"/>
      <c r="K40" s="56" cm="1">
        <f t="array" ref="K40">IF(J40="X",(_xlfn.XLOOKUP($B40,Tabla1[SERVICIO],Tabla1[VALOR])*1),IF(J40&gt;=1,_xlfn.XLOOKUP($B40,Tabla1[SERVICIO],Tabla1[VALOR]*J40),0))</f>
        <v>0</v>
      </c>
      <c r="L40" s="77"/>
      <c r="M40" s="56" cm="1">
        <f t="array" ref="M40">IF(L40="X",(_xlfn.XLOOKUP($B40,Tabla1[SERVICIO],Tabla1[VALOR])*1),IF(L40&gt;=1,_xlfn.XLOOKUP($B40,Tabla1[SERVICIO],Tabla1[VALOR]*L40),0))</f>
        <v>0</v>
      </c>
      <c r="N40" s="77"/>
      <c r="O40" s="56" cm="1">
        <f t="array" ref="O40">IF(N40="X",(_xlfn.XLOOKUP($B40,Tabla1[SERVICIO],Tabla1[VALOR])*1),IF(N40&gt;=1,_xlfn.XLOOKUP($B40,Tabla1[SERVICIO],Tabla1[VALOR]*N40),0))</f>
        <v>0</v>
      </c>
      <c r="P40" s="77"/>
      <c r="Q40" s="56" cm="1">
        <f t="array" ref="Q40">IF(P40="X",(_xlfn.XLOOKUP($B40,Tabla1[SERVICIO],Tabla1[VALOR])*1),IF(P40&gt;=1,_xlfn.XLOOKUP($B40,Tabla1[SERVICIO],Tabla1[VALOR]*P40),0))</f>
        <v>0</v>
      </c>
      <c r="R40" s="77"/>
      <c r="S40" s="56" cm="1">
        <f t="array" ref="S40">IF(R40="X",(_xlfn.XLOOKUP($B40,Tabla1[SERVICIO],Tabla1[VALOR])*1),IF(R40&gt;=1,_xlfn.XLOOKUP($B40,Tabla1[SERVICIO],Tabla1[VALOR]*R40),0))</f>
        <v>0</v>
      </c>
      <c r="T40" s="77"/>
      <c r="U40" s="56" cm="1">
        <f t="array" ref="U40">IF(T40="X",(_xlfn.XLOOKUP($B40,Tabla1[SERVICIO],Tabla1[VALOR])*1),IF(T40&gt;=1,_xlfn.XLOOKUP($B40,Tabla1[SERVICIO],Tabla1[VALOR]*T40),0))</f>
        <v>0</v>
      </c>
      <c r="V40" s="77"/>
      <c r="W40" s="56" cm="1">
        <f t="array" ref="W40">IF(V40="X",(_xlfn.XLOOKUP($B40,Tabla1[SERVICIO],Tabla1[VALOR])*1),IF(V40&gt;=1,_xlfn.XLOOKUP($B40,Tabla1[SERVICIO],Tabla1[VALOR]*V40),0))</f>
        <v>0</v>
      </c>
      <c r="X40" s="77"/>
      <c r="Y40" s="56" cm="1">
        <f t="array" ref="Y40">IF(X40="X",(_xlfn.XLOOKUP($B40,Tabla1[SERVICIO],Tabla1[VALOR])*1),IF(X40&gt;=1,_xlfn.XLOOKUP($B40,Tabla1[SERVICIO],Tabla1[VALOR]*X40),0))</f>
        <v>0</v>
      </c>
      <c r="Z40" s="77"/>
      <c r="AA40" s="56" cm="1">
        <f t="array" ref="AA40">IF(Z40="X",(_xlfn.XLOOKUP($B40,Tabla1[SERVICIO],Tabla1[VALOR])*1),IF(Z40&gt;=1,_xlfn.XLOOKUP($B40,Tabla1[SERVICIO],Tabla1[VALOR]*Z40),0))</f>
        <v>0</v>
      </c>
      <c r="AB40" s="14"/>
      <c r="AC40" s="56" cm="1">
        <f t="array" ref="AC40">IF(AB40="X",(_xlfn.XLOOKUP($B40,Tabla1[SERVICIO],Tabla1[VALOR])*1),IF(AB40&gt;=1,_xlfn.XLOOKUP($B40,Tabla1[SERVICIO],Tabla1[VALOR]*AB40),0))</f>
        <v>0</v>
      </c>
      <c r="AD40" s="14"/>
      <c r="AE40" s="56" cm="1">
        <f t="array" ref="AE40">IF(AD40="X",(_xlfn.XLOOKUP($B40,Tabla1[SERVICIO],Tabla1[VALOR])*1),IF(AD40&gt;=1,_xlfn.XLOOKUP($B40,Tabla1[SERVICIO],Tabla1[VALOR]*AD40),0))</f>
        <v>0</v>
      </c>
      <c r="AF40" s="14"/>
      <c r="AG40" s="56" cm="1">
        <f t="array" ref="AG40">IF(AF40="X",(_xlfn.XLOOKUP($B40,Tabla1[SERVICIO],Tabla1[VALOR])*1),IF(AF40&gt;=1,_xlfn.XLOOKUP($B40,Tabla1[SERVICIO],Tabla1[VALOR]*AF40),0))</f>
        <v>0</v>
      </c>
      <c r="AH40" s="14"/>
      <c r="AI40" s="56" cm="1">
        <f t="array" ref="AI40">IF(AH40="X",(_xlfn.XLOOKUP($B40,Tabla1[SERVICIO],Tabla1[VALOR])*1),IF(AH40&gt;=1,_xlfn.XLOOKUP($B40,Tabla1[SERVICIO],Tabla1[VALOR]*AH40),0))</f>
        <v>0</v>
      </c>
      <c r="AJ40" s="14"/>
      <c r="AK40" s="56" cm="1">
        <f t="array" ref="AK40">IF(AJ40="X",(_xlfn.XLOOKUP($B40,Tabla1[SERVICIO],Tabla1[VALOR])*1),IF(AJ40&gt;=1,_xlfn.XLOOKUP($B40,Tabla1[SERVICIO],Tabla1[VALOR]*AJ40),0))</f>
        <v>0</v>
      </c>
      <c r="AL40" s="14"/>
      <c r="AM40" s="56" cm="1">
        <f t="array" ref="AM40">IF(AL40="X",(_xlfn.XLOOKUP($B40,Tabla1[SERVICIO],Tabla1[VALOR])*1),IF(AL40&gt;=1,_xlfn.XLOOKUP($B40,Tabla1[SERVICIO],Tabla1[VALOR]*AL40),0))</f>
        <v>0</v>
      </c>
      <c r="AN40" s="89">
        <f t="shared" si="1"/>
        <v>19368.008636848015</v>
      </c>
      <c r="AO40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0" s="37" t="s">
        <v>319</v>
      </c>
      <c r="AQ40" s="126">
        <v>1</v>
      </c>
      <c r="AR40" s="121">
        <f>+Tabla467892043[[#This Row],[TOTAL]]*Tabla467892043[[#This Row],[% de las personas que lo usaron]]</f>
        <v>19368.008636848015</v>
      </c>
      <c r="AS40" s="246" t="s">
        <v>355</v>
      </c>
      <c r="AT40" s="246">
        <v>18</v>
      </c>
    </row>
    <row r="41" spans="1:46" x14ac:dyDescent="0.25">
      <c r="A41" s="7" t="s">
        <v>23</v>
      </c>
      <c r="B41" s="8" t="s">
        <v>24</v>
      </c>
      <c r="C41" s="96" t="str">
        <f>_xlfn.XLOOKUP(Tabla467892043[[#This Row],[Servicios del Programa:]],Tabla151[CODIGO],Tabla151[VALOR])</f>
        <v>Terapias</v>
      </c>
      <c r="D41" s="14">
        <v>1</v>
      </c>
      <c r="E41" s="56" cm="1">
        <f t="array" ref="E41">IF(D41="X",(_xlfn.XLOOKUP($B41,Tabla1[SERVICIO],Tabla1[VALOR])*1),IF(D41&gt;=1,_xlfn.XLOOKUP($B41,Tabla1[SERVICIO],Tabla1[VALOR]*D41),0))</f>
        <v>31881.451880098426</v>
      </c>
      <c r="F41" s="77"/>
      <c r="G41" s="56" cm="1">
        <f t="array" ref="G41">IF(F41="X",(_xlfn.XLOOKUP($B41,Tabla1[SERVICIO],Tabla1[VALOR])*1),IF(F41&gt;=1,_xlfn.XLOOKUP($B41,Tabla1[SERVICIO],Tabla1[VALOR]*F41),0))</f>
        <v>0</v>
      </c>
      <c r="H41" s="77"/>
      <c r="I41" s="56" cm="1">
        <f t="array" ref="I41">IF(H41="X",(_xlfn.XLOOKUP($B41,Tabla1[SERVICIO],Tabla1[VALOR])*1),IF(H41&gt;=1,_xlfn.XLOOKUP($B41,Tabla1[SERVICIO],Tabla1[VALOR]*H41),0))</f>
        <v>0</v>
      </c>
      <c r="J41" s="77"/>
      <c r="K41" s="56" cm="1">
        <f t="array" ref="K41">IF(J41="X",(_xlfn.XLOOKUP($B41,Tabla1[SERVICIO],Tabla1[VALOR])*1),IF(J41&gt;=1,_xlfn.XLOOKUP($B41,Tabla1[SERVICIO],Tabla1[VALOR]*J41),0))</f>
        <v>0</v>
      </c>
      <c r="L41" s="77"/>
      <c r="M41" s="56" cm="1">
        <f t="array" ref="M41">IF(L41="X",(_xlfn.XLOOKUP($B41,Tabla1[SERVICIO],Tabla1[VALOR])*1),IF(L41&gt;=1,_xlfn.XLOOKUP($B41,Tabla1[SERVICIO],Tabla1[VALOR]*L41),0))</f>
        <v>0</v>
      </c>
      <c r="N41" s="77"/>
      <c r="O41" s="56" cm="1">
        <f t="array" ref="O41">IF(N41="X",(_xlfn.XLOOKUP($B41,Tabla1[SERVICIO],Tabla1[VALOR])*1),IF(N41&gt;=1,_xlfn.XLOOKUP($B41,Tabla1[SERVICIO],Tabla1[VALOR]*N41),0))</f>
        <v>0</v>
      </c>
      <c r="P41" s="77"/>
      <c r="Q41" s="56" cm="1">
        <f t="array" ref="Q41">IF(P41="X",(_xlfn.XLOOKUP($B41,Tabla1[SERVICIO],Tabla1[VALOR])*1),IF(P41&gt;=1,_xlfn.XLOOKUP($B41,Tabla1[SERVICIO],Tabla1[VALOR]*P41),0))</f>
        <v>0</v>
      </c>
      <c r="R41" s="77"/>
      <c r="S41" s="56" cm="1">
        <f t="array" ref="S41">IF(R41="X",(_xlfn.XLOOKUP($B41,Tabla1[SERVICIO],Tabla1[VALOR])*1),IF(R41&gt;=1,_xlfn.XLOOKUP($B41,Tabla1[SERVICIO],Tabla1[VALOR]*R41),0))</f>
        <v>0</v>
      </c>
      <c r="T41" s="77"/>
      <c r="U41" s="56" cm="1">
        <f t="array" ref="U41">IF(T41="X",(_xlfn.XLOOKUP($B41,Tabla1[SERVICIO],Tabla1[VALOR])*1),IF(T41&gt;=1,_xlfn.XLOOKUP($B41,Tabla1[SERVICIO],Tabla1[VALOR]*T41),0))</f>
        <v>0</v>
      </c>
      <c r="V41" s="77"/>
      <c r="W41" s="56" cm="1">
        <f t="array" ref="W41">IF(V41="X",(_xlfn.XLOOKUP($B41,Tabla1[SERVICIO],Tabla1[VALOR])*1),IF(V41&gt;=1,_xlfn.XLOOKUP($B41,Tabla1[SERVICIO],Tabla1[VALOR]*V41),0))</f>
        <v>0</v>
      </c>
      <c r="X41" s="77"/>
      <c r="Y41" s="56" cm="1">
        <f t="array" ref="Y41">IF(X41="X",(_xlfn.XLOOKUP($B41,Tabla1[SERVICIO],Tabla1[VALOR])*1),IF(X41&gt;=1,_xlfn.XLOOKUP($B41,Tabla1[SERVICIO],Tabla1[VALOR]*X41),0))</f>
        <v>0</v>
      </c>
      <c r="Z41" s="77"/>
      <c r="AA41" s="56" cm="1">
        <f t="array" ref="AA41">IF(Z41="X",(_xlfn.XLOOKUP($B41,Tabla1[SERVICIO],Tabla1[VALOR])*1),IF(Z41&gt;=1,_xlfn.XLOOKUP($B41,Tabla1[SERVICIO],Tabla1[VALOR]*Z41),0))</f>
        <v>0</v>
      </c>
      <c r="AB41" s="14"/>
      <c r="AC41" s="56" cm="1">
        <f t="array" ref="AC41">IF(AB41="X",(_xlfn.XLOOKUP($B41,Tabla1[SERVICIO],Tabla1[VALOR])*1),IF(AB41&gt;=1,_xlfn.XLOOKUP($B41,Tabla1[SERVICIO],Tabla1[VALOR]*AB41),0))</f>
        <v>0</v>
      </c>
      <c r="AD41" s="14"/>
      <c r="AE41" s="56" cm="1">
        <f t="array" ref="AE41">IF(AD41="X",(_xlfn.XLOOKUP($B41,Tabla1[SERVICIO],Tabla1[VALOR])*1),IF(AD41&gt;=1,_xlfn.XLOOKUP($B41,Tabla1[SERVICIO],Tabla1[VALOR]*AD41),0))</f>
        <v>0</v>
      </c>
      <c r="AF41" s="14"/>
      <c r="AG41" s="56" cm="1">
        <f t="array" ref="AG41">IF(AF41="X",(_xlfn.XLOOKUP($B41,Tabla1[SERVICIO],Tabla1[VALOR])*1),IF(AF41&gt;=1,_xlfn.XLOOKUP($B41,Tabla1[SERVICIO],Tabla1[VALOR]*AF41),0))</f>
        <v>0</v>
      </c>
      <c r="AH41" s="14"/>
      <c r="AI41" s="56" cm="1">
        <f t="array" ref="AI41">IF(AH41="X",(_xlfn.XLOOKUP($B41,Tabla1[SERVICIO],Tabla1[VALOR])*1),IF(AH41&gt;=1,_xlfn.XLOOKUP($B41,Tabla1[SERVICIO],Tabla1[VALOR]*AH41),0))</f>
        <v>0</v>
      </c>
      <c r="AJ41" s="14"/>
      <c r="AK41" s="56" cm="1">
        <f t="array" ref="AK41">IF(AJ41="X",(_xlfn.XLOOKUP($B41,Tabla1[SERVICIO],Tabla1[VALOR])*1),IF(AJ41&gt;=1,_xlfn.XLOOKUP($B41,Tabla1[SERVICIO],Tabla1[VALOR]*AJ41),0))</f>
        <v>0</v>
      </c>
      <c r="AL41" s="14"/>
      <c r="AM41" s="56" cm="1">
        <f t="array" ref="AM41">IF(AL41="X",(_xlfn.XLOOKUP($B41,Tabla1[SERVICIO],Tabla1[VALOR])*1),IF(AL41&gt;=1,_xlfn.XLOOKUP($B41,Tabla1[SERVICIO],Tabla1[VALOR]*AL41),0))</f>
        <v>0</v>
      </c>
      <c r="AN41" s="89">
        <f t="shared" si="1"/>
        <v>31881.451880098426</v>
      </c>
      <c r="AO41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1" s="122" t="s">
        <v>318</v>
      </c>
      <c r="AQ41" s="126">
        <v>1</v>
      </c>
      <c r="AR41" s="121">
        <f>+Tabla467892043[[#This Row],[TOTAL]]*Tabla467892043[[#This Row],[% de las personas que lo usaron]]</f>
        <v>31881.451880098426</v>
      </c>
      <c r="AS41" s="246" t="s">
        <v>355</v>
      </c>
      <c r="AT41" s="246">
        <v>18</v>
      </c>
    </row>
    <row r="42" spans="1:46" x14ac:dyDescent="0.25">
      <c r="A42" s="7" t="s">
        <v>36</v>
      </c>
      <c r="B42" s="8" t="s">
        <v>100</v>
      </c>
      <c r="C42" s="96" t="str">
        <f>_xlfn.XLOOKUP(Tabla467892043[[#This Row],[Servicios del Programa:]],Tabla151[CODIGO],Tabla151[VALOR])</f>
        <v>Terapias</v>
      </c>
      <c r="D42" s="14">
        <v>8</v>
      </c>
      <c r="E42" s="56" cm="1">
        <f t="array" ref="E42">IF(D42="X",(_xlfn.XLOOKUP($B42,Tabla1[SERVICIO],Tabla1[VALOR])*1),IF(D42&gt;=1,_xlfn.XLOOKUP($B42,Tabla1[SERVICIO],Tabla1[VALOR]*D42),0))</f>
        <v>70240.958933331596</v>
      </c>
      <c r="F42" s="77">
        <v>8</v>
      </c>
      <c r="G42" s="56" cm="1">
        <f t="array" ref="G42">IF(F42="X",(_xlfn.XLOOKUP($B42,Tabla1[SERVICIO],Tabla1[VALOR])*1),IF(F42&gt;=1,_xlfn.XLOOKUP($B42,Tabla1[SERVICIO],Tabla1[VALOR]*F42),0))</f>
        <v>70240.958933331596</v>
      </c>
      <c r="H42" s="77">
        <v>8</v>
      </c>
      <c r="I42" s="56" cm="1">
        <f t="array" ref="I42">IF(H42="X",(_xlfn.XLOOKUP($B42,Tabla1[SERVICIO],Tabla1[VALOR])*1),IF(H42&gt;=1,_xlfn.XLOOKUP($B42,Tabla1[SERVICIO],Tabla1[VALOR]*H42),0))</f>
        <v>70240.958933331596</v>
      </c>
      <c r="J42" s="77">
        <v>8</v>
      </c>
      <c r="K42" s="56" cm="1">
        <f t="array" ref="K42">IF(J42="X",(_xlfn.XLOOKUP($B42,Tabla1[SERVICIO],Tabla1[VALOR])*1),IF(J42&gt;=1,_xlfn.XLOOKUP($B42,Tabla1[SERVICIO],Tabla1[VALOR]*J42),0))</f>
        <v>70240.958933331596</v>
      </c>
      <c r="L42" s="77">
        <v>8</v>
      </c>
      <c r="M42" s="56" cm="1">
        <f t="array" ref="M42">IF(L42="X",(_xlfn.XLOOKUP($B42,Tabla1[SERVICIO],Tabla1[VALOR])*1),IF(L42&gt;=1,_xlfn.XLOOKUP($B42,Tabla1[SERVICIO],Tabla1[VALOR]*L42),0))</f>
        <v>70240.958933331596</v>
      </c>
      <c r="N42" s="77">
        <v>8</v>
      </c>
      <c r="O42" s="56" cm="1">
        <f t="array" ref="O42">IF(N42="X",(_xlfn.XLOOKUP($B42,Tabla1[SERVICIO],Tabla1[VALOR])*1),IF(N42&gt;=1,_xlfn.XLOOKUP($B42,Tabla1[SERVICIO],Tabla1[VALOR]*N42),0))</f>
        <v>70240.958933331596</v>
      </c>
      <c r="P42" s="77">
        <v>8</v>
      </c>
      <c r="Q42" s="56" cm="1">
        <f t="array" ref="Q42">IF(P42="X",(_xlfn.XLOOKUP($B42,Tabla1[SERVICIO],Tabla1[VALOR])*1),IF(P42&gt;=1,_xlfn.XLOOKUP($B42,Tabla1[SERVICIO],Tabla1[VALOR]*P42),0))</f>
        <v>70240.958933331596</v>
      </c>
      <c r="R42" s="77">
        <v>8</v>
      </c>
      <c r="S42" s="56" cm="1">
        <f t="array" ref="S42">IF(R42="X",(_xlfn.XLOOKUP($B42,Tabla1[SERVICIO],Tabla1[VALOR])*1),IF(R42&gt;=1,_xlfn.XLOOKUP($B42,Tabla1[SERVICIO],Tabla1[VALOR]*R42),0))</f>
        <v>70240.958933331596</v>
      </c>
      <c r="T42" s="77">
        <v>8</v>
      </c>
      <c r="U42" s="56" cm="1">
        <f t="array" ref="U42">IF(T42="X",(_xlfn.XLOOKUP($B42,Tabla1[SERVICIO],Tabla1[VALOR])*1),IF(T42&gt;=1,_xlfn.XLOOKUP($B42,Tabla1[SERVICIO],Tabla1[VALOR]*T42),0))</f>
        <v>70240.958933331596</v>
      </c>
      <c r="V42" s="77">
        <v>8</v>
      </c>
      <c r="W42" s="56" cm="1">
        <f t="array" ref="W42">IF(V42="X",(_xlfn.XLOOKUP($B42,Tabla1[SERVICIO],Tabla1[VALOR])*1),IF(V42&gt;=1,_xlfn.XLOOKUP($B42,Tabla1[SERVICIO],Tabla1[VALOR]*V42),0))</f>
        <v>70240.958933331596</v>
      </c>
      <c r="X42" s="77">
        <v>8</v>
      </c>
      <c r="Y42" s="56" cm="1">
        <f t="array" ref="Y42">IF(X42="X",(_xlfn.XLOOKUP($B42,Tabla1[SERVICIO],Tabla1[VALOR])*1),IF(X42&gt;=1,_xlfn.XLOOKUP($B42,Tabla1[SERVICIO],Tabla1[VALOR]*X42),0))</f>
        <v>70240.958933331596</v>
      </c>
      <c r="Z42" s="77">
        <v>8</v>
      </c>
      <c r="AA42" s="56" cm="1">
        <f t="array" ref="AA42">IF(Z42="X",(_xlfn.XLOOKUP($B42,Tabla1[SERVICIO],Tabla1[VALOR])*1),IF(Z42&gt;=1,_xlfn.XLOOKUP($B42,Tabla1[SERVICIO],Tabla1[VALOR]*Z42),0))</f>
        <v>70240.958933331596</v>
      </c>
      <c r="AB42" s="14">
        <v>8</v>
      </c>
      <c r="AC42" s="56" cm="1">
        <f t="array" ref="AC42">IF(AB42="X",(_xlfn.XLOOKUP($B42,Tabla1[SERVICIO],Tabla1[VALOR])*1),IF(AB42&gt;=1,_xlfn.XLOOKUP($B42,Tabla1[SERVICIO],Tabla1[VALOR]*AB42),0))</f>
        <v>70240.958933331596</v>
      </c>
      <c r="AD42" s="14">
        <v>8</v>
      </c>
      <c r="AE42" s="56" cm="1">
        <f t="array" ref="AE42">IF(AD42="X",(_xlfn.XLOOKUP($B42,Tabla1[SERVICIO],Tabla1[VALOR])*1),IF(AD42&gt;=1,_xlfn.XLOOKUP($B42,Tabla1[SERVICIO],Tabla1[VALOR]*AD42),0))</f>
        <v>70240.958933331596</v>
      </c>
      <c r="AF42" s="14">
        <v>8</v>
      </c>
      <c r="AG42" s="56" cm="1">
        <f t="array" ref="AG42">IF(AF42="X",(_xlfn.XLOOKUP($B42,Tabla1[SERVICIO],Tabla1[VALOR])*1),IF(AF42&gt;=1,_xlfn.XLOOKUP($B42,Tabla1[SERVICIO],Tabla1[VALOR]*AF42),0))</f>
        <v>70240.958933331596</v>
      </c>
      <c r="AH42" s="14">
        <v>8</v>
      </c>
      <c r="AI42" s="56" cm="1">
        <f t="array" ref="AI42">IF(AH42="X",(_xlfn.XLOOKUP($B42,Tabla1[SERVICIO],Tabla1[VALOR])*1),IF(AH42&gt;=1,_xlfn.XLOOKUP($B42,Tabla1[SERVICIO],Tabla1[VALOR]*AH42),0))</f>
        <v>70240.958933331596</v>
      </c>
      <c r="AJ42" s="14">
        <v>8</v>
      </c>
      <c r="AK42" s="56" cm="1">
        <f t="array" ref="AK42">IF(AJ42="X",(_xlfn.XLOOKUP($B42,Tabla1[SERVICIO],Tabla1[VALOR])*1),IF(AJ42&gt;=1,_xlfn.XLOOKUP($B42,Tabla1[SERVICIO],Tabla1[VALOR]*AJ42),0))</f>
        <v>70240.958933331596</v>
      </c>
      <c r="AL42" s="14">
        <v>8</v>
      </c>
      <c r="AM42" s="56" cm="1">
        <f t="array" ref="AM42">IF(AL42="X",(_xlfn.XLOOKUP($B42,Tabla1[SERVICIO],Tabla1[VALOR])*1),IF(AL42&gt;=1,_xlfn.XLOOKUP($B42,Tabla1[SERVICIO],Tabla1[VALOR]*AL42),0))</f>
        <v>70240.958933331596</v>
      </c>
      <c r="AN42" s="89">
        <f t="shared" si="1"/>
        <v>1264337.2607999684</v>
      </c>
      <c r="AO42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144</v>
      </c>
      <c r="AP42" s="122" t="s">
        <v>318</v>
      </c>
      <c r="AQ42" s="126">
        <v>1</v>
      </c>
      <c r="AR42" s="121">
        <f>+Tabla467892043[[#This Row],[TOTAL]]*Tabla467892043[[#This Row],[% de las personas que lo usaron]]</f>
        <v>1264337.2607999684</v>
      </c>
      <c r="AS42" s="246" t="s">
        <v>355</v>
      </c>
      <c r="AT42" s="246">
        <v>18</v>
      </c>
    </row>
    <row r="43" spans="1:46" x14ac:dyDescent="0.25">
      <c r="A43" s="7" t="s">
        <v>11</v>
      </c>
      <c r="B43" s="8" t="s">
        <v>122</v>
      </c>
      <c r="C43" s="96" t="str">
        <f>_xlfn.XLOOKUP(Tabla467892043[[#This Row],[Servicios del Programa:]],Tabla151[CODIGO],Tabla151[VALOR])</f>
        <v>Educacion</v>
      </c>
      <c r="D43" s="14">
        <v>2</v>
      </c>
      <c r="E43" s="56" cm="1">
        <f t="array" ref="E43">IF(D43="X",(_xlfn.XLOOKUP($B43,Tabla1[SERVICIO],Tabla1[VALOR])*1),IF(D43&gt;=1,_xlfn.XLOOKUP($B43,Tabla1[SERVICIO],Tabla1[VALOR]*D43),0))</f>
        <v>25486.843284439274</v>
      </c>
      <c r="F43" s="77">
        <v>2</v>
      </c>
      <c r="G43" s="56" cm="1">
        <f t="array" ref="G43">IF(F43="X",(_xlfn.XLOOKUP($B43,Tabla1[SERVICIO],Tabla1[VALOR])*1),IF(F43&gt;=1,_xlfn.XLOOKUP($B43,Tabla1[SERVICIO],Tabla1[VALOR]*F43),0))</f>
        <v>25486.843284439274</v>
      </c>
      <c r="H43" s="77">
        <v>2</v>
      </c>
      <c r="I43" s="56" cm="1">
        <f t="array" ref="I43">IF(H43="X",(_xlfn.XLOOKUP($B43,Tabla1[SERVICIO],Tabla1[VALOR])*1),IF(H43&gt;=1,_xlfn.XLOOKUP($B43,Tabla1[SERVICIO],Tabla1[VALOR]*H43),0))</f>
        <v>25486.843284439274</v>
      </c>
      <c r="J43" s="77">
        <v>2</v>
      </c>
      <c r="K43" s="56" cm="1">
        <f t="array" ref="K43">IF(J43="X",(_xlfn.XLOOKUP($B43,Tabla1[SERVICIO],Tabla1[VALOR])*1),IF(J43&gt;=1,_xlfn.XLOOKUP($B43,Tabla1[SERVICIO],Tabla1[VALOR]*J43),0))</f>
        <v>25486.843284439274</v>
      </c>
      <c r="L43" s="77">
        <v>2</v>
      </c>
      <c r="M43" s="56" cm="1">
        <f t="array" ref="M43">IF(L43="X",(_xlfn.XLOOKUP($B43,Tabla1[SERVICIO],Tabla1[VALOR])*1),IF(L43&gt;=1,_xlfn.XLOOKUP($B43,Tabla1[SERVICIO],Tabla1[VALOR]*L43),0))</f>
        <v>25486.843284439274</v>
      </c>
      <c r="N43" s="77">
        <v>2</v>
      </c>
      <c r="O43" s="56" cm="1">
        <f t="array" ref="O43">IF(N43="X",(_xlfn.XLOOKUP($B43,Tabla1[SERVICIO],Tabla1[VALOR])*1),IF(N43&gt;=1,_xlfn.XLOOKUP($B43,Tabla1[SERVICIO],Tabla1[VALOR]*N43),0))</f>
        <v>25486.843284439274</v>
      </c>
      <c r="P43" s="77">
        <v>2</v>
      </c>
      <c r="Q43" s="56" cm="1">
        <f t="array" ref="Q43">IF(P43="X",(_xlfn.XLOOKUP($B43,Tabla1[SERVICIO],Tabla1[VALOR])*1),IF(P43&gt;=1,_xlfn.XLOOKUP($B43,Tabla1[SERVICIO],Tabla1[VALOR]*P43),0))</f>
        <v>25486.843284439274</v>
      </c>
      <c r="R43" s="77">
        <v>2</v>
      </c>
      <c r="S43" s="56" cm="1">
        <f t="array" ref="S43">IF(R43="X",(_xlfn.XLOOKUP($B43,Tabla1[SERVICIO],Tabla1[VALOR])*1),IF(R43&gt;=1,_xlfn.XLOOKUP($B43,Tabla1[SERVICIO],Tabla1[VALOR]*R43),0))</f>
        <v>25486.843284439274</v>
      </c>
      <c r="T43" s="77">
        <v>2</v>
      </c>
      <c r="U43" s="56" cm="1">
        <f t="array" ref="U43">IF(T43="X",(_xlfn.XLOOKUP($B43,Tabla1[SERVICIO],Tabla1[VALOR])*1),IF(T43&gt;=1,_xlfn.XLOOKUP($B43,Tabla1[SERVICIO],Tabla1[VALOR]*T43),0))</f>
        <v>25486.843284439274</v>
      </c>
      <c r="V43" s="77">
        <v>2</v>
      </c>
      <c r="W43" s="56" cm="1">
        <f t="array" ref="W43">IF(V43="X",(_xlfn.XLOOKUP($B43,Tabla1[SERVICIO],Tabla1[VALOR])*1),IF(V43&gt;=1,_xlfn.XLOOKUP($B43,Tabla1[SERVICIO],Tabla1[VALOR]*V43),0))</f>
        <v>25486.843284439274</v>
      </c>
      <c r="X43" s="77">
        <v>2</v>
      </c>
      <c r="Y43" s="56" cm="1">
        <f t="array" ref="Y43">IF(X43="X",(_xlfn.XLOOKUP($B43,Tabla1[SERVICIO],Tabla1[VALOR])*1),IF(X43&gt;=1,_xlfn.XLOOKUP($B43,Tabla1[SERVICIO],Tabla1[VALOR]*X43),0))</f>
        <v>25486.843284439274</v>
      </c>
      <c r="Z43" s="77">
        <v>2</v>
      </c>
      <c r="AA43" s="56" cm="1">
        <f t="array" ref="AA43">IF(Z43="X",(_xlfn.XLOOKUP($B43,Tabla1[SERVICIO],Tabla1[VALOR])*1),IF(Z43&gt;=1,_xlfn.XLOOKUP($B43,Tabla1[SERVICIO],Tabla1[VALOR]*Z43),0))</f>
        <v>25486.843284439274</v>
      </c>
      <c r="AB43" s="14">
        <v>2</v>
      </c>
      <c r="AC43" s="56" cm="1">
        <f t="array" ref="AC43">IF(AB43="X",(_xlfn.XLOOKUP($B43,Tabla1[SERVICIO],Tabla1[VALOR])*1),IF(AB43&gt;=1,_xlfn.XLOOKUP($B43,Tabla1[SERVICIO],Tabla1[VALOR]*AB43),0))</f>
        <v>25486.843284439274</v>
      </c>
      <c r="AD43" s="14">
        <v>2</v>
      </c>
      <c r="AE43" s="56" cm="1">
        <f t="array" ref="AE43">IF(AD43="X",(_xlfn.XLOOKUP($B43,Tabla1[SERVICIO],Tabla1[VALOR])*1),IF(AD43&gt;=1,_xlfn.XLOOKUP($B43,Tabla1[SERVICIO],Tabla1[VALOR]*AD43),0))</f>
        <v>25486.843284439274</v>
      </c>
      <c r="AF43" s="14">
        <v>2</v>
      </c>
      <c r="AG43" s="56" cm="1">
        <f t="array" ref="AG43">IF(AF43="X",(_xlfn.XLOOKUP($B43,Tabla1[SERVICIO],Tabla1[VALOR])*1),IF(AF43&gt;=1,_xlfn.XLOOKUP($B43,Tabla1[SERVICIO],Tabla1[VALOR]*AF43),0))</f>
        <v>25486.843284439274</v>
      </c>
      <c r="AH43" s="14">
        <v>2</v>
      </c>
      <c r="AI43" s="56" cm="1">
        <f t="array" ref="AI43">IF(AH43="X",(_xlfn.XLOOKUP($B43,Tabla1[SERVICIO],Tabla1[VALOR])*1),IF(AH43&gt;=1,_xlfn.XLOOKUP($B43,Tabla1[SERVICIO],Tabla1[VALOR]*AH43),0))</f>
        <v>25486.843284439274</v>
      </c>
      <c r="AJ43" s="14">
        <v>2</v>
      </c>
      <c r="AK43" s="56" cm="1">
        <f t="array" ref="AK43">IF(AJ43="X",(_xlfn.XLOOKUP($B43,Tabla1[SERVICIO],Tabla1[VALOR])*1),IF(AJ43&gt;=1,_xlfn.XLOOKUP($B43,Tabla1[SERVICIO],Tabla1[VALOR]*AJ43),0))</f>
        <v>25486.843284439274</v>
      </c>
      <c r="AL43" s="14">
        <v>2</v>
      </c>
      <c r="AM43" s="56" cm="1">
        <f t="array" ref="AM43">IF(AL43="X",(_xlfn.XLOOKUP($B43,Tabla1[SERVICIO],Tabla1[VALOR])*1),IF(AL43&gt;=1,_xlfn.XLOOKUP($B43,Tabla1[SERVICIO],Tabla1[VALOR]*AL43),0))</f>
        <v>25486.843284439274</v>
      </c>
      <c r="AN43" s="89">
        <f t="shared" si="1"/>
        <v>458763.17911990703</v>
      </c>
      <c r="AO43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36</v>
      </c>
      <c r="AP43" s="122" t="s">
        <v>318</v>
      </c>
      <c r="AQ43" s="126">
        <v>1</v>
      </c>
      <c r="AR43" s="121">
        <f>+Tabla467892043[[#This Row],[TOTAL]]*Tabla467892043[[#This Row],[% de las personas que lo usaron]]</f>
        <v>458763.17911990703</v>
      </c>
      <c r="AS43" s="246" t="s">
        <v>355</v>
      </c>
      <c r="AT43" s="246">
        <v>18</v>
      </c>
    </row>
    <row r="44" spans="1:46" x14ac:dyDescent="0.25">
      <c r="A44" s="7" t="s">
        <v>19</v>
      </c>
      <c r="B44" s="8" t="s">
        <v>20</v>
      </c>
      <c r="C44" s="96" t="str">
        <f>_xlfn.XLOOKUP(Tabla467892043[[#This Row],[Servicios del Programa:]],Tabla151[CODIGO],Tabla151[VALOR])</f>
        <v>Consultas</v>
      </c>
      <c r="D44" s="14">
        <v>1</v>
      </c>
      <c r="E44" s="56" cm="1">
        <f t="array" ref="E44">IF(D44="X",(_xlfn.XLOOKUP($B44,Tabla1[SERVICIO],Tabla1[VALOR])*1),IF(D44&gt;=1,_xlfn.XLOOKUP($B44,Tabla1[SERVICIO],Tabla1[VALOR]*D44),0))</f>
        <v>67398.098568534639</v>
      </c>
      <c r="F44" s="77"/>
      <c r="G44" s="56" cm="1">
        <f t="array" ref="G44">IF(F44="X",(_xlfn.XLOOKUP($B44,Tabla1[SERVICIO],Tabla1[VALOR])*1),IF(F44&gt;=1,_xlfn.XLOOKUP($B44,Tabla1[SERVICIO],Tabla1[VALOR]*F44),0))</f>
        <v>0</v>
      </c>
      <c r="H44" s="77"/>
      <c r="I44" s="56" cm="1">
        <f t="array" ref="I44">IF(H44="X",(_xlfn.XLOOKUP($B44,Tabla1[SERVICIO],Tabla1[VALOR])*1),IF(H44&gt;=1,_xlfn.XLOOKUP($B44,Tabla1[SERVICIO],Tabla1[VALOR]*H44),0))</f>
        <v>0</v>
      </c>
      <c r="J44" s="77"/>
      <c r="K44" s="56" cm="1">
        <f t="array" ref="K44">IF(J44="X",(_xlfn.XLOOKUP($B44,Tabla1[SERVICIO],Tabla1[VALOR])*1),IF(J44&gt;=1,_xlfn.XLOOKUP($B44,Tabla1[SERVICIO],Tabla1[VALOR]*J44),0))</f>
        <v>0</v>
      </c>
      <c r="L44" s="77"/>
      <c r="M44" s="56" cm="1">
        <f t="array" ref="M44">IF(L44="X",(_xlfn.XLOOKUP($B44,Tabla1[SERVICIO],Tabla1[VALOR])*1),IF(L44&gt;=1,_xlfn.XLOOKUP($B44,Tabla1[SERVICIO],Tabla1[VALOR]*L44),0))</f>
        <v>0</v>
      </c>
      <c r="N44" s="77"/>
      <c r="O44" s="56" cm="1">
        <f t="array" ref="O44">IF(N44="X",(_xlfn.XLOOKUP($B44,Tabla1[SERVICIO],Tabla1[VALOR])*1),IF(N44&gt;=1,_xlfn.XLOOKUP($B44,Tabla1[SERVICIO],Tabla1[VALOR]*N44),0))</f>
        <v>0</v>
      </c>
      <c r="P44" s="77"/>
      <c r="Q44" s="56" cm="1">
        <f t="array" ref="Q44">IF(P44="X",(_xlfn.XLOOKUP($B44,Tabla1[SERVICIO],Tabla1[VALOR])*1),IF(P44&gt;=1,_xlfn.XLOOKUP($B44,Tabla1[SERVICIO],Tabla1[VALOR]*P44),0))</f>
        <v>0</v>
      </c>
      <c r="R44" s="77"/>
      <c r="S44" s="56" cm="1">
        <f t="array" ref="S44">IF(R44="X",(_xlfn.XLOOKUP($B44,Tabla1[SERVICIO],Tabla1[VALOR])*1),IF(R44&gt;=1,_xlfn.XLOOKUP($B44,Tabla1[SERVICIO],Tabla1[VALOR]*R44),0))</f>
        <v>0</v>
      </c>
      <c r="T44" s="77"/>
      <c r="U44" s="56" cm="1">
        <f t="array" ref="U44">IF(T44="X",(_xlfn.XLOOKUP($B44,Tabla1[SERVICIO],Tabla1[VALOR])*1),IF(T44&gt;=1,_xlfn.XLOOKUP($B44,Tabla1[SERVICIO],Tabla1[VALOR]*T44),0))</f>
        <v>0</v>
      </c>
      <c r="V44" s="77"/>
      <c r="W44" s="56" cm="1">
        <f t="array" ref="W44">IF(V44="X",(_xlfn.XLOOKUP($B44,Tabla1[SERVICIO],Tabla1[VALOR])*1),IF(V44&gt;=1,_xlfn.XLOOKUP($B44,Tabla1[SERVICIO],Tabla1[VALOR]*V44),0))</f>
        <v>0</v>
      </c>
      <c r="X44" s="77"/>
      <c r="Y44" s="56" cm="1">
        <f t="array" ref="Y44">IF(X44="X",(_xlfn.XLOOKUP($B44,Tabla1[SERVICIO],Tabla1[VALOR])*1),IF(X44&gt;=1,_xlfn.XLOOKUP($B44,Tabla1[SERVICIO],Tabla1[VALOR]*X44),0))</f>
        <v>0</v>
      </c>
      <c r="Z44" s="77"/>
      <c r="AA44" s="56" cm="1">
        <f t="array" ref="AA44">IF(Z44="X",(_xlfn.XLOOKUP($B44,Tabla1[SERVICIO],Tabla1[VALOR])*1),IF(Z44&gt;=1,_xlfn.XLOOKUP($B44,Tabla1[SERVICIO],Tabla1[VALOR]*Z44),0))</f>
        <v>0</v>
      </c>
      <c r="AB44" s="14"/>
      <c r="AC44" s="56" cm="1">
        <f t="array" ref="AC44">IF(AB44="X",(_xlfn.XLOOKUP($B44,Tabla1[SERVICIO],Tabla1[VALOR])*1),IF(AB44&gt;=1,_xlfn.XLOOKUP($B44,Tabla1[SERVICIO],Tabla1[VALOR]*AB44),0))</f>
        <v>0</v>
      </c>
      <c r="AD44" s="14"/>
      <c r="AE44" s="56" cm="1">
        <f t="array" ref="AE44">IF(AD44="X",(_xlfn.XLOOKUP($B44,Tabla1[SERVICIO],Tabla1[VALOR])*1),IF(AD44&gt;=1,_xlfn.XLOOKUP($B44,Tabla1[SERVICIO],Tabla1[VALOR]*AD44),0))</f>
        <v>0</v>
      </c>
      <c r="AF44" s="14"/>
      <c r="AG44" s="56" cm="1">
        <f t="array" ref="AG44">IF(AF44="X",(_xlfn.XLOOKUP($B44,Tabla1[SERVICIO],Tabla1[VALOR])*1),IF(AF44&gt;=1,_xlfn.XLOOKUP($B44,Tabla1[SERVICIO],Tabla1[VALOR]*AF44),0))</f>
        <v>0</v>
      </c>
      <c r="AH44" s="14"/>
      <c r="AI44" s="56" cm="1">
        <f t="array" ref="AI44">IF(AH44="X",(_xlfn.XLOOKUP($B44,Tabla1[SERVICIO],Tabla1[VALOR])*1),IF(AH44&gt;=1,_xlfn.XLOOKUP($B44,Tabla1[SERVICIO],Tabla1[VALOR]*AH44),0))</f>
        <v>0</v>
      </c>
      <c r="AJ44" s="14"/>
      <c r="AK44" s="56" cm="1">
        <f t="array" ref="AK44">IF(AJ44="X",(_xlfn.XLOOKUP($B44,Tabla1[SERVICIO],Tabla1[VALOR])*1),IF(AJ44&gt;=1,_xlfn.XLOOKUP($B44,Tabla1[SERVICIO],Tabla1[VALOR]*AJ44),0))</f>
        <v>0</v>
      </c>
      <c r="AL44" s="14"/>
      <c r="AM44" s="56" cm="1">
        <f t="array" ref="AM44">IF(AL44="X",(_xlfn.XLOOKUP($B44,Tabla1[SERVICIO],Tabla1[VALOR])*1),IF(AL44&gt;=1,_xlfn.XLOOKUP($B44,Tabla1[SERVICIO],Tabla1[VALOR]*AL44),0))</f>
        <v>0</v>
      </c>
      <c r="AN44" s="89">
        <f t="shared" si="1"/>
        <v>67398.098568534639</v>
      </c>
      <c r="AO44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4" s="37" t="s">
        <v>319</v>
      </c>
      <c r="AQ44" s="126">
        <v>0.10714285714285714</v>
      </c>
      <c r="AR44" s="121">
        <f>+Tabla467892043[[#This Row],[TOTAL]]*Tabla467892043[[#This Row],[% de las personas que lo usaron]]</f>
        <v>7221.224846628711</v>
      </c>
      <c r="AS44" s="246" t="s">
        <v>355</v>
      </c>
      <c r="AT44" s="246">
        <v>18</v>
      </c>
    </row>
    <row r="45" spans="1:46" x14ac:dyDescent="0.25">
      <c r="A45" s="7" t="s">
        <v>21</v>
      </c>
      <c r="B45" s="8" t="s">
        <v>221</v>
      </c>
      <c r="C45" s="96" t="str">
        <f>_xlfn.XLOOKUP(Tabla467892043[[#This Row],[Servicios del Programa:]],Tabla151[CODIGO],Tabla151[VALOR])</f>
        <v>Consultas</v>
      </c>
      <c r="D45" s="14">
        <v>1</v>
      </c>
      <c r="E45" s="56" cm="1">
        <f t="array" ref="E45">IF(D45="X",(_xlfn.XLOOKUP($B45,Tabla1[SERVICIO],Tabla1[VALOR])*1),IF(D45&gt;=1,_xlfn.XLOOKUP($B45,Tabla1[SERVICIO],Tabla1[VALOR]*D45),0))</f>
        <v>67398.098568534639</v>
      </c>
      <c r="F45" s="77"/>
      <c r="G45" s="56" cm="1">
        <f t="array" ref="G45">IF(F45="X",(_xlfn.XLOOKUP($B45,Tabla1[SERVICIO],Tabla1[VALOR])*1),IF(F45&gt;=1,_xlfn.XLOOKUP($B45,Tabla1[SERVICIO],Tabla1[VALOR]*F45),0))</f>
        <v>0</v>
      </c>
      <c r="H45" s="77"/>
      <c r="I45" s="56" cm="1">
        <f t="array" ref="I45">IF(H45="X",(_xlfn.XLOOKUP($B45,Tabla1[SERVICIO],Tabla1[VALOR])*1),IF(H45&gt;=1,_xlfn.XLOOKUP($B45,Tabla1[SERVICIO],Tabla1[VALOR]*H45),0))</f>
        <v>0</v>
      </c>
      <c r="J45" s="77"/>
      <c r="K45" s="56" cm="1">
        <f t="array" ref="K45">IF(J45="X",(_xlfn.XLOOKUP($B45,Tabla1[SERVICIO],Tabla1[VALOR])*1),IF(J45&gt;=1,_xlfn.XLOOKUP($B45,Tabla1[SERVICIO],Tabla1[VALOR]*J45),0))</f>
        <v>0</v>
      </c>
      <c r="L45" s="77"/>
      <c r="M45" s="56" cm="1">
        <f t="array" ref="M45">IF(L45="X",(_xlfn.XLOOKUP($B45,Tabla1[SERVICIO],Tabla1[VALOR])*1),IF(L45&gt;=1,_xlfn.XLOOKUP($B45,Tabla1[SERVICIO],Tabla1[VALOR]*L45),0))</f>
        <v>0</v>
      </c>
      <c r="N45" s="77"/>
      <c r="O45" s="56" cm="1">
        <f t="array" ref="O45">IF(N45="X",(_xlfn.XLOOKUP($B45,Tabla1[SERVICIO],Tabla1[VALOR])*1),IF(N45&gt;=1,_xlfn.XLOOKUP($B45,Tabla1[SERVICIO],Tabla1[VALOR]*N45),0))</f>
        <v>0</v>
      </c>
      <c r="P45" s="77"/>
      <c r="Q45" s="56" cm="1">
        <f t="array" ref="Q45">IF(P45="X",(_xlfn.XLOOKUP($B45,Tabla1[SERVICIO],Tabla1[VALOR])*1),IF(P45&gt;=1,_xlfn.XLOOKUP($B45,Tabla1[SERVICIO],Tabla1[VALOR]*P45),0))</f>
        <v>0</v>
      </c>
      <c r="R45" s="77"/>
      <c r="S45" s="56" cm="1">
        <f t="array" ref="S45">IF(R45="X",(_xlfn.XLOOKUP($B45,Tabla1[SERVICIO],Tabla1[VALOR])*1),IF(R45&gt;=1,_xlfn.XLOOKUP($B45,Tabla1[SERVICIO],Tabla1[VALOR]*R45),0))</f>
        <v>0</v>
      </c>
      <c r="T45" s="77"/>
      <c r="U45" s="56" cm="1">
        <f t="array" ref="U45">IF(T45="X",(_xlfn.XLOOKUP($B45,Tabla1[SERVICIO],Tabla1[VALOR])*1),IF(T45&gt;=1,_xlfn.XLOOKUP($B45,Tabla1[SERVICIO],Tabla1[VALOR]*T45),0))</f>
        <v>0</v>
      </c>
      <c r="V45" s="77"/>
      <c r="W45" s="56" cm="1">
        <f t="array" ref="W45">IF(V45="X",(_xlfn.XLOOKUP($B45,Tabla1[SERVICIO],Tabla1[VALOR])*1),IF(V45&gt;=1,_xlfn.XLOOKUP($B45,Tabla1[SERVICIO],Tabla1[VALOR]*V45),0))</f>
        <v>0</v>
      </c>
      <c r="X45" s="77"/>
      <c r="Y45" s="56" cm="1">
        <f t="array" ref="Y45">IF(X45="X",(_xlfn.XLOOKUP($B45,Tabla1[SERVICIO],Tabla1[VALOR])*1),IF(X45&gt;=1,_xlfn.XLOOKUP($B45,Tabla1[SERVICIO],Tabla1[VALOR]*X45),0))</f>
        <v>0</v>
      </c>
      <c r="Z45" s="77"/>
      <c r="AA45" s="56" cm="1">
        <f t="array" ref="AA45">IF(Z45="X",(_xlfn.XLOOKUP($B45,Tabla1[SERVICIO],Tabla1[VALOR])*1),IF(Z45&gt;=1,_xlfn.XLOOKUP($B45,Tabla1[SERVICIO],Tabla1[VALOR]*Z45),0))</f>
        <v>0</v>
      </c>
      <c r="AB45" s="14"/>
      <c r="AC45" s="56" cm="1">
        <f t="array" ref="AC45">IF(AB45="X",(_xlfn.XLOOKUP($B45,Tabla1[SERVICIO],Tabla1[VALOR])*1),IF(AB45&gt;=1,_xlfn.XLOOKUP($B45,Tabla1[SERVICIO],Tabla1[VALOR]*AB45),0))</f>
        <v>0</v>
      </c>
      <c r="AD45" s="14"/>
      <c r="AE45" s="56" cm="1">
        <f t="array" ref="AE45">IF(AD45="X",(_xlfn.XLOOKUP($B45,Tabla1[SERVICIO],Tabla1[VALOR])*1),IF(AD45&gt;=1,_xlfn.XLOOKUP($B45,Tabla1[SERVICIO],Tabla1[VALOR]*AD45),0))</f>
        <v>0</v>
      </c>
      <c r="AF45" s="14"/>
      <c r="AG45" s="56" cm="1">
        <f t="array" ref="AG45">IF(AF45="X",(_xlfn.XLOOKUP($B45,Tabla1[SERVICIO],Tabla1[VALOR])*1),IF(AF45&gt;=1,_xlfn.XLOOKUP($B45,Tabla1[SERVICIO],Tabla1[VALOR]*AF45),0))</f>
        <v>0</v>
      </c>
      <c r="AH45" s="14"/>
      <c r="AI45" s="56" cm="1">
        <f t="array" ref="AI45">IF(AH45="X",(_xlfn.XLOOKUP($B45,Tabla1[SERVICIO],Tabla1[VALOR])*1),IF(AH45&gt;=1,_xlfn.XLOOKUP($B45,Tabla1[SERVICIO],Tabla1[VALOR]*AH45),0))</f>
        <v>0</v>
      </c>
      <c r="AJ45" s="14"/>
      <c r="AK45" s="56" cm="1">
        <f t="array" ref="AK45">IF(AJ45="X",(_xlfn.XLOOKUP($B45,Tabla1[SERVICIO],Tabla1[VALOR])*1),IF(AJ45&gt;=1,_xlfn.XLOOKUP($B45,Tabla1[SERVICIO],Tabla1[VALOR]*AJ45),0))</f>
        <v>0</v>
      </c>
      <c r="AL45" s="14"/>
      <c r="AM45" s="56" cm="1">
        <f t="array" ref="AM45">IF(AL45="X",(_xlfn.XLOOKUP($B45,Tabla1[SERVICIO],Tabla1[VALOR])*1),IF(AL45&gt;=1,_xlfn.XLOOKUP($B45,Tabla1[SERVICIO],Tabla1[VALOR]*AL45),0))</f>
        <v>0</v>
      </c>
      <c r="AN45" s="89">
        <f t="shared" si="1"/>
        <v>67398.098568534639</v>
      </c>
      <c r="AO45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5" s="37" t="s">
        <v>319</v>
      </c>
      <c r="AQ45" s="126">
        <v>1</v>
      </c>
      <c r="AR45" s="121">
        <f>+Tabla467892043[[#This Row],[TOTAL]]*Tabla467892043[[#This Row],[% de las personas que lo usaron]]</f>
        <v>67398.098568534639</v>
      </c>
      <c r="AS45" s="246" t="s">
        <v>355</v>
      </c>
      <c r="AT45" s="246">
        <v>18</v>
      </c>
    </row>
    <row r="46" spans="1:46" x14ac:dyDescent="0.25">
      <c r="A46" s="7" t="s">
        <v>34</v>
      </c>
      <c r="B46" s="8" t="s">
        <v>35</v>
      </c>
      <c r="C46" s="96" t="str">
        <f>_xlfn.XLOOKUP(Tabla467892043[[#This Row],[Servicios del Programa:]],Tabla151[CODIGO],Tabla151[VALOR])</f>
        <v>Consultas</v>
      </c>
      <c r="D46" s="14">
        <v>1</v>
      </c>
      <c r="E46" s="56" cm="1">
        <f t="array" ref="E46">IF(D46="X",(_xlfn.XLOOKUP($B46,Tabla1[SERVICIO],Tabla1[VALOR])*1),IF(D46&gt;=1,_xlfn.XLOOKUP($B46,Tabla1[SERVICIO],Tabla1[VALOR]*D46),0))</f>
        <v>24009.730401318589</v>
      </c>
      <c r="F46" s="77"/>
      <c r="G46" s="56" cm="1">
        <f t="array" ref="G46">IF(F46="X",(_xlfn.XLOOKUP($B46,Tabla1[SERVICIO],Tabla1[VALOR])*1),IF(F46&gt;=1,_xlfn.XLOOKUP($B46,Tabla1[SERVICIO],Tabla1[VALOR]*F46),0))</f>
        <v>0</v>
      </c>
      <c r="H46" s="77"/>
      <c r="I46" s="56" cm="1">
        <f t="array" ref="I46">IF(H46="X",(_xlfn.XLOOKUP($B46,Tabla1[SERVICIO],Tabla1[VALOR])*1),IF(H46&gt;=1,_xlfn.XLOOKUP($B46,Tabla1[SERVICIO],Tabla1[VALOR]*H46),0))</f>
        <v>0</v>
      </c>
      <c r="J46" s="77"/>
      <c r="K46" s="56" cm="1">
        <f t="array" ref="K46">IF(J46="X",(_xlfn.XLOOKUP($B46,Tabla1[SERVICIO],Tabla1[VALOR])*1),IF(J46&gt;=1,_xlfn.XLOOKUP($B46,Tabla1[SERVICIO],Tabla1[VALOR]*J46),0))</f>
        <v>0</v>
      </c>
      <c r="L46" s="77"/>
      <c r="M46" s="56" cm="1">
        <f t="array" ref="M46">IF(L46="X",(_xlfn.XLOOKUP($B46,Tabla1[SERVICIO],Tabla1[VALOR])*1),IF(L46&gt;=1,_xlfn.XLOOKUP($B46,Tabla1[SERVICIO],Tabla1[VALOR]*L46),0))</f>
        <v>0</v>
      </c>
      <c r="N46" s="77"/>
      <c r="O46" s="56" cm="1">
        <f t="array" ref="O46">IF(N46="X",(_xlfn.XLOOKUP($B46,Tabla1[SERVICIO],Tabla1[VALOR])*1),IF(N46&gt;=1,_xlfn.XLOOKUP($B46,Tabla1[SERVICIO],Tabla1[VALOR]*N46),0))</f>
        <v>0</v>
      </c>
      <c r="P46" s="77"/>
      <c r="Q46" s="56" cm="1">
        <f t="array" ref="Q46">IF(P46="X",(_xlfn.XLOOKUP($B46,Tabla1[SERVICIO],Tabla1[VALOR])*1),IF(P46&gt;=1,_xlfn.XLOOKUP($B46,Tabla1[SERVICIO],Tabla1[VALOR]*P46),0))</f>
        <v>0</v>
      </c>
      <c r="R46" s="77"/>
      <c r="S46" s="56" cm="1">
        <f t="array" ref="S46">IF(R46="X",(_xlfn.XLOOKUP($B46,Tabla1[SERVICIO],Tabla1[VALOR])*1),IF(R46&gt;=1,_xlfn.XLOOKUP($B46,Tabla1[SERVICIO],Tabla1[VALOR]*R46),0))</f>
        <v>0</v>
      </c>
      <c r="T46" s="77"/>
      <c r="U46" s="56" cm="1">
        <f t="array" ref="U46">IF(T46="X",(_xlfn.XLOOKUP($B46,Tabla1[SERVICIO],Tabla1[VALOR])*1),IF(T46&gt;=1,_xlfn.XLOOKUP($B46,Tabla1[SERVICIO],Tabla1[VALOR]*T46),0))</f>
        <v>0</v>
      </c>
      <c r="V46" s="77"/>
      <c r="W46" s="56" cm="1">
        <f t="array" ref="W46">IF(V46="X",(_xlfn.XLOOKUP($B46,Tabla1[SERVICIO],Tabla1[VALOR])*1),IF(V46&gt;=1,_xlfn.XLOOKUP($B46,Tabla1[SERVICIO],Tabla1[VALOR]*V46),0))</f>
        <v>0</v>
      </c>
      <c r="X46" s="77"/>
      <c r="Y46" s="56" cm="1">
        <f t="array" ref="Y46">IF(X46="X",(_xlfn.XLOOKUP($B46,Tabla1[SERVICIO],Tabla1[VALOR])*1),IF(X46&gt;=1,_xlfn.XLOOKUP($B46,Tabla1[SERVICIO],Tabla1[VALOR]*X46),0))</f>
        <v>0</v>
      </c>
      <c r="Z46" s="77"/>
      <c r="AA46" s="56" cm="1">
        <f t="array" ref="AA46">IF(Z46="X",(_xlfn.XLOOKUP($B46,Tabla1[SERVICIO],Tabla1[VALOR])*1),IF(Z46&gt;=1,_xlfn.XLOOKUP($B46,Tabla1[SERVICIO],Tabla1[VALOR]*Z46),0))</f>
        <v>0</v>
      </c>
      <c r="AB46" s="14"/>
      <c r="AC46" s="56" cm="1">
        <f t="array" ref="AC46">IF(AB46="X",(_xlfn.XLOOKUP($B46,Tabla1[SERVICIO],Tabla1[VALOR])*1),IF(AB46&gt;=1,_xlfn.XLOOKUP($B46,Tabla1[SERVICIO],Tabla1[VALOR]*AB46),0))</f>
        <v>0</v>
      </c>
      <c r="AD46" s="14"/>
      <c r="AE46" s="56" cm="1">
        <f t="array" ref="AE46">IF(AD46="X",(_xlfn.XLOOKUP($B46,Tabla1[SERVICIO],Tabla1[VALOR])*1),IF(AD46&gt;=1,_xlfn.XLOOKUP($B46,Tabla1[SERVICIO],Tabla1[VALOR]*AD46),0))</f>
        <v>0</v>
      </c>
      <c r="AF46" s="14"/>
      <c r="AG46" s="56" cm="1">
        <f t="array" ref="AG46">IF(AF46="X",(_xlfn.XLOOKUP($B46,Tabla1[SERVICIO],Tabla1[VALOR])*1),IF(AF46&gt;=1,_xlfn.XLOOKUP($B46,Tabla1[SERVICIO],Tabla1[VALOR]*AF46),0))</f>
        <v>0</v>
      </c>
      <c r="AH46" s="14"/>
      <c r="AI46" s="56" cm="1">
        <f t="array" ref="AI46">IF(AH46="X",(_xlfn.XLOOKUP($B46,Tabla1[SERVICIO],Tabla1[VALOR])*1),IF(AH46&gt;=1,_xlfn.XLOOKUP($B46,Tabla1[SERVICIO],Tabla1[VALOR]*AH46),0))</f>
        <v>0</v>
      </c>
      <c r="AJ46" s="14"/>
      <c r="AK46" s="56" cm="1">
        <f t="array" ref="AK46">IF(AJ46="X",(_xlfn.XLOOKUP($B46,Tabla1[SERVICIO],Tabla1[VALOR])*1),IF(AJ46&gt;=1,_xlfn.XLOOKUP($B46,Tabla1[SERVICIO],Tabla1[VALOR]*AJ46),0))</f>
        <v>0</v>
      </c>
      <c r="AL46" s="14"/>
      <c r="AM46" s="56" cm="1">
        <f t="array" ref="AM46">IF(AL46="X",(_xlfn.XLOOKUP($B46,Tabla1[SERVICIO],Tabla1[VALOR])*1),IF(AL46&gt;=1,_xlfn.XLOOKUP($B46,Tabla1[SERVICIO],Tabla1[VALOR]*AL46),0))</f>
        <v>0</v>
      </c>
      <c r="AN46" s="89">
        <f t="shared" si="1"/>
        <v>24009.730401318589</v>
      </c>
      <c r="AO46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6" s="122" t="s">
        <v>318</v>
      </c>
      <c r="AQ46" s="126">
        <v>1</v>
      </c>
      <c r="AR46" s="121">
        <f>+Tabla467892043[[#This Row],[TOTAL]]*Tabla467892043[[#This Row],[% de las personas que lo usaron]]</f>
        <v>24009.730401318589</v>
      </c>
      <c r="AS46" s="246" t="s">
        <v>355</v>
      </c>
      <c r="AT46" s="246">
        <v>18</v>
      </c>
    </row>
    <row r="47" spans="1:46" x14ac:dyDescent="0.25">
      <c r="A47" s="7" t="s">
        <v>32</v>
      </c>
      <c r="B47" s="8" t="s">
        <v>33</v>
      </c>
      <c r="C47" s="96" t="str">
        <f>_xlfn.XLOOKUP(Tabla467892043[[#This Row],[Servicios del Programa:]],Tabla151[CODIGO],Tabla151[VALOR])</f>
        <v>Consultas</v>
      </c>
      <c r="D47" s="14"/>
      <c r="E47" s="56" cm="1">
        <f t="array" ref="E47">IF(D47="X",(_xlfn.XLOOKUP($B47,Tabla1[SERVICIO],Tabla1[VALOR])*1),IF(D47&gt;=1,_xlfn.XLOOKUP($B47,Tabla1[SERVICIO],Tabla1[VALOR]*D47),0))</f>
        <v>0</v>
      </c>
      <c r="F47" s="77"/>
      <c r="G47" s="56" cm="1">
        <f t="array" ref="G47">IF(F47="X",(_xlfn.XLOOKUP($B47,Tabla1[SERVICIO],Tabla1[VALOR])*1),IF(F47&gt;=1,_xlfn.XLOOKUP($B47,Tabla1[SERVICIO],Tabla1[VALOR]*F47),0))</f>
        <v>0</v>
      </c>
      <c r="H47" s="77">
        <v>1</v>
      </c>
      <c r="I47" s="56" cm="1">
        <f t="array" ref="I47">IF(H47="X",(_xlfn.XLOOKUP($B47,Tabla1[SERVICIO],Tabla1[VALOR])*1),IF(H47&gt;=1,_xlfn.XLOOKUP($B47,Tabla1[SERVICIO],Tabla1[VALOR]*H47),0))</f>
        <v>24009.730401318589</v>
      </c>
      <c r="J47" s="77"/>
      <c r="K47" s="56" cm="1">
        <f t="array" ref="K47">IF(J47="X",(_xlfn.XLOOKUP($B47,Tabla1[SERVICIO],Tabla1[VALOR])*1),IF(J47&gt;=1,_xlfn.XLOOKUP($B47,Tabla1[SERVICIO],Tabla1[VALOR]*J47),0))</f>
        <v>0</v>
      </c>
      <c r="L47" s="77"/>
      <c r="M47" s="56" cm="1">
        <f t="array" ref="M47">IF(L47="X",(_xlfn.XLOOKUP($B47,Tabla1[SERVICIO],Tabla1[VALOR])*1),IF(L47&gt;=1,_xlfn.XLOOKUP($B47,Tabla1[SERVICIO],Tabla1[VALOR]*L47),0))</f>
        <v>0</v>
      </c>
      <c r="N47" s="77">
        <v>1</v>
      </c>
      <c r="O47" s="56" cm="1">
        <f t="array" ref="O47">IF(N47="X",(_xlfn.XLOOKUP($B47,Tabla1[SERVICIO],Tabla1[VALOR])*1),IF(N47&gt;=1,_xlfn.XLOOKUP($B47,Tabla1[SERVICIO],Tabla1[VALOR]*N47),0))</f>
        <v>24009.730401318589</v>
      </c>
      <c r="P47" s="77"/>
      <c r="Q47" s="56" cm="1">
        <f t="array" ref="Q47">IF(P47="X",(_xlfn.XLOOKUP($B47,Tabla1[SERVICIO],Tabla1[VALOR])*1),IF(P47&gt;=1,_xlfn.XLOOKUP($B47,Tabla1[SERVICIO],Tabla1[VALOR]*P47),0))</f>
        <v>0</v>
      </c>
      <c r="R47" s="77"/>
      <c r="S47" s="56" cm="1">
        <f t="array" ref="S47">IF(R47="X",(_xlfn.XLOOKUP($B47,Tabla1[SERVICIO],Tabla1[VALOR])*1),IF(R47&gt;=1,_xlfn.XLOOKUP($B47,Tabla1[SERVICIO],Tabla1[VALOR]*R47),0))</f>
        <v>0</v>
      </c>
      <c r="T47" s="77">
        <v>1</v>
      </c>
      <c r="U47" s="56" cm="1">
        <f t="array" ref="U47">IF(T47="X",(_xlfn.XLOOKUP($B47,Tabla1[SERVICIO],Tabla1[VALOR])*1),IF(T47&gt;=1,_xlfn.XLOOKUP($B47,Tabla1[SERVICIO],Tabla1[VALOR]*T47),0))</f>
        <v>24009.730401318589</v>
      </c>
      <c r="V47" s="77"/>
      <c r="W47" s="56" cm="1">
        <f t="array" ref="W47">IF(V47="X",(_xlfn.XLOOKUP($B47,Tabla1[SERVICIO],Tabla1[VALOR])*1),IF(V47&gt;=1,_xlfn.XLOOKUP($B47,Tabla1[SERVICIO],Tabla1[VALOR]*V47),0))</f>
        <v>0</v>
      </c>
      <c r="X47" s="77"/>
      <c r="Y47" s="56" cm="1">
        <f t="array" ref="Y47">IF(X47="X",(_xlfn.XLOOKUP($B47,Tabla1[SERVICIO],Tabla1[VALOR])*1),IF(X47&gt;=1,_xlfn.XLOOKUP($B47,Tabla1[SERVICIO],Tabla1[VALOR]*X47),0))</f>
        <v>0</v>
      </c>
      <c r="Z47" s="77"/>
      <c r="AA47" s="56" cm="1">
        <f t="array" ref="AA47">IF(Z47="X",(_xlfn.XLOOKUP($B47,Tabla1[SERVICIO],Tabla1[VALOR])*1),IF(Z47&gt;=1,_xlfn.XLOOKUP($B47,Tabla1[SERVICIO],Tabla1[VALOR]*Z47),0))</f>
        <v>0</v>
      </c>
      <c r="AB47" s="14"/>
      <c r="AC47" s="56" cm="1">
        <f t="array" ref="AC47">IF(AB47="X",(_xlfn.XLOOKUP($B47,Tabla1[SERVICIO],Tabla1[VALOR])*1),IF(AB47&gt;=1,_xlfn.XLOOKUP($B47,Tabla1[SERVICIO],Tabla1[VALOR]*AB47),0))</f>
        <v>0</v>
      </c>
      <c r="AD47" s="14"/>
      <c r="AE47" s="56" cm="1">
        <f t="array" ref="AE47">IF(AD47="X",(_xlfn.XLOOKUP($B47,Tabla1[SERVICIO],Tabla1[VALOR])*1),IF(AD47&gt;=1,_xlfn.XLOOKUP($B47,Tabla1[SERVICIO],Tabla1[VALOR]*AD47),0))</f>
        <v>0</v>
      </c>
      <c r="AF47" s="14"/>
      <c r="AG47" s="56" cm="1">
        <f t="array" ref="AG47">IF(AF47="X",(_xlfn.XLOOKUP($B47,Tabla1[SERVICIO],Tabla1[VALOR])*1),IF(AF47&gt;=1,_xlfn.XLOOKUP($B47,Tabla1[SERVICIO],Tabla1[VALOR]*AF47),0))</f>
        <v>0</v>
      </c>
      <c r="AH47" s="14"/>
      <c r="AI47" s="56" cm="1">
        <f t="array" ref="AI47">IF(AH47="X",(_xlfn.XLOOKUP($B47,Tabla1[SERVICIO],Tabla1[VALOR])*1),IF(AH47&gt;=1,_xlfn.XLOOKUP($B47,Tabla1[SERVICIO],Tabla1[VALOR]*AH47),0))</f>
        <v>0</v>
      </c>
      <c r="AJ47" s="14"/>
      <c r="AK47" s="56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56" cm="1">
        <f t="array" ref="AM47">IF(AL47="X",(_xlfn.XLOOKUP($B47,Tabla1[SERVICIO],Tabla1[VALOR])*1),IF(AL47&gt;=1,_xlfn.XLOOKUP($B47,Tabla1[SERVICIO],Tabla1[VALOR]*AL47),0))</f>
        <v>24009.730401318589</v>
      </c>
      <c r="AN47" s="89">
        <f t="shared" si="1"/>
        <v>96038.921605274358</v>
      </c>
      <c r="AO47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4</v>
      </c>
      <c r="AP47" s="37" t="s">
        <v>319</v>
      </c>
      <c r="AQ47" s="126">
        <v>1</v>
      </c>
      <c r="AR47" s="121">
        <f>+Tabla467892043[[#This Row],[TOTAL]]*Tabla467892043[[#This Row],[% de las personas que lo usaron]]</f>
        <v>96038.921605274358</v>
      </c>
      <c r="AS47" s="246" t="s">
        <v>355</v>
      </c>
      <c r="AT47" s="246">
        <v>18</v>
      </c>
    </row>
    <row r="48" spans="1:46" x14ac:dyDescent="0.25">
      <c r="A48" s="7" t="s">
        <v>79</v>
      </c>
      <c r="B48" s="8" t="s">
        <v>197</v>
      </c>
      <c r="C48" s="96" t="str">
        <f>_xlfn.XLOOKUP(Tabla467892043[[#This Row],[Servicios del Programa:]],Tabla151[CODIGO],Tabla151[VALOR])</f>
        <v>Terapias</v>
      </c>
      <c r="D48" s="14">
        <v>4</v>
      </c>
      <c r="E48" s="56" cm="1">
        <f t="array" ref="E48">IF(D48="X",(_xlfn.XLOOKUP($B48,Tabla1[SERVICIO],Tabla1[VALOR])*1),IF(D48&gt;=1,_xlfn.XLOOKUP($B48,Tabla1[SERVICIO],Tabla1[VALOR]*D48),0))</f>
        <v>82211.022629484622</v>
      </c>
      <c r="F48" s="77">
        <v>4</v>
      </c>
      <c r="G48" s="56" cm="1">
        <f t="array" ref="G48">IF(F48="X",(_xlfn.XLOOKUP($B48,Tabla1[SERVICIO],Tabla1[VALOR])*1),IF(F48&gt;=1,_xlfn.XLOOKUP($B48,Tabla1[SERVICIO],Tabla1[VALOR]*F48),0))</f>
        <v>82211.022629484622</v>
      </c>
      <c r="H48" s="77">
        <v>4</v>
      </c>
      <c r="I48" s="56" cm="1">
        <f t="array" ref="I48">IF(H48="X",(_xlfn.XLOOKUP($B48,Tabla1[SERVICIO],Tabla1[VALOR])*1),IF(H48&gt;=1,_xlfn.XLOOKUP($B48,Tabla1[SERVICIO],Tabla1[VALOR]*H48),0))</f>
        <v>82211.022629484622</v>
      </c>
      <c r="J48" s="77">
        <v>4</v>
      </c>
      <c r="K48" s="56" cm="1">
        <f t="array" ref="K48">IF(J48="X",(_xlfn.XLOOKUP($B48,Tabla1[SERVICIO],Tabla1[VALOR])*1),IF(J48&gt;=1,_xlfn.XLOOKUP($B48,Tabla1[SERVICIO],Tabla1[VALOR]*J48),0))</f>
        <v>82211.022629484622</v>
      </c>
      <c r="L48" s="77">
        <v>4</v>
      </c>
      <c r="M48" s="56" cm="1">
        <f t="array" ref="M48">IF(L48="X",(_xlfn.XLOOKUP($B48,Tabla1[SERVICIO],Tabla1[VALOR])*1),IF(L48&gt;=1,_xlfn.XLOOKUP($B48,Tabla1[SERVICIO],Tabla1[VALOR]*L48),0))</f>
        <v>82211.022629484622</v>
      </c>
      <c r="N48" s="77">
        <v>4</v>
      </c>
      <c r="O48" s="56" cm="1">
        <f t="array" ref="O48">IF(N48="X",(_xlfn.XLOOKUP($B48,Tabla1[SERVICIO],Tabla1[VALOR])*1),IF(N48&gt;=1,_xlfn.XLOOKUP($B48,Tabla1[SERVICIO],Tabla1[VALOR]*N48),0))</f>
        <v>82211.022629484622</v>
      </c>
      <c r="P48" s="77">
        <v>4</v>
      </c>
      <c r="Q48" s="56" cm="1">
        <f t="array" ref="Q48">IF(P48="X",(_xlfn.XLOOKUP($B48,Tabla1[SERVICIO],Tabla1[VALOR])*1),IF(P48&gt;=1,_xlfn.XLOOKUP($B48,Tabla1[SERVICIO],Tabla1[VALOR]*P48),0))</f>
        <v>82211.022629484622</v>
      </c>
      <c r="R48" s="77">
        <v>4</v>
      </c>
      <c r="S48" s="56" cm="1">
        <f t="array" ref="S48">IF(R48="X",(_xlfn.XLOOKUP($B48,Tabla1[SERVICIO],Tabla1[VALOR])*1),IF(R48&gt;=1,_xlfn.XLOOKUP($B48,Tabla1[SERVICIO],Tabla1[VALOR]*R48),0))</f>
        <v>82211.022629484622</v>
      </c>
      <c r="T48" s="77">
        <v>4</v>
      </c>
      <c r="U48" s="56" cm="1">
        <f t="array" ref="U48">IF(T48="X",(_xlfn.XLOOKUP($B48,Tabla1[SERVICIO],Tabla1[VALOR])*1),IF(T48&gt;=1,_xlfn.XLOOKUP($B48,Tabla1[SERVICIO],Tabla1[VALOR]*T48),0))</f>
        <v>82211.022629484622</v>
      </c>
      <c r="V48" s="77">
        <v>4</v>
      </c>
      <c r="W48" s="56" cm="1">
        <f t="array" ref="W48">IF(V48="X",(_xlfn.XLOOKUP($B48,Tabla1[SERVICIO],Tabla1[VALOR])*1),IF(V48&gt;=1,_xlfn.XLOOKUP($B48,Tabla1[SERVICIO],Tabla1[VALOR]*V48),0))</f>
        <v>82211.022629484622</v>
      </c>
      <c r="X48" s="77">
        <v>4</v>
      </c>
      <c r="Y48" s="56" cm="1">
        <f t="array" ref="Y48">IF(X48="X",(_xlfn.XLOOKUP($B48,Tabla1[SERVICIO],Tabla1[VALOR])*1),IF(X48&gt;=1,_xlfn.XLOOKUP($B48,Tabla1[SERVICIO],Tabla1[VALOR]*X48),0))</f>
        <v>82211.022629484622</v>
      </c>
      <c r="Z48" s="77">
        <v>4</v>
      </c>
      <c r="AA48" s="56" cm="1">
        <f t="array" ref="AA48">IF(Z48="X",(_xlfn.XLOOKUP($B48,Tabla1[SERVICIO],Tabla1[VALOR])*1),IF(Z48&gt;=1,_xlfn.XLOOKUP($B48,Tabla1[SERVICIO],Tabla1[VALOR]*Z48),0))</f>
        <v>82211.022629484622</v>
      </c>
      <c r="AB48" s="14">
        <v>4</v>
      </c>
      <c r="AC48" s="56" cm="1">
        <f t="array" ref="AC48">IF(AB48="X",(_xlfn.XLOOKUP($B48,Tabla1[SERVICIO],Tabla1[VALOR])*1),IF(AB48&gt;=1,_xlfn.XLOOKUP($B48,Tabla1[SERVICIO],Tabla1[VALOR]*AB48),0))</f>
        <v>82211.022629484622</v>
      </c>
      <c r="AD48" s="14">
        <v>4</v>
      </c>
      <c r="AE48" s="56" cm="1">
        <f t="array" ref="AE48">IF(AD48="X",(_xlfn.XLOOKUP($B48,Tabla1[SERVICIO],Tabla1[VALOR])*1),IF(AD48&gt;=1,_xlfn.XLOOKUP($B48,Tabla1[SERVICIO],Tabla1[VALOR]*AD48),0))</f>
        <v>82211.022629484622</v>
      </c>
      <c r="AF48" s="14">
        <v>4</v>
      </c>
      <c r="AG48" s="56" cm="1">
        <f t="array" ref="AG48">IF(AF48="X",(_xlfn.XLOOKUP($B48,Tabla1[SERVICIO],Tabla1[VALOR])*1),IF(AF48&gt;=1,_xlfn.XLOOKUP($B48,Tabla1[SERVICIO],Tabla1[VALOR]*AF48),0))</f>
        <v>82211.022629484622</v>
      </c>
      <c r="AH48" s="14">
        <v>4</v>
      </c>
      <c r="AI48" s="56" cm="1">
        <f t="array" ref="AI48">IF(AH48="X",(_xlfn.XLOOKUP($B48,Tabla1[SERVICIO],Tabla1[VALOR])*1),IF(AH48&gt;=1,_xlfn.XLOOKUP($B48,Tabla1[SERVICIO],Tabla1[VALOR]*AH48),0))</f>
        <v>82211.022629484622</v>
      </c>
      <c r="AJ48" s="14">
        <v>4</v>
      </c>
      <c r="AK48" s="56" cm="1">
        <f t="array" ref="AK48">IF(AJ48="X",(_xlfn.XLOOKUP($B48,Tabla1[SERVICIO],Tabla1[VALOR])*1),IF(AJ48&gt;=1,_xlfn.XLOOKUP($B48,Tabla1[SERVICIO],Tabla1[VALOR]*AJ48),0))</f>
        <v>82211.022629484622</v>
      </c>
      <c r="AL48" s="14">
        <v>4</v>
      </c>
      <c r="AM48" s="56" cm="1">
        <f t="array" ref="AM48">IF(AL48="X",(_xlfn.XLOOKUP($B48,Tabla1[SERVICIO],Tabla1[VALOR])*1),IF(AL48&gt;=1,_xlfn.XLOOKUP($B48,Tabla1[SERVICIO],Tabla1[VALOR]*AL48),0))</f>
        <v>82211.022629484622</v>
      </c>
      <c r="AN48" s="89">
        <f t="shared" si="1"/>
        <v>1479798.407330723</v>
      </c>
      <c r="AO48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72</v>
      </c>
      <c r="AP48" s="37" t="s">
        <v>318</v>
      </c>
      <c r="AQ48" s="126">
        <v>1</v>
      </c>
      <c r="AR48" s="121">
        <f>+Tabla467892043[[#This Row],[TOTAL]]*Tabla467892043[[#This Row],[% de las personas que lo usaron]]</f>
        <v>1479798.407330723</v>
      </c>
      <c r="AS48" s="246" t="s">
        <v>355</v>
      </c>
      <c r="AT48" s="246">
        <v>18</v>
      </c>
    </row>
    <row r="49" spans="1:46" x14ac:dyDescent="0.25">
      <c r="A49" s="7" t="s">
        <v>27</v>
      </c>
      <c r="B49" s="8" t="s">
        <v>28</v>
      </c>
      <c r="C49" s="96" t="str">
        <f>_xlfn.XLOOKUP(Tabla467892043[[#This Row],[Servicios del Programa:]],Tabla151[CODIGO],Tabla151[VALOR])</f>
        <v>Diagnosticos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43480.816890660324</v>
      </c>
      <c r="F49" s="77"/>
      <c r="G49" s="56" cm="1">
        <f t="array" ref="G49">IF(F49="X",(_xlfn.XLOOKUP($B49,Tabla1[SERVICIO],Tabla1[VALOR])*1),IF(F49&gt;=1,_xlfn.XLOOKUP($B49,Tabla1[SERVICIO],Tabla1[VALOR]*F49),0))</f>
        <v>0</v>
      </c>
      <c r="H49" s="77"/>
      <c r="I49" s="56" cm="1">
        <f t="array" ref="I49">IF(H49="X",(_xlfn.XLOOKUP($B49,Tabla1[SERVICIO],Tabla1[VALOR])*1),IF(H49&gt;=1,_xlfn.XLOOKUP($B49,Tabla1[SERVICIO],Tabla1[VALOR]*H49),0))</f>
        <v>0</v>
      </c>
      <c r="J49" s="77"/>
      <c r="K49" s="56" cm="1">
        <f t="array" ref="K49">IF(J49="X",(_xlfn.XLOOKUP($B49,Tabla1[SERVICIO],Tabla1[VALOR])*1),IF(J49&gt;=1,_xlfn.XLOOKUP($B49,Tabla1[SERVICIO],Tabla1[VALOR]*J49),0))</f>
        <v>0</v>
      </c>
      <c r="L49" s="77"/>
      <c r="M49" s="56" cm="1">
        <f t="array" ref="M49">IF(L49="X",(_xlfn.XLOOKUP($B49,Tabla1[SERVICIO],Tabla1[VALOR])*1),IF(L49&gt;=1,_xlfn.XLOOKUP($B49,Tabla1[SERVICIO],Tabla1[VALOR]*L49),0))</f>
        <v>0</v>
      </c>
      <c r="N49" s="77"/>
      <c r="O49" s="56" cm="1">
        <f t="array" ref="O49">IF(N49="X",(_xlfn.XLOOKUP($B49,Tabla1[SERVICIO],Tabla1[VALOR])*1),IF(N49&gt;=1,_xlfn.XLOOKUP($B49,Tabla1[SERVICIO],Tabla1[VALOR]*N49),0))</f>
        <v>0</v>
      </c>
      <c r="P49" s="77"/>
      <c r="Q49" s="56" cm="1">
        <f t="array" ref="Q49">IF(P49="X",(_xlfn.XLOOKUP($B49,Tabla1[SERVICIO],Tabla1[VALOR])*1),IF(P49&gt;=1,_xlfn.XLOOKUP($B49,Tabla1[SERVICIO],Tabla1[VALOR]*P49),0))</f>
        <v>0</v>
      </c>
      <c r="R49" s="77"/>
      <c r="S49" s="56" cm="1">
        <f t="array" ref="S49">IF(R49="X",(_xlfn.XLOOKUP($B49,Tabla1[SERVICIO],Tabla1[VALOR])*1),IF(R49&gt;=1,_xlfn.XLOOKUP($B49,Tabla1[SERVICIO],Tabla1[VALOR]*R49),0))</f>
        <v>0</v>
      </c>
      <c r="T49" s="77"/>
      <c r="U49" s="56" cm="1">
        <f t="array" ref="U49">IF(T49="X",(_xlfn.XLOOKUP($B49,Tabla1[SERVICIO],Tabla1[VALOR])*1),IF(T49&gt;=1,_xlfn.XLOOKUP($B49,Tabla1[SERVICIO],Tabla1[VALOR]*T49),0))</f>
        <v>0</v>
      </c>
      <c r="V49" s="77"/>
      <c r="W49" s="56" cm="1">
        <f t="array" ref="W49">IF(V49="X",(_xlfn.XLOOKUP($B49,Tabla1[SERVICIO],Tabla1[VALOR])*1),IF(V49&gt;=1,_xlfn.XLOOKUP($B49,Tabla1[SERVICIO],Tabla1[VALOR]*V49),0))</f>
        <v>0</v>
      </c>
      <c r="X49" s="77"/>
      <c r="Y49" s="56" cm="1">
        <f t="array" ref="Y49">IF(X49="X",(_xlfn.XLOOKUP($B49,Tabla1[SERVICIO],Tabla1[VALOR])*1),IF(X49&gt;=1,_xlfn.XLOOKUP($B49,Tabla1[SERVICIO],Tabla1[VALOR]*X49),0))</f>
        <v>0</v>
      </c>
      <c r="Z49" s="77"/>
      <c r="AA49" s="56" cm="1">
        <f t="array" ref="AA49">IF(Z49="X",(_xlfn.XLOOKUP($B49,Tabla1[SERVICIO],Tabla1[VALOR])*1),IF(Z49&gt;=1,_xlfn.XLOOKUP($B49,Tabla1[SERVICIO],Tabla1[VALOR]*Z49),0))</f>
        <v>0</v>
      </c>
      <c r="AB49" s="14"/>
      <c r="AC49" s="56" cm="1">
        <f t="array" ref="AC49">IF(AB49="X",(_xlfn.XLOOKUP($B49,Tabla1[SERVICIO],Tabla1[VALOR])*1),IF(AB49&gt;=1,_xlfn.XLOOKUP($B49,Tabla1[SERVICIO],Tabla1[VALOR]*AB49),0))</f>
        <v>0</v>
      </c>
      <c r="AD49" s="14"/>
      <c r="AE49" s="56" cm="1">
        <f t="array" ref="AE49">IF(AD49="X",(_xlfn.XLOOKUP($B49,Tabla1[SERVICIO],Tabla1[VALOR])*1),IF(AD49&gt;=1,_xlfn.XLOOKUP($B49,Tabla1[SERVICIO],Tabla1[VALOR]*AD49),0))</f>
        <v>0</v>
      </c>
      <c r="AF49" s="14"/>
      <c r="AG49" s="56" cm="1">
        <f t="array" ref="AG49">IF(AF49="X",(_xlfn.XLOOKUP($B49,Tabla1[SERVICIO],Tabla1[VALOR])*1),IF(AF49&gt;=1,_xlfn.XLOOKUP($B49,Tabla1[SERVICIO],Tabla1[VALOR]*AF49),0))</f>
        <v>0</v>
      </c>
      <c r="AH49" s="14"/>
      <c r="AI49" s="56" cm="1">
        <f t="array" ref="AI49">IF(AH49="X",(_xlfn.XLOOKUP($B49,Tabla1[SERVICIO],Tabla1[VALOR])*1),IF(AH49&gt;=1,_xlfn.XLOOKUP($B49,Tabla1[SERVICIO],Tabla1[VALOR]*AH49),0))</f>
        <v>0</v>
      </c>
      <c r="AJ49" s="14"/>
      <c r="AK49" s="56" cm="1">
        <f t="array" ref="AK49">IF(AJ49="X",(_xlfn.XLOOKUP($B49,Tabla1[SERVICIO],Tabla1[VALOR])*1),IF(AJ49&gt;=1,_xlfn.XLOOKUP($B49,Tabla1[SERVICIO],Tabla1[VALOR]*AJ49),0))</f>
        <v>0</v>
      </c>
      <c r="AL49" s="14">
        <v>1</v>
      </c>
      <c r="AM49" s="56" cm="1">
        <f t="array" ref="AM49">IF(AL49="X",(_xlfn.XLOOKUP($B49,Tabla1[SERVICIO],Tabla1[VALOR])*1),IF(AL49&gt;=1,_xlfn.XLOOKUP($B49,Tabla1[SERVICIO],Tabla1[VALOR]*AL49),0))</f>
        <v>43480.816890660324</v>
      </c>
      <c r="AN49" s="89">
        <f t="shared" si="1"/>
        <v>86961.633781320648</v>
      </c>
      <c r="AO49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49" s="122" t="s">
        <v>318</v>
      </c>
      <c r="AQ49" s="126">
        <v>1</v>
      </c>
      <c r="AR49" s="121">
        <f>+Tabla467892043[[#This Row],[TOTAL]]*Tabla467892043[[#This Row],[% de las personas que lo usaron]]</f>
        <v>86961.633781320648</v>
      </c>
      <c r="AS49" s="246" t="s">
        <v>355</v>
      </c>
      <c r="AT49" s="246">
        <v>18</v>
      </c>
    </row>
    <row r="50" spans="1:46" x14ac:dyDescent="0.25">
      <c r="A50" s="7" t="s">
        <v>25</v>
      </c>
      <c r="B50" s="8" t="s">
        <v>26</v>
      </c>
      <c r="C50" s="96" t="str">
        <f>_xlfn.XLOOKUP(Tabla467892043[[#This Row],[Servicios del Programa:]],Tabla151[CODIGO],Tabla151[VALOR])</f>
        <v>Diagnosticos</v>
      </c>
      <c r="D50" s="14">
        <v>1</v>
      </c>
      <c r="E50" s="56" cm="1">
        <f t="array" ref="E50">IF(D50="X",(_xlfn.XLOOKUP($B50,Tabla1[SERVICIO],Tabla1[VALOR])*1),IF(D50&gt;=1,_xlfn.XLOOKUP($B50,Tabla1[SERVICIO],Tabla1[VALOR]*D50),0))</f>
        <v>19392.627189167735</v>
      </c>
      <c r="F50" s="77"/>
      <c r="G50" s="56" cm="1">
        <f t="array" ref="G50">IF(F50="X",(_xlfn.XLOOKUP($B50,Tabla1[SERVICIO],Tabla1[VALOR])*1),IF(F50&gt;=1,_xlfn.XLOOKUP($B50,Tabla1[SERVICIO],Tabla1[VALOR]*F50),0))</f>
        <v>0</v>
      </c>
      <c r="H50" s="77"/>
      <c r="I50" s="56" cm="1">
        <f t="array" ref="I50">IF(H50="X",(_xlfn.XLOOKUP($B50,Tabla1[SERVICIO],Tabla1[VALOR])*1),IF(H50&gt;=1,_xlfn.XLOOKUP($B50,Tabla1[SERVICIO],Tabla1[VALOR]*H50),0))</f>
        <v>0</v>
      </c>
      <c r="J50" s="77"/>
      <c r="K50" s="56" cm="1">
        <f t="array" ref="K50">IF(J50="X",(_xlfn.XLOOKUP($B50,Tabla1[SERVICIO],Tabla1[VALOR])*1),IF(J50&gt;=1,_xlfn.XLOOKUP($B50,Tabla1[SERVICIO],Tabla1[VALOR]*J50),0))</f>
        <v>0</v>
      </c>
      <c r="L50" s="77"/>
      <c r="M50" s="56" cm="1">
        <f t="array" ref="M50">IF(L50="X",(_xlfn.XLOOKUP($B50,Tabla1[SERVICIO],Tabla1[VALOR])*1),IF(L50&gt;=1,_xlfn.XLOOKUP($B50,Tabla1[SERVICIO],Tabla1[VALOR]*L50),0))</f>
        <v>0</v>
      </c>
      <c r="N50" s="77"/>
      <c r="O50" s="56" cm="1">
        <f t="array" ref="O50">IF(N50="X",(_xlfn.XLOOKUP($B50,Tabla1[SERVICIO],Tabla1[VALOR])*1),IF(N50&gt;=1,_xlfn.XLOOKUP($B50,Tabla1[SERVICIO],Tabla1[VALOR]*N50),0))</f>
        <v>0</v>
      </c>
      <c r="P50" s="77"/>
      <c r="Q50" s="56" cm="1">
        <f t="array" ref="Q50">IF(P50="X",(_xlfn.XLOOKUP($B50,Tabla1[SERVICIO],Tabla1[VALOR])*1),IF(P50&gt;=1,_xlfn.XLOOKUP($B50,Tabla1[SERVICIO],Tabla1[VALOR]*P50),0))</f>
        <v>0</v>
      </c>
      <c r="R50" s="77"/>
      <c r="S50" s="56" cm="1">
        <f t="array" ref="S50">IF(R50="X",(_xlfn.XLOOKUP($B50,Tabla1[SERVICIO],Tabla1[VALOR])*1),IF(R50&gt;=1,_xlfn.XLOOKUP($B50,Tabla1[SERVICIO],Tabla1[VALOR]*R50),0))</f>
        <v>0</v>
      </c>
      <c r="T50" s="77"/>
      <c r="U50" s="56" cm="1">
        <f t="array" ref="U50">IF(T50="X",(_xlfn.XLOOKUP($B50,Tabla1[SERVICIO],Tabla1[VALOR])*1),IF(T50&gt;=1,_xlfn.XLOOKUP($B50,Tabla1[SERVICIO],Tabla1[VALOR]*T50),0))</f>
        <v>0</v>
      </c>
      <c r="V50" s="77"/>
      <c r="W50" s="56" cm="1">
        <f t="array" ref="W50">IF(V50="X",(_xlfn.XLOOKUP($B50,Tabla1[SERVICIO],Tabla1[VALOR])*1),IF(V50&gt;=1,_xlfn.XLOOKUP($B50,Tabla1[SERVICIO],Tabla1[VALOR]*V50),0))</f>
        <v>0</v>
      </c>
      <c r="X50" s="77"/>
      <c r="Y50" s="56" cm="1">
        <f t="array" ref="Y50">IF(X50="X",(_xlfn.XLOOKUP($B50,Tabla1[SERVICIO],Tabla1[VALOR])*1),IF(X50&gt;=1,_xlfn.XLOOKUP($B50,Tabla1[SERVICIO],Tabla1[VALOR]*X50),0))</f>
        <v>0</v>
      </c>
      <c r="Z50" s="77"/>
      <c r="AA50" s="56" cm="1">
        <f t="array" ref="AA50">IF(Z50="X",(_xlfn.XLOOKUP($B50,Tabla1[SERVICIO],Tabla1[VALOR])*1),IF(Z50&gt;=1,_xlfn.XLOOKUP($B50,Tabla1[SERVICIO],Tabla1[VALOR]*Z50),0))</f>
        <v>0</v>
      </c>
      <c r="AB50" s="14"/>
      <c r="AC50" s="56" cm="1">
        <f t="array" ref="AC50">IF(AB50="X",(_xlfn.XLOOKUP($B50,Tabla1[SERVICIO],Tabla1[VALOR])*1),IF(AB50&gt;=1,_xlfn.XLOOKUP($B50,Tabla1[SERVICIO],Tabla1[VALOR]*AB50),0))</f>
        <v>0</v>
      </c>
      <c r="AD50" s="14"/>
      <c r="AE50" s="56" cm="1">
        <f t="array" ref="AE50">IF(AD50="X",(_xlfn.XLOOKUP($B50,Tabla1[SERVICIO],Tabla1[VALOR])*1),IF(AD50&gt;=1,_xlfn.XLOOKUP($B50,Tabla1[SERVICIO],Tabla1[VALOR]*AD50),0))</f>
        <v>0</v>
      </c>
      <c r="AF50" s="14"/>
      <c r="AG50" s="56" cm="1">
        <f t="array" ref="AG50">IF(AF50="X",(_xlfn.XLOOKUP($B50,Tabla1[SERVICIO],Tabla1[VALOR])*1),IF(AF50&gt;=1,_xlfn.XLOOKUP($B50,Tabla1[SERVICIO],Tabla1[VALOR]*AF50),0))</f>
        <v>0</v>
      </c>
      <c r="AH50" s="14"/>
      <c r="AI50" s="56" cm="1">
        <f t="array" ref="AI50">IF(AH50="X",(_xlfn.XLOOKUP($B50,Tabla1[SERVICIO],Tabla1[VALOR])*1),IF(AH50&gt;=1,_xlfn.XLOOKUP($B50,Tabla1[SERVICIO],Tabla1[VALOR]*AH50),0))</f>
        <v>0</v>
      </c>
      <c r="AJ50" s="14"/>
      <c r="AK50" s="56" cm="1">
        <f t="array" ref="AK50">IF(AJ50="X",(_xlfn.XLOOKUP($B50,Tabla1[SERVICIO],Tabla1[VALOR])*1),IF(AJ50&gt;=1,_xlfn.XLOOKUP($B50,Tabla1[SERVICIO],Tabla1[VALOR]*AJ50),0))</f>
        <v>0</v>
      </c>
      <c r="AL50" s="14">
        <v>1</v>
      </c>
      <c r="AM50" s="56" cm="1">
        <f t="array" ref="AM50">IF(AL50="X",(_xlfn.XLOOKUP($B50,Tabla1[SERVICIO],Tabla1[VALOR])*1),IF(AL50&gt;=1,_xlfn.XLOOKUP($B50,Tabla1[SERVICIO],Tabla1[VALOR]*AL50),0))</f>
        <v>19392.627189167735</v>
      </c>
      <c r="AN50" s="89">
        <f t="shared" si="1"/>
        <v>38785.25437833547</v>
      </c>
      <c r="AO50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50" s="122" t="s">
        <v>318</v>
      </c>
      <c r="AQ50" s="126">
        <v>1</v>
      </c>
      <c r="AR50" s="121">
        <f>+Tabla467892043[[#This Row],[TOTAL]]*Tabla467892043[[#This Row],[% de las personas que lo usaron]]</f>
        <v>38785.25437833547</v>
      </c>
      <c r="AS50" s="246" t="s">
        <v>355</v>
      </c>
      <c r="AT50" s="246">
        <v>18</v>
      </c>
    </row>
    <row r="51" spans="1:46" x14ac:dyDescent="0.25">
      <c r="A51" s="7" t="s">
        <v>1</v>
      </c>
      <c r="B51" s="8" t="s">
        <v>2</v>
      </c>
      <c r="C51" s="96" t="str">
        <f>_xlfn.XLOOKUP(Tabla467892043[[#This Row],[Servicios del Programa:]],Tabla151[CODIGO],Tabla151[VALOR])</f>
        <v>Consultas</v>
      </c>
      <c r="D51" s="14"/>
      <c r="E51" s="56" cm="1">
        <f t="array" ref="E51">IF(D51="X",(_xlfn.XLOOKUP($B51,Tabla1[SERVICIO],Tabla1[VALOR])*1),IF(D51&gt;=1,_xlfn.XLOOKUP($B51,Tabla1[SERVICIO],Tabla1[VALOR]*D51),0))</f>
        <v>0</v>
      </c>
      <c r="F51" s="77"/>
      <c r="G51" s="56" cm="1">
        <f t="array" ref="G51">IF(F51="X",(_xlfn.XLOOKUP($B51,Tabla1[SERVICIO],Tabla1[VALOR])*1),IF(F51&gt;=1,_xlfn.XLOOKUP($B51,Tabla1[SERVICIO],Tabla1[VALOR]*F51),0))</f>
        <v>0</v>
      </c>
      <c r="H51" s="77"/>
      <c r="I51" s="56" cm="1">
        <f t="array" ref="I51">IF(H51="X",(_xlfn.XLOOKUP($B51,Tabla1[SERVICIO],Tabla1[VALOR])*1),IF(H51&gt;=1,_xlfn.XLOOKUP($B51,Tabla1[SERVICIO],Tabla1[VALOR]*H51),0))</f>
        <v>0</v>
      </c>
      <c r="J51" s="77"/>
      <c r="K51" s="56" cm="1">
        <f t="array" ref="K51">IF(J51="X",(_xlfn.XLOOKUP($B51,Tabla1[SERVICIO],Tabla1[VALOR])*1),IF(J51&gt;=1,_xlfn.XLOOKUP($B51,Tabla1[SERVICIO],Tabla1[VALOR]*J51),0))</f>
        <v>0</v>
      </c>
      <c r="L51" s="77"/>
      <c r="M51" s="56" cm="1">
        <f t="array" ref="M51">IF(L51="X",(_xlfn.XLOOKUP($B51,Tabla1[SERVICIO],Tabla1[VALOR])*1),IF(L51&gt;=1,_xlfn.XLOOKUP($B51,Tabla1[SERVICIO],Tabla1[VALOR]*L51),0))</f>
        <v>0</v>
      </c>
      <c r="N51" s="77"/>
      <c r="O51" s="56" cm="1">
        <f t="array" ref="O51">IF(N51="X",(_xlfn.XLOOKUP($B51,Tabla1[SERVICIO],Tabla1[VALOR])*1),IF(N51&gt;=1,_xlfn.XLOOKUP($B51,Tabla1[SERVICIO],Tabla1[VALOR]*N51),0))</f>
        <v>0</v>
      </c>
      <c r="P51" s="77"/>
      <c r="Q51" s="56" cm="1">
        <f t="array" ref="Q51">IF(P51="X",(_xlfn.XLOOKUP($B51,Tabla1[SERVICIO],Tabla1[VALOR])*1),IF(P51&gt;=1,_xlfn.XLOOKUP($B51,Tabla1[SERVICIO],Tabla1[VALOR]*P51),0))</f>
        <v>0</v>
      </c>
      <c r="R51" s="77"/>
      <c r="S51" s="56" cm="1">
        <f t="array" ref="S51">IF(R51="X",(_xlfn.XLOOKUP($B51,Tabla1[SERVICIO],Tabla1[VALOR])*1),IF(R51&gt;=1,_xlfn.XLOOKUP($B51,Tabla1[SERVICIO],Tabla1[VALOR]*R51),0))</f>
        <v>0</v>
      </c>
      <c r="T51" s="77"/>
      <c r="U51" s="56" cm="1">
        <f t="array" ref="U51">IF(T51="X",(_xlfn.XLOOKUP($B51,Tabla1[SERVICIO],Tabla1[VALOR])*1),IF(T51&gt;=1,_xlfn.XLOOKUP($B51,Tabla1[SERVICIO],Tabla1[VALOR]*T51),0))</f>
        <v>0</v>
      </c>
      <c r="V51" s="77"/>
      <c r="W51" s="56" cm="1">
        <f t="array" ref="W51">IF(V51="X",(_xlfn.XLOOKUP($B51,Tabla1[SERVICIO],Tabla1[VALOR])*1),IF(V51&gt;=1,_xlfn.XLOOKUP($B51,Tabla1[SERVICIO],Tabla1[VALOR]*V51),0))</f>
        <v>0</v>
      </c>
      <c r="X51" s="77"/>
      <c r="Y51" s="56" cm="1">
        <f t="array" ref="Y51">IF(X51="X",(_xlfn.XLOOKUP($B51,Tabla1[SERVICIO],Tabla1[VALOR])*1),IF(X51&gt;=1,_xlfn.XLOOKUP($B51,Tabla1[SERVICIO],Tabla1[VALOR]*X51),0))</f>
        <v>0</v>
      </c>
      <c r="Z51" s="77"/>
      <c r="AA51" s="56" cm="1">
        <f t="array" ref="AA51">IF(Z51="X",(_xlfn.XLOOKUP($B51,Tabla1[SERVICIO],Tabla1[VALOR])*1),IF(Z51&gt;=1,_xlfn.XLOOKUP($B51,Tabla1[SERVICIO],Tabla1[VALOR]*Z51),0))</f>
        <v>0</v>
      </c>
      <c r="AB51" s="14"/>
      <c r="AC51" s="56" cm="1">
        <f t="array" ref="AC51">IF(AB51="X",(_xlfn.XLOOKUP($B51,Tabla1[SERVICIO],Tabla1[VALOR])*1),IF(AB51&gt;=1,_xlfn.XLOOKUP($B51,Tabla1[SERVICIO],Tabla1[VALOR]*AB51),0))</f>
        <v>0</v>
      </c>
      <c r="AD51" s="14"/>
      <c r="AE51" s="56" cm="1">
        <f t="array" ref="AE51">IF(AD51="X",(_xlfn.XLOOKUP($B51,Tabla1[SERVICIO],Tabla1[VALOR])*1),IF(AD51&gt;=1,_xlfn.XLOOKUP($B51,Tabla1[SERVICIO],Tabla1[VALOR]*AD51),0))</f>
        <v>0</v>
      </c>
      <c r="AF51" s="14"/>
      <c r="AG51" s="56" cm="1">
        <f t="array" ref="AG51">IF(AF51="X",(_xlfn.XLOOKUP($B51,Tabla1[SERVICIO],Tabla1[VALOR])*1),IF(AF51&gt;=1,_xlfn.XLOOKUP($B51,Tabla1[SERVICIO],Tabla1[VALOR]*AF51),0))</f>
        <v>0</v>
      </c>
      <c r="AH51" s="14"/>
      <c r="AI51" s="56" cm="1">
        <f t="array" ref="AI51">IF(AH51="X",(_xlfn.XLOOKUP($B51,Tabla1[SERVICIO],Tabla1[VALOR])*1),IF(AH51&gt;=1,_xlfn.XLOOKUP($B51,Tabla1[SERVICIO],Tabla1[VALOR]*AH51),0))</f>
        <v>0</v>
      </c>
      <c r="AJ51" s="14"/>
      <c r="AK51" s="56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6" cm="1">
        <f t="array" ref="AM51">IF(AL51="X",(_xlfn.XLOOKUP($B51,Tabla1[SERVICIO],Tabla1[VALOR])*1),IF(AL51&gt;=1,_xlfn.XLOOKUP($B51,Tabla1[SERVICIO],Tabla1[VALOR]*AL51),0))</f>
        <v>21014.39667403782</v>
      </c>
      <c r="AN51" s="89">
        <f t="shared" si="1"/>
        <v>21014.39667403782</v>
      </c>
      <c r="AO51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1" s="122" t="s">
        <v>318</v>
      </c>
      <c r="AQ51" s="126">
        <v>1</v>
      </c>
      <c r="AR51" s="121">
        <f>+Tabla467892043[[#This Row],[TOTAL]]*Tabla467892043[[#This Row],[% de las personas que lo usaron]]</f>
        <v>21014.39667403782</v>
      </c>
      <c r="AS51" s="246" t="s">
        <v>355</v>
      </c>
      <c r="AT51" s="246">
        <v>18</v>
      </c>
    </row>
    <row r="52" spans="1:46" x14ac:dyDescent="0.25">
      <c r="A52" s="7" t="s">
        <v>113</v>
      </c>
      <c r="B52" s="25" t="s">
        <v>116</v>
      </c>
      <c r="C52" s="96" t="str">
        <f>_xlfn.XLOOKUP(Tabla467892043[[#This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60236.092716419647</v>
      </c>
      <c r="F52" s="77"/>
      <c r="G52" s="56" cm="1">
        <f t="array" ref="G52">IF(F52="X",(_xlfn.XLOOKUP($B52,Tabla1[SERVICIO],Tabla1[VALOR])*1),IF(F52&gt;=1,_xlfn.XLOOKUP($B52,Tabla1[SERVICIO],Tabla1[VALOR]*F52),0))</f>
        <v>0</v>
      </c>
      <c r="H52" s="77"/>
      <c r="I52" s="56" cm="1">
        <f t="array" ref="I52">IF(H52="X",(_xlfn.XLOOKUP($B52,Tabla1[SERVICIO],Tabla1[VALOR])*1),IF(H52&gt;=1,_xlfn.XLOOKUP($B52,Tabla1[SERVICIO],Tabla1[VALOR]*H52),0))</f>
        <v>0</v>
      </c>
      <c r="J52" s="77"/>
      <c r="K52" s="56" cm="1">
        <f t="array" ref="K52">IF(J52="X",(_xlfn.XLOOKUP($B52,Tabla1[SERVICIO],Tabla1[VALOR])*1),IF(J52&gt;=1,_xlfn.XLOOKUP($B52,Tabla1[SERVICIO],Tabla1[VALOR]*J52),0))</f>
        <v>0</v>
      </c>
      <c r="L52" s="77"/>
      <c r="M52" s="56" cm="1">
        <f t="array" ref="M52">IF(L52="X",(_xlfn.XLOOKUP($B52,Tabla1[SERVICIO],Tabla1[VALOR])*1),IF(L52&gt;=1,_xlfn.XLOOKUP($B52,Tabla1[SERVICIO],Tabla1[VALOR]*L52),0))</f>
        <v>0</v>
      </c>
      <c r="N52" s="77"/>
      <c r="O52" s="56" cm="1">
        <f t="array" ref="O52">IF(N52="X",(_xlfn.XLOOKUP($B52,Tabla1[SERVICIO],Tabla1[VALOR])*1),IF(N52&gt;=1,_xlfn.XLOOKUP($B52,Tabla1[SERVICIO],Tabla1[VALOR]*N52),0))</f>
        <v>0</v>
      </c>
      <c r="P52" s="77"/>
      <c r="Q52" s="56" cm="1">
        <f t="array" ref="Q52">IF(P52="X",(_xlfn.XLOOKUP($B52,Tabla1[SERVICIO],Tabla1[VALOR])*1),IF(P52&gt;=1,_xlfn.XLOOKUP($B52,Tabla1[SERVICIO],Tabla1[VALOR]*P52),0))</f>
        <v>0</v>
      </c>
      <c r="R52" s="77"/>
      <c r="S52" s="56" cm="1">
        <f t="array" ref="S52">IF(R52="X",(_xlfn.XLOOKUP($B52,Tabla1[SERVICIO],Tabla1[VALOR])*1),IF(R52&gt;=1,_xlfn.XLOOKUP($B52,Tabla1[SERVICIO],Tabla1[VALOR]*R52),0))</f>
        <v>0</v>
      </c>
      <c r="T52" s="77"/>
      <c r="U52" s="56" cm="1">
        <f t="array" ref="U52">IF(T52="X",(_xlfn.XLOOKUP($B52,Tabla1[SERVICIO],Tabla1[VALOR])*1),IF(T52&gt;=1,_xlfn.XLOOKUP($B52,Tabla1[SERVICIO],Tabla1[VALOR]*T52),0))</f>
        <v>0</v>
      </c>
      <c r="V52" s="77"/>
      <c r="W52" s="56" cm="1">
        <f t="array" ref="W52">IF(V52="X",(_xlfn.XLOOKUP($B52,Tabla1[SERVICIO],Tabla1[VALOR])*1),IF(V52&gt;=1,_xlfn.XLOOKUP($B52,Tabla1[SERVICIO],Tabla1[VALOR]*V52),0))</f>
        <v>0</v>
      </c>
      <c r="X52" s="77"/>
      <c r="Y52" s="56" cm="1">
        <f t="array" ref="Y52">IF(X52="X",(_xlfn.XLOOKUP($B52,Tabla1[SERVICIO],Tabla1[VALOR])*1),IF(X52&gt;=1,_xlfn.XLOOKUP($B52,Tabla1[SERVICIO],Tabla1[VALOR]*X52),0))</f>
        <v>0</v>
      </c>
      <c r="Z52" s="77"/>
      <c r="AA52" s="56" cm="1">
        <f t="array" ref="AA52">IF(Z52="X",(_xlfn.XLOOKUP($B52,Tabla1[SERVICIO],Tabla1[VALOR])*1),IF(Z52&gt;=1,_xlfn.XLOOKUP($B52,Tabla1[SERVICIO],Tabla1[VALOR]*Z52),0))</f>
        <v>0</v>
      </c>
      <c r="AB52" s="14"/>
      <c r="AC52" s="56" cm="1">
        <f t="array" ref="AC52">IF(AB52="X",(_xlfn.XLOOKUP($B52,Tabla1[SERVICIO],Tabla1[VALOR])*1),IF(AB52&gt;=1,_xlfn.XLOOKUP($B52,Tabla1[SERVICIO],Tabla1[VALOR]*AB52),0))</f>
        <v>0</v>
      </c>
      <c r="AD52" s="14"/>
      <c r="AE52" s="56" cm="1">
        <f t="array" ref="AE52">IF(AD52="X",(_xlfn.XLOOKUP($B52,Tabla1[SERVICIO],Tabla1[VALOR])*1),IF(AD52&gt;=1,_xlfn.XLOOKUP($B52,Tabla1[SERVICIO],Tabla1[VALOR]*AD52),0))</f>
        <v>0</v>
      </c>
      <c r="AF52" s="14"/>
      <c r="AG52" s="56" cm="1">
        <f t="array" ref="AG52">IF(AF52="X",(_xlfn.XLOOKUP($B52,Tabla1[SERVICIO],Tabla1[VALOR])*1),IF(AF52&gt;=1,_xlfn.XLOOKUP($B52,Tabla1[SERVICIO],Tabla1[VALOR]*AF52),0))</f>
        <v>0</v>
      </c>
      <c r="AH52" s="14"/>
      <c r="AI52" s="56" cm="1">
        <f t="array" ref="AI52">IF(AH52="X",(_xlfn.XLOOKUP($B52,Tabla1[SERVICIO],Tabla1[VALOR])*1),IF(AH52&gt;=1,_xlfn.XLOOKUP($B52,Tabla1[SERVICIO],Tabla1[VALOR]*AH52),0))</f>
        <v>0</v>
      </c>
      <c r="AJ52" s="14"/>
      <c r="AK52" s="56" cm="1">
        <f t="array" ref="AK52">IF(AJ52="X",(_xlfn.XLOOKUP($B52,Tabla1[SERVICIO],Tabla1[VALOR])*1),IF(AJ52&gt;=1,_xlfn.XLOOKUP($B52,Tabla1[SERVICIO],Tabla1[VALOR]*AJ52),0))</f>
        <v>0</v>
      </c>
      <c r="AL52" s="14"/>
      <c r="AM52" s="56" cm="1">
        <f t="array" ref="AM52">IF(AL52="X",(_xlfn.XLOOKUP($B52,Tabla1[SERVICIO],Tabla1[VALOR])*1),IF(AL52&gt;=1,_xlfn.XLOOKUP($B52,Tabla1[SERVICIO],Tabla1[VALOR]*AL52),0))</f>
        <v>0</v>
      </c>
      <c r="AN52" s="89">
        <f t="shared" si="1"/>
        <v>60236.092716419647</v>
      </c>
      <c r="AO52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2" s="37" t="s">
        <v>319</v>
      </c>
      <c r="AQ52" s="126">
        <v>3.5714285714285712E-2</v>
      </c>
      <c r="AR52" s="121">
        <f>+Tabla467892043[[#This Row],[TOTAL]]*Tabla467892043[[#This Row],[% de las personas que lo usaron]]</f>
        <v>2151.2890255864158</v>
      </c>
      <c r="AS52" s="246" t="s">
        <v>355</v>
      </c>
      <c r="AT52" s="246">
        <v>18</v>
      </c>
    </row>
    <row r="53" spans="1:46" x14ac:dyDescent="0.25">
      <c r="A53" s="7" t="s">
        <v>114</v>
      </c>
      <c r="B53" s="8" t="s">
        <v>117</v>
      </c>
      <c r="C53" s="96" t="str">
        <f>_xlfn.XLOOKUP(Tabla467892043[[#This Row],[Servicios del Programa:]],Tabla151[CODIGO],Tabla151[VALOR])</f>
        <v>Consultas</v>
      </c>
      <c r="D53" s="14"/>
      <c r="E53" s="56" cm="1">
        <f t="array" ref="E53">IF(D53="X",(_xlfn.XLOOKUP($B53,Tabla1[SERVICIO],Tabla1[VALOR])*1),IF(D53&gt;=1,_xlfn.XLOOKUP($B53,Tabla1[SERVICIO],Tabla1[VALOR]*D53),0))</f>
        <v>0</v>
      </c>
      <c r="F53" s="77"/>
      <c r="G53" s="56" cm="1">
        <f t="array" ref="G53">IF(F53="X",(_xlfn.XLOOKUP($B53,Tabla1[SERVICIO],Tabla1[VALOR])*1),IF(F53&gt;=1,_xlfn.XLOOKUP($B53,Tabla1[SERVICIO],Tabla1[VALOR]*F53),0))</f>
        <v>0</v>
      </c>
      <c r="H53" s="77"/>
      <c r="I53" s="56" cm="1">
        <f t="array" ref="I53">IF(H53="X",(_xlfn.XLOOKUP($B53,Tabla1[SERVICIO],Tabla1[VALOR])*1),IF(H53&gt;=1,_xlfn.XLOOKUP($B53,Tabla1[SERVICIO],Tabla1[VALOR]*H53),0))</f>
        <v>0</v>
      </c>
      <c r="J53" s="77"/>
      <c r="K53" s="56" cm="1">
        <f t="array" ref="K53">IF(J53="X",(_xlfn.XLOOKUP($B53,Tabla1[SERVICIO],Tabla1[VALOR])*1),IF(J53&gt;=1,_xlfn.XLOOKUP($B53,Tabla1[SERVICIO],Tabla1[VALOR]*J53),0))</f>
        <v>0</v>
      </c>
      <c r="L53" s="77"/>
      <c r="M53" s="56" cm="1">
        <f t="array" ref="M53">IF(L53="X",(_xlfn.XLOOKUP($B53,Tabla1[SERVICIO],Tabla1[VALOR])*1),IF(L53&gt;=1,_xlfn.XLOOKUP($B53,Tabla1[SERVICIO],Tabla1[VALOR]*L53),0))</f>
        <v>0</v>
      </c>
      <c r="N53" s="77"/>
      <c r="O53" s="56" cm="1">
        <f t="array" ref="O53">IF(N53="X",(_xlfn.XLOOKUP($B53,Tabla1[SERVICIO],Tabla1[VALOR])*1),IF(N53&gt;=1,_xlfn.XLOOKUP($B53,Tabla1[SERVICIO],Tabla1[VALOR]*N53),0))</f>
        <v>0</v>
      </c>
      <c r="P53" s="77"/>
      <c r="Q53" s="56" cm="1">
        <f t="array" ref="Q53">IF(P53="X",(_xlfn.XLOOKUP($B53,Tabla1[SERVICIO],Tabla1[VALOR])*1),IF(P53&gt;=1,_xlfn.XLOOKUP($B53,Tabla1[SERVICIO],Tabla1[VALOR]*P53),0))</f>
        <v>0</v>
      </c>
      <c r="R53" s="77"/>
      <c r="S53" s="56" cm="1">
        <f t="array" ref="S53">IF(R53="X",(_xlfn.XLOOKUP($B53,Tabla1[SERVICIO],Tabla1[VALOR])*1),IF(R53&gt;=1,_xlfn.XLOOKUP($B53,Tabla1[SERVICIO],Tabla1[VALOR]*R53),0))</f>
        <v>0</v>
      </c>
      <c r="T53" s="77"/>
      <c r="U53" s="56" cm="1">
        <f t="array" ref="U53">IF(T53="X",(_xlfn.XLOOKUP($B53,Tabla1[SERVICIO],Tabla1[VALOR])*1),IF(T53&gt;=1,_xlfn.XLOOKUP($B53,Tabla1[SERVICIO],Tabla1[VALOR]*T53),0))</f>
        <v>0</v>
      </c>
      <c r="V53" s="77"/>
      <c r="W53" s="56" cm="1">
        <f t="array" ref="W53">IF(V53="X",(_xlfn.XLOOKUP($B53,Tabla1[SERVICIO],Tabla1[VALOR])*1),IF(V53&gt;=1,_xlfn.XLOOKUP($B53,Tabla1[SERVICIO],Tabla1[VALOR]*V53),0))</f>
        <v>0</v>
      </c>
      <c r="X53" s="77"/>
      <c r="Y53" s="56" cm="1">
        <f t="array" ref="Y53">IF(X53="X",(_xlfn.XLOOKUP($B53,Tabla1[SERVICIO],Tabla1[VALOR])*1),IF(X53&gt;=1,_xlfn.XLOOKUP($B53,Tabla1[SERVICIO],Tabla1[VALOR]*X53),0))</f>
        <v>0</v>
      </c>
      <c r="Z53" s="77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/>
      <c r="AM53" s="56" cm="1">
        <f t="array" ref="AM53">IF(AL53="X",(_xlfn.XLOOKUP($B53,Tabla1[SERVICIO],Tabla1[VALOR])*1),IF(AL53&gt;=1,_xlfn.XLOOKUP($B53,Tabla1[SERVICIO],Tabla1[VALOR]*AL53),0))</f>
        <v>0</v>
      </c>
      <c r="AN53" s="89">
        <f t="shared" si="1"/>
        <v>0</v>
      </c>
      <c r="AO53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0</v>
      </c>
      <c r="AP53" s="37" t="s">
        <v>319</v>
      </c>
      <c r="AQ53" s="126">
        <v>0</v>
      </c>
      <c r="AR53" s="121">
        <f>+Tabla467892043[[#This Row],[TOTAL]]*Tabla467892043[[#This Row],[% de las personas que lo usaron]]</f>
        <v>0</v>
      </c>
      <c r="AS53" s="246" t="s">
        <v>355</v>
      </c>
      <c r="AT53" s="246">
        <v>18</v>
      </c>
    </row>
    <row r="54" spans="1:46" x14ac:dyDescent="0.25">
      <c r="A54" s="7" t="s">
        <v>115</v>
      </c>
      <c r="B54" s="8" t="s">
        <v>118</v>
      </c>
      <c r="C54" s="96" t="str">
        <f>_xlfn.XLOOKUP(Tabla467892043[[#This Row],[Servicios del Programa:]],Tabla151[CODIGO],Tabla151[VALOR])</f>
        <v>Consultas</v>
      </c>
      <c r="D54" s="14"/>
      <c r="E54" s="56" cm="1">
        <f t="array" ref="E54">IF(D54="X",(_xlfn.XLOOKUP($B54,Tabla1[SERVICIO],Tabla1[VALOR])*1),IF(D54&gt;=1,_xlfn.XLOOKUP($B54,Tabla1[SERVICIO],Tabla1[VALOR]*D54),0))</f>
        <v>0</v>
      </c>
      <c r="F54" s="77"/>
      <c r="G54" s="56" cm="1">
        <f t="array" ref="G54">IF(F54="X",(_xlfn.XLOOKUP($B54,Tabla1[SERVICIO],Tabla1[VALOR])*1),IF(F54&gt;=1,_xlfn.XLOOKUP($B54,Tabla1[SERVICIO],Tabla1[VALOR]*F54),0))</f>
        <v>0</v>
      </c>
      <c r="H54" s="77"/>
      <c r="I54" s="56" cm="1">
        <f t="array" ref="I54">IF(H54="X",(_xlfn.XLOOKUP($B54,Tabla1[SERVICIO],Tabla1[VALOR])*1),IF(H54&gt;=1,_xlfn.XLOOKUP($B54,Tabla1[SERVICIO],Tabla1[VALOR]*H54),0))</f>
        <v>0</v>
      </c>
      <c r="J54" s="77"/>
      <c r="K54" s="56" cm="1">
        <f t="array" ref="K54">IF(J54="X",(_xlfn.XLOOKUP($B54,Tabla1[SERVICIO],Tabla1[VALOR])*1),IF(J54&gt;=1,_xlfn.XLOOKUP($B54,Tabla1[SERVICIO],Tabla1[VALOR]*J54),0))</f>
        <v>0</v>
      </c>
      <c r="L54" s="77"/>
      <c r="M54" s="56" cm="1">
        <f t="array" ref="M54">IF(L54="X",(_xlfn.XLOOKUP($B54,Tabla1[SERVICIO],Tabla1[VALOR])*1),IF(L54&gt;=1,_xlfn.XLOOKUP($B54,Tabla1[SERVICIO],Tabla1[VALOR]*L54),0))</f>
        <v>0</v>
      </c>
      <c r="N54" s="77"/>
      <c r="O54" s="56" cm="1">
        <f t="array" ref="O54">IF(N54="X",(_xlfn.XLOOKUP($B54,Tabla1[SERVICIO],Tabla1[VALOR])*1),IF(N54&gt;=1,_xlfn.XLOOKUP($B54,Tabla1[SERVICIO],Tabla1[VALOR]*N54),0))</f>
        <v>0</v>
      </c>
      <c r="P54" s="77"/>
      <c r="Q54" s="56" cm="1">
        <f t="array" ref="Q54">IF(P54="X",(_xlfn.XLOOKUP($B54,Tabla1[SERVICIO],Tabla1[VALOR])*1),IF(P54&gt;=1,_xlfn.XLOOKUP($B54,Tabla1[SERVICIO],Tabla1[VALOR]*P54),0))</f>
        <v>0</v>
      </c>
      <c r="R54" s="77"/>
      <c r="S54" s="56" cm="1">
        <f t="array" ref="S54">IF(R54="X",(_xlfn.XLOOKUP($B54,Tabla1[SERVICIO],Tabla1[VALOR])*1),IF(R54&gt;=1,_xlfn.XLOOKUP($B54,Tabla1[SERVICIO],Tabla1[VALOR]*R54),0))</f>
        <v>0</v>
      </c>
      <c r="T54" s="77"/>
      <c r="U54" s="56" cm="1">
        <f t="array" ref="U54">IF(T54="X",(_xlfn.XLOOKUP($B54,Tabla1[SERVICIO],Tabla1[VALOR])*1),IF(T54&gt;=1,_xlfn.XLOOKUP($B54,Tabla1[SERVICIO],Tabla1[VALOR]*T54),0))</f>
        <v>0</v>
      </c>
      <c r="V54" s="77"/>
      <c r="W54" s="56" cm="1">
        <f t="array" ref="W54">IF(V54="X",(_xlfn.XLOOKUP($B54,Tabla1[SERVICIO],Tabla1[VALOR])*1),IF(V54&gt;=1,_xlfn.XLOOKUP($B54,Tabla1[SERVICIO],Tabla1[VALOR]*V54),0))</f>
        <v>0</v>
      </c>
      <c r="X54" s="77"/>
      <c r="Y54" s="56" cm="1">
        <f t="array" ref="Y54">IF(X54="X",(_xlfn.XLOOKUP($B54,Tabla1[SERVICIO],Tabla1[VALOR])*1),IF(X54&gt;=1,_xlfn.XLOOKUP($B54,Tabla1[SERVICIO],Tabla1[VALOR]*X54),0))</f>
        <v>0</v>
      </c>
      <c r="Z54" s="77"/>
      <c r="AA54" s="56" cm="1">
        <f t="array" ref="AA54">IF(Z54="X",(_xlfn.XLOOKUP($B54,Tabla1[SERVICIO],Tabla1[VALOR])*1),IF(Z54&gt;=1,_xlfn.XLOOKUP($B54,Tabla1[SERVICIO],Tabla1[VALOR]*Z54),0))</f>
        <v>0</v>
      </c>
      <c r="AB54" s="14"/>
      <c r="AC54" s="56" cm="1">
        <f t="array" ref="AC54">IF(AB54="X",(_xlfn.XLOOKUP($B54,Tabla1[SERVICIO],Tabla1[VALOR])*1),IF(AB54&gt;=1,_xlfn.XLOOKUP($B54,Tabla1[SERVICIO],Tabla1[VALOR]*AB54),0))</f>
        <v>0</v>
      </c>
      <c r="AD54" s="14"/>
      <c r="AE54" s="56" cm="1">
        <f t="array" ref="AE54">IF(AD54="X",(_xlfn.XLOOKUP($B54,Tabla1[SERVICIO],Tabla1[VALOR])*1),IF(AD54&gt;=1,_xlfn.XLOOKUP($B54,Tabla1[SERVICIO],Tabla1[VALOR]*AD54),0))</f>
        <v>0</v>
      </c>
      <c r="AF54" s="14"/>
      <c r="AG54" s="56" cm="1">
        <f t="array" ref="AG54">IF(AF54="X",(_xlfn.XLOOKUP($B54,Tabla1[SERVICIO],Tabla1[VALOR])*1),IF(AF54&gt;=1,_xlfn.XLOOKUP($B54,Tabla1[SERVICIO],Tabla1[VALOR]*AF54),0))</f>
        <v>0</v>
      </c>
      <c r="AH54" s="14"/>
      <c r="AI54" s="56" cm="1">
        <f t="array" ref="AI54">IF(AH54="X",(_xlfn.XLOOKUP($B54,Tabla1[SERVICIO],Tabla1[VALOR])*1),IF(AH54&gt;=1,_xlfn.XLOOKUP($B54,Tabla1[SERVICIO],Tabla1[VALOR]*AH54),0))</f>
        <v>0</v>
      </c>
      <c r="AJ54" s="14"/>
      <c r="AK54" s="56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6" cm="1">
        <f t="array" ref="AM54">IF(AL54="X",(_xlfn.XLOOKUP($B54,Tabla1[SERVICIO],Tabla1[VALOR])*1),IF(AL54&gt;=1,_xlfn.XLOOKUP($B54,Tabla1[SERVICIO],Tabla1[VALOR]*AL54),0))</f>
        <v>62748.232282880919</v>
      </c>
      <c r="AN54" s="89">
        <f t="shared" si="1"/>
        <v>62748.232282880919</v>
      </c>
      <c r="AO54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4" s="37" t="s">
        <v>319</v>
      </c>
      <c r="AQ54" s="126">
        <v>0</v>
      </c>
      <c r="AR54" s="121">
        <f>+Tabla467892043[[#This Row],[TOTAL]]*Tabla467892043[[#This Row],[% de las personas que lo usaron]]</f>
        <v>0</v>
      </c>
      <c r="AS54" s="246" t="s">
        <v>355</v>
      </c>
      <c r="AT54" s="246">
        <v>18</v>
      </c>
    </row>
    <row r="55" spans="1:46" x14ac:dyDescent="0.25">
      <c r="A55" s="7" t="s">
        <v>52</v>
      </c>
      <c r="B55" s="8" t="s">
        <v>191</v>
      </c>
      <c r="C55" s="96" t="str">
        <f>_xlfn.XLOOKUP(Tabla467892043[[#This Row],[Servicios del Programa:]],Tabla151[CODIGO],Tabla151[VALOR])</f>
        <v>Consultas</v>
      </c>
      <c r="D55" s="14">
        <v>1</v>
      </c>
      <c r="E55" s="56" cm="1">
        <f t="array" ref="E55">IF(D55="X",(_xlfn.XLOOKUP($B55,Tabla1[SERVICIO],Tabla1[VALOR])*1),IF(D55&gt;=1,_xlfn.XLOOKUP($B55,Tabla1[SERVICIO],Tabla1[VALOR]*D55),0))</f>
        <v>26897.079640267821</v>
      </c>
      <c r="F55" s="77"/>
      <c r="G55" s="56" cm="1">
        <f t="array" ref="G55">IF(F55="X",(_xlfn.XLOOKUP($B55,Tabla1[SERVICIO],Tabla1[VALOR])*1),IF(F55&gt;=1,_xlfn.XLOOKUP($B55,Tabla1[SERVICIO],Tabla1[VALOR]*F55),0))</f>
        <v>0</v>
      </c>
      <c r="H55" s="77"/>
      <c r="I55" s="56" cm="1">
        <f t="array" ref="I55">IF(H55="X",(_xlfn.XLOOKUP($B55,Tabla1[SERVICIO],Tabla1[VALOR])*1),IF(H55&gt;=1,_xlfn.XLOOKUP($B55,Tabla1[SERVICIO],Tabla1[VALOR]*H55),0))</f>
        <v>0</v>
      </c>
      <c r="J55" s="77"/>
      <c r="K55" s="56" cm="1">
        <f t="array" ref="K55">IF(J55="X",(_xlfn.XLOOKUP($B55,Tabla1[SERVICIO],Tabla1[VALOR])*1),IF(J55&gt;=1,_xlfn.XLOOKUP($B55,Tabla1[SERVICIO],Tabla1[VALOR]*J55),0))</f>
        <v>0</v>
      </c>
      <c r="L55" s="77"/>
      <c r="M55" s="56" cm="1">
        <f t="array" ref="M55">IF(L55="X",(_xlfn.XLOOKUP($B55,Tabla1[SERVICIO],Tabla1[VALOR])*1),IF(L55&gt;=1,_xlfn.XLOOKUP($B55,Tabla1[SERVICIO],Tabla1[VALOR]*L55),0))</f>
        <v>0</v>
      </c>
      <c r="N55" s="77"/>
      <c r="O55" s="56" cm="1">
        <f t="array" ref="O55">IF(N55="X",(_xlfn.XLOOKUP($B55,Tabla1[SERVICIO],Tabla1[VALOR])*1),IF(N55&gt;=1,_xlfn.XLOOKUP($B55,Tabla1[SERVICIO],Tabla1[VALOR]*N55),0))</f>
        <v>0</v>
      </c>
      <c r="P55" s="77"/>
      <c r="Q55" s="56" cm="1">
        <f t="array" ref="Q55">IF(P55="X",(_xlfn.XLOOKUP($B55,Tabla1[SERVICIO],Tabla1[VALOR])*1),IF(P55&gt;=1,_xlfn.XLOOKUP($B55,Tabla1[SERVICIO],Tabla1[VALOR]*P55),0))</f>
        <v>0</v>
      </c>
      <c r="R55" s="77"/>
      <c r="S55" s="56" cm="1">
        <f t="array" ref="S55">IF(R55="X",(_xlfn.XLOOKUP($B55,Tabla1[SERVICIO],Tabla1[VALOR])*1),IF(R55&gt;=1,_xlfn.XLOOKUP($B55,Tabla1[SERVICIO],Tabla1[VALOR]*R55),0))</f>
        <v>0</v>
      </c>
      <c r="T55" s="77"/>
      <c r="U55" s="56" cm="1">
        <f t="array" ref="U55">IF(T55="X",(_xlfn.XLOOKUP($B55,Tabla1[SERVICIO],Tabla1[VALOR])*1),IF(T55&gt;=1,_xlfn.XLOOKUP($B55,Tabla1[SERVICIO],Tabla1[VALOR]*T55),0))</f>
        <v>0</v>
      </c>
      <c r="V55" s="77"/>
      <c r="W55" s="56" cm="1">
        <f t="array" ref="W55">IF(V55="X",(_xlfn.XLOOKUP($B55,Tabla1[SERVICIO],Tabla1[VALOR])*1),IF(V55&gt;=1,_xlfn.XLOOKUP($B55,Tabla1[SERVICIO],Tabla1[VALOR]*V55),0))</f>
        <v>0</v>
      </c>
      <c r="X55" s="77"/>
      <c r="Y55" s="56" cm="1">
        <f t="array" ref="Y55">IF(X55="X",(_xlfn.XLOOKUP($B55,Tabla1[SERVICIO],Tabla1[VALOR])*1),IF(X55&gt;=1,_xlfn.XLOOKUP($B55,Tabla1[SERVICIO],Tabla1[VALOR]*X55),0))</f>
        <v>0</v>
      </c>
      <c r="Z55" s="77"/>
      <c r="AA55" s="56" cm="1">
        <f t="array" ref="AA55">IF(Z55="X",(_xlfn.XLOOKUP($B55,Tabla1[SERVICIO],Tabla1[VALOR])*1),IF(Z55&gt;=1,_xlfn.XLOOKUP($B55,Tabla1[SERVICIO],Tabla1[VALOR]*Z55),0))</f>
        <v>0</v>
      </c>
      <c r="AB55" s="14"/>
      <c r="AC55" s="56" cm="1">
        <f t="array" ref="AC55">IF(AB55="X",(_xlfn.XLOOKUP($B55,Tabla1[SERVICIO],Tabla1[VALOR])*1),IF(AB55&gt;=1,_xlfn.XLOOKUP($B55,Tabla1[SERVICIO],Tabla1[VALOR]*AB55),0))</f>
        <v>0</v>
      </c>
      <c r="AD55" s="14"/>
      <c r="AE55" s="56" cm="1">
        <f t="array" ref="AE55">IF(AD55="X",(_xlfn.XLOOKUP($B55,Tabla1[SERVICIO],Tabla1[VALOR])*1),IF(AD55&gt;=1,_xlfn.XLOOKUP($B55,Tabla1[SERVICIO],Tabla1[VALOR]*AD55),0))</f>
        <v>0</v>
      </c>
      <c r="AF55" s="14"/>
      <c r="AG55" s="56" cm="1">
        <f t="array" ref="AG55">IF(AF55="X",(_xlfn.XLOOKUP($B55,Tabla1[SERVICIO],Tabla1[VALOR])*1),IF(AF55&gt;=1,_xlfn.XLOOKUP($B55,Tabla1[SERVICIO],Tabla1[VALOR]*AF55),0))</f>
        <v>0</v>
      </c>
      <c r="AH55" s="14"/>
      <c r="AI55" s="56" cm="1">
        <f t="array" ref="AI55">IF(AH55="X",(_xlfn.XLOOKUP($B55,Tabla1[SERVICIO],Tabla1[VALOR])*1),IF(AH55&gt;=1,_xlfn.XLOOKUP($B55,Tabla1[SERVICIO],Tabla1[VALOR]*AH55),0))</f>
        <v>0</v>
      </c>
      <c r="AJ55" s="14"/>
      <c r="AK55" s="56" cm="1">
        <f t="array" ref="AK55">IF(AJ55="X",(_xlfn.XLOOKUP($B55,Tabla1[SERVICIO],Tabla1[VALOR])*1),IF(AJ55&gt;=1,_xlfn.XLOOKUP($B55,Tabla1[SERVICIO],Tabla1[VALOR]*AJ55),0))</f>
        <v>0</v>
      </c>
      <c r="AL55" s="14"/>
      <c r="AM55" s="56" cm="1">
        <f t="array" ref="AM55">IF(AL55="X",(_xlfn.XLOOKUP($B55,Tabla1[SERVICIO],Tabla1[VALOR])*1),IF(AL55&gt;=1,_xlfn.XLOOKUP($B55,Tabla1[SERVICIO],Tabla1[VALOR]*AL55),0))</f>
        <v>0</v>
      </c>
      <c r="AN55" s="89">
        <f t="shared" si="1"/>
        <v>26897.079640267821</v>
      </c>
      <c r="AO55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5" s="37" t="s">
        <v>319</v>
      </c>
      <c r="AQ55" s="126">
        <v>1</v>
      </c>
      <c r="AR55" s="121">
        <f>+Tabla467892043[[#This Row],[TOTAL]]*Tabla467892043[[#This Row],[% de las personas que lo usaron]]</f>
        <v>26897.079640267821</v>
      </c>
      <c r="AS55" s="246" t="s">
        <v>355</v>
      </c>
      <c r="AT55" s="246">
        <v>18</v>
      </c>
    </row>
    <row r="56" spans="1:46" x14ac:dyDescent="0.25">
      <c r="A56" s="7" t="s">
        <v>53</v>
      </c>
      <c r="B56" s="8" t="s">
        <v>230</v>
      </c>
      <c r="C56" s="96" t="str">
        <f>_xlfn.XLOOKUP(Tabla467892043[[#This Row],[Servicios del Programa:]],Tabla151[CODIGO],Tabla151[VALOR])</f>
        <v>Consultas</v>
      </c>
      <c r="D56" s="14">
        <v>1</v>
      </c>
      <c r="E56" s="56" cm="1">
        <f t="array" ref="E56">IF(D56="X",(_xlfn.XLOOKUP($B56,Tabla1[SERVICIO],Tabla1[VALOR])*1),IF(D56&gt;=1,_xlfn.XLOOKUP($B56,Tabla1[SERVICIO],Tabla1[VALOR]*D56),0))</f>
        <v>26897.079640267817</v>
      </c>
      <c r="F56" s="77"/>
      <c r="G56" s="56" cm="1">
        <f t="array" ref="G56">IF(F56="X",(_xlfn.XLOOKUP($B56,Tabla1[SERVICIO],Tabla1[VALOR])*1),IF(F56&gt;=1,_xlfn.XLOOKUP($B56,Tabla1[SERVICIO],Tabla1[VALOR]*F56),0))</f>
        <v>0</v>
      </c>
      <c r="H56" s="77"/>
      <c r="I56" s="56" cm="1">
        <f t="array" ref="I56">IF(H56="X",(_xlfn.XLOOKUP($B56,Tabla1[SERVICIO],Tabla1[VALOR])*1),IF(H56&gt;=1,_xlfn.XLOOKUP($B56,Tabla1[SERVICIO],Tabla1[VALOR]*H56),0))</f>
        <v>0</v>
      </c>
      <c r="J56" s="77"/>
      <c r="K56" s="56" cm="1">
        <f t="array" ref="K56">IF(J56="X",(_xlfn.XLOOKUP($B56,Tabla1[SERVICIO],Tabla1[VALOR])*1),IF(J56&gt;=1,_xlfn.XLOOKUP($B56,Tabla1[SERVICIO],Tabla1[VALOR]*J56),0))</f>
        <v>0</v>
      </c>
      <c r="L56" s="77"/>
      <c r="M56" s="56" cm="1">
        <f t="array" ref="M56">IF(L56="X",(_xlfn.XLOOKUP($B56,Tabla1[SERVICIO],Tabla1[VALOR])*1),IF(L56&gt;=1,_xlfn.XLOOKUP($B56,Tabla1[SERVICIO],Tabla1[VALOR]*L56),0))</f>
        <v>0</v>
      </c>
      <c r="N56" s="77"/>
      <c r="O56" s="56" cm="1">
        <f t="array" ref="O56">IF(N56="X",(_xlfn.XLOOKUP($B56,Tabla1[SERVICIO],Tabla1[VALOR])*1),IF(N56&gt;=1,_xlfn.XLOOKUP($B56,Tabla1[SERVICIO],Tabla1[VALOR]*N56),0))</f>
        <v>0</v>
      </c>
      <c r="P56" s="77"/>
      <c r="Q56" s="56" cm="1">
        <f t="array" ref="Q56">IF(P56="X",(_xlfn.XLOOKUP($B56,Tabla1[SERVICIO],Tabla1[VALOR])*1),IF(P56&gt;=1,_xlfn.XLOOKUP($B56,Tabla1[SERVICIO],Tabla1[VALOR]*P56),0))</f>
        <v>0</v>
      </c>
      <c r="R56" s="77"/>
      <c r="S56" s="56" cm="1">
        <f t="array" ref="S56">IF(R56="X",(_xlfn.XLOOKUP($B56,Tabla1[SERVICIO],Tabla1[VALOR])*1),IF(R56&gt;=1,_xlfn.XLOOKUP($B56,Tabla1[SERVICIO],Tabla1[VALOR]*R56),0))</f>
        <v>0</v>
      </c>
      <c r="T56" s="77"/>
      <c r="U56" s="56" cm="1">
        <f t="array" ref="U56">IF(T56="X",(_xlfn.XLOOKUP($B56,Tabla1[SERVICIO],Tabla1[VALOR])*1),IF(T56&gt;=1,_xlfn.XLOOKUP($B56,Tabla1[SERVICIO],Tabla1[VALOR]*T56),0))</f>
        <v>0</v>
      </c>
      <c r="V56" s="77"/>
      <c r="W56" s="56" cm="1">
        <f t="array" ref="W56">IF(V56="X",(_xlfn.XLOOKUP($B56,Tabla1[SERVICIO],Tabla1[VALOR])*1),IF(V56&gt;=1,_xlfn.XLOOKUP($B56,Tabla1[SERVICIO],Tabla1[VALOR]*V56),0))</f>
        <v>0</v>
      </c>
      <c r="X56" s="77"/>
      <c r="Y56" s="56" cm="1">
        <f t="array" ref="Y56">IF(X56="X",(_xlfn.XLOOKUP($B56,Tabla1[SERVICIO],Tabla1[VALOR])*1),IF(X56&gt;=1,_xlfn.XLOOKUP($B56,Tabla1[SERVICIO],Tabla1[VALOR]*X56),0))</f>
        <v>0</v>
      </c>
      <c r="Z56" s="77"/>
      <c r="AA56" s="56" cm="1">
        <f t="array" ref="AA56">IF(Z56="X",(_xlfn.XLOOKUP($B56,Tabla1[SERVICIO],Tabla1[VALOR])*1),IF(Z56&gt;=1,_xlfn.XLOOKUP($B56,Tabla1[SERVICIO],Tabla1[VALOR]*Z56),0))</f>
        <v>0</v>
      </c>
      <c r="AB56" s="14"/>
      <c r="AC56" s="56" cm="1">
        <f t="array" ref="AC56">IF(AB56="X",(_xlfn.XLOOKUP($B56,Tabla1[SERVICIO],Tabla1[VALOR])*1),IF(AB56&gt;=1,_xlfn.XLOOKUP($B56,Tabla1[SERVICIO],Tabla1[VALOR]*AB56),0))</f>
        <v>0</v>
      </c>
      <c r="AD56" s="14"/>
      <c r="AE56" s="56" cm="1">
        <f t="array" ref="AE56">IF(AD56="X",(_xlfn.XLOOKUP($B56,Tabla1[SERVICIO],Tabla1[VALOR])*1),IF(AD56&gt;=1,_xlfn.XLOOKUP($B56,Tabla1[SERVICIO],Tabla1[VALOR]*AD56),0))</f>
        <v>0</v>
      </c>
      <c r="AF56" s="14"/>
      <c r="AG56" s="56" cm="1">
        <f t="array" ref="AG56">IF(AF56="X",(_xlfn.XLOOKUP($B56,Tabla1[SERVICIO],Tabla1[VALOR])*1),IF(AF56&gt;=1,_xlfn.XLOOKUP($B56,Tabla1[SERVICIO],Tabla1[VALOR]*AF56),0))</f>
        <v>0</v>
      </c>
      <c r="AH56" s="14"/>
      <c r="AI56" s="56" cm="1">
        <f t="array" ref="AI56">IF(AH56="X",(_xlfn.XLOOKUP($B56,Tabla1[SERVICIO],Tabla1[VALOR])*1),IF(AH56&gt;=1,_xlfn.XLOOKUP($B56,Tabla1[SERVICIO],Tabla1[VALOR]*AH56),0))</f>
        <v>0</v>
      </c>
      <c r="AJ56" s="14"/>
      <c r="AK56" s="56" cm="1">
        <f t="array" ref="AK56">IF(AJ56="X",(_xlfn.XLOOKUP($B56,Tabla1[SERVICIO],Tabla1[VALOR])*1),IF(AJ56&gt;=1,_xlfn.XLOOKUP($B56,Tabla1[SERVICIO],Tabla1[VALOR]*AJ56),0))</f>
        <v>0</v>
      </c>
      <c r="AL56" s="14"/>
      <c r="AM56" s="56" cm="1">
        <f t="array" ref="AM56">IF(AL56="X",(_xlfn.XLOOKUP($B56,Tabla1[SERVICIO],Tabla1[VALOR])*1),IF(AL56&gt;=1,_xlfn.XLOOKUP($B56,Tabla1[SERVICIO],Tabla1[VALOR]*AL56),0))</f>
        <v>0</v>
      </c>
      <c r="AN56" s="89">
        <f t="shared" si="1"/>
        <v>26897.079640267817</v>
      </c>
      <c r="AO56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6" s="37" t="s">
        <v>319</v>
      </c>
      <c r="AQ56" s="126">
        <v>3.5714285714285712E-2</v>
      </c>
      <c r="AR56" s="121">
        <f>+Tabla467892043[[#This Row],[TOTAL]]*Tabla467892043[[#This Row],[% de las personas que lo usaron]]</f>
        <v>960.60998715242204</v>
      </c>
      <c r="AS56" s="246" t="s">
        <v>355</v>
      </c>
      <c r="AT56" s="246">
        <v>18</v>
      </c>
    </row>
    <row r="57" spans="1:46" x14ac:dyDescent="0.25">
      <c r="A57" s="7" t="s">
        <v>29</v>
      </c>
      <c r="B57" s="8" t="s">
        <v>196</v>
      </c>
      <c r="C57" s="96" t="str">
        <f>_xlfn.XLOOKUP(Tabla467892043[[#This Row],[Servicios del Programa:]],Tabla151[CODIGO],Tabla151[VALOR])</f>
        <v>Terapias</v>
      </c>
      <c r="D57" s="14"/>
      <c r="E57" s="56" cm="1">
        <f t="array" ref="E57">IF(D57="X",(_xlfn.XLOOKUP($B57,Tabla1[SERVICIO],Tabla1[VALOR])*1),IF(D57&gt;=1,_xlfn.XLOOKUP($B57,Tabla1[SERVICIO],Tabla1[VALOR]*D57),0))</f>
        <v>0</v>
      </c>
      <c r="F57" s="77"/>
      <c r="G57" s="56" cm="1">
        <f t="array" ref="G57">IF(F57="X",(_xlfn.XLOOKUP($B57,Tabla1[SERVICIO],Tabla1[VALOR])*1),IF(F57&gt;=1,_xlfn.XLOOKUP($B57,Tabla1[SERVICIO],Tabla1[VALOR]*F57),0))</f>
        <v>0</v>
      </c>
      <c r="H57" s="77"/>
      <c r="I57" s="56" cm="1">
        <f t="array" ref="I57">IF(H57="X",(_xlfn.XLOOKUP($B57,Tabla1[SERVICIO],Tabla1[VALOR])*1),IF(H57&gt;=1,_xlfn.XLOOKUP($B57,Tabla1[SERVICIO],Tabla1[VALOR]*H57),0))</f>
        <v>0</v>
      </c>
      <c r="J57" s="77"/>
      <c r="K57" s="56" cm="1">
        <f t="array" ref="K57">IF(J57="X",(_xlfn.XLOOKUP($B57,Tabla1[SERVICIO],Tabla1[VALOR])*1),IF(J57&gt;=1,_xlfn.XLOOKUP($B57,Tabla1[SERVICIO],Tabla1[VALOR]*J57),0))</f>
        <v>0</v>
      </c>
      <c r="L57" s="77"/>
      <c r="M57" s="56" cm="1">
        <f t="array" ref="M57">IF(L57="X",(_xlfn.XLOOKUP($B57,Tabla1[SERVICIO],Tabla1[VALOR])*1),IF(L57&gt;=1,_xlfn.XLOOKUP($B57,Tabla1[SERVICIO],Tabla1[VALOR]*L57),0))</f>
        <v>0</v>
      </c>
      <c r="N57" s="77"/>
      <c r="O57" s="56" cm="1">
        <f t="array" ref="O57">IF(N57="X",(_xlfn.XLOOKUP($B57,Tabla1[SERVICIO],Tabla1[VALOR])*1),IF(N57&gt;=1,_xlfn.XLOOKUP($B57,Tabla1[SERVICIO],Tabla1[VALOR]*N57),0))</f>
        <v>0</v>
      </c>
      <c r="P57" s="77"/>
      <c r="Q57" s="56" cm="1">
        <f t="array" ref="Q57">IF(P57="X",(_xlfn.XLOOKUP($B57,Tabla1[SERVICIO],Tabla1[VALOR])*1),IF(P57&gt;=1,_xlfn.XLOOKUP($B57,Tabla1[SERVICIO],Tabla1[VALOR]*P57),0))</f>
        <v>0</v>
      </c>
      <c r="R57" s="77"/>
      <c r="S57" s="56" cm="1">
        <f t="array" ref="S57">IF(R57="X",(_xlfn.XLOOKUP($B57,Tabla1[SERVICIO],Tabla1[VALOR])*1),IF(R57&gt;=1,_xlfn.XLOOKUP($B57,Tabla1[SERVICIO],Tabla1[VALOR]*R57),0))</f>
        <v>0</v>
      </c>
      <c r="T57" s="77"/>
      <c r="U57" s="56" cm="1">
        <f t="array" ref="U57">IF(T57="X",(_xlfn.XLOOKUP($B57,Tabla1[SERVICIO],Tabla1[VALOR])*1),IF(T57&gt;=1,_xlfn.XLOOKUP($B57,Tabla1[SERVICIO],Tabla1[VALOR]*T57),0))</f>
        <v>0</v>
      </c>
      <c r="V57" s="77"/>
      <c r="W57" s="56" cm="1">
        <f t="array" ref="W57">IF(V57="X",(_xlfn.XLOOKUP($B57,Tabla1[SERVICIO],Tabla1[VALOR])*1),IF(V57&gt;=1,_xlfn.XLOOKUP($B57,Tabla1[SERVICIO],Tabla1[VALOR]*V57),0))</f>
        <v>0</v>
      </c>
      <c r="X57" s="77"/>
      <c r="Y57" s="56" cm="1">
        <f t="array" ref="Y57">IF(X57="X",(_xlfn.XLOOKUP($B57,Tabla1[SERVICIO],Tabla1[VALOR])*1),IF(X57&gt;=1,_xlfn.XLOOKUP($B57,Tabla1[SERVICIO],Tabla1[VALOR]*X57),0))</f>
        <v>0</v>
      </c>
      <c r="Z57" s="77"/>
      <c r="AA57" s="56" cm="1">
        <f t="array" ref="AA57">IF(Z57="X",(_xlfn.XLOOKUP($B57,Tabla1[SERVICIO],Tabla1[VALOR])*1),IF(Z57&gt;=1,_xlfn.XLOOKUP($B57,Tabla1[SERVICIO],Tabla1[VALOR]*Z57),0))</f>
        <v>0</v>
      </c>
      <c r="AB57" s="14"/>
      <c r="AC57" s="56" cm="1">
        <f t="array" ref="AC57">IF(AB57="X",(_xlfn.XLOOKUP($B57,Tabla1[SERVICIO],Tabla1[VALOR])*1),IF(AB57&gt;=1,_xlfn.XLOOKUP($B57,Tabla1[SERVICIO],Tabla1[VALOR]*AB57),0))</f>
        <v>0</v>
      </c>
      <c r="AD57" s="14"/>
      <c r="AE57" s="56" cm="1">
        <f t="array" ref="AE57">IF(AD57="X",(_xlfn.XLOOKUP($B57,Tabla1[SERVICIO],Tabla1[VALOR])*1),IF(AD57&gt;=1,_xlfn.XLOOKUP($B57,Tabla1[SERVICIO],Tabla1[VALOR]*AD57),0))</f>
        <v>0</v>
      </c>
      <c r="AF57" s="14"/>
      <c r="AG57" s="56" cm="1">
        <f t="array" ref="AG57">IF(AF57="X",(_xlfn.XLOOKUP($B57,Tabla1[SERVICIO],Tabla1[VALOR])*1),IF(AF57&gt;=1,_xlfn.XLOOKUP($B57,Tabla1[SERVICIO],Tabla1[VALOR]*AF57),0))</f>
        <v>0</v>
      </c>
      <c r="AH57" s="14"/>
      <c r="AI57" s="56" cm="1">
        <f t="array" ref="AI57">IF(AH57="X",(_xlfn.XLOOKUP($B57,Tabla1[SERVICIO],Tabla1[VALOR])*1),IF(AH57&gt;=1,_xlfn.XLOOKUP($B57,Tabla1[SERVICIO],Tabla1[VALOR]*AH57),0))</f>
        <v>0</v>
      </c>
      <c r="AJ57" s="14"/>
      <c r="AK57" s="56" cm="1">
        <f t="array" ref="AK57">IF(AJ57="X",(_xlfn.XLOOKUP($B57,Tabla1[SERVICIO],Tabla1[VALOR])*1),IF(AJ57&gt;=1,_xlfn.XLOOKUP($B57,Tabla1[SERVICIO],Tabla1[VALOR]*AJ57),0))</f>
        <v>0</v>
      </c>
      <c r="AL57" s="14">
        <v>1</v>
      </c>
      <c r="AM57" s="56" cm="1">
        <f t="array" ref="AM57">IF(AL57="X",(_xlfn.XLOOKUP($B57,Tabla1[SERVICIO],Tabla1[VALOR])*1),IF(AL57&gt;=1,_xlfn.XLOOKUP($B57,Tabla1[SERVICIO],Tabla1[VALOR]*AL57),0))</f>
        <v>31881.451880098426</v>
      </c>
      <c r="AN57" s="89">
        <f t="shared" si="1"/>
        <v>31881.451880098426</v>
      </c>
      <c r="AO57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7" s="122" t="s">
        <v>318</v>
      </c>
      <c r="AQ57" s="126">
        <v>1</v>
      </c>
      <c r="AR57" s="121">
        <f>+Tabla467892043[[#This Row],[TOTAL]]*Tabla467892043[[#This Row],[% de las personas que lo usaron]]</f>
        <v>31881.451880098426</v>
      </c>
      <c r="AS57" s="246" t="s">
        <v>355</v>
      </c>
      <c r="AT57" s="246">
        <v>18</v>
      </c>
    </row>
    <row r="58" spans="1:46" x14ac:dyDescent="0.25">
      <c r="A58" s="7" t="s">
        <v>38</v>
      </c>
      <c r="B58" s="8" t="s">
        <v>102</v>
      </c>
      <c r="C58" s="96" t="str">
        <f>_xlfn.XLOOKUP(Tabla467892043[[#This Row],[Servicios del Programa:]],Tabla151[CODIGO],Tabla151[VALOR])</f>
        <v>Consultas</v>
      </c>
      <c r="D58" s="14">
        <v>1</v>
      </c>
      <c r="E58" s="56" cm="1">
        <f t="array" ref="E58">IF(D58="X",(_xlfn.XLOOKUP($B58,Tabla1[SERVICIO],Tabla1[VALOR])*1),IF(D58&gt;=1,_xlfn.XLOOKUP($B58,Tabla1[SERVICIO],Tabla1[VALOR]*D58),0))</f>
        <v>56420.692787682223</v>
      </c>
      <c r="F58" s="77"/>
      <c r="G58" s="56" cm="1">
        <f t="array" ref="G58">IF(F58="X",(_xlfn.XLOOKUP($B58,Tabla1[SERVICIO],Tabla1[VALOR])*1),IF(F58&gt;=1,_xlfn.XLOOKUP($B58,Tabla1[SERVICIO],Tabla1[VALOR]*F58),0))</f>
        <v>0</v>
      </c>
      <c r="H58" s="77"/>
      <c r="I58" s="56"/>
      <c r="J58" s="77"/>
      <c r="K58" s="56" cm="1">
        <f t="array" ref="K58">IF(J58="X",(_xlfn.XLOOKUP($B58,Tabla1[SERVICIO],Tabla1[VALOR])*1),IF(J58&gt;=1,_xlfn.XLOOKUP($B58,Tabla1[SERVICIO],Tabla1[VALOR]*J58),0))</f>
        <v>0</v>
      </c>
      <c r="L58" s="77"/>
      <c r="M58" s="56" cm="1">
        <f t="array" ref="M58">IF(L58="X",(_xlfn.XLOOKUP($B58,Tabla1[SERVICIO],Tabla1[VALOR])*1),IF(L58&gt;=1,_xlfn.XLOOKUP($B58,Tabla1[SERVICIO],Tabla1[VALOR]*L58),0))</f>
        <v>0</v>
      </c>
      <c r="N58" s="77"/>
      <c r="O58" s="56" cm="1">
        <f t="array" ref="O58">IF(N58="X",(_xlfn.XLOOKUP($B58,Tabla1[SERVICIO],Tabla1[VALOR])*1),IF(N58&gt;=1,_xlfn.XLOOKUP($B58,Tabla1[SERVICIO],Tabla1[VALOR]*N58),0))</f>
        <v>0</v>
      </c>
      <c r="P58" s="77"/>
      <c r="Q58" s="56" cm="1">
        <f t="array" ref="Q58">IF(P58="X",(_xlfn.XLOOKUP($B58,Tabla1[SERVICIO],Tabla1[VALOR])*1),IF(P58&gt;=1,_xlfn.XLOOKUP($B58,Tabla1[SERVICIO],Tabla1[VALOR]*P58),0))</f>
        <v>0</v>
      </c>
      <c r="R58" s="77"/>
      <c r="S58" s="56" cm="1">
        <f t="array" ref="S58">IF(R58="X",(_xlfn.XLOOKUP($B58,Tabla1[SERVICIO],Tabla1[VALOR])*1),IF(R58&gt;=1,_xlfn.XLOOKUP($B58,Tabla1[SERVICIO],Tabla1[VALOR]*R58),0))</f>
        <v>0</v>
      </c>
      <c r="T58" s="77"/>
      <c r="U58" s="56" cm="1">
        <f t="array" ref="U58">IF(T58="X",(_xlfn.XLOOKUP($B58,Tabla1[SERVICIO],Tabla1[VALOR])*1),IF(T58&gt;=1,_xlfn.XLOOKUP($B58,Tabla1[SERVICIO],Tabla1[VALOR]*T58),0))</f>
        <v>0</v>
      </c>
      <c r="V58" s="77"/>
      <c r="W58" s="56" cm="1">
        <f t="array" ref="W58">IF(V58="X",(_xlfn.XLOOKUP($B58,Tabla1[SERVICIO],Tabla1[VALOR])*1),IF(V58&gt;=1,_xlfn.XLOOKUP($B58,Tabla1[SERVICIO],Tabla1[VALOR]*V58),0))</f>
        <v>0</v>
      </c>
      <c r="X58" s="77"/>
      <c r="Y58" s="56" cm="1">
        <f t="array" ref="Y58">IF(X58="X",(_xlfn.XLOOKUP($B58,Tabla1[SERVICIO],Tabla1[VALOR])*1),IF(X58&gt;=1,_xlfn.XLOOKUP($B58,Tabla1[SERVICIO],Tabla1[VALOR]*X58),0))</f>
        <v>0</v>
      </c>
      <c r="Z58" s="77"/>
      <c r="AA58" s="56" cm="1">
        <f t="array" ref="AA58">IF(Z58="X",(_xlfn.XLOOKUP($B58,Tabla1[SERVICIO],Tabla1[VALOR])*1),IF(Z58&gt;=1,_xlfn.XLOOKUP($B58,Tabla1[SERVICIO],Tabla1[VALOR]*Z58),0))</f>
        <v>0</v>
      </c>
      <c r="AB58" s="14"/>
      <c r="AC58" s="56" cm="1">
        <f t="array" ref="AC58">IF(AB58="X",(_xlfn.XLOOKUP($B58,Tabla1[SERVICIO],Tabla1[VALOR])*1),IF(AB58&gt;=1,_xlfn.XLOOKUP($B58,Tabla1[SERVICIO],Tabla1[VALOR]*AB58),0))</f>
        <v>0</v>
      </c>
      <c r="AD58" s="14"/>
      <c r="AE58" s="56" cm="1">
        <f t="array" ref="AE58">IF(AD58="X",(_xlfn.XLOOKUP($B58,Tabla1[SERVICIO],Tabla1[VALOR])*1),IF(AD58&gt;=1,_xlfn.XLOOKUP($B58,Tabla1[SERVICIO],Tabla1[VALOR]*AD58),0))</f>
        <v>0</v>
      </c>
      <c r="AF58" s="14"/>
      <c r="AG58" s="56" cm="1">
        <f t="array" ref="AG58">IF(AF58="X",(_xlfn.XLOOKUP($B58,Tabla1[SERVICIO],Tabla1[VALOR])*1),IF(AF58&gt;=1,_xlfn.XLOOKUP($B58,Tabla1[SERVICIO],Tabla1[VALOR]*AF58),0))</f>
        <v>0</v>
      </c>
      <c r="AH58" s="14"/>
      <c r="AI58" s="56" cm="1">
        <f t="array" ref="AI58">IF(AH58="X",(_xlfn.XLOOKUP($B58,Tabla1[SERVICIO],Tabla1[VALOR])*1),IF(AH58&gt;=1,_xlfn.XLOOKUP($B58,Tabla1[SERVICIO],Tabla1[VALOR]*AH58),0))</f>
        <v>0</v>
      </c>
      <c r="AJ58" s="14"/>
      <c r="AK58" s="56" cm="1">
        <f t="array" ref="AK58">IF(AJ58="X",(_xlfn.XLOOKUP($B58,Tabla1[SERVICIO],Tabla1[VALOR])*1),IF(AJ58&gt;=1,_xlfn.XLOOKUP($B58,Tabla1[SERVICIO],Tabla1[VALOR]*AJ58),0))</f>
        <v>0</v>
      </c>
      <c r="AL58" s="14"/>
      <c r="AM58" s="56" cm="1">
        <f t="array" ref="AM58">IF(AL58="X",(_xlfn.XLOOKUP($B58,Tabla1[SERVICIO],Tabla1[VALOR])*1),IF(AL58&gt;=1,_xlfn.XLOOKUP($B58,Tabla1[SERVICIO],Tabla1[VALOR]*AL58),0))</f>
        <v>0</v>
      </c>
      <c r="AN58" s="89">
        <f t="shared" si="1"/>
        <v>56420.692787682223</v>
      </c>
      <c r="AO58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8" s="37" t="s">
        <v>319</v>
      </c>
      <c r="AQ58" s="126">
        <v>0.14285714285714285</v>
      </c>
      <c r="AR58" s="121">
        <f>+Tabla467892043[[#This Row],[TOTAL]]*Tabla467892043[[#This Row],[% de las personas que lo usaron]]</f>
        <v>8060.0989696688885</v>
      </c>
      <c r="AS58" s="246" t="s">
        <v>355</v>
      </c>
      <c r="AT58" s="246">
        <v>18</v>
      </c>
    </row>
    <row r="59" spans="1:46" x14ac:dyDescent="0.25">
      <c r="A59" s="7" t="s">
        <v>84</v>
      </c>
      <c r="B59" s="8" t="s">
        <v>85</v>
      </c>
      <c r="C59" s="96" t="str">
        <f>_xlfn.XLOOKUP(Tabla467892043[[#This Row],[Servicios del Programa:]],Tabla151[CODIGO],Tabla151[VALOR])</f>
        <v>Diagnosticos</v>
      </c>
      <c r="D59" s="14">
        <v>1</v>
      </c>
      <c r="E59" s="56" cm="1">
        <f t="array" ref="E59">IF(D59="X",(_xlfn.XLOOKUP($B59,Tabla1[SERVICIO],Tabla1[VALOR])*1),IF(D59&gt;=1,_xlfn.XLOOKUP($B59,Tabla1[SERVICIO],Tabla1[VALOR]*D59),0))</f>
        <v>68748.387080831264</v>
      </c>
      <c r="F59" s="78"/>
      <c r="G59" s="56" cm="1">
        <f t="array" ref="G59">IF(F59="X",(_xlfn.XLOOKUP($B59,Tabla1[SERVICIO],Tabla1[VALOR])*1),IF(F59&gt;=1,_xlfn.XLOOKUP($B59,Tabla1[SERVICIO],Tabla1[VALOR]*F59),0))</f>
        <v>0</v>
      </c>
      <c r="H59" s="78"/>
      <c r="I59" s="56" cm="1">
        <f t="array" ref="I59">IF(H59="X",(_xlfn.XLOOKUP($B59,Tabla1[SERVICIO],Tabla1[VALOR])*1),IF(H59&gt;=1,_xlfn.XLOOKUP($B59,Tabla1[SERVICIO],Tabla1[VALOR]*H59),0))</f>
        <v>0</v>
      </c>
      <c r="J59" s="78"/>
      <c r="K59" s="56" cm="1">
        <f t="array" ref="K59">IF(J59="X",(_xlfn.XLOOKUP($B59,Tabla1[SERVICIO],Tabla1[VALOR])*1),IF(J59&gt;=1,_xlfn.XLOOKUP($B59,Tabla1[SERVICIO],Tabla1[VALOR]*J59),0))</f>
        <v>0</v>
      </c>
      <c r="L59" s="78"/>
      <c r="M59" s="56" cm="1">
        <f t="array" ref="M59">IF(L59="X",(_xlfn.XLOOKUP($B59,Tabla1[SERVICIO],Tabla1[VALOR])*1),IF(L59&gt;=1,_xlfn.XLOOKUP($B59,Tabla1[SERVICIO],Tabla1[VALOR]*L59),0))</f>
        <v>0</v>
      </c>
      <c r="N59" s="78"/>
      <c r="O59" s="56" cm="1">
        <f t="array" ref="O59">IF(N59="X",(_xlfn.XLOOKUP($B59,Tabla1[SERVICIO],Tabla1[VALOR])*1),IF(N59&gt;=1,_xlfn.XLOOKUP($B59,Tabla1[SERVICIO],Tabla1[VALOR]*N59),0))</f>
        <v>0</v>
      </c>
      <c r="P59" s="78"/>
      <c r="Q59" s="56" cm="1">
        <f t="array" ref="Q59">IF(P59="X",(_xlfn.XLOOKUP($B59,Tabla1[SERVICIO],Tabla1[VALOR])*1),IF(P59&gt;=1,_xlfn.XLOOKUP($B59,Tabla1[SERVICIO],Tabla1[VALOR]*P59),0))</f>
        <v>0</v>
      </c>
      <c r="R59" s="78"/>
      <c r="S59" s="56" cm="1">
        <f t="array" ref="S59">IF(R59="X",(_xlfn.XLOOKUP($B59,Tabla1[SERVICIO],Tabla1[VALOR])*1),IF(R59&gt;=1,_xlfn.XLOOKUP($B59,Tabla1[SERVICIO],Tabla1[VALOR]*R59),0))</f>
        <v>0</v>
      </c>
      <c r="T59" s="78"/>
      <c r="U59" s="56" cm="1">
        <f t="array" ref="U59">IF(T59="X",(_xlfn.XLOOKUP($B59,Tabla1[SERVICIO],Tabla1[VALOR])*1),IF(T59&gt;=1,_xlfn.XLOOKUP($B59,Tabla1[SERVICIO],Tabla1[VALOR]*T59),0))</f>
        <v>0</v>
      </c>
      <c r="V59" s="78"/>
      <c r="W59" s="56" cm="1">
        <f t="array" ref="W59">IF(V59="X",(_xlfn.XLOOKUP($B59,Tabla1[SERVICIO],Tabla1[VALOR])*1),IF(V59&gt;=1,_xlfn.XLOOKUP($B59,Tabla1[SERVICIO],Tabla1[VALOR]*V59),0))</f>
        <v>0</v>
      </c>
      <c r="X59" s="78"/>
      <c r="Y59" s="56" cm="1">
        <f t="array" ref="Y59">IF(X59="X",(_xlfn.XLOOKUP($B59,Tabla1[SERVICIO],Tabla1[VALOR])*1),IF(X59&gt;=1,_xlfn.XLOOKUP($B59,Tabla1[SERVICIO],Tabla1[VALOR]*X59),0))</f>
        <v>0</v>
      </c>
      <c r="Z59" s="78"/>
      <c r="AA59" s="56" cm="1">
        <f t="array" ref="AA59">IF(Z59="X",(_xlfn.XLOOKUP($B59,Tabla1[SERVICIO],Tabla1[VALOR])*1),IF(Z59&gt;=1,_xlfn.XLOOKUP($B59,Tabla1[SERVICIO],Tabla1[VALOR]*Z59),0))</f>
        <v>0</v>
      </c>
      <c r="AB59" s="8"/>
      <c r="AC59" s="56" cm="1">
        <f t="array" ref="AC59">IF(AB59="X",(_xlfn.XLOOKUP($B59,Tabla1[SERVICIO],Tabla1[VALOR])*1),IF(AB59&gt;=1,_xlfn.XLOOKUP($B59,Tabla1[SERVICIO],Tabla1[VALOR]*AB59),0))</f>
        <v>0</v>
      </c>
      <c r="AD59" s="8"/>
      <c r="AE59" s="56" cm="1">
        <f t="array" ref="AE59">IF(AD59="X",(_xlfn.XLOOKUP($B59,Tabla1[SERVICIO],Tabla1[VALOR])*1),IF(AD59&gt;=1,_xlfn.XLOOKUP($B59,Tabla1[SERVICIO],Tabla1[VALOR]*AD59),0))</f>
        <v>0</v>
      </c>
      <c r="AF59" s="8"/>
      <c r="AG59" s="56" cm="1">
        <f t="array" ref="AG59">IF(AF59="X",(_xlfn.XLOOKUP($B59,Tabla1[SERVICIO],Tabla1[VALOR])*1),IF(AF59&gt;=1,_xlfn.XLOOKUP($B59,Tabla1[SERVICIO],Tabla1[VALOR]*AF59),0))</f>
        <v>0</v>
      </c>
      <c r="AH59" s="8"/>
      <c r="AI59" s="56" cm="1">
        <f t="array" ref="AI59">IF(AH59="X",(_xlfn.XLOOKUP($B59,Tabla1[SERVICIO],Tabla1[VALOR])*1),IF(AH59&gt;=1,_xlfn.XLOOKUP($B59,Tabla1[SERVICIO],Tabla1[VALOR]*AH59),0))</f>
        <v>0</v>
      </c>
      <c r="AJ59" s="8"/>
      <c r="AK59" s="56" cm="1">
        <f t="array" ref="AK59">IF(AJ59="X",(_xlfn.XLOOKUP($B59,Tabla1[SERVICIO],Tabla1[VALOR])*1),IF(AJ59&gt;=1,_xlfn.XLOOKUP($B59,Tabla1[SERVICIO],Tabla1[VALOR]*AJ59),0))</f>
        <v>0</v>
      </c>
      <c r="AL59" s="8"/>
      <c r="AM59" s="56" cm="1">
        <f t="array" ref="AM59">IF(AL59="X",(_xlfn.XLOOKUP($B59,Tabla1[SERVICIO],Tabla1[VALOR])*1),IF(AL59&gt;=1,_xlfn.XLOOKUP($B59,Tabla1[SERVICIO],Tabla1[VALOR]*AL59),0))</f>
        <v>0</v>
      </c>
      <c r="AN59" s="89">
        <f t="shared" si="1"/>
        <v>68748.387080831264</v>
      </c>
      <c r="AO59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9" s="37" t="s">
        <v>319</v>
      </c>
      <c r="AQ59" s="126">
        <v>1.5037593984962405E-2</v>
      </c>
      <c r="AR59" s="121">
        <f>+Tabla467892043[[#This Row],[TOTAL]]*Tabla467892043[[#This Row],[% de las personas que lo usaron]]</f>
        <v>1033.8103320425753</v>
      </c>
      <c r="AS59" s="246" t="s">
        <v>355</v>
      </c>
      <c r="AT59" s="246">
        <v>18</v>
      </c>
    </row>
    <row r="60" spans="1:46" x14ac:dyDescent="0.25">
      <c r="A60" s="7" t="s">
        <v>82</v>
      </c>
      <c r="B60" s="8" t="s">
        <v>83</v>
      </c>
      <c r="C60" s="96" t="str">
        <f>_xlfn.XLOOKUP(Tabla467892043[[#This Row],[Servicios del Programa:]],Tabla151[CODIGO],Tabla151[VALOR])</f>
        <v>Diagnosticos</v>
      </c>
      <c r="D60" s="14">
        <v>1</v>
      </c>
      <c r="E60" s="56" cm="1">
        <f t="array" ref="E60">IF(D60="X",(_xlfn.XLOOKUP($B60,Tabla1[SERVICIO],Tabla1[VALOR])*1),IF(D60&gt;=1,_xlfn.XLOOKUP($B60,Tabla1[SERVICIO],Tabla1[VALOR]*D60),0))</f>
        <v>65169.207262455195</v>
      </c>
      <c r="F60" s="78"/>
      <c r="G60" s="56" cm="1">
        <f t="array" ref="G60">IF(F60="X",(_xlfn.XLOOKUP($B60,Tabla1[SERVICIO],Tabla1[VALOR])*1),IF(F60&gt;=1,_xlfn.XLOOKUP($B60,Tabla1[SERVICIO],Tabla1[VALOR]*F60),0))</f>
        <v>0</v>
      </c>
      <c r="H60" s="78"/>
      <c r="I60" s="56" cm="1">
        <f t="array" ref="I60">IF(H60="X",(_xlfn.XLOOKUP($B60,Tabla1[SERVICIO],Tabla1[VALOR])*1),IF(H60&gt;=1,_xlfn.XLOOKUP($B60,Tabla1[SERVICIO],Tabla1[VALOR]*H60),0))</f>
        <v>0</v>
      </c>
      <c r="J60" s="78"/>
      <c r="K60" s="56" cm="1">
        <f t="array" ref="K60">IF(J60="X",(_xlfn.XLOOKUP($B60,Tabla1[SERVICIO],Tabla1[VALOR])*1),IF(J60&gt;=1,_xlfn.XLOOKUP($B60,Tabla1[SERVICIO],Tabla1[VALOR]*J60),0))</f>
        <v>0</v>
      </c>
      <c r="L60" s="78"/>
      <c r="M60" s="56" cm="1">
        <f t="array" ref="M60">IF(L60="X",(_xlfn.XLOOKUP($B60,Tabla1[SERVICIO],Tabla1[VALOR])*1),IF(L60&gt;=1,_xlfn.XLOOKUP($B60,Tabla1[SERVICIO],Tabla1[VALOR]*L60),0))</f>
        <v>0</v>
      </c>
      <c r="N60" s="78"/>
      <c r="O60" s="56" cm="1">
        <f t="array" ref="O60">IF(N60="X",(_xlfn.XLOOKUP($B60,Tabla1[SERVICIO],Tabla1[VALOR])*1),IF(N60&gt;=1,_xlfn.XLOOKUP($B60,Tabla1[SERVICIO],Tabla1[VALOR]*N60),0))</f>
        <v>0</v>
      </c>
      <c r="P60" s="78"/>
      <c r="Q60" s="56" cm="1">
        <f t="array" ref="Q60">IF(P60="X",(_xlfn.XLOOKUP($B60,Tabla1[SERVICIO],Tabla1[VALOR])*1),IF(P60&gt;=1,_xlfn.XLOOKUP($B60,Tabla1[SERVICIO],Tabla1[VALOR]*P60),0))</f>
        <v>0</v>
      </c>
      <c r="R60" s="78"/>
      <c r="S60" s="56" cm="1">
        <f t="array" ref="S60">IF(R60="X",(_xlfn.XLOOKUP($B60,Tabla1[SERVICIO],Tabla1[VALOR])*1),IF(R60&gt;=1,_xlfn.XLOOKUP($B60,Tabla1[SERVICIO],Tabla1[VALOR]*R60),0))</f>
        <v>0</v>
      </c>
      <c r="T60" s="78"/>
      <c r="U60" s="56" cm="1">
        <f t="array" ref="U60">IF(T60="X",(_xlfn.XLOOKUP($B60,Tabla1[SERVICIO],Tabla1[VALOR])*1),IF(T60&gt;=1,_xlfn.XLOOKUP($B60,Tabla1[SERVICIO],Tabla1[VALOR]*T60),0))</f>
        <v>0</v>
      </c>
      <c r="V60" s="78"/>
      <c r="W60" s="56" cm="1">
        <f t="array" ref="W60">IF(V60="X",(_xlfn.XLOOKUP($B60,Tabla1[SERVICIO],Tabla1[VALOR])*1),IF(V60&gt;=1,_xlfn.XLOOKUP($B60,Tabla1[SERVICIO],Tabla1[VALOR]*V60),0))</f>
        <v>0</v>
      </c>
      <c r="X60" s="78"/>
      <c r="Y60" s="56" cm="1">
        <f t="array" ref="Y60">IF(X60="X",(_xlfn.XLOOKUP($B60,Tabla1[SERVICIO],Tabla1[VALOR])*1),IF(X60&gt;=1,_xlfn.XLOOKUP($B60,Tabla1[SERVICIO],Tabla1[VALOR]*X60),0))</f>
        <v>0</v>
      </c>
      <c r="Z60" s="78"/>
      <c r="AA60" s="56" cm="1">
        <f t="array" ref="AA60">IF(Z60="X",(_xlfn.XLOOKUP($B60,Tabla1[SERVICIO],Tabla1[VALOR])*1),IF(Z60&gt;=1,_xlfn.XLOOKUP($B60,Tabla1[SERVICIO],Tabla1[VALOR]*Z60),0))</f>
        <v>0</v>
      </c>
      <c r="AB60" s="8"/>
      <c r="AC60" s="56" cm="1">
        <f t="array" ref="AC60">IF(AB60="X",(_xlfn.XLOOKUP($B60,Tabla1[SERVICIO],Tabla1[VALOR])*1),IF(AB60&gt;=1,_xlfn.XLOOKUP($B60,Tabla1[SERVICIO],Tabla1[VALOR]*AB60),0))</f>
        <v>0</v>
      </c>
      <c r="AD60" s="8"/>
      <c r="AE60" s="56" cm="1">
        <f t="array" ref="AE60">IF(AD60="X",(_xlfn.XLOOKUP($B60,Tabla1[SERVICIO],Tabla1[VALOR])*1),IF(AD60&gt;=1,_xlfn.XLOOKUP($B60,Tabla1[SERVICIO],Tabla1[VALOR]*AD60),0))</f>
        <v>0</v>
      </c>
      <c r="AF60" s="8"/>
      <c r="AG60" s="56" cm="1">
        <f t="array" ref="AG60">IF(AF60="X",(_xlfn.XLOOKUP($B60,Tabla1[SERVICIO],Tabla1[VALOR])*1),IF(AF60&gt;=1,_xlfn.XLOOKUP($B60,Tabla1[SERVICIO],Tabla1[VALOR]*AF60),0))</f>
        <v>0</v>
      </c>
      <c r="AH60" s="8"/>
      <c r="AI60" s="56" cm="1">
        <f t="array" ref="AI60">IF(AH60="X",(_xlfn.XLOOKUP($B60,Tabla1[SERVICIO],Tabla1[VALOR])*1),IF(AH60&gt;=1,_xlfn.XLOOKUP($B60,Tabla1[SERVICIO],Tabla1[VALOR]*AH60),0))</f>
        <v>0</v>
      </c>
      <c r="AJ60" s="8"/>
      <c r="AK60" s="56" cm="1">
        <f t="array" ref="AK60">IF(AJ60="X",(_xlfn.XLOOKUP($B60,Tabla1[SERVICIO],Tabla1[VALOR])*1),IF(AJ60&gt;=1,_xlfn.XLOOKUP($B60,Tabla1[SERVICIO],Tabla1[VALOR]*AJ60),0))</f>
        <v>0</v>
      </c>
      <c r="AL60" s="8"/>
      <c r="AM60" s="56" cm="1">
        <f t="array" ref="AM60">IF(AL60="X",(_xlfn.XLOOKUP($B60,Tabla1[SERVICIO],Tabla1[VALOR])*1),IF(AL60&gt;=1,_xlfn.XLOOKUP($B60,Tabla1[SERVICIO],Tabla1[VALOR]*AL60),0))</f>
        <v>0</v>
      </c>
      <c r="AN60" s="89">
        <f t="shared" si="1"/>
        <v>65169.207262455195</v>
      </c>
      <c r="AO60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0" s="37" t="s">
        <v>319</v>
      </c>
      <c r="AQ60" s="126">
        <v>2.0885547201336674E-2</v>
      </c>
      <c r="AR60" s="121">
        <f>+Tabla467892043[[#This Row],[TOTAL]]*Tabla467892043[[#This Row],[% de las personas que lo usaron]]</f>
        <v>1361.0945543537007</v>
      </c>
      <c r="AS60" s="246" t="s">
        <v>355</v>
      </c>
      <c r="AT60" s="246">
        <v>18</v>
      </c>
    </row>
    <row r="61" spans="1:46" x14ac:dyDescent="0.25">
      <c r="A61" s="7" t="s">
        <v>54</v>
      </c>
      <c r="B61" s="8" t="s">
        <v>195</v>
      </c>
      <c r="C61" s="96" t="str">
        <f>_xlfn.XLOOKUP(Tabla467892043[[#This Row],[Servicios del Programa:]],Tabla151[CODIGO],Tabla151[VALOR])</f>
        <v>Gestion y seguimiento</v>
      </c>
      <c r="D61" s="14">
        <v>1</v>
      </c>
      <c r="E61" s="56" cm="1">
        <f t="array" ref="E61">IF(D61="X",(_xlfn.XLOOKUP($B61,Tabla1[SERVICIO],Tabla1[VALOR])*1),IF(D61&gt;=1,_xlfn.XLOOKUP($B61,Tabla1[SERVICIO],Tabla1[VALOR]*D61),0))</f>
        <v>145259.19237771924</v>
      </c>
      <c r="F61" s="78"/>
      <c r="G61" s="56" cm="1">
        <f t="array" ref="G61">IF(F61="X",(_xlfn.XLOOKUP($B61,Tabla1[SERVICIO],Tabla1[VALOR])*1),IF(F61&gt;=1,_xlfn.XLOOKUP($B61,Tabla1[SERVICIO],Tabla1[VALOR]*F61),0))</f>
        <v>0</v>
      </c>
      <c r="H61" s="78"/>
      <c r="I61" s="56" cm="1">
        <f t="array" ref="I61">IF(H61="X",(_xlfn.XLOOKUP($B61,Tabla1[SERVICIO],Tabla1[VALOR])*1),IF(H61&gt;=1,_xlfn.XLOOKUP($B61,Tabla1[SERVICIO],Tabla1[VALOR]*H61),0))</f>
        <v>0</v>
      </c>
      <c r="J61" s="78"/>
      <c r="K61" s="56" cm="1">
        <f t="array" ref="K61">IF(J61="X",(_xlfn.XLOOKUP($B61,Tabla1[SERVICIO],Tabla1[VALOR])*1),IF(J61&gt;=1,_xlfn.XLOOKUP($B61,Tabla1[SERVICIO],Tabla1[VALOR]*J61),0))</f>
        <v>0</v>
      </c>
      <c r="L61" s="78"/>
      <c r="M61" s="56" cm="1">
        <f t="array" ref="M61">IF(L61="X",(_xlfn.XLOOKUP($B61,Tabla1[SERVICIO],Tabla1[VALOR])*1),IF(L61&gt;=1,_xlfn.XLOOKUP($B61,Tabla1[SERVICIO],Tabla1[VALOR]*L61),0))</f>
        <v>0</v>
      </c>
      <c r="N61" s="78"/>
      <c r="O61" s="56" cm="1">
        <f t="array" ref="O61">IF(N61="X",(_xlfn.XLOOKUP($B61,Tabla1[SERVICIO],Tabla1[VALOR])*1),IF(N61&gt;=1,_xlfn.XLOOKUP($B61,Tabla1[SERVICIO],Tabla1[VALOR]*N61),0))</f>
        <v>0</v>
      </c>
      <c r="P61" s="78"/>
      <c r="Q61" s="56" cm="1">
        <f t="array" ref="Q61">IF(P61="X",(_xlfn.XLOOKUP($B61,Tabla1[SERVICIO],Tabla1[VALOR])*1),IF(P61&gt;=1,_xlfn.XLOOKUP($B61,Tabla1[SERVICIO],Tabla1[VALOR]*P61),0))</f>
        <v>0</v>
      </c>
      <c r="R61" s="78"/>
      <c r="S61" s="56" cm="1">
        <f t="array" ref="S61">IF(R61="X",(_xlfn.XLOOKUP($B61,Tabla1[SERVICIO],Tabla1[VALOR])*1),IF(R61&gt;=1,_xlfn.XLOOKUP($B61,Tabla1[SERVICIO],Tabla1[VALOR]*R61),0))</f>
        <v>0</v>
      </c>
      <c r="T61" s="78"/>
      <c r="U61" s="56" cm="1">
        <f t="array" ref="U61">IF(T61="X",(_xlfn.XLOOKUP($B61,Tabla1[SERVICIO],Tabla1[VALOR])*1),IF(T61&gt;=1,_xlfn.XLOOKUP($B61,Tabla1[SERVICIO],Tabla1[VALOR]*T61),0))</f>
        <v>0</v>
      </c>
      <c r="V61" s="78"/>
      <c r="W61" s="56" cm="1">
        <f t="array" ref="W61">IF(V61="X",(_xlfn.XLOOKUP($B61,Tabla1[SERVICIO],Tabla1[VALOR])*1),IF(V61&gt;=1,_xlfn.XLOOKUP($B61,Tabla1[SERVICIO],Tabla1[VALOR]*V61),0))</f>
        <v>0</v>
      </c>
      <c r="X61" s="78"/>
      <c r="Y61" s="56" cm="1">
        <f t="array" ref="Y61">IF(X61="X",(_xlfn.XLOOKUP($B61,Tabla1[SERVICIO],Tabla1[VALOR])*1),IF(X61&gt;=1,_xlfn.XLOOKUP($B61,Tabla1[SERVICIO],Tabla1[VALOR]*X61),0))</f>
        <v>0</v>
      </c>
      <c r="Z61" s="78"/>
      <c r="AA61" s="56" cm="1">
        <f t="array" ref="AA61">IF(Z61="X",(_xlfn.XLOOKUP($B61,Tabla1[SERVICIO],Tabla1[VALOR])*1),IF(Z61&gt;=1,_xlfn.XLOOKUP($B61,Tabla1[SERVICIO],Tabla1[VALOR]*Z61),0))</f>
        <v>0</v>
      </c>
      <c r="AB61" s="8"/>
      <c r="AC61" s="56" cm="1">
        <f t="array" ref="AC61">IF(AB61="X",(_xlfn.XLOOKUP($B61,Tabla1[SERVICIO],Tabla1[VALOR])*1),IF(AB61&gt;=1,_xlfn.XLOOKUP($B61,Tabla1[SERVICIO],Tabla1[VALOR]*AB61),0))</f>
        <v>0</v>
      </c>
      <c r="AD61" s="8"/>
      <c r="AE61" s="56" cm="1">
        <f t="array" ref="AE61">IF(AD61="X",(_xlfn.XLOOKUP($B61,Tabla1[SERVICIO],Tabla1[VALOR])*1),IF(AD61&gt;=1,_xlfn.XLOOKUP($B61,Tabla1[SERVICIO],Tabla1[VALOR]*AD61),0))</f>
        <v>0</v>
      </c>
      <c r="AF61" s="8"/>
      <c r="AG61" s="56" cm="1">
        <f t="array" ref="AG61">IF(AF61="X",(_xlfn.XLOOKUP($B61,Tabla1[SERVICIO],Tabla1[VALOR])*1),IF(AF61&gt;=1,_xlfn.XLOOKUP($B61,Tabla1[SERVICIO],Tabla1[VALOR]*AF61),0))</f>
        <v>0</v>
      </c>
      <c r="AH61" s="8"/>
      <c r="AI61" s="56" cm="1">
        <f t="array" ref="AI61">IF(AH61="X",(_xlfn.XLOOKUP($B61,Tabla1[SERVICIO],Tabla1[VALOR])*1),IF(AH61&gt;=1,_xlfn.XLOOKUP($B61,Tabla1[SERVICIO],Tabla1[VALOR]*AH61),0))</f>
        <v>0</v>
      </c>
      <c r="AJ61" s="8"/>
      <c r="AK61" s="56" cm="1">
        <f t="array" ref="AK61">IF(AJ61="X",(_xlfn.XLOOKUP($B61,Tabla1[SERVICIO],Tabla1[VALOR])*1),IF(AJ61&gt;=1,_xlfn.XLOOKUP($B61,Tabla1[SERVICIO],Tabla1[VALOR]*AJ61),0))</f>
        <v>0</v>
      </c>
      <c r="AL61" s="8"/>
      <c r="AM61" s="56" cm="1">
        <f t="array" ref="AM61">IF(AL61="X",(_xlfn.XLOOKUP($B61,Tabla1[SERVICIO],Tabla1[VALOR])*1),IF(AL61&gt;=1,_xlfn.XLOOKUP($B61,Tabla1[SERVICIO],Tabla1[VALOR]*AL61),0))</f>
        <v>0</v>
      </c>
      <c r="AN61" s="89">
        <f t="shared" si="1"/>
        <v>145259.19237771924</v>
      </c>
      <c r="AO61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1" s="37" t="s">
        <v>319</v>
      </c>
      <c r="AQ61" s="126">
        <v>3.5714285714285712E-2</v>
      </c>
      <c r="AR61" s="121">
        <f>+Tabla467892043[[#This Row],[TOTAL]]*Tabla467892043[[#This Row],[% de las personas que lo usaron]]</f>
        <v>5187.8282992042587</v>
      </c>
      <c r="AS61" s="246" t="s">
        <v>355</v>
      </c>
      <c r="AT61" s="246">
        <v>18</v>
      </c>
    </row>
    <row r="62" spans="1:46" x14ac:dyDescent="0.25">
      <c r="A62" s="33" t="s">
        <v>30</v>
      </c>
      <c r="B62" s="34" t="s">
        <v>31</v>
      </c>
      <c r="C62" s="96" t="str">
        <f>_xlfn.XLOOKUP(Tabla467892043[[#This Row],[Servicios del Programa:]],Tabla151[CODIGO],Tabla151[VALOR])</f>
        <v>Gestion y seguimiento</v>
      </c>
      <c r="D62" s="10"/>
      <c r="E62" s="56" cm="1">
        <f t="array" ref="E62">IF(D62="X",(_xlfn.XLOOKUP($B62,Tabla1[SERVICIO],Tabla1[VALOR])*1),IF(D62&gt;=1,_xlfn.XLOOKUP($B62,Tabla1[SERVICIO],Tabla1[VALOR]*D62),0))</f>
        <v>0</v>
      </c>
      <c r="F62" s="208"/>
      <c r="G62" s="56" cm="1">
        <f t="array" ref="G62">IF(F62="X",(_xlfn.XLOOKUP($B62,Tabla1[SERVICIO],Tabla1[VALOR])*1),IF(F62&gt;=1,_xlfn.XLOOKUP($B62,Tabla1[SERVICIO],Tabla1[VALOR]*F62),0))</f>
        <v>0</v>
      </c>
      <c r="H62" s="208"/>
      <c r="I62" s="56" cm="1">
        <f t="array" ref="I62">IF(H62="X",(_xlfn.XLOOKUP($B62,Tabla1[SERVICIO],Tabla1[VALOR])*1),IF(H62&gt;=1,_xlfn.XLOOKUP($B62,Tabla1[SERVICIO],Tabla1[VALOR]*H62),0))</f>
        <v>0</v>
      </c>
      <c r="J62" s="208"/>
      <c r="K62" s="56" cm="1">
        <f t="array" ref="K62">IF(J62="X",(_xlfn.XLOOKUP($B62,Tabla1[SERVICIO],Tabla1[VALOR])*1),IF(J62&gt;=1,_xlfn.XLOOKUP($B62,Tabla1[SERVICIO],Tabla1[VALOR]*J62),0))</f>
        <v>0</v>
      </c>
      <c r="L62" s="208"/>
      <c r="M62" s="56" cm="1">
        <f t="array" ref="M62">IF(L62="X",(_xlfn.XLOOKUP($B62,Tabla1[SERVICIO],Tabla1[VALOR])*1),IF(L62&gt;=1,_xlfn.XLOOKUP($B62,Tabla1[SERVICIO],Tabla1[VALOR]*L62),0))</f>
        <v>0</v>
      </c>
      <c r="N62" s="208"/>
      <c r="O62" s="56" cm="1">
        <f t="array" ref="O62">IF(N62="X",(_xlfn.XLOOKUP($B62,Tabla1[SERVICIO],Tabla1[VALOR])*1),IF(N62&gt;=1,_xlfn.XLOOKUP($B62,Tabla1[SERVICIO],Tabla1[VALOR]*N62),0))</f>
        <v>0</v>
      </c>
      <c r="P62" s="208"/>
      <c r="Q62" s="56" cm="1">
        <f t="array" ref="Q62">IF(P62="X",(_xlfn.XLOOKUP($B62,Tabla1[SERVICIO],Tabla1[VALOR])*1),IF(P62&gt;=1,_xlfn.XLOOKUP($B62,Tabla1[SERVICIO],Tabla1[VALOR]*P62),0))</f>
        <v>0</v>
      </c>
      <c r="R62" s="208"/>
      <c r="S62" s="56" cm="1">
        <f t="array" ref="S62">IF(R62="X",(_xlfn.XLOOKUP($B62,Tabla1[SERVICIO],Tabla1[VALOR])*1),IF(R62&gt;=1,_xlfn.XLOOKUP($B62,Tabla1[SERVICIO],Tabla1[VALOR]*R62),0))</f>
        <v>0</v>
      </c>
      <c r="T62" s="208"/>
      <c r="U62" s="56" cm="1">
        <f t="array" ref="U62">IF(T62="X",(_xlfn.XLOOKUP($B62,Tabla1[SERVICIO],Tabla1[VALOR])*1),IF(T62&gt;=1,_xlfn.XLOOKUP($B62,Tabla1[SERVICIO],Tabla1[VALOR]*T62),0))</f>
        <v>0</v>
      </c>
      <c r="V62" s="208"/>
      <c r="W62" s="56" cm="1">
        <f t="array" ref="W62">IF(V62="X",(_xlfn.XLOOKUP($B62,Tabla1[SERVICIO],Tabla1[VALOR])*1),IF(V62&gt;=1,_xlfn.XLOOKUP($B62,Tabla1[SERVICIO],Tabla1[VALOR]*V62),0))</f>
        <v>0</v>
      </c>
      <c r="X62" s="208"/>
      <c r="Y62" s="56" cm="1">
        <f t="array" ref="Y62">IF(X62="X",(_xlfn.XLOOKUP($B62,Tabla1[SERVICIO],Tabla1[VALOR])*1),IF(X62&gt;=1,_xlfn.XLOOKUP($B62,Tabla1[SERVICIO],Tabla1[VALOR]*X62),0))</f>
        <v>0</v>
      </c>
      <c r="Z62" s="208"/>
      <c r="AA62" s="56" cm="1">
        <f t="array" ref="AA62">IF(Z62="X",(_xlfn.XLOOKUP($B62,Tabla1[SERVICIO],Tabla1[VALOR])*1),IF(Z62&gt;=1,_xlfn.XLOOKUP($B62,Tabla1[SERVICIO],Tabla1[VALOR]*Z62),0))</f>
        <v>0</v>
      </c>
      <c r="AB62" s="10"/>
      <c r="AC62" s="56" cm="1">
        <f t="array" ref="AC62">IF(AB62="X",(_xlfn.XLOOKUP($B62,Tabla1[SERVICIO],Tabla1[VALOR])*1),IF(AB62&gt;=1,_xlfn.XLOOKUP($B62,Tabla1[SERVICIO],Tabla1[VALOR]*AB62),0))</f>
        <v>0</v>
      </c>
      <c r="AD62" s="10"/>
      <c r="AE62" s="56" cm="1">
        <f t="array" ref="AE62">IF(AD62="X",(_xlfn.XLOOKUP($B62,Tabla1[SERVICIO],Tabla1[VALOR])*1),IF(AD62&gt;=1,_xlfn.XLOOKUP($B62,Tabla1[SERVICIO],Tabla1[VALOR]*AD62),0))</f>
        <v>0</v>
      </c>
      <c r="AF62" s="10"/>
      <c r="AG62" s="56" cm="1">
        <f t="array" ref="AG62">IF(AF62="X",(_xlfn.XLOOKUP($B62,Tabla1[SERVICIO],Tabla1[VALOR])*1),IF(AF62&gt;=1,_xlfn.XLOOKUP($B62,Tabla1[SERVICIO],Tabla1[VALOR]*AF62),0))</f>
        <v>0</v>
      </c>
      <c r="AH62" s="10"/>
      <c r="AI62" s="56" cm="1">
        <f t="array" ref="AI62">IF(AH62="X",(_xlfn.XLOOKUP($B62,Tabla1[SERVICIO],Tabla1[VALOR])*1),IF(AH62&gt;=1,_xlfn.XLOOKUP($B62,Tabla1[SERVICIO],Tabla1[VALOR]*AH62),0))</f>
        <v>0</v>
      </c>
      <c r="AJ62" s="10"/>
      <c r="AK62" s="56" cm="1">
        <f t="array" ref="AK62">IF(AJ62="X",(_xlfn.XLOOKUP($B62,Tabla1[SERVICIO],Tabla1[VALOR])*1),IF(AJ62&gt;=1,_xlfn.XLOOKUP($B62,Tabla1[SERVICIO],Tabla1[VALOR]*AJ62),0))</f>
        <v>0</v>
      </c>
      <c r="AL62" s="16">
        <v>1</v>
      </c>
      <c r="AM62" s="56" cm="1">
        <f t="array" ref="AM62">IF(AL62="X",(_xlfn.XLOOKUP($B62,Tabla1[SERVICIO],Tabla1[VALOR])*1),IF(AL62&gt;=1,_xlfn.XLOOKUP($B62,Tabla1[SERVICIO],Tabla1[VALOR]*AL62),0))</f>
        <v>12908.291642219636</v>
      </c>
      <c r="AN62" s="89">
        <f t="shared" si="1"/>
        <v>12908.291642219636</v>
      </c>
      <c r="AO62" s="153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2" s="122" t="s">
        <v>318</v>
      </c>
      <c r="AQ62" s="126">
        <v>1</v>
      </c>
      <c r="AR62" s="121">
        <f>+Tabla467892043[[#This Row],[TOTAL]]*Tabla467892043[[#This Row],[% de las personas que lo usaron]]</f>
        <v>12908.291642219636</v>
      </c>
      <c r="AS62" s="246" t="s">
        <v>355</v>
      </c>
      <c r="AT62" s="246">
        <v>18</v>
      </c>
    </row>
    <row r="63" spans="1:46" s="42" customFormat="1" x14ac:dyDescent="0.25">
      <c r="A63" s="205"/>
      <c r="B63" s="169"/>
      <c r="C63" s="169"/>
      <c r="D63" s="72">
        <f>SUBTOTAL(109,Tabla467892043[MES 1])</f>
        <v>31</v>
      </c>
      <c r="E63" s="72">
        <f>SUBTOTAL(109,Tabla467892043[MES 19])</f>
        <v>959341.6657192047</v>
      </c>
      <c r="F63" s="85">
        <f>SUBTOTAL(109,Tabla467892043[MES 2])</f>
        <v>14</v>
      </c>
      <c r="G63" s="72">
        <f>SUBTOTAL(109,Tabla467892043[MES 22])</f>
        <v>177938.82484725548</v>
      </c>
      <c r="H63" s="85">
        <f>SUBTOTAL(109,Tabla467892043[MES 3])</f>
        <v>15</v>
      </c>
      <c r="I63" s="72">
        <f>SUBTOTAL(109,Tabla467892043[MES 32])</f>
        <v>201948.55524857406</v>
      </c>
      <c r="J63" s="85">
        <f>SUBTOTAL(109,Tabla467892043[MES 4])</f>
        <v>14</v>
      </c>
      <c r="K63" s="72">
        <f>SUBTOTAL(109,Tabla467892043[MES 42])</f>
        <v>177938.82484725548</v>
      </c>
      <c r="L63" s="85">
        <f>SUBTOTAL(109,Tabla467892043[MES 5])</f>
        <v>14</v>
      </c>
      <c r="M63" s="72">
        <f>SUBTOTAL(109,Tabla467892043[MES 52])</f>
        <v>177938.82484725548</v>
      </c>
      <c r="N63" s="85">
        <f>SUBTOTAL(109,Tabla467892043[MES 6])</f>
        <v>16</v>
      </c>
      <c r="O63" s="72">
        <f>SUBTOTAL(109,Tabla467892043[MES 62])</f>
        <v>224001.07604912703</v>
      </c>
      <c r="P63" s="85">
        <f>SUBTOTAL(109,Tabla467892043[MES 7])</f>
        <v>14</v>
      </c>
      <c r="Q63" s="72">
        <f>SUBTOTAL(109,Tabla467892043[MES 72])</f>
        <v>177938.82484725548</v>
      </c>
      <c r="R63" s="85">
        <f>SUBTOTAL(109,Tabla467892043[MES 8])</f>
        <v>14</v>
      </c>
      <c r="S63" s="72">
        <f>SUBTOTAL(109,Tabla467892043[MES 82])</f>
        <v>177938.82484725548</v>
      </c>
      <c r="T63" s="85">
        <f>SUBTOTAL(109,Tabla467892043[MES 9])</f>
        <v>15</v>
      </c>
      <c r="U63" s="72">
        <f>SUBTOTAL(109,Tabla467892043[MES 92])</f>
        <v>201948.55524857406</v>
      </c>
      <c r="V63" s="85">
        <f>SUBTOTAL(109,Tabla467892043[MES 10])</f>
        <v>14</v>
      </c>
      <c r="W63" s="72">
        <f>SUBTOTAL(109,Tabla467892043[MES 102])</f>
        <v>177938.82484725548</v>
      </c>
      <c r="X63" s="85">
        <f>SUBTOTAL(109,Tabla467892043[MES 11])</f>
        <v>14</v>
      </c>
      <c r="Y63" s="72">
        <f>SUBTOTAL(109,Tabla467892043[MES 112])</f>
        <v>177938.82484725548</v>
      </c>
      <c r="Z63" s="85">
        <f>SUBTOTAL(109,Tabla467892043[MES 12])</f>
        <v>14</v>
      </c>
      <c r="AA63" s="72">
        <f>SUBTOTAL(109,Tabla467892043[MES 122])</f>
        <v>177938.82484725548</v>
      </c>
      <c r="AB63" s="84">
        <f>SUBTOTAL(109,Tabla467892043[MES 13])</f>
        <v>14</v>
      </c>
      <c r="AC63" s="72">
        <f>SUBTOTAL(109,Tabla467892043[MES 132])</f>
        <v>177938.82484725548</v>
      </c>
      <c r="AD63" s="84">
        <f>SUBTOTAL(109,Tabla467892043[MES 14])</f>
        <v>14</v>
      </c>
      <c r="AE63" s="72">
        <f>SUBTOTAL(109,Tabla467892043[MES 142])</f>
        <v>177938.82484725548</v>
      </c>
      <c r="AF63" s="84">
        <f>SUBTOTAL(109,Tabla467892043[MES 15])</f>
        <v>14</v>
      </c>
      <c r="AG63" s="72">
        <f>SUBTOTAL(109,Tabla467892043[MES 152])</f>
        <v>177938.82484725548</v>
      </c>
      <c r="AH63" s="84">
        <f>SUBTOTAL(109,Tabla467892043[MES 16])</f>
        <v>14</v>
      </c>
      <c r="AI63" s="72">
        <f>SUBTOTAL(109,Tabla467892043[MES 162])</f>
        <v>177938.82484725548</v>
      </c>
      <c r="AJ63" s="84">
        <f>SUBTOTAL(109,Tabla467892043[MES 17])</f>
        <v>14</v>
      </c>
      <c r="AK63" s="72">
        <f>SUBTOTAL(109,Tabla467892043[MES 172])</f>
        <v>177938.82484725548</v>
      </c>
      <c r="AL63" s="220">
        <f>SUBTOTAL(109,Tabla467892043[MES 18])</f>
        <v>23</v>
      </c>
      <c r="AM63" s="87">
        <f>SUBTOTAL(109,Tabla467892043[MES 1722])</f>
        <v>433314.28141860134</v>
      </c>
      <c r="AN63" s="97">
        <f>SUBTOTAL(109,Tabla467892043[TOTAL])</f>
        <v>4333758.8566984031</v>
      </c>
      <c r="AO63" s="125">
        <f>SUBTOTAL(109,Tabla467892043[TOTAL SERVICIOS])</f>
        <v>282</v>
      </c>
      <c r="AP63" s="125"/>
      <c r="AQ63" s="125"/>
      <c r="AR63" s="236">
        <f>SUBTOTAL(109,Tabla467892043[VALOR COSTO])</f>
        <v>3793442.2883884418</v>
      </c>
      <c r="AS63" s="337"/>
      <c r="AT63" s="337"/>
    </row>
  </sheetData>
  <phoneticPr fontId="13" type="noConversion"/>
  <conditionalFormatting sqref="A3">
    <cfRule type="duplicateValues" dxfId="30" priority="7"/>
  </conditionalFormatting>
  <conditionalFormatting sqref="A5">
    <cfRule type="duplicateValues" dxfId="29" priority="8"/>
  </conditionalFormatting>
  <conditionalFormatting sqref="A20:A22">
    <cfRule type="duplicateValues" dxfId="28" priority="9"/>
  </conditionalFormatting>
  <conditionalFormatting sqref="A35">
    <cfRule type="duplicateValues" dxfId="27" priority="4"/>
  </conditionalFormatting>
  <conditionalFormatting sqref="A37">
    <cfRule type="duplicateValues" dxfId="26" priority="5"/>
  </conditionalFormatting>
  <conditionalFormatting sqref="A52:A54">
    <cfRule type="duplicateValues" dxfId="25" priority="6"/>
  </conditionalFormatting>
  <conditionalFormatting sqref="AF3:AF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5:AR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25FC-F532-4E2A-A485-84732CE7F930}">
  <sheetPr codeName="Hoja21">
    <tabColor theme="7" tint="0.39997558519241921"/>
  </sheetPr>
  <dimension ref="A1:AT88"/>
  <sheetViews>
    <sheetView zoomScale="55" zoomScaleNormal="55" workbookViewId="0">
      <selection activeCell="A3" sqref="A3:AH28"/>
    </sheetView>
    <sheetView workbookViewId="1"/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12.42578125" style="4" customWidth="1"/>
    <col min="4" max="4" width="10" style="4" bestFit="1" customWidth="1"/>
    <col min="5" max="5" width="12" style="4" bestFit="1" customWidth="1"/>
    <col min="6" max="6" width="16.28515625" style="4" bestFit="1" customWidth="1"/>
    <col min="7" max="7" width="4.7109375" style="4" customWidth="1"/>
    <col min="8" max="8" width="16.28515625" style="4" bestFit="1" customWidth="1"/>
    <col min="9" max="9" width="4.7109375" style="4" customWidth="1"/>
    <col min="10" max="10" width="16.28515625" style="4" bestFit="1" customWidth="1"/>
    <col min="11" max="11" width="4.7109375" style="4" customWidth="1"/>
    <col min="12" max="12" width="16.28515625" style="4" bestFit="1" customWidth="1"/>
    <col min="13" max="13" width="4.7109375" style="4" customWidth="1"/>
    <col min="14" max="14" width="16.28515625" style="4" bestFit="1" customWidth="1"/>
    <col min="15" max="15" width="4.7109375" style="4" customWidth="1"/>
    <col min="16" max="16" width="12.85546875" style="4" customWidth="1"/>
    <col min="17" max="17" width="4.7109375" style="4" customWidth="1"/>
    <col min="18" max="18" width="13.42578125" style="4" customWidth="1"/>
    <col min="19" max="19" width="4.7109375" style="4" customWidth="1"/>
    <col min="20" max="20" width="13" style="4" customWidth="1"/>
    <col min="21" max="21" width="4.7109375" style="4" customWidth="1"/>
    <col min="22" max="22" width="13.42578125" style="4" customWidth="1"/>
    <col min="23" max="23" width="4.7109375" style="4" customWidth="1"/>
    <col min="24" max="24" width="13.42578125" style="4" customWidth="1"/>
    <col min="25" max="25" width="4.7109375" style="4" customWidth="1"/>
    <col min="26" max="26" width="12.85546875" style="4" customWidth="1"/>
    <col min="27" max="27" width="16.140625" style="4" customWidth="1"/>
    <col min="28" max="30" width="11.42578125" style="4"/>
    <col min="31" max="31" width="19.5703125" style="4" customWidth="1"/>
    <col min="32" max="32" width="24.28515625" style="4" bestFit="1" customWidth="1"/>
    <col min="33" max="33" width="21.140625" style="4" bestFit="1" customWidth="1"/>
    <col min="34" max="37" width="11.42578125" style="4"/>
    <col min="38" max="38" width="12.5703125" style="4" bestFit="1" customWidth="1"/>
    <col min="39" max="39" width="17.42578125" style="4" bestFit="1" customWidth="1"/>
    <col min="40" max="42" width="11.42578125" style="4"/>
    <col min="43" max="43" width="17.7109375" style="4" bestFit="1" customWidth="1"/>
    <col min="44" max="16384" width="11.42578125" style="4"/>
  </cols>
  <sheetData>
    <row r="1" spans="1:34" ht="31.5" customHeight="1" x14ac:dyDescent="0.25">
      <c r="A1" s="43" t="s">
        <v>214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3" customFormat="1" ht="30" x14ac:dyDescent="0.2">
      <c r="A2" s="20" t="s">
        <v>0</v>
      </c>
      <c r="B2" s="17" t="s">
        <v>215</v>
      </c>
      <c r="C2" s="183" t="s">
        <v>347</v>
      </c>
      <c r="D2" s="94" t="s">
        <v>56</v>
      </c>
      <c r="E2" s="94" t="s">
        <v>68</v>
      </c>
      <c r="F2" s="94" t="s">
        <v>57</v>
      </c>
      <c r="G2" s="94" t="s">
        <v>293</v>
      </c>
      <c r="H2" s="94" t="s">
        <v>58</v>
      </c>
      <c r="I2" s="94" t="s">
        <v>294</v>
      </c>
      <c r="J2" s="94" t="s">
        <v>59</v>
      </c>
      <c r="K2" s="94" t="s">
        <v>295</v>
      </c>
      <c r="L2" s="94" t="s">
        <v>60</v>
      </c>
      <c r="M2" s="94" t="s">
        <v>296</v>
      </c>
      <c r="N2" s="94" t="s">
        <v>61</v>
      </c>
      <c r="O2" s="94" t="s">
        <v>297</v>
      </c>
      <c r="P2" s="94" t="s">
        <v>62</v>
      </c>
      <c r="Q2" s="94" t="s">
        <v>298</v>
      </c>
      <c r="R2" s="94" t="s">
        <v>63</v>
      </c>
      <c r="S2" s="94" t="s">
        <v>299</v>
      </c>
      <c r="T2" s="94" t="s">
        <v>64</v>
      </c>
      <c r="U2" s="94" t="s">
        <v>300</v>
      </c>
      <c r="V2" s="94" t="s">
        <v>65</v>
      </c>
      <c r="W2" s="94" t="s">
        <v>301</v>
      </c>
      <c r="X2" s="94" t="s">
        <v>66</v>
      </c>
      <c r="Y2" s="94" t="s">
        <v>302</v>
      </c>
      <c r="Z2" s="94" t="s">
        <v>67</v>
      </c>
      <c r="AA2" s="105" t="s">
        <v>311</v>
      </c>
      <c r="AB2" s="171" t="s">
        <v>247</v>
      </c>
      <c r="AC2" s="105" t="s">
        <v>313</v>
      </c>
      <c r="AD2" s="105" t="s">
        <v>187</v>
      </c>
      <c r="AE2" s="103" t="s">
        <v>316</v>
      </c>
      <c r="AF2" s="66" t="s">
        <v>317</v>
      </c>
      <c r="AG2" s="66" t="s">
        <v>348</v>
      </c>
      <c r="AH2" s="66" t="s">
        <v>406</v>
      </c>
    </row>
    <row r="3" spans="1:34" x14ac:dyDescent="0.25">
      <c r="A3" s="7" t="s">
        <v>13</v>
      </c>
      <c r="B3" s="96" t="s">
        <v>14</v>
      </c>
      <c r="C3" s="96" t="str">
        <f>_xlfn.XLOOKUP(Tabla4678942[[#This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14"/>
      <c r="G3" s="56" cm="1">
        <f t="array" ref="G3">IF(F3="X",(_xlfn.XLOOKUP($B3,Tabla1[SERVICIO],Tabla1[VALOR])*1),IF(F3&gt;=1,_xlfn.XLOOKUP($B3,Tabla1[SERVICIO],Tabla1[VALOR]*F3),0))</f>
        <v>0</v>
      </c>
      <c r="H3" s="14"/>
      <c r="I3" s="56" cm="1">
        <f t="array" ref="I3">IF(H3="X",(_xlfn.XLOOKUP($B3,Tabla1[SERVICIO],Tabla1[VALOR])*1),IF(H3&gt;=1,_xlfn.XLOOKUP($B3,Tabla1[SERVICIO],Tabla1[VALOR]*H3),0))</f>
        <v>0</v>
      </c>
      <c r="J3" s="14"/>
      <c r="K3" s="56" cm="1">
        <f t="array" ref="K3">IF(J3="X",(_xlfn.XLOOKUP($B3,Tabla1[SERVICIO],Tabla1[VALOR])*1),IF(J3&gt;=1,_xlfn.XLOOKUP($B3,Tabla1[SERVICIO],Tabla1[VALOR]*J3),0))</f>
        <v>0</v>
      </c>
      <c r="L3" s="14"/>
      <c r="M3" s="56" cm="1">
        <f t="array" ref="M3">IF(L3="X",(_xlfn.XLOOKUP($B3,Tabla1[SERVICIO],Tabla1[VALOR])*1),IF(L3&gt;=1,_xlfn.XLOOKUP($B3,Tabla1[SERVICIO],Tabla1[VALOR]*L3),0))</f>
        <v>0</v>
      </c>
      <c r="N3" s="14"/>
      <c r="O3" s="56" cm="1">
        <f t="array" ref="O3">IF(N3="X",(_xlfn.XLOOKUP($B3,Tabla1[SERVICIO],Tabla1[VALOR])*1),IF(N3&gt;=1,_xlfn.XLOOKUP($B3,Tabla1[SERVICIO],Tabla1[VALOR]*N3),0))</f>
        <v>0</v>
      </c>
      <c r="P3" s="14"/>
      <c r="Q3" s="56" cm="1">
        <f t="array" ref="Q3">IF(P3="X",(_xlfn.XLOOKUP($B3,Tabla1[SERVICIO],Tabla1[VALOR])*1),IF(P3&gt;=1,_xlfn.XLOOKUP($B3,Tabla1[SERVICIO],Tabla1[VALOR]*P3),0))</f>
        <v>0</v>
      </c>
      <c r="R3" s="14"/>
      <c r="S3" s="56" cm="1">
        <f t="array" ref="S3">IF(R3="X",(_xlfn.XLOOKUP($B3,Tabla1[SERVICIO],Tabla1[VALOR])*1),IF(R3&gt;=1,_xlfn.XLOOKUP($B3,Tabla1[SERVICIO],Tabla1[VALOR]*R3),0))</f>
        <v>0</v>
      </c>
      <c r="T3" s="14"/>
      <c r="U3" s="56" cm="1">
        <f t="array" ref="U3">IF(T3="X",(_xlfn.XLOOKUP($B3,Tabla1[SERVICIO],Tabla1[VALOR])*1),IF(T3&gt;=1,_xlfn.XLOOKUP($B3,Tabla1[SERVICIO],Tabla1[VALOR]*T3),0))</f>
        <v>0</v>
      </c>
      <c r="V3" s="14"/>
      <c r="W3" s="56" cm="1">
        <f t="array" ref="W3">IF(V3="X",(_xlfn.XLOOKUP($B3,Tabla1[SERVICIO],Tabla1[VALOR])*1),IF(V3&gt;=1,_xlfn.XLOOKUP($B3,Tabla1[SERVICIO],Tabla1[VALOR]*V3),0))</f>
        <v>0</v>
      </c>
      <c r="X3" s="14"/>
      <c r="Y3" s="56" cm="1">
        <f t="array" ref="Y3">IF(X3="X",(_xlfn.XLOOKUP($B3,Tabla1[SERVICIO],Tabla1[VALOR])*1),IF(X3&gt;=1,_xlfn.XLOOKUP($B3,Tabla1[SERVICIO],Tabla1[VALOR]*X3),0))</f>
        <v>0</v>
      </c>
      <c r="Z3" s="14"/>
      <c r="AA3" s="56" cm="1">
        <f t="array" ref="AA3">IF(Z3="X",(_xlfn.XLOOKUP($B3,Tabla1[SERVICIO],Tabla1[VALOR])*1),IF(Z3&gt;=1,_xlfn.XLOOKUP($B3,Tabla1[SERVICIO],Tabla1[VALOR]*Z3),0))</f>
        <v>0</v>
      </c>
      <c r="AB3" s="168">
        <f>SUM(E3,G3,I3,K3+M3,O3,Q3,S3,U3,W3,Y3,AA3)</f>
        <v>20552.755657371155</v>
      </c>
      <c r="AC3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3" s="122" t="s">
        <v>318</v>
      </c>
      <c r="AE3" s="120">
        <v>1</v>
      </c>
      <c r="AF3" s="121">
        <f>+Tabla467891044[[#This Row],[TOTAL]]*Tabla467891044[[#This Row],[% de las personas que lo usaron]]</f>
        <v>20552.755657371155</v>
      </c>
      <c r="AG3" s="246" t="s">
        <v>356</v>
      </c>
      <c r="AH3" s="246">
        <v>12</v>
      </c>
    </row>
    <row r="4" spans="1:34" x14ac:dyDescent="0.25">
      <c r="A4" s="7" t="s">
        <v>98</v>
      </c>
      <c r="B4" s="96" t="s">
        <v>99</v>
      </c>
      <c r="C4" s="96" t="str">
        <f>_xlfn.XLOOKUP(Tabla4678942[[#This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17887.388810409495</v>
      </c>
      <c r="F4" s="8"/>
      <c r="G4" s="56" cm="1">
        <f t="array" ref="G4">IF(F4="X",(_xlfn.XLOOKUP($B4,Tabla1[SERVICIO],Tabla1[VALOR])*1),IF(F4&gt;=1,_xlfn.XLOOKUP($B4,Tabla1[SERVICIO],Tabla1[VALOR]*F4),0))</f>
        <v>0</v>
      </c>
      <c r="H4" s="8"/>
      <c r="I4" s="56" cm="1">
        <f t="array" ref="I4">IF(H4="X",(_xlfn.XLOOKUP($B4,Tabla1[SERVICIO],Tabla1[VALOR])*1),IF(H4&gt;=1,_xlfn.XLOOKUP($B4,Tabla1[SERVICIO],Tabla1[VALOR]*H4),0))</f>
        <v>0</v>
      </c>
      <c r="J4" s="8"/>
      <c r="K4" s="56" cm="1">
        <f t="array" ref="K4">IF(J4="X",(_xlfn.XLOOKUP($B4,Tabla1[SERVICIO],Tabla1[VALOR])*1),IF(J4&gt;=1,_xlfn.XLOOKUP($B4,Tabla1[SERVICIO],Tabla1[VALOR]*J4),0))</f>
        <v>0</v>
      </c>
      <c r="L4" s="8"/>
      <c r="M4" s="56" cm="1">
        <f t="array" ref="M4">IF(L4="X",(_xlfn.XLOOKUP($B4,Tabla1[SERVICIO],Tabla1[VALOR])*1),IF(L4&gt;=1,_xlfn.XLOOKUP($B4,Tabla1[SERVICIO],Tabla1[VALOR]*L4),0))</f>
        <v>0</v>
      </c>
      <c r="N4" s="8"/>
      <c r="O4" s="56" cm="1">
        <f t="array" ref="O4">IF(N4="X",(_xlfn.XLOOKUP($B4,Tabla1[SERVICIO],Tabla1[VALOR])*1),IF(N4&gt;=1,_xlfn.XLOOKUP($B4,Tabla1[SERVICIO],Tabla1[VALOR]*N4),0))</f>
        <v>0</v>
      </c>
      <c r="P4" s="8"/>
      <c r="Q4" s="56" cm="1">
        <f t="array" ref="Q4">IF(P4="X",(_xlfn.XLOOKUP($B4,Tabla1[SERVICIO],Tabla1[VALOR])*1),IF(P4&gt;=1,_xlfn.XLOOKUP($B4,Tabla1[SERVICIO],Tabla1[VALOR]*P4),0))</f>
        <v>0</v>
      </c>
      <c r="R4" s="8"/>
      <c r="S4" s="56" cm="1">
        <f t="array" ref="S4">IF(R4="X",(_xlfn.XLOOKUP($B4,Tabla1[SERVICIO],Tabla1[VALOR])*1),IF(R4&gt;=1,_xlfn.XLOOKUP($B4,Tabla1[SERVICIO],Tabla1[VALOR]*R4),0))</f>
        <v>0</v>
      </c>
      <c r="T4" s="8"/>
      <c r="U4" s="56" cm="1">
        <f t="array" ref="U4">IF(T4="X",(_xlfn.XLOOKUP($B4,Tabla1[SERVICIO],Tabla1[VALOR])*1),IF(T4&gt;=1,_xlfn.XLOOKUP($B4,Tabla1[SERVICIO],Tabla1[VALOR]*T4),0))</f>
        <v>0</v>
      </c>
      <c r="V4" s="8"/>
      <c r="W4" s="56" cm="1">
        <f t="array" ref="W4">IF(V4="X",(_xlfn.XLOOKUP($B4,Tabla1[SERVICIO],Tabla1[VALOR])*1),IF(V4&gt;=1,_xlfn.XLOOKUP($B4,Tabla1[SERVICIO],Tabla1[VALOR]*V4),0))</f>
        <v>0</v>
      </c>
      <c r="X4" s="8"/>
      <c r="Y4" s="56" cm="1">
        <f t="array" ref="Y4">IF(X4="X",(_xlfn.XLOOKUP($B4,Tabla1[SERVICIO],Tabla1[VALOR])*1),IF(X4&gt;=1,_xlfn.XLOOKUP($B4,Tabla1[SERVICIO],Tabla1[VALOR]*X4),0))</f>
        <v>0</v>
      </c>
      <c r="Z4" s="8"/>
      <c r="AA4" s="56" cm="1">
        <f t="array" ref="AA4">IF(Z4="X",(_xlfn.XLOOKUP($B4,Tabla1[SERVICIO],Tabla1[VALOR])*1),IF(Z4&gt;=1,_xlfn.XLOOKUP($B4,Tabla1[SERVICIO],Tabla1[VALOR]*Z4),0))</f>
        <v>0</v>
      </c>
      <c r="AB4" s="168">
        <f t="shared" ref="AB4:AB28" si="0">SUM(E4,G4,I4,K4+M4,O4,Q4,S4,U4,W4,Y4,AA4)</f>
        <v>17887.388810409495</v>
      </c>
      <c r="AC4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4" s="122" t="s">
        <v>318</v>
      </c>
      <c r="AE4" s="120">
        <v>1</v>
      </c>
      <c r="AF4" s="121">
        <f>+Tabla467891044[[#This Row],[TOTAL]]*Tabla467891044[[#This Row],[% de las personas que lo usaron]]</f>
        <v>17887.388810409495</v>
      </c>
      <c r="AG4" s="246" t="s">
        <v>356</v>
      </c>
      <c r="AH4" s="246">
        <v>12</v>
      </c>
    </row>
    <row r="5" spans="1:34" x14ac:dyDescent="0.25">
      <c r="A5" s="7" t="s">
        <v>104</v>
      </c>
      <c r="B5" s="96" t="s">
        <v>105</v>
      </c>
      <c r="C5" s="96" t="str">
        <f>_xlfn.XLOOKUP(Tabla4678942[[#This Row],[Servicios del Programa:]],Tabla151[CODIGO],Tabla151[VALOR])</f>
        <v>Consultas</v>
      </c>
      <c r="D5" s="14"/>
      <c r="E5" s="56" cm="1">
        <f t="array" ref="E5">IF(D5="X",(_xlfn.XLOOKUP($B5,Tabla1[SERVICIO],Tabla1[VALOR])*1),IF(D5&gt;=1,_xlfn.XLOOKUP($B5,Tabla1[SERVICIO],Tabla1[VALOR]*D5),0))</f>
        <v>0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8"/>
      <c r="I5" s="56" cm="1">
        <f t="array" ref="I5">IF(H5="X",(_xlfn.XLOOKUP($B5,Tabla1[SERVICIO],Tabla1[VALOR])*1),IF(H5&gt;=1,_xlfn.XLOOKUP($B5,Tabla1[SERVICIO],Tabla1[VALOR]*H5),0))</f>
        <v>0</v>
      </c>
      <c r="J5" s="8"/>
      <c r="K5" s="56" cm="1">
        <f t="array" ref="K5">IF(J5="X",(_xlfn.XLOOKUP($B5,Tabla1[SERVICIO],Tabla1[VALOR])*1),IF(J5&gt;=1,_xlfn.XLOOKUP($B5,Tabla1[SERVICIO],Tabla1[VALOR]*J5),0))</f>
        <v>0</v>
      </c>
      <c r="L5" s="8"/>
      <c r="M5" s="56" cm="1">
        <f t="array" ref="M5">IF(L5="X",(_xlfn.XLOOKUP($B5,Tabla1[SERVICIO],Tabla1[VALOR])*1),IF(L5&gt;=1,_xlfn.XLOOKUP($B5,Tabla1[SERVICIO],Tabla1[VALOR]*L5),0))</f>
        <v>0</v>
      </c>
      <c r="N5" s="14"/>
      <c r="O5" s="56" cm="1">
        <f t="array" ref="O5">IF(N5="X",(_xlfn.XLOOKUP($B5,Tabla1[SERVICIO],Tabla1[VALOR])*1),IF(N5&gt;=1,_xlfn.XLOOKUP($B5,Tabla1[SERVICIO],Tabla1[VALOR]*N5),0))</f>
        <v>0</v>
      </c>
      <c r="P5" s="8"/>
      <c r="Q5" s="56" cm="1">
        <f t="array" ref="Q5">IF(P5="X",(_xlfn.XLOOKUP($B5,Tabla1[SERVICIO],Tabla1[VALOR])*1),IF(P5&gt;=1,_xlfn.XLOOKUP($B5,Tabla1[SERVICIO],Tabla1[VALOR]*P5),0))</f>
        <v>0</v>
      </c>
      <c r="R5" s="8"/>
      <c r="S5" s="56" cm="1">
        <f t="array" ref="S5">IF(R5="X",(_xlfn.XLOOKUP($B5,Tabla1[SERVICIO],Tabla1[VALOR])*1),IF(R5&gt;=1,_xlfn.XLOOKUP($B5,Tabla1[SERVICIO],Tabla1[VALOR]*R5),0))</f>
        <v>0</v>
      </c>
      <c r="T5" s="8"/>
      <c r="U5" s="56" cm="1">
        <f t="array" ref="U5">IF(T5="X",(_xlfn.XLOOKUP($B5,Tabla1[SERVICIO],Tabla1[VALOR])*1),IF(T5&gt;=1,_xlfn.XLOOKUP($B5,Tabla1[SERVICIO],Tabla1[VALOR]*T5),0))</f>
        <v>0</v>
      </c>
      <c r="V5" s="8"/>
      <c r="W5" s="56" cm="1">
        <f t="array" ref="W5">IF(V5="X",(_xlfn.XLOOKUP($B5,Tabla1[SERVICIO],Tabla1[VALOR])*1),IF(V5&gt;=1,_xlfn.XLOOKUP($B5,Tabla1[SERVICIO],Tabla1[VALOR]*V5),0))</f>
        <v>0</v>
      </c>
      <c r="X5" s="8"/>
      <c r="Y5" s="56" cm="1">
        <f t="array" ref="Y5">IF(X5="X",(_xlfn.XLOOKUP($B5,Tabla1[SERVICIO],Tabla1[VALOR])*1),IF(X5&gt;=1,_xlfn.XLOOKUP($B5,Tabla1[SERVICIO],Tabla1[VALOR]*X5),0))</f>
        <v>0</v>
      </c>
      <c r="Z5" s="14">
        <v>1</v>
      </c>
      <c r="AA5" s="56" cm="1">
        <f t="array" ref="AA5">IF(Z5="X",(_xlfn.XLOOKUP($B5,Tabla1[SERVICIO],Tabla1[VALOR])*1),IF(Z5&gt;=1,_xlfn.XLOOKUP($B5,Tabla1[SERVICIO],Tabla1[VALOR]*Z5),0))</f>
        <v>17887.388810409495</v>
      </c>
      <c r="AB5" s="168">
        <f t="shared" si="0"/>
        <v>17887.388810409495</v>
      </c>
      <c r="AC5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5" s="37" t="s">
        <v>319</v>
      </c>
      <c r="AE5" s="120">
        <v>0.26666666666666666</v>
      </c>
      <c r="AF5" s="121">
        <f>+Tabla467891044[[#This Row],[TOTAL]]*Tabla467891044[[#This Row],[% de las personas que lo usaron]]</f>
        <v>4769.9703494425321</v>
      </c>
      <c r="AG5" s="246" t="s">
        <v>356</v>
      </c>
      <c r="AH5" s="246">
        <v>12</v>
      </c>
    </row>
    <row r="6" spans="1:34" x14ac:dyDescent="0.25">
      <c r="A6" s="7" t="s">
        <v>25</v>
      </c>
      <c r="B6" s="96" t="s">
        <v>26</v>
      </c>
      <c r="C6" s="96" t="str">
        <f>_xlfn.XLOOKUP(Tabla4678942[[#This Row],[Servicios del Programa:]],Tabla151[CODIGO],Tabla151[VALOR])</f>
        <v>Consultas</v>
      </c>
      <c r="D6" s="14">
        <v>1</v>
      </c>
      <c r="E6" s="56" cm="1">
        <f t="array" ref="E6">IF(D6="X",(_xlfn.XLOOKUP($B6,Tabla1[SERVICIO],Tabla1[VALOR])*1),IF(D6&gt;=1,_xlfn.XLOOKUP($B6,Tabla1[SERVICIO],Tabla1[VALOR]*D6),0))</f>
        <v>19392.627189167735</v>
      </c>
      <c r="F6" s="8"/>
      <c r="G6" s="56" cm="1">
        <f t="array" ref="G6">IF(F6="X",(_xlfn.XLOOKUP($B6,Tabla1[SERVICIO],Tabla1[VALOR])*1),IF(F6&gt;=1,_xlfn.XLOOKUP($B6,Tabla1[SERVICIO],Tabla1[VALOR]*F6),0))</f>
        <v>0</v>
      </c>
      <c r="H6" s="8"/>
      <c r="I6" s="56" cm="1">
        <f t="array" ref="I6">IF(H6="X",(_xlfn.XLOOKUP($B6,Tabla1[SERVICIO],Tabla1[VALOR])*1),IF(H6&gt;=1,_xlfn.XLOOKUP($B6,Tabla1[SERVICIO],Tabla1[VALOR]*H6),0))</f>
        <v>0</v>
      </c>
      <c r="J6" s="8"/>
      <c r="K6" s="56" cm="1">
        <f t="array" ref="K6">IF(J6="X",(_xlfn.XLOOKUP($B6,Tabla1[SERVICIO],Tabla1[VALOR])*1),IF(J6&gt;=1,_xlfn.XLOOKUP($B6,Tabla1[SERVICIO],Tabla1[VALOR]*J6),0))</f>
        <v>0</v>
      </c>
      <c r="L6" s="8"/>
      <c r="M6" s="56" cm="1">
        <f t="array" ref="M6">IF(L6="X",(_xlfn.XLOOKUP($B6,Tabla1[SERVICIO],Tabla1[VALOR])*1),IF(L6&gt;=1,_xlfn.XLOOKUP($B6,Tabla1[SERVICIO],Tabla1[VALOR]*L6),0))</f>
        <v>0</v>
      </c>
      <c r="N6" s="14">
        <v>1</v>
      </c>
      <c r="O6" s="56" cm="1">
        <f t="array" ref="O6">IF(N6="X",(_xlfn.XLOOKUP($B6,Tabla1[SERVICIO],Tabla1[VALOR])*1),IF(N6&gt;=1,_xlfn.XLOOKUP($B6,Tabla1[SERVICIO],Tabla1[VALOR]*N6),0))</f>
        <v>19392.627189167735</v>
      </c>
      <c r="P6" s="8"/>
      <c r="Q6" s="56" cm="1">
        <f t="array" ref="Q6">IF(P6="X",(_xlfn.XLOOKUP($B6,Tabla1[SERVICIO],Tabla1[VALOR])*1),IF(P6&gt;=1,_xlfn.XLOOKUP($B6,Tabla1[SERVICIO],Tabla1[VALOR]*P6),0))</f>
        <v>0</v>
      </c>
      <c r="R6" s="8"/>
      <c r="S6" s="56" cm="1">
        <f t="array" ref="S6">IF(R6="X",(_xlfn.XLOOKUP($B6,Tabla1[SERVICIO],Tabla1[VALOR])*1),IF(R6&gt;=1,_xlfn.XLOOKUP($B6,Tabla1[SERVICIO],Tabla1[VALOR]*R6),0))</f>
        <v>0</v>
      </c>
      <c r="T6" s="8"/>
      <c r="U6" s="56" cm="1">
        <f t="array" ref="U6">IF(T6="X",(_xlfn.XLOOKUP($B6,Tabla1[SERVICIO],Tabla1[VALOR])*1),IF(T6&gt;=1,_xlfn.XLOOKUP($B6,Tabla1[SERVICIO],Tabla1[VALOR]*T6),0))</f>
        <v>0</v>
      </c>
      <c r="V6" s="8"/>
      <c r="W6" s="56" cm="1">
        <f t="array" ref="W6">IF(V6="X",(_xlfn.XLOOKUP($B6,Tabla1[SERVICIO],Tabla1[VALOR])*1),IF(V6&gt;=1,_xlfn.XLOOKUP($B6,Tabla1[SERVICIO],Tabla1[VALOR]*V6),0))</f>
        <v>0</v>
      </c>
      <c r="X6" s="8"/>
      <c r="Y6" s="56" cm="1">
        <f t="array" ref="Y6">IF(X6="X",(_xlfn.XLOOKUP($B6,Tabla1[SERVICIO],Tabla1[VALOR])*1),IF(X6&gt;=1,_xlfn.XLOOKUP($B6,Tabla1[SERVICIO],Tabla1[VALOR]*X6),0))</f>
        <v>0</v>
      </c>
      <c r="Z6" s="14">
        <v>1</v>
      </c>
      <c r="AA6" s="56" cm="1">
        <f t="array" ref="AA6">IF(Z6="X",(_xlfn.XLOOKUP($B6,Tabla1[SERVICIO],Tabla1[VALOR])*1),IF(Z6&gt;=1,_xlfn.XLOOKUP($B6,Tabla1[SERVICIO],Tabla1[VALOR]*Z6),0))</f>
        <v>19392.627189167735</v>
      </c>
      <c r="AB6" s="168">
        <f t="shared" si="0"/>
        <v>58177.881567503209</v>
      </c>
      <c r="AC6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6" s="122" t="s">
        <v>318</v>
      </c>
      <c r="AE6" s="120">
        <v>1</v>
      </c>
      <c r="AF6" s="121">
        <f>+Tabla467891044[[#This Row],[TOTAL]]*Tabla467891044[[#This Row],[% de las personas que lo usaron]]</f>
        <v>58177.881567503209</v>
      </c>
      <c r="AG6" s="246" t="s">
        <v>356</v>
      </c>
      <c r="AH6" s="246">
        <v>12</v>
      </c>
    </row>
    <row r="7" spans="1:34" x14ac:dyDescent="0.25">
      <c r="A7" s="7" t="s">
        <v>27</v>
      </c>
      <c r="B7" s="96" t="s">
        <v>28</v>
      </c>
      <c r="C7" s="96" t="str">
        <f>_xlfn.XLOOKUP(Tabla4678942[[#This Row],[Servicios del Programa:]],Tabla151[CODIGO],Tabla151[VALOR])</f>
        <v>Consultas</v>
      </c>
      <c r="D7" s="14">
        <v>1</v>
      </c>
      <c r="E7" s="56" cm="1">
        <f t="array" ref="E7">IF(D7="X",(_xlfn.XLOOKUP($B7,Tabla1[SERVICIO],Tabla1[VALOR])*1),IF(D7&gt;=1,_xlfn.XLOOKUP($B7,Tabla1[SERVICIO],Tabla1[VALOR]*D7),0))</f>
        <v>43480.816890660324</v>
      </c>
      <c r="F7" s="8"/>
      <c r="G7" s="56" cm="1">
        <f t="array" ref="G7">IF(F7="X",(_xlfn.XLOOKUP($B7,Tabla1[SERVICIO],Tabla1[VALOR])*1),IF(F7&gt;=1,_xlfn.XLOOKUP($B7,Tabla1[SERVICIO],Tabla1[VALOR]*F7),0))</f>
        <v>0</v>
      </c>
      <c r="H7" s="8"/>
      <c r="I7" s="56" cm="1">
        <f t="array" ref="I7">IF(H7="X",(_xlfn.XLOOKUP($B7,Tabla1[SERVICIO],Tabla1[VALOR])*1),IF(H7&gt;=1,_xlfn.XLOOKUP($B7,Tabla1[SERVICIO],Tabla1[VALOR]*H7),0))</f>
        <v>0</v>
      </c>
      <c r="J7" s="8"/>
      <c r="K7" s="56" cm="1">
        <f t="array" ref="K7">IF(J7="X",(_xlfn.XLOOKUP($B7,Tabla1[SERVICIO],Tabla1[VALOR])*1),IF(J7&gt;=1,_xlfn.XLOOKUP($B7,Tabla1[SERVICIO],Tabla1[VALOR]*J7),0))</f>
        <v>0</v>
      </c>
      <c r="L7" s="8"/>
      <c r="M7" s="56" cm="1">
        <f t="array" ref="M7">IF(L7="X",(_xlfn.XLOOKUP($B7,Tabla1[SERVICIO],Tabla1[VALOR])*1),IF(L7&gt;=1,_xlfn.XLOOKUP($B7,Tabla1[SERVICIO],Tabla1[VALOR]*L7),0))</f>
        <v>0</v>
      </c>
      <c r="N7" s="14">
        <v>1</v>
      </c>
      <c r="O7" s="56" cm="1">
        <f t="array" ref="O7">IF(N7="X",(_xlfn.XLOOKUP($B7,Tabla1[SERVICIO],Tabla1[VALOR])*1),IF(N7&gt;=1,_xlfn.XLOOKUP($B7,Tabla1[SERVICIO],Tabla1[VALOR]*N7),0))</f>
        <v>43480.816890660324</v>
      </c>
      <c r="P7" s="8"/>
      <c r="Q7" s="56" cm="1">
        <f t="array" ref="Q7">IF(P7="X",(_xlfn.XLOOKUP($B7,Tabla1[SERVICIO],Tabla1[VALOR])*1),IF(P7&gt;=1,_xlfn.XLOOKUP($B7,Tabla1[SERVICIO],Tabla1[VALOR]*P7),0))</f>
        <v>0</v>
      </c>
      <c r="R7" s="8"/>
      <c r="S7" s="56" cm="1">
        <f t="array" ref="S7">IF(R7="X",(_xlfn.XLOOKUP($B7,Tabla1[SERVICIO],Tabla1[VALOR])*1),IF(R7&gt;=1,_xlfn.XLOOKUP($B7,Tabla1[SERVICIO],Tabla1[VALOR]*R7),0))</f>
        <v>0</v>
      </c>
      <c r="T7" s="8"/>
      <c r="U7" s="56" cm="1">
        <f t="array" ref="U7">IF(T7="X",(_xlfn.XLOOKUP($B7,Tabla1[SERVICIO],Tabla1[VALOR])*1),IF(T7&gt;=1,_xlfn.XLOOKUP($B7,Tabla1[SERVICIO],Tabla1[VALOR]*T7),0))</f>
        <v>0</v>
      </c>
      <c r="V7" s="8"/>
      <c r="W7" s="56" cm="1">
        <f t="array" ref="W7">IF(V7="X",(_xlfn.XLOOKUP($B7,Tabla1[SERVICIO],Tabla1[VALOR])*1),IF(V7&gt;=1,_xlfn.XLOOKUP($B7,Tabla1[SERVICIO],Tabla1[VALOR]*V7),0))</f>
        <v>0</v>
      </c>
      <c r="X7" s="8"/>
      <c r="Y7" s="56" cm="1">
        <f t="array" ref="Y7">IF(X7="X",(_xlfn.XLOOKUP($B7,Tabla1[SERVICIO],Tabla1[VALOR])*1),IF(X7&gt;=1,_xlfn.XLOOKUP($B7,Tabla1[SERVICIO],Tabla1[VALOR]*X7),0))</f>
        <v>0</v>
      </c>
      <c r="Z7" s="14">
        <v>1</v>
      </c>
      <c r="AA7" s="56" cm="1">
        <f t="array" ref="AA7">IF(Z7="X",(_xlfn.XLOOKUP($B7,Tabla1[SERVICIO],Tabla1[VALOR])*1),IF(Z7&gt;=1,_xlfn.XLOOKUP($B7,Tabla1[SERVICIO],Tabla1[VALOR]*Z7),0))</f>
        <v>43480.816890660324</v>
      </c>
      <c r="AB7" s="168">
        <f t="shared" si="0"/>
        <v>130442.45067198097</v>
      </c>
      <c r="AC7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7" s="122" t="s">
        <v>318</v>
      </c>
      <c r="AE7" s="120">
        <v>1</v>
      </c>
      <c r="AF7" s="121">
        <f>+Tabla467891044[[#This Row],[TOTAL]]*Tabla467891044[[#This Row],[% de las personas que lo usaron]]</f>
        <v>130442.45067198097</v>
      </c>
      <c r="AG7" s="246" t="s">
        <v>356</v>
      </c>
      <c r="AH7" s="246">
        <v>12</v>
      </c>
    </row>
    <row r="8" spans="1:34" x14ac:dyDescent="0.25">
      <c r="A8" s="7" t="s">
        <v>84</v>
      </c>
      <c r="B8" s="96" t="s">
        <v>85</v>
      </c>
      <c r="C8" s="96" t="str">
        <f>_xlfn.XLOOKUP(Tabla4678942[[#This Row],[Servicios del Programa:]],Tabla151[CODIGO],Tabla151[VALOR])</f>
        <v>Consultas</v>
      </c>
      <c r="D8" s="14">
        <v>1</v>
      </c>
      <c r="E8" s="56" cm="1">
        <f t="array" ref="E8">IF(D8="X",(_xlfn.XLOOKUP($B8,Tabla1[SERVICIO],Tabla1[VALOR])*1),IF(D8&gt;=1,_xlfn.XLOOKUP($B8,Tabla1[SERVICIO],Tabla1[VALOR]*D8),0))</f>
        <v>68748.387080831264</v>
      </c>
      <c r="F8" s="8"/>
      <c r="G8" s="56" cm="1">
        <f t="array" ref="G8">IF(F8="X",(_xlfn.XLOOKUP($B8,Tabla1[SERVICIO],Tabla1[VALOR])*1),IF(F8&gt;=1,_xlfn.XLOOKUP($B8,Tabla1[SERVICIO],Tabla1[VALOR]*F8),0))</f>
        <v>0</v>
      </c>
      <c r="H8" s="8"/>
      <c r="I8" s="56" cm="1">
        <f t="array" ref="I8">IF(H8="X",(_xlfn.XLOOKUP($B8,Tabla1[SERVICIO],Tabla1[VALOR])*1),IF(H8&gt;=1,_xlfn.XLOOKUP($B8,Tabla1[SERVICIO],Tabla1[VALOR]*H8),0))</f>
        <v>0</v>
      </c>
      <c r="J8" s="8"/>
      <c r="K8" s="56" cm="1">
        <f t="array" ref="K8">IF(J8="X",(_xlfn.XLOOKUP($B8,Tabla1[SERVICIO],Tabla1[VALOR])*1),IF(J8&gt;=1,_xlfn.XLOOKUP($B8,Tabla1[SERVICIO],Tabla1[VALOR]*J8),0))</f>
        <v>0</v>
      </c>
      <c r="L8" s="8"/>
      <c r="M8" s="56" cm="1">
        <f t="array" ref="M8">IF(L8="X",(_xlfn.XLOOKUP($B8,Tabla1[SERVICIO],Tabla1[VALOR])*1),IF(L8&gt;=1,_xlfn.XLOOKUP($B8,Tabla1[SERVICIO],Tabla1[VALOR]*L8),0))</f>
        <v>0</v>
      </c>
      <c r="N8" s="14">
        <v>1</v>
      </c>
      <c r="O8" s="56" cm="1">
        <f t="array" ref="O8">IF(N8="X",(_xlfn.XLOOKUP($B8,Tabla1[SERVICIO],Tabla1[VALOR])*1),IF(N8&gt;=1,_xlfn.XLOOKUP($B8,Tabla1[SERVICIO],Tabla1[VALOR]*N8),0))</f>
        <v>68748.387080831264</v>
      </c>
      <c r="P8" s="8"/>
      <c r="Q8" s="56" cm="1">
        <f t="array" ref="Q8">IF(P8="X",(_xlfn.XLOOKUP($B8,Tabla1[SERVICIO],Tabla1[VALOR])*1),IF(P8&gt;=1,_xlfn.XLOOKUP($B8,Tabla1[SERVICIO],Tabla1[VALOR]*P8),0))</f>
        <v>0</v>
      </c>
      <c r="R8" s="8"/>
      <c r="S8" s="56" cm="1">
        <f t="array" ref="S8">IF(R8="X",(_xlfn.XLOOKUP($B8,Tabla1[SERVICIO],Tabla1[VALOR])*1),IF(R8&gt;=1,_xlfn.XLOOKUP($B8,Tabla1[SERVICIO],Tabla1[VALOR]*R8),0))</f>
        <v>0</v>
      </c>
      <c r="T8" s="8"/>
      <c r="U8" s="56" cm="1">
        <f t="array" ref="U8">IF(T8="X",(_xlfn.XLOOKUP($B8,Tabla1[SERVICIO],Tabla1[VALOR])*1),IF(T8&gt;=1,_xlfn.XLOOKUP($B8,Tabla1[SERVICIO],Tabla1[VALOR]*T8),0))</f>
        <v>0</v>
      </c>
      <c r="V8" s="8"/>
      <c r="W8" s="56" cm="1">
        <f t="array" ref="W8">IF(V8="X",(_xlfn.XLOOKUP($B8,Tabla1[SERVICIO],Tabla1[VALOR])*1),IF(V8&gt;=1,_xlfn.XLOOKUP($B8,Tabla1[SERVICIO],Tabla1[VALOR]*V8),0))</f>
        <v>0</v>
      </c>
      <c r="X8" s="8"/>
      <c r="Y8" s="56" cm="1">
        <f t="array" ref="Y8">IF(X8="X",(_xlfn.XLOOKUP($B8,Tabla1[SERVICIO],Tabla1[VALOR])*1),IF(X8&gt;=1,_xlfn.XLOOKUP($B8,Tabla1[SERVICIO],Tabla1[VALOR]*X8),0))</f>
        <v>0</v>
      </c>
      <c r="Z8" s="14">
        <v>1</v>
      </c>
      <c r="AA8" s="56" cm="1">
        <f t="array" ref="AA8">IF(Z8="X",(_xlfn.XLOOKUP($B8,Tabla1[SERVICIO],Tabla1[VALOR])*1),IF(Z8&gt;=1,_xlfn.XLOOKUP($B8,Tabla1[SERVICIO],Tabla1[VALOR]*Z8),0))</f>
        <v>68748.387080831264</v>
      </c>
      <c r="AB8" s="168">
        <f>SUM(E8,G8,I8,K8+M8,O8,Q8,S8,U8,W8,Y8,AA8)</f>
        <v>206245.16124249378</v>
      </c>
      <c r="AC8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8" s="122" t="s">
        <v>318</v>
      </c>
      <c r="AE8" s="120">
        <v>1</v>
      </c>
      <c r="AF8" s="121">
        <f>+Tabla467891044[[#This Row],[TOTAL]]*Tabla467891044[[#This Row],[% de las personas que lo usaron]]</f>
        <v>206245.16124249378</v>
      </c>
      <c r="AG8" s="246" t="s">
        <v>356</v>
      </c>
      <c r="AH8" s="246">
        <v>12</v>
      </c>
    </row>
    <row r="9" spans="1:34" x14ac:dyDescent="0.25">
      <c r="A9" s="7" t="s">
        <v>23</v>
      </c>
      <c r="B9" s="96" t="s">
        <v>24</v>
      </c>
      <c r="C9" s="96" t="str">
        <f>_xlfn.XLOOKUP(Tabla4678942[[#This Row],[Servicios del Programa:]],Tabla151[CODIGO],Tabla151[VALOR])</f>
        <v>Terapias</v>
      </c>
      <c r="D9" s="14">
        <v>1</v>
      </c>
      <c r="E9" s="56" cm="1">
        <f t="array" ref="E9">IF(D9="X",(_xlfn.XLOOKUP($B9,Tabla1[SERVICIO],Tabla1[VALOR])*1),IF(D9&gt;=1,_xlfn.XLOOKUP($B9,Tabla1[SERVICIO],Tabla1[VALOR]*D9),0))</f>
        <v>31881.451880098426</v>
      </c>
      <c r="F9" s="14"/>
      <c r="G9" s="56" cm="1">
        <f t="array" ref="G9">IF(F9="X",(_xlfn.XLOOKUP($B9,Tabla1[SERVICIO],Tabla1[VALOR])*1),IF(F9&gt;=1,_xlfn.XLOOKUP($B9,Tabla1[SERVICIO],Tabla1[VALOR]*F9),0))</f>
        <v>0</v>
      </c>
      <c r="H9" s="14"/>
      <c r="I9" s="56" cm="1">
        <f t="array" ref="I9">IF(H9="X",(_xlfn.XLOOKUP($B9,Tabla1[SERVICIO],Tabla1[VALOR])*1),IF(H9&gt;=1,_xlfn.XLOOKUP($B9,Tabla1[SERVICIO],Tabla1[VALOR]*H9),0))</f>
        <v>0</v>
      </c>
      <c r="J9" s="14"/>
      <c r="K9" s="56" cm="1">
        <f t="array" ref="K9">IF(J9="X",(_xlfn.XLOOKUP($B9,Tabla1[SERVICIO],Tabla1[VALOR])*1),IF(J9&gt;=1,_xlfn.XLOOKUP($B9,Tabla1[SERVICIO],Tabla1[VALOR]*J9),0))</f>
        <v>0</v>
      </c>
      <c r="L9" s="14"/>
      <c r="M9" s="56" cm="1">
        <f t="array" ref="M9">IF(L9="X",(_xlfn.XLOOKUP($B9,Tabla1[SERVICIO],Tabla1[VALOR])*1),IF(L9&gt;=1,_xlfn.XLOOKUP($B9,Tabla1[SERVICIO],Tabla1[VALOR]*L9),0))</f>
        <v>0</v>
      </c>
      <c r="N9" s="14"/>
      <c r="O9" s="56" cm="1">
        <f t="array" ref="O9">IF(N9="X",(_xlfn.XLOOKUP($B9,Tabla1[SERVICIO],Tabla1[VALOR])*1),IF(N9&gt;=1,_xlfn.XLOOKUP($B9,Tabla1[SERVICIO],Tabla1[VALOR]*N9),0))</f>
        <v>0</v>
      </c>
      <c r="P9" s="14"/>
      <c r="Q9" s="56" cm="1">
        <f t="array" ref="Q9">IF(P9="X",(_xlfn.XLOOKUP($B9,Tabla1[SERVICIO],Tabla1[VALOR])*1),IF(P9&gt;=1,_xlfn.XLOOKUP($B9,Tabla1[SERVICIO],Tabla1[VALOR]*P9),0))</f>
        <v>0</v>
      </c>
      <c r="R9" s="14"/>
      <c r="S9" s="56" cm="1">
        <f t="array" ref="S9">IF(R9="X",(_xlfn.XLOOKUP($B9,Tabla1[SERVICIO],Tabla1[VALOR])*1),IF(R9&gt;=1,_xlfn.XLOOKUP($B9,Tabla1[SERVICIO],Tabla1[VALOR]*R9),0))</f>
        <v>0</v>
      </c>
      <c r="T9" s="14"/>
      <c r="U9" s="56" cm="1">
        <f t="array" ref="U9">IF(T9="X",(_xlfn.XLOOKUP($B9,Tabla1[SERVICIO],Tabla1[VALOR])*1),IF(T9&gt;=1,_xlfn.XLOOKUP($B9,Tabla1[SERVICIO],Tabla1[VALOR]*T9),0))</f>
        <v>0</v>
      </c>
      <c r="V9" s="14"/>
      <c r="W9" s="56" cm="1">
        <f t="array" ref="W9">IF(V9="X",(_xlfn.XLOOKUP($B9,Tabla1[SERVICIO],Tabla1[VALOR])*1),IF(V9&gt;=1,_xlfn.XLOOKUP($B9,Tabla1[SERVICIO],Tabla1[VALOR]*V9),0))</f>
        <v>0</v>
      </c>
      <c r="X9" s="14"/>
      <c r="Y9" s="56" cm="1">
        <f t="array" ref="Y9">IF(X9="X",(_xlfn.XLOOKUP($B9,Tabla1[SERVICIO],Tabla1[VALOR])*1),IF(X9&gt;=1,_xlfn.XLOOKUP($B9,Tabla1[SERVICIO],Tabla1[VALOR]*X9),0))</f>
        <v>0</v>
      </c>
      <c r="Z9" s="14"/>
      <c r="AA9" s="56" cm="1">
        <f t="array" ref="AA9">IF(Z9="X",(_xlfn.XLOOKUP($B9,Tabla1[SERVICIO],Tabla1[VALOR])*1),IF(Z9&gt;=1,_xlfn.XLOOKUP($B9,Tabla1[SERVICIO],Tabla1[VALOR]*Z9),0))</f>
        <v>0</v>
      </c>
      <c r="AB9" s="168">
        <f t="shared" si="0"/>
        <v>31881.451880098426</v>
      </c>
      <c r="AC9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9" s="122" t="s">
        <v>318</v>
      </c>
      <c r="AE9" s="120">
        <v>1</v>
      </c>
      <c r="AF9" s="121">
        <f>+Tabla467891044[[#This Row],[TOTAL]]*Tabla467891044[[#This Row],[% de las personas que lo usaron]]</f>
        <v>31881.451880098426</v>
      </c>
      <c r="AG9" s="246" t="s">
        <v>356</v>
      </c>
      <c r="AH9" s="246">
        <v>12</v>
      </c>
    </row>
    <row r="10" spans="1:34" x14ac:dyDescent="0.25">
      <c r="A10" s="7" t="s">
        <v>36</v>
      </c>
      <c r="B10" s="96" t="s">
        <v>100</v>
      </c>
      <c r="C10" s="96" t="str">
        <f>_xlfn.XLOOKUP(Tabla4678942[[#This Row],[Servicios del Programa:]],Tabla151[CODIGO],Tabla151[VALOR])</f>
        <v>Terapias</v>
      </c>
      <c r="D10" s="14">
        <v>8</v>
      </c>
      <c r="E10" s="56" cm="1">
        <f t="array" ref="E10">IF(D10="X",(_xlfn.XLOOKUP($B10,Tabla1[SERVICIO],Tabla1[VALOR])*1),IF(D10&gt;=1,_xlfn.XLOOKUP($B10,Tabla1[SERVICIO],Tabla1[VALOR]*D10),0))</f>
        <v>70240.958933331596</v>
      </c>
      <c r="F10" s="14">
        <v>8</v>
      </c>
      <c r="G10" s="56" cm="1">
        <f t="array" ref="G10">IF(F10="X",(_xlfn.XLOOKUP($B10,Tabla1[SERVICIO],Tabla1[VALOR])*1),IF(F10&gt;=1,_xlfn.XLOOKUP($B10,Tabla1[SERVICIO],Tabla1[VALOR]*F10),0))</f>
        <v>70240.958933331596</v>
      </c>
      <c r="H10" s="14">
        <v>8</v>
      </c>
      <c r="I10" s="56" cm="1">
        <f t="array" ref="I10">IF(H10="X",(_xlfn.XLOOKUP($B10,Tabla1[SERVICIO],Tabla1[VALOR])*1),IF(H10&gt;=1,_xlfn.XLOOKUP($B10,Tabla1[SERVICIO],Tabla1[VALOR]*H10),0))</f>
        <v>70240.958933331596</v>
      </c>
      <c r="J10" s="14">
        <v>8</v>
      </c>
      <c r="K10" s="56" cm="1">
        <f t="array" ref="K10">IF(J10="X",(_xlfn.XLOOKUP($B10,Tabla1[SERVICIO],Tabla1[VALOR])*1),IF(J10&gt;=1,_xlfn.XLOOKUP($B10,Tabla1[SERVICIO],Tabla1[VALOR]*J10),0))</f>
        <v>70240.958933331596</v>
      </c>
      <c r="L10" s="14">
        <v>8</v>
      </c>
      <c r="M10" s="56" cm="1">
        <f t="array" ref="M10">IF(L10="X",(_xlfn.XLOOKUP($B10,Tabla1[SERVICIO],Tabla1[VALOR])*1),IF(L10&gt;=1,_xlfn.XLOOKUP($B10,Tabla1[SERVICIO],Tabla1[VALOR]*L10),0))</f>
        <v>70240.958933331596</v>
      </c>
      <c r="N10" s="14">
        <v>8</v>
      </c>
      <c r="O10" s="56" cm="1">
        <f t="array" ref="O10">IF(N10="X",(_xlfn.XLOOKUP($B10,Tabla1[SERVICIO],Tabla1[VALOR])*1),IF(N10&gt;=1,_xlfn.XLOOKUP($B10,Tabla1[SERVICIO],Tabla1[VALOR]*N10),0))</f>
        <v>70240.958933331596</v>
      </c>
      <c r="P10" s="14">
        <v>8</v>
      </c>
      <c r="Q10" s="56" cm="1">
        <f t="array" ref="Q10">IF(P10="X",(_xlfn.XLOOKUP($B10,Tabla1[SERVICIO],Tabla1[VALOR])*1),IF(P10&gt;=1,_xlfn.XLOOKUP($B10,Tabla1[SERVICIO],Tabla1[VALOR]*P10),0))</f>
        <v>70240.958933331596</v>
      </c>
      <c r="R10" s="14">
        <v>8</v>
      </c>
      <c r="S10" s="56" cm="1">
        <f t="array" ref="S10">IF(R10="X",(_xlfn.XLOOKUP($B10,Tabla1[SERVICIO],Tabla1[VALOR])*1),IF(R10&gt;=1,_xlfn.XLOOKUP($B10,Tabla1[SERVICIO],Tabla1[VALOR]*R10),0))</f>
        <v>70240.958933331596</v>
      </c>
      <c r="T10" s="14">
        <v>8</v>
      </c>
      <c r="U10" s="56" cm="1">
        <f t="array" ref="U10">IF(T10="X",(_xlfn.XLOOKUP($B10,Tabla1[SERVICIO],Tabla1[VALOR])*1),IF(T10&gt;=1,_xlfn.XLOOKUP($B10,Tabla1[SERVICIO],Tabla1[VALOR]*T10),0))</f>
        <v>70240.958933331596</v>
      </c>
      <c r="V10" s="14">
        <v>8</v>
      </c>
      <c r="W10" s="56" cm="1">
        <f t="array" ref="W10">IF(V10="X",(_xlfn.XLOOKUP($B10,Tabla1[SERVICIO],Tabla1[VALOR])*1),IF(V10&gt;=1,_xlfn.XLOOKUP($B10,Tabla1[SERVICIO],Tabla1[VALOR]*V10),0))</f>
        <v>70240.958933331596</v>
      </c>
      <c r="X10" s="14">
        <v>8</v>
      </c>
      <c r="Y10" s="56" cm="1">
        <f t="array" ref="Y10">IF(X10="X",(_xlfn.XLOOKUP($B10,Tabla1[SERVICIO],Tabla1[VALOR])*1),IF(X10&gt;=1,_xlfn.XLOOKUP($B10,Tabla1[SERVICIO],Tabla1[VALOR]*X10),0))</f>
        <v>70240.958933331596</v>
      </c>
      <c r="Z10" s="14">
        <v>8</v>
      </c>
      <c r="AA10" s="56" cm="1">
        <f t="array" ref="AA10">IF(Z10="X",(_xlfn.XLOOKUP($B10,Tabla1[SERVICIO],Tabla1[VALOR])*1),IF(Z10&gt;=1,_xlfn.XLOOKUP($B10,Tabla1[SERVICIO],Tabla1[VALOR]*Z10),0))</f>
        <v>70240.958933331596</v>
      </c>
      <c r="AB10" s="168">
        <f t="shared" si="0"/>
        <v>842891.50719997892</v>
      </c>
      <c r="AC10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96</v>
      </c>
      <c r="AD10" s="122" t="s">
        <v>318</v>
      </c>
      <c r="AE10" s="120">
        <v>1</v>
      </c>
      <c r="AF10" s="121">
        <f>+Tabla467891044[[#This Row],[TOTAL]]*Tabla467891044[[#This Row],[% de las personas que lo usaron]]</f>
        <v>842891.50719997892</v>
      </c>
      <c r="AG10" s="246" t="s">
        <v>356</v>
      </c>
      <c r="AH10" s="246">
        <v>12</v>
      </c>
    </row>
    <row r="11" spans="1:34" s="24" customFormat="1" x14ac:dyDescent="0.25">
      <c r="A11" s="7" t="s">
        <v>3</v>
      </c>
      <c r="B11" s="96" t="s">
        <v>4</v>
      </c>
      <c r="C11" s="96" t="str">
        <f>_xlfn.XLOOKUP(Tabla4678942[[#This Row],[Servicios del Programa:]],Tabla151[CODIGO],Tabla151[VALOR])</f>
        <v>Educacion</v>
      </c>
      <c r="D11" s="14">
        <v>1</v>
      </c>
      <c r="E11" s="56" cm="1">
        <f t="array" ref="E11">IF(D11="X",(_xlfn.XLOOKUP($B11,Tabla1[SERVICIO],Tabla1[VALOR])*1),IF(D11&gt;=1,_xlfn.XLOOKUP($B11,Tabla1[SERVICIO],Tabla1[VALOR]*D11),0))</f>
        <v>20406.13276336317</v>
      </c>
      <c r="F11" s="14"/>
      <c r="G11" s="56" cm="1">
        <f t="array" ref="G11">IF(F11="X",(_xlfn.XLOOKUP($B11,Tabla1[SERVICIO],Tabla1[VALOR])*1),IF(F11&gt;=1,_xlfn.XLOOKUP($B11,Tabla1[SERVICIO],Tabla1[VALOR]*F11),0))</f>
        <v>0</v>
      </c>
      <c r="H11" s="14"/>
      <c r="I11" s="56" cm="1">
        <f t="array" ref="I11">IF(H11="X",(_xlfn.XLOOKUP($B11,Tabla1[SERVICIO],Tabla1[VALOR])*1),IF(H11&gt;=1,_xlfn.XLOOKUP($B11,Tabla1[SERVICIO],Tabla1[VALOR]*H11),0))</f>
        <v>0</v>
      </c>
      <c r="J11" s="14"/>
      <c r="K11" s="56" cm="1">
        <f t="array" ref="K11">IF(J11="X",(_xlfn.XLOOKUP($B11,Tabla1[SERVICIO],Tabla1[VALOR])*1),IF(J11&gt;=1,_xlfn.XLOOKUP($B11,Tabla1[SERVICIO],Tabla1[VALOR]*J11),0))</f>
        <v>0</v>
      </c>
      <c r="L11" s="14"/>
      <c r="M11" s="56" cm="1">
        <f t="array" ref="M11">IF(L11="X",(_xlfn.XLOOKUP($B11,Tabla1[SERVICIO],Tabla1[VALOR])*1),IF(L11&gt;=1,_xlfn.XLOOKUP($B11,Tabla1[SERVICIO],Tabla1[VALOR]*L11),0))</f>
        <v>0</v>
      </c>
      <c r="N11" s="14"/>
      <c r="O11" s="56" cm="1">
        <f t="array" ref="O11">IF(N11="X",(_xlfn.XLOOKUP($B11,Tabla1[SERVICIO],Tabla1[VALOR])*1),IF(N11&gt;=1,_xlfn.XLOOKUP($B11,Tabla1[SERVICIO],Tabla1[VALOR]*N11),0))</f>
        <v>0</v>
      </c>
      <c r="P11" s="14"/>
      <c r="Q11" s="56" cm="1">
        <f t="array" ref="Q11">IF(P11="X",(_xlfn.XLOOKUP($B11,Tabla1[SERVICIO],Tabla1[VALOR])*1),IF(P11&gt;=1,_xlfn.XLOOKUP($B11,Tabla1[SERVICIO],Tabla1[VALOR]*P11),0))</f>
        <v>0</v>
      </c>
      <c r="R11" s="14"/>
      <c r="S11" s="56" cm="1">
        <f t="array" ref="S11">IF(R11="X",(_xlfn.XLOOKUP($B11,Tabla1[SERVICIO],Tabla1[VALOR])*1),IF(R11&gt;=1,_xlfn.XLOOKUP($B11,Tabla1[SERVICIO],Tabla1[VALOR]*R11),0))</f>
        <v>0</v>
      </c>
      <c r="T11" s="14"/>
      <c r="U11" s="56" cm="1">
        <f t="array" ref="U11">IF(T11="X",(_xlfn.XLOOKUP($B11,Tabla1[SERVICIO],Tabla1[VALOR])*1),IF(T11&gt;=1,_xlfn.XLOOKUP($B11,Tabla1[SERVICIO],Tabla1[VALOR]*T11),0))</f>
        <v>0</v>
      </c>
      <c r="V11" s="14"/>
      <c r="W11" s="56" cm="1">
        <f t="array" ref="W11">IF(V11="X",(_xlfn.XLOOKUP($B11,Tabla1[SERVICIO],Tabla1[VALOR])*1),IF(V11&gt;=1,_xlfn.XLOOKUP($B11,Tabla1[SERVICIO],Tabla1[VALOR]*V11),0))</f>
        <v>0</v>
      </c>
      <c r="X11" s="14"/>
      <c r="Y11" s="56" cm="1">
        <f t="array" ref="Y11">IF(X11="X",(_xlfn.XLOOKUP($B11,Tabla1[SERVICIO],Tabla1[VALOR])*1),IF(X11&gt;=1,_xlfn.XLOOKUP($B11,Tabla1[SERVICIO],Tabla1[VALOR]*X11),0))</f>
        <v>0</v>
      </c>
      <c r="Z11" s="14"/>
      <c r="AA11" s="56" cm="1">
        <f t="array" ref="AA11">IF(Z11="X",(_xlfn.XLOOKUP($B11,Tabla1[SERVICIO],Tabla1[VALOR])*1),IF(Z11&gt;=1,_xlfn.XLOOKUP($B11,Tabla1[SERVICIO],Tabla1[VALOR]*Z11),0))</f>
        <v>0</v>
      </c>
      <c r="AB11" s="168">
        <f t="shared" si="0"/>
        <v>20406.13276336317</v>
      </c>
      <c r="AC11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1" s="122" t="s">
        <v>318</v>
      </c>
      <c r="AE11" s="120">
        <v>1</v>
      </c>
      <c r="AF11" s="121">
        <f>+Tabla467891044[[#This Row],[TOTAL]]*Tabla467891044[[#This Row],[% de las personas que lo usaron]]</f>
        <v>20406.13276336317</v>
      </c>
      <c r="AG11" s="246" t="s">
        <v>356</v>
      </c>
      <c r="AH11" s="246">
        <v>12</v>
      </c>
    </row>
    <row r="12" spans="1:34" x14ac:dyDescent="0.25">
      <c r="A12" s="7" t="s">
        <v>15</v>
      </c>
      <c r="B12" s="96" t="s">
        <v>16</v>
      </c>
      <c r="C12" s="96" t="str">
        <f>_xlfn.XLOOKUP(Tabla4678942[[#This Row],[Servicios del Programa:]],Tabla151[CODIGO],Tabla151[VALOR])</f>
        <v>Consultas</v>
      </c>
      <c r="D12" s="8"/>
      <c r="E12" s="56" cm="1">
        <f t="array" ref="E12">IF(D12="X",(_xlfn.XLOOKUP($B12,Tabla1[SERVICIO],Tabla1[VALOR])*1),IF(D12&gt;=1,_xlfn.XLOOKUP($B12,Tabla1[SERVICIO],Tabla1[VALOR]*D12),0))</f>
        <v>0</v>
      </c>
      <c r="F12" s="8"/>
      <c r="G12" s="56" cm="1">
        <f t="array" ref="G12">IF(F12="X",(_xlfn.XLOOKUP($B12,Tabla1[SERVICIO],Tabla1[VALOR])*1),IF(F12&gt;=1,_xlfn.XLOOKUP($B12,Tabla1[SERVICIO],Tabla1[VALOR]*F12),0))</f>
        <v>0</v>
      </c>
      <c r="H12" s="8"/>
      <c r="I12" s="56" cm="1">
        <f t="array" ref="I12">IF(H12="X",(_xlfn.XLOOKUP($B12,Tabla1[SERVICIO],Tabla1[VALOR])*1),IF(H12&gt;=1,_xlfn.XLOOKUP($B12,Tabla1[SERVICIO],Tabla1[VALOR]*H12),0))</f>
        <v>0</v>
      </c>
      <c r="J12" s="8"/>
      <c r="K12" s="56" cm="1">
        <f t="array" ref="K12">IF(J12="X",(_xlfn.XLOOKUP($B12,Tabla1[SERVICIO],Tabla1[VALOR])*1),IF(J12&gt;=1,_xlfn.XLOOKUP($B12,Tabla1[SERVICIO],Tabla1[VALOR]*J12),0))</f>
        <v>0</v>
      </c>
      <c r="L12" s="8"/>
      <c r="M12" s="56" cm="1">
        <f t="array" ref="M12">IF(L12="X",(_xlfn.XLOOKUP($B12,Tabla1[SERVICIO],Tabla1[VALOR])*1),IF(L12&gt;=1,_xlfn.XLOOKUP($B12,Tabla1[SERVICIO],Tabla1[VALOR]*L12),0))</f>
        <v>0</v>
      </c>
      <c r="N12" s="14">
        <v>1</v>
      </c>
      <c r="O12" s="56" cm="1">
        <f t="array" ref="O12">IF(N12="X",(_xlfn.XLOOKUP($B12,Tabla1[SERVICIO],Tabla1[VALOR])*1),IF(N12&gt;=1,_xlfn.XLOOKUP($B12,Tabla1[SERVICIO],Tabla1[VALOR]*N12),0))</f>
        <v>22052.520800552971</v>
      </c>
      <c r="P12" s="8"/>
      <c r="Q12" s="56" cm="1">
        <f t="array" ref="Q12">IF(P12="X",(_xlfn.XLOOKUP($B12,Tabla1[SERVICIO],Tabla1[VALOR])*1),IF(P12&gt;=1,_xlfn.XLOOKUP($B12,Tabla1[SERVICIO],Tabla1[VALOR]*P12),0))</f>
        <v>0</v>
      </c>
      <c r="R12" s="8"/>
      <c r="S12" s="56" cm="1">
        <f t="array" ref="S12">IF(R12="X",(_xlfn.XLOOKUP($B12,Tabla1[SERVICIO],Tabla1[VALOR])*1),IF(R12&gt;=1,_xlfn.XLOOKUP($B12,Tabla1[SERVICIO],Tabla1[VALOR]*R12),0))</f>
        <v>0</v>
      </c>
      <c r="T12" s="8"/>
      <c r="U12" s="56" cm="1">
        <f t="array" ref="U12">IF(T12="X",(_xlfn.XLOOKUP($B12,Tabla1[SERVICIO],Tabla1[VALOR])*1),IF(T12&gt;=1,_xlfn.XLOOKUP($B12,Tabla1[SERVICIO],Tabla1[VALOR]*T12),0))</f>
        <v>0</v>
      </c>
      <c r="V12" s="8"/>
      <c r="W12" s="56" cm="1">
        <f t="array" ref="W12">IF(V12="X",(_xlfn.XLOOKUP($B12,Tabla1[SERVICIO],Tabla1[VALOR])*1),IF(V12&gt;=1,_xlfn.XLOOKUP($B12,Tabla1[SERVICIO],Tabla1[VALOR]*V12),0))</f>
        <v>0</v>
      </c>
      <c r="X12" s="8"/>
      <c r="Y12" s="56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6" cm="1">
        <f t="array" ref="AA12">IF(Z12="X",(_xlfn.XLOOKUP($B12,Tabla1[SERVICIO],Tabla1[VALOR])*1),IF(Z12&gt;=1,_xlfn.XLOOKUP($B12,Tabla1[SERVICIO],Tabla1[VALOR]*Z12),0))</f>
        <v>22052.520800552971</v>
      </c>
      <c r="AB12" s="168">
        <f t="shared" si="0"/>
        <v>44105.041601105942</v>
      </c>
      <c r="AC12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2</v>
      </c>
      <c r="AD12" s="122" t="s">
        <v>318</v>
      </c>
      <c r="AE12" s="120">
        <v>1</v>
      </c>
      <c r="AF12" s="121">
        <f>+Tabla467891044[[#This Row],[TOTAL]]*Tabla467891044[[#This Row],[% de las personas que lo usaron]]</f>
        <v>44105.041601105942</v>
      </c>
      <c r="AG12" s="246" t="s">
        <v>356</v>
      </c>
      <c r="AH12" s="246">
        <v>12</v>
      </c>
    </row>
    <row r="13" spans="1:34" x14ac:dyDescent="0.25">
      <c r="A13" s="7" t="s">
        <v>1</v>
      </c>
      <c r="B13" s="96" t="s">
        <v>2</v>
      </c>
      <c r="C13" s="96" t="str">
        <f>_xlfn.XLOOKUP(Tabla4678942[[#This Row],[Servicios del Programa:]],Tabla151[CODIGO],Tabla151[VALOR])</f>
        <v>Consultas</v>
      </c>
      <c r="D13" s="14"/>
      <c r="E13" s="56" cm="1">
        <f t="array" ref="E13">IF(D13="X",(_xlfn.XLOOKUP($B13,Tabla1[SERVICIO],Tabla1[VALOR])*1),IF(D13&gt;=1,_xlfn.XLOOKUP($B13,Tabla1[SERVICIO],Tabla1[VALOR]*D13),0))</f>
        <v>0</v>
      </c>
      <c r="F13" s="14"/>
      <c r="G13" s="56" cm="1">
        <f t="array" ref="G13">IF(F13="X",(_xlfn.XLOOKUP($B13,Tabla1[SERVICIO],Tabla1[VALOR])*1),IF(F13&gt;=1,_xlfn.XLOOKUP($B13,Tabla1[SERVICIO],Tabla1[VALOR]*F13),0))</f>
        <v>0</v>
      </c>
      <c r="H13" s="14"/>
      <c r="I13" s="56" cm="1">
        <f t="array" ref="I13">IF(H13="X",(_xlfn.XLOOKUP($B13,Tabla1[SERVICIO],Tabla1[VALOR])*1),IF(H13&gt;=1,_xlfn.XLOOKUP($B13,Tabla1[SERVICIO],Tabla1[VALOR]*H13),0))</f>
        <v>0</v>
      </c>
      <c r="J13" s="14"/>
      <c r="K13" s="56" cm="1">
        <f t="array" ref="K13">IF(J13="X",(_xlfn.XLOOKUP($B13,Tabla1[SERVICIO],Tabla1[VALOR])*1),IF(J13&gt;=1,_xlfn.XLOOKUP($B13,Tabla1[SERVICIO],Tabla1[VALOR]*J13),0))</f>
        <v>0</v>
      </c>
      <c r="L13" s="14"/>
      <c r="M13" s="56" cm="1">
        <f t="array" ref="M13">IF(L13="X",(_xlfn.XLOOKUP($B13,Tabla1[SERVICIO],Tabla1[VALOR])*1),IF(L13&gt;=1,_xlfn.XLOOKUP($B13,Tabla1[SERVICIO],Tabla1[VALOR]*L13),0))</f>
        <v>0</v>
      </c>
      <c r="N13" s="14"/>
      <c r="O13" s="56" cm="1">
        <f t="array" ref="O13">IF(N13="X",(_xlfn.XLOOKUP($B13,Tabla1[SERVICIO],Tabla1[VALOR])*1),IF(N13&gt;=1,_xlfn.XLOOKUP($B13,Tabla1[SERVICIO],Tabla1[VALOR]*N13),0))</f>
        <v>0</v>
      </c>
      <c r="P13" s="14"/>
      <c r="Q13" s="56" cm="1">
        <f t="array" ref="Q13">IF(P13="X",(_xlfn.XLOOKUP($B13,Tabla1[SERVICIO],Tabla1[VALOR])*1),IF(P13&gt;=1,_xlfn.XLOOKUP($B13,Tabla1[SERVICIO],Tabla1[VALOR]*P13),0))</f>
        <v>0</v>
      </c>
      <c r="R13" s="14"/>
      <c r="S13" s="56" cm="1">
        <f t="array" ref="S13">IF(R13="X",(_xlfn.XLOOKUP($B13,Tabla1[SERVICIO],Tabla1[VALOR])*1),IF(R13&gt;=1,_xlfn.XLOOKUP($B13,Tabla1[SERVICIO],Tabla1[VALOR]*R13),0))</f>
        <v>0</v>
      </c>
      <c r="T13" s="14"/>
      <c r="U13" s="56" cm="1">
        <f t="array" ref="U13">IF(T13="X",(_xlfn.XLOOKUP($B13,Tabla1[SERVICIO],Tabla1[VALOR])*1),IF(T13&gt;=1,_xlfn.XLOOKUP($B13,Tabla1[SERVICIO],Tabla1[VALOR]*T13),0))</f>
        <v>0</v>
      </c>
      <c r="V13" s="14"/>
      <c r="W13" s="56" cm="1">
        <f t="array" ref="W13">IF(V13="X",(_xlfn.XLOOKUP($B13,Tabla1[SERVICIO],Tabla1[VALOR])*1),IF(V13&gt;=1,_xlfn.XLOOKUP($B13,Tabla1[SERVICIO],Tabla1[VALOR]*V13),0))</f>
        <v>0</v>
      </c>
      <c r="X13" s="14"/>
      <c r="Y13" s="56" cm="1">
        <f t="array" ref="Y13">IF(X13="X",(_xlfn.XLOOKUP($B13,Tabla1[SERVICIO],Tabla1[VALOR])*1),IF(X13&gt;=1,_xlfn.XLOOKUP($B13,Tabla1[SERVICIO],Tabla1[VALOR]*X13),0))</f>
        <v>0</v>
      </c>
      <c r="Z13" s="14">
        <v>1</v>
      </c>
      <c r="AA13" s="56" cm="1">
        <f t="array" ref="AA13">IF(Z13="X",(_xlfn.XLOOKUP($B13,Tabla1[SERVICIO],Tabla1[VALOR])*1),IF(Z13&gt;=1,_xlfn.XLOOKUP($B13,Tabla1[SERVICIO],Tabla1[VALOR]*Z13),0))</f>
        <v>21014.39667403782</v>
      </c>
      <c r="AB13" s="168">
        <f t="shared" si="0"/>
        <v>21014.39667403782</v>
      </c>
      <c r="AC13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3" s="122" t="s">
        <v>318</v>
      </c>
      <c r="AE13" s="120">
        <v>1</v>
      </c>
      <c r="AF13" s="121">
        <f>+Tabla467891044[[#This Row],[TOTAL]]*Tabla467891044[[#This Row],[% de las personas que lo usaron]]</f>
        <v>21014.39667403782</v>
      </c>
      <c r="AG13" s="246" t="s">
        <v>356</v>
      </c>
      <c r="AH13" s="246">
        <v>12</v>
      </c>
    </row>
    <row r="14" spans="1:34" x14ac:dyDescent="0.25">
      <c r="A14" s="7" t="s">
        <v>19</v>
      </c>
      <c r="B14" s="96" t="s">
        <v>20</v>
      </c>
      <c r="C14" s="96" t="str">
        <f>_xlfn.XLOOKUP(Tabla4678942[[#This Row],[Servicios del Programa:]],Tabla151[CODIGO],Tabla151[VALOR])</f>
        <v>Consultas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67398.098568534639</v>
      </c>
      <c r="F14" s="14"/>
      <c r="G14" s="56" cm="1">
        <f t="array" ref="G14">IF(F14="X",(_xlfn.XLOOKUP($B14,Tabla1[SERVICIO],Tabla1[VALOR])*1),IF(F14&gt;=1,_xlfn.XLOOKUP($B14,Tabla1[SERVICIO],Tabla1[VALOR]*F14),0))</f>
        <v>0</v>
      </c>
      <c r="H14" s="14"/>
      <c r="I14" s="56" cm="1">
        <f t="array" ref="I14">IF(H14="X",(_xlfn.XLOOKUP($B14,Tabla1[SERVICIO],Tabla1[VALOR])*1),IF(H14&gt;=1,_xlfn.XLOOKUP($B14,Tabla1[SERVICIO],Tabla1[VALOR]*H14),0))</f>
        <v>0</v>
      </c>
      <c r="J14" s="14"/>
      <c r="K14" s="56" cm="1">
        <f t="array" ref="K14">IF(J14="X",(_xlfn.XLOOKUP($B14,Tabla1[SERVICIO],Tabla1[VALOR])*1),IF(J14&gt;=1,_xlfn.XLOOKUP($B14,Tabla1[SERVICIO],Tabla1[VALOR]*J14),0))</f>
        <v>0</v>
      </c>
      <c r="L14" s="14"/>
      <c r="M14" s="56" cm="1">
        <f t="array" ref="M14">IF(L14="X",(_xlfn.XLOOKUP($B14,Tabla1[SERVICIO],Tabla1[VALOR])*1),IF(L14&gt;=1,_xlfn.XLOOKUP($B14,Tabla1[SERVICIO],Tabla1[VALOR]*L14),0))</f>
        <v>0</v>
      </c>
      <c r="N14" s="14"/>
      <c r="O14" s="56" cm="1">
        <f t="array" ref="O14">IF(N14="X",(_xlfn.XLOOKUP($B14,Tabla1[SERVICIO],Tabla1[VALOR])*1),IF(N14&gt;=1,_xlfn.XLOOKUP($B14,Tabla1[SERVICIO],Tabla1[VALOR]*N14),0))</f>
        <v>0</v>
      </c>
      <c r="P14" s="14"/>
      <c r="Q14" s="56" cm="1">
        <f t="array" ref="Q14">IF(P14="X",(_xlfn.XLOOKUP($B14,Tabla1[SERVICIO],Tabla1[VALOR])*1),IF(P14&gt;=1,_xlfn.XLOOKUP($B14,Tabla1[SERVICIO],Tabla1[VALOR]*P14),0))</f>
        <v>0</v>
      </c>
      <c r="R14" s="14"/>
      <c r="S14" s="56" cm="1">
        <f t="array" ref="S14">IF(R14="X",(_xlfn.XLOOKUP($B14,Tabla1[SERVICIO],Tabla1[VALOR])*1),IF(R14&gt;=1,_xlfn.XLOOKUP($B14,Tabla1[SERVICIO],Tabla1[VALOR]*R14),0))</f>
        <v>0</v>
      </c>
      <c r="T14" s="14"/>
      <c r="U14" s="56" cm="1">
        <f t="array" ref="U14">IF(T14="X",(_xlfn.XLOOKUP($B14,Tabla1[SERVICIO],Tabla1[VALOR])*1),IF(T14&gt;=1,_xlfn.XLOOKUP($B14,Tabla1[SERVICIO],Tabla1[VALOR]*T14),0))</f>
        <v>0</v>
      </c>
      <c r="V14" s="14"/>
      <c r="W14" s="56" cm="1">
        <f t="array" ref="W14">IF(V14="X",(_xlfn.XLOOKUP($B14,Tabla1[SERVICIO],Tabla1[VALOR])*1),IF(V14&gt;=1,_xlfn.XLOOKUP($B14,Tabla1[SERVICIO],Tabla1[VALOR]*V14),0))</f>
        <v>0</v>
      </c>
      <c r="X14" s="14"/>
      <c r="Y14" s="56" cm="1">
        <f t="array" ref="Y14">IF(X14="X",(_xlfn.XLOOKUP($B14,Tabla1[SERVICIO],Tabla1[VALOR])*1),IF(X14&gt;=1,_xlfn.XLOOKUP($B14,Tabla1[SERVICIO],Tabla1[VALOR]*X14),0))</f>
        <v>0</v>
      </c>
      <c r="Z14" s="14"/>
      <c r="AA14" s="56" cm="1">
        <f t="array" ref="AA14">IF(Z14="X",(_xlfn.XLOOKUP($B14,Tabla1[SERVICIO],Tabla1[VALOR])*1),IF(Z14&gt;=1,_xlfn.XLOOKUP($B14,Tabla1[SERVICIO],Tabla1[VALOR]*Z14),0))</f>
        <v>0</v>
      </c>
      <c r="AB14" s="168">
        <f t="shared" si="0"/>
        <v>67398.098568534639</v>
      </c>
      <c r="AC14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4" s="37" t="s">
        <v>319</v>
      </c>
      <c r="AE14" s="120">
        <v>6.6666666666666666E-2</v>
      </c>
      <c r="AF14" s="121">
        <f>+Tabla467891044[[#This Row],[TOTAL]]*Tabla467891044[[#This Row],[% de las personas que lo usaron]]</f>
        <v>4493.2065712356425</v>
      </c>
      <c r="AG14" s="246" t="s">
        <v>356</v>
      </c>
      <c r="AH14" s="246">
        <v>12</v>
      </c>
    </row>
    <row r="15" spans="1:34" x14ac:dyDescent="0.25">
      <c r="A15" s="7" t="s">
        <v>21</v>
      </c>
      <c r="B15" s="96" t="s">
        <v>221</v>
      </c>
      <c r="C15" s="96" t="str">
        <f>_xlfn.XLOOKUP(Tabla4678942[[#This Row],[Servicios del Programa:]],Tabla151[CODIGO],Tabla151[VALOR])</f>
        <v>Consultas</v>
      </c>
      <c r="D15" s="14">
        <v>1</v>
      </c>
      <c r="E15" s="56" cm="1">
        <f t="array" ref="E15">IF(D15="X",(_xlfn.XLOOKUP($B15,Tabla1[SERVICIO],Tabla1[VALOR])*1),IF(D15&gt;=1,_xlfn.XLOOKUP($B15,Tabla1[SERVICIO],Tabla1[VALOR]*D15),0))</f>
        <v>67398.098568534639</v>
      </c>
      <c r="F15" s="14">
        <v>1</v>
      </c>
      <c r="G15" s="56" cm="1">
        <f t="array" ref="G15">IF(F15="X",(_xlfn.XLOOKUP($B15,Tabla1[SERVICIO],Tabla1[VALOR])*1),IF(F15&gt;=1,_xlfn.XLOOKUP($B15,Tabla1[SERVICIO],Tabla1[VALOR]*F15),0))</f>
        <v>67398.098568534639</v>
      </c>
      <c r="H15" s="14">
        <v>1</v>
      </c>
      <c r="I15" s="56" cm="1">
        <f t="array" ref="I15">IF(H15="X",(_xlfn.XLOOKUP($B15,Tabla1[SERVICIO],Tabla1[VALOR])*1),IF(H15&gt;=1,_xlfn.XLOOKUP($B15,Tabla1[SERVICIO],Tabla1[VALOR]*H15),0))</f>
        <v>67398.098568534639</v>
      </c>
      <c r="J15" s="14">
        <v>1</v>
      </c>
      <c r="K15" s="56" cm="1">
        <f t="array" ref="K15">IF(J15="X",(_xlfn.XLOOKUP($B15,Tabla1[SERVICIO],Tabla1[VALOR])*1),IF(J15&gt;=1,_xlfn.XLOOKUP($B15,Tabla1[SERVICIO],Tabla1[VALOR]*J15),0))</f>
        <v>67398.098568534639</v>
      </c>
      <c r="L15" s="14">
        <v>1</v>
      </c>
      <c r="M15" s="56" cm="1">
        <f t="array" ref="M15">IF(L15="X",(_xlfn.XLOOKUP($B15,Tabla1[SERVICIO],Tabla1[VALOR])*1),IF(L15&gt;=1,_xlfn.XLOOKUP($B15,Tabla1[SERVICIO],Tabla1[VALOR]*L15),0))</f>
        <v>67398.098568534639</v>
      </c>
      <c r="N15" s="14">
        <v>1</v>
      </c>
      <c r="O15" s="56" cm="1">
        <f t="array" ref="O15">IF(N15="X",(_xlfn.XLOOKUP($B15,Tabla1[SERVICIO],Tabla1[VALOR])*1),IF(N15&gt;=1,_xlfn.XLOOKUP($B15,Tabla1[SERVICIO],Tabla1[VALOR]*N15),0))</f>
        <v>67398.098568534639</v>
      </c>
      <c r="P15" s="14">
        <v>1</v>
      </c>
      <c r="Q15" s="56" cm="1">
        <f t="array" ref="Q15">IF(P15="X",(_xlfn.XLOOKUP($B15,Tabla1[SERVICIO],Tabla1[VALOR])*1),IF(P15&gt;=1,_xlfn.XLOOKUP($B15,Tabla1[SERVICIO],Tabla1[VALOR]*P15),0))</f>
        <v>67398.098568534639</v>
      </c>
      <c r="R15" s="14">
        <v>1</v>
      </c>
      <c r="S15" s="56" cm="1">
        <f t="array" ref="S15">IF(R15="X",(_xlfn.XLOOKUP($B15,Tabla1[SERVICIO],Tabla1[VALOR])*1),IF(R15&gt;=1,_xlfn.XLOOKUP($B15,Tabla1[SERVICIO],Tabla1[VALOR]*R15),0))</f>
        <v>67398.098568534639</v>
      </c>
      <c r="T15" s="14">
        <v>1</v>
      </c>
      <c r="U15" s="56" cm="1">
        <f t="array" ref="U15">IF(T15="X",(_xlfn.XLOOKUP($B15,Tabla1[SERVICIO],Tabla1[VALOR])*1),IF(T15&gt;=1,_xlfn.XLOOKUP($B15,Tabla1[SERVICIO],Tabla1[VALOR]*T15),0))</f>
        <v>67398.098568534639</v>
      </c>
      <c r="V15" s="14">
        <v>1</v>
      </c>
      <c r="W15" s="56" cm="1">
        <f t="array" ref="W15">IF(V15="X",(_xlfn.XLOOKUP($B15,Tabla1[SERVICIO],Tabla1[VALOR])*1),IF(V15&gt;=1,_xlfn.XLOOKUP($B15,Tabla1[SERVICIO],Tabla1[VALOR]*V15),0))</f>
        <v>67398.098568534639</v>
      </c>
      <c r="X15" s="14">
        <v>1</v>
      </c>
      <c r="Y15" s="56" cm="1">
        <f t="array" ref="Y15">IF(X15="X",(_xlfn.XLOOKUP($B15,Tabla1[SERVICIO],Tabla1[VALOR])*1),IF(X15&gt;=1,_xlfn.XLOOKUP($B15,Tabla1[SERVICIO],Tabla1[VALOR]*X15),0))</f>
        <v>67398.098568534639</v>
      </c>
      <c r="Z15" s="14">
        <v>1</v>
      </c>
      <c r="AA15" s="56" cm="1">
        <f t="array" ref="AA15">IF(Z15="X",(_xlfn.XLOOKUP($B15,Tabla1[SERVICIO],Tabla1[VALOR])*1),IF(Z15&gt;=1,_xlfn.XLOOKUP($B15,Tabla1[SERVICIO],Tabla1[VALOR]*Z15),0))</f>
        <v>67398.098568534639</v>
      </c>
      <c r="AB15" s="168">
        <f t="shared" si="0"/>
        <v>808777.18282241549</v>
      </c>
      <c r="AC15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12</v>
      </c>
      <c r="AD15" s="37" t="s">
        <v>319</v>
      </c>
      <c r="AE15" s="120">
        <v>0.4</v>
      </c>
      <c r="AF15" s="121">
        <f>+Tabla467891044[[#This Row],[TOTAL]]*Tabla467891044[[#This Row],[% de las personas que lo usaron]]</f>
        <v>323510.8731289662</v>
      </c>
      <c r="AG15" s="246" t="s">
        <v>356</v>
      </c>
      <c r="AH15" s="246">
        <v>12</v>
      </c>
    </row>
    <row r="16" spans="1:34" x14ac:dyDescent="0.25">
      <c r="A16" s="7" t="s">
        <v>52</v>
      </c>
      <c r="B16" s="96" t="s">
        <v>191</v>
      </c>
      <c r="C16" s="96" t="str">
        <f>_xlfn.XLOOKUP(Tabla4678942[[#This Row],[Servicios del Programa:]],Tabla151[CODIGO],Tabla151[VALOR])</f>
        <v>Terapias</v>
      </c>
      <c r="D16" s="14">
        <v>1</v>
      </c>
      <c r="E16" s="56" cm="1">
        <f t="array" ref="E16">IF(D16="X",(_xlfn.XLOOKUP($B16,Tabla1[SERVICIO],Tabla1[VALOR])*1),IF(D16&gt;=1,_xlfn.XLOOKUP($B16,Tabla1[SERVICIO],Tabla1[VALOR]*D16),0))</f>
        <v>26897.079640267821</v>
      </c>
      <c r="F16" s="14"/>
      <c r="G16" s="56" cm="1">
        <f t="array" ref="G16">IF(F16="X",(_xlfn.XLOOKUP($B16,Tabla1[SERVICIO],Tabla1[VALOR])*1),IF(F16&gt;=1,_xlfn.XLOOKUP($B16,Tabla1[SERVICIO],Tabla1[VALOR]*F16),0))</f>
        <v>0</v>
      </c>
      <c r="H16" s="14"/>
      <c r="I16" s="56" cm="1">
        <f t="array" ref="I16">IF(H16="X",(_xlfn.XLOOKUP($B16,Tabla1[SERVICIO],Tabla1[VALOR])*1),IF(H16&gt;=1,_xlfn.XLOOKUP($B16,Tabla1[SERVICIO],Tabla1[VALOR]*H16),0))</f>
        <v>0</v>
      </c>
      <c r="J16" s="14"/>
      <c r="K16" s="56" cm="1">
        <f t="array" ref="K16">IF(J16="X",(_xlfn.XLOOKUP($B16,Tabla1[SERVICIO],Tabla1[VALOR])*1),IF(J16&gt;=1,_xlfn.XLOOKUP($B16,Tabla1[SERVICIO],Tabla1[VALOR]*J16),0))</f>
        <v>0</v>
      </c>
      <c r="L16" s="14"/>
      <c r="M16" s="56" cm="1">
        <f t="array" ref="M16">IF(L16="X",(_xlfn.XLOOKUP($B16,Tabla1[SERVICIO],Tabla1[VALOR])*1),IF(L16&gt;=1,_xlfn.XLOOKUP($B16,Tabla1[SERVICIO],Tabla1[VALOR]*L16),0))</f>
        <v>0</v>
      </c>
      <c r="N16" s="14"/>
      <c r="O16" s="56" cm="1">
        <f t="array" ref="O16">IF(N16="X",(_xlfn.XLOOKUP($B16,Tabla1[SERVICIO],Tabla1[VALOR])*1),IF(N16&gt;=1,_xlfn.XLOOKUP($B16,Tabla1[SERVICIO],Tabla1[VALOR]*N16),0))</f>
        <v>0</v>
      </c>
      <c r="P16" s="14"/>
      <c r="Q16" s="56" cm="1">
        <f t="array" ref="Q16">IF(P16="X",(_xlfn.XLOOKUP($B16,Tabla1[SERVICIO],Tabla1[VALOR])*1),IF(P16&gt;=1,_xlfn.XLOOKUP($B16,Tabla1[SERVICIO],Tabla1[VALOR]*P16),0))</f>
        <v>0</v>
      </c>
      <c r="R16" s="14"/>
      <c r="S16" s="56" cm="1">
        <f t="array" ref="S16">IF(R16="X",(_xlfn.XLOOKUP($B16,Tabla1[SERVICIO],Tabla1[VALOR])*1),IF(R16&gt;=1,_xlfn.XLOOKUP($B16,Tabla1[SERVICIO],Tabla1[VALOR]*R16),0))</f>
        <v>0</v>
      </c>
      <c r="T16" s="14"/>
      <c r="U16" s="56" cm="1">
        <f t="array" ref="U16">IF(T16="X",(_xlfn.XLOOKUP($B16,Tabla1[SERVICIO],Tabla1[VALOR])*1),IF(T16&gt;=1,_xlfn.XLOOKUP($B16,Tabla1[SERVICIO],Tabla1[VALOR]*T16),0))</f>
        <v>0</v>
      </c>
      <c r="V16" s="14"/>
      <c r="W16" s="56" cm="1">
        <f t="array" ref="W16">IF(V16="X",(_xlfn.XLOOKUP($B16,Tabla1[SERVICIO],Tabla1[VALOR])*1),IF(V16&gt;=1,_xlfn.XLOOKUP($B16,Tabla1[SERVICIO],Tabla1[VALOR]*V16),0))</f>
        <v>0</v>
      </c>
      <c r="X16" s="14"/>
      <c r="Y16" s="56" cm="1">
        <f t="array" ref="Y16">IF(X16="X",(_xlfn.XLOOKUP($B16,Tabla1[SERVICIO],Tabla1[VALOR])*1),IF(X16&gt;=1,_xlfn.XLOOKUP($B16,Tabla1[SERVICIO],Tabla1[VALOR]*X16),0))</f>
        <v>0</v>
      </c>
      <c r="Z16" s="14"/>
      <c r="AA16" s="56" cm="1">
        <f t="array" ref="AA16">IF(Z16="X",(_xlfn.XLOOKUP($B16,Tabla1[SERVICIO],Tabla1[VALOR])*1),IF(Z16&gt;=1,_xlfn.XLOOKUP($B16,Tabla1[SERVICIO],Tabla1[VALOR]*Z16),0))</f>
        <v>0</v>
      </c>
      <c r="AB16" s="168">
        <f t="shared" si="0"/>
        <v>26897.079640267821</v>
      </c>
      <c r="AC16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6" s="37" t="s">
        <v>319</v>
      </c>
      <c r="AE16" s="120">
        <v>0</v>
      </c>
      <c r="AF16" s="121">
        <f>+Tabla467891044[[#This Row],[TOTAL]]*Tabla467891044[[#This Row],[% de las personas que lo usaron]]</f>
        <v>0</v>
      </c>
      <c r="AG16" s="246" t="s">
        <v>356</v>
      </c>
      <c r="AH16" s="246">
        <v>12</v>
      </c>
    </row>
    <row r="17" spans="1:34" x14ac:dyDescent="0.25">
      <c r="A17" s="7" t="s">
        <v>53</v>
      </c>
      <c r="B17" s="96" t="s">
        <v>230</v>
      </c>
      <c r="C17" s="96" t="str">
        <f>_xlfn.XLOOKUP(Tabla4678942[[#This Row],[Servicios del Programa:]],Tabla151[CODIGO],Tabla151[VALOR])</f>
        <v>Diagnosticos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26897.079640267817</v>
      </c>
      <c r="F17" s="14"/>
      <c r="G17" s="56" cm="1">
        <f t="array" ref="G17">IF(F17="X",(_xlfn.XLOOKUP($B17,Tabla1[SERVICIO],Tabla1[VALOR])*1),IF(F17&gt;=1,_xlfn.XLOOKUP($B17,Tabla1[SERVICIO],Tabla1[VALOR]*F17),0))</f>
        <v>0</v>
      </c>
      <c r="H17" s="14"/>
      <c r="I17" s="56" cm="1">
        <f t="array" ref="I17">IF(H17="X",(_xlfn.XLOOKUP($B17,Tabla1[SERVICIO],Tabla1[VALOR])*1),IF(H17&gt;=1,_xlfn.XLOOKUP($B17,Tabla1[SERVICIO],Tabla1[VALOR]*H17),0))</f>
        <v>0</v>
      </c>
      <c r="J17" s="14"/>
      <c r="K17" s="56" cm="1">
        <f t="array" ref="K17">IF(J17="X",(_xlfn.XLOOKUP($B17,Tabla1[SERVICIO],Tabla1[VALOR])*1),IF(J17&gt;=1,_xlfn.XLOOKUP($B17,Tabla1[SERVICIO],Tabla1[VALOR]*J17),0))</f>
        <v>0</v>
      </c>
      <c r="L17" s="14"/>
      <c r="M17" s="56" cm="1">
        <f t="array" ref="M17">IF(L17="X",(_xlfn.XLOOKUP($B17,Tabla1[SERVICIO],Tabla1[VALOR])*1),IF(L17&gt;=1,_xlfn.XLOOKUP($B17,Tabla1[SERVICIO],Tabla1[VALOR]*L17),0))</f>
        <v>0</v>
      </c>
      <c r="N17" s="14"/>
      <c r="O17" s="56" cm="1">
        <f t="array" ref="O17">IF(N17="X",(_xlfn.XLOOKUP($B17,Tabla1[SERVICIO],Tabla1[VALOR])*1),IF(N17&gt;=1,_xlfn.XLOOKUP($B17,Tabla1[SERVICIO],Tabla1[VALOR]*N17),0))</f>
        <v>0</v>
      </c>
      <c r="P17" s="14"/>
      <c r="Q17" s="56" cm="1">
        <f t="array" ref="Q17">IF(P17="X",(_xlfn.XLOOKUP($B17,Tabla1[SERVICIO],Tabla1[VALOR])*1),IF(P17&gt;=1,_xlfn.XLOOKUP($B17,Tabla1[SERVICIO],Tabla1[VALOR]*P17),0))</f>
        <v>0</v>
      </c>
      <c r="R17" s="14"/>
      <c r="S17" s="56" cm="1">
        <f t="array" ref="S17">IF(R17="X",(_xlfn.XLOOKUP($B17,Tabla1[SERVICIO],Tabla1[VALOR])*1),IF(R17&gt;=1,_xlfn.XLOOKUP($B17,Tabla1[SERVICIO],Tabla1[VALOR]*R17),0))</f>
        <v>0</v>
      </c>
      <c r="T17" s="14"/>
      <c r="U17" s="56" cm="1">
        <f t="array" ref="U17">IF(T17="X",(_xlfn.XLOOKUP($B17,Tabla1[SERVICIO],Tabla1[VALOR])*1),IF(T17&gt;=1,_xlfn.XLOOKUP($B17,Tabla1[SERVICIO],Tabla1[VALOR]*T17),0))</f>
        <v>0</v>
      </c>
      <c r="V17" s="14"/>
      <c r="W17" s="56" cm="1">
        <f t="array" ref="W17">IF(V17="X",(_xlfn.XLOOKUP($B17,Tabla1[SERVICIO],Tabla1[VALOR])*1),IF(V17&gt;=1,_xlfn.XLOOKUP($B17,Tabla1[SERVICIO],Tabla1[VALOR]*V17),0))</f>
        <v>0</v>
      </c>
      <c r="X17" s="14"/>
      <c r="Y17" s="56" cm="1">
        <f t="array" ref="Y17">IF(X17="X",(_xlfn.XLOOKUP($B17,Tabla1[SERVICIO],Tabla1[VALOR])*1),IF(X17&gt;=1,_xlfn.XLOOKUP($B17,Tabla1[SERVICIO],Tabla1[VALOR]*X17),0))</f>
        <v>0</v>
      </c>
      <c r="Z17" s="14"/>
      <c r="AA17" s="56" cm="1">
        <f t="array" ref="AA17">IF(Z17="X",(_xlfn.XLOOKUP($B17,Tabla1[SERVICIO],Tabla1[VALOR])*1),IF(Z17&gt;=1,_xlfn.XLOOKUP($B17,Tabla1[SERVICIO],Tabla1[VALOR]*Z17),0))</f>
        <v>0</v>
      </c>
      <c r="AB17" s="168">
        <f t="shared" si="0"/>
        <v>26897.079640267817</v>
      </c>
      <c r="AC17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7" s="37" t="s">
        <v>319</v>
      </c>
      <c r="AE17" s="120">
        <v>0</v>
      </c>
      <c r="AF17" s="121">
        <f>+Tabla467891044[[#This Row],[TOTAL]]*Tabla467891044[[#This Row],[% de las personas que lo usaron]]</f>
        <v>0</v>
      </c>
      <c r="AG17" s="246" t="s">
        <v>356</v>
      </c>
      <c r="AH17" s="246">
        <v>12</v>
      </c>
    </row>
    <row r="18" spans="1:34" x14ac:dyDescent="0.25">
      <c r="A18" s="7" t="s">
        <v>5</v>
      </c>
      <c r="B18" s="96" t="s">
        <v>6</v>
      </c>
      <c r="C18" s="96" t="str">
        <f>_xlfn.XLOOKUP(Tabla4678942[[#This Row],[Servicios del Programa:]],Tabla151[CODIGO],Tabla151[VALOR])</f>
        <v>Diagnosticos</v>
      </c>
      <c r="D18" s="14">
        <v>1</v>
      </c>
      <c r="E18" s="56" cm="1">
        <f t="array" ref="E18">IF(D18="X",(_xlfn.XLOOKUP($B18,Tabla1[SERVICIO],Tabla1[VALOR])*1),IF(D18&gt;=1,_xlfn.XLOOKUP($B18,Tabla1[SERVICIO],Tabla1[VALOR]*D18),0))</f>
        <v>18768.367820181349</v>
      </c>
      <c r="F18" s="14"/>
      <c r="G18" s="56" cm="1">
        <f t="array" ref="G18">IF(F18="X",(_xlfn.XLOOKUP($B18,Tabla1[SERVICIO],Tabla1[VALOR])*1),IF(F18&gt;=1,_xlfn.XLOOKUP($B18,Tabla1[SERVICIO],Tabla1[VALOR]*F18),0))</f>
        <v>0</v>
      </c>
      <c r="H18" s="14"/>
      <c r="I18" s="56" cm="1">
        <f t="array" ref="I18">IF(H18="X",(_xlfn.XLOOKUP($B18,Tabla1[SERVICIO],Tabla1[VALOR])*1),IF(H18&gt;=1,_xlfn.XLOOKUP($B18,Tabla1[SERVICIO],Tabla1[VALOR]*H18),0))</f>
        <v>0</v>
      </c>
      <c r="J18" s="14"/>
      <c r="K18" s="56" cm="1">
        <f t="array" ref="K18">IF(J18="X",(_xlfn.XLOOKUP($B18,Tabla1[SERVICIO],Tabla1[VALOR])*1),IF(J18&gt;=1,_xlfn.XLOOKUP($B18,Tabla1[SERVICIO],Tabla1[VALOR]*J18),0))</f>
        <v>0</v>
      </c>
      <c r="L18" s="14"/>
      <c r="M18" s="56" cm="1">
        <f t="array" ref="M18">IF(L18="X",(_xlfn.XLOOKUP($B18,Tabla1[SERVICIO],Tabla1[VALOR])*1),IF(L18&gt;=1,_xlfn.XLOOKUP($B18,Tabla1[SERVICIO],Tabla1[VALOR]*L18),0))</f>
        <v>0</v>
      </c>
      <c r="N18" s="14"/>
      <c r="O18" s="56" cm="1">
        <f t="array" ref="O18">IF(N18="X",(_xlfn.XLOOKUP($B18,Tabla1[SERVICIO],Tabla1[VALOR])*1),IF(N18&gt;=1,_xlfn.XLOOKUP($B18,Tabla1[SERVICIO],Tabla1[VALOR]*N18),0))</f>
        <v>0</v>
      </c>
      <c r="P18" s="8"/>
      <c r="Q18" s="56" cm="1">
        <f t="array" ref="Q18">IF(P18="X",(_xlfn.XLOOKUP($B18,Tabla1[SERVICIO],Tabla1[VALOR])*1),IF(P18&gt;=1,_xlfn.XLOOKUP($B18,Tabla1[SERVICIO],Tabla1[VALOR]*P18),0))</f>
        <v>0</v>
      </c>
      <c r="R18" s="8"/>
      <c r="S18" s="56" cm="1">
        <f t="array" ref="S18">IF(R18="X",(_xlfn.XLOOKUP($B18,Tabla1[SERVICIO],Tabla1[VALOR])*1),IF(R18&gt;=1,_xlfn.XLOOKUP($B18,Tabla1[SERVICIO],Tabla1[VALOR]*R18),0))</f>
        <v>0</v>
      </c>
      <c r="T18" s="8"/>
      <c r="U18" s="56" cm="1">
        <f t="array" ref="U18">IF(T18="X",(_xlfn.XLOOKUP($B18,Tabla1[SERVICIO],Tabla1[VALOR])*1),IF(T18&gt;=1,_xlfn.XLOOKUP($B18,Tabla1[SERVICIO],Tabla1[VALOR]*T18),0))</f>
        <v>0</v>
      </c>
      <c r="V18" s="8"/>
      <c r="W18" s="56" cm="1">
        <f t="array" ref="W18">IF(V18="X",(_xlfn.XLOOKUP($B18,Tabla1[SERVICIO],Tabla1[VALOR])*1),IF(V18&gt;=1,_xlfn.XLOOKUP($B18,Tabla1[SERVICIO],Tabla1[VALOR]*V18),0))</f>
        <v>0</v>
      </c>
      <c r="X18" s="8"/>
      <c r="Y18" s="56" cm="1">
        <f t="array" ref="Y18">IF(X18="X",(_xlfn.XLOOKUP($B18,Tabla1[SERVICIO],Tabla1[VALOR])*1),IF(X18&gt;=1,_xlfn.XLOOKUP($B18,Tabla1[SERVICIO],Tabla1[VALOR]*X18),0))</f>
        <v>0</v>
      </c>
      <c r="Z18" s="14"/>
      <c r="AA18" s="56" cm="1">
        <f t="array" ref="AA18">IF(Z18="X",(_xlfn.XLOOKUP($B18,Tabla1[SERVICIO],Tabla1[VALOR])*1),IF(Z18&gt;=1,_xlfn.XLOOKUP($B18,Tabla1[SERVICIO],Tabla1[VALOR]*Z18),0))</f>
        <v>0</v>
      </c>
      <c r="AB18" s="168">
        <f t="shared" si="0"/>
        <v>18768.367820181349</v>
      </c>
      <c r="AC18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8" s="122" t="s">
        <v>318</v>
      </c>
      <c r="AE18" s="120">
        <v>1</v>
      </c>
      <c r="AF18" s="121">
        <f>+Tabla467891044[[#This Row],[TOTAL]]*Tabla467891044[[#This Row],[% de las personas que lo usaron]]</f>
        <v>18768.367820181349</v>
      </c>
      <c r="AG18" s="246" t="s">
        <v>356</v>
      </c>
      <c r="AH18" s="246">
        <v>12</v>
      </c>
    </row>
    <row r="19" spans="1:34" x14ac:dyDescent="0.25">
      <c r="A19" s="7" t="s">
        <v>17</v>
      </c>
      <c r="B19" s="96" t="s">
        <v>18</v>
      </c>
      <c r="C19" s="96" t="str">
        <f>_xlfn.XLOOKUP(Tabla4678942[[#This Row],[Servicios del Programa:]],Tabla151[CODIGO],Tabla151[VALOR])</f>
        <v>Consultas</v>
      </c>
      <c r="D19" s="14"/>
      <c r="E19" s="56" cm="1">
        <f t="array" ref="E19">IF(D19="X",(_xlfn.XLOOKUP($B19,Tabla1[SERVICIO],Tabla1[VALOR])*1),IF(D19&gt;=1,_xlfn.XLOOKUP($B19,Tabla1[SERVICIO],Tabla1[VALOR]*D19),0))</f>
        <v>0</v>
      </c>
      <c r="F19" s="14"/>
      <c r="G19" s="56" cm="1">
        <f t="array" ref="G19">IF(F19="X",(_xlfn.XLOOKUP($B19,Tabla1[SERVICIO],Tabla1[VALOR])*1),IF(F19&gt;=1,_xlfn.XLOOKUP($B19,Tabla1[SERVICIO],Tabla1[VALOR]*F19),0))</f>
        <v>0</v>
      </c>
      <c r="H19" s="14"/>
      <c r="I19" s="56" cm="1">
        <f t="array" ref="I19">IF(H19="X",(_xlfn.XLOOKUP($B19,Tabla1[SERVICIO],Tabla1[VALOR])*1),IF(H19&gt;=1,_xlfn.XLOOKUP($B19,Tabla1[SERVICIO],Tabla1[VALOR]*H19),0))</f>
        <v>0</v>
      </c>
      <c r="J19" s="14"/>
      <c r="K19" s="56" cm="1">
        <f t="array" ref="K19">IF(J19="X",(_xlfn.XLOOKUP($B19,Tabla1[SERVICIO],Tabla1[VALOR])*1),IF(J19&gt;=1,_xlfn.XLOOKUP($B19,Tabla1[SERVICIO],Tabla1[VALOR]*J19),0))</f>
        <v>0</v>
      </c>
      <c r="L19" s="14"/>
      <c r="M19" s="56" cm="1">
        <f t="array" ref="M19">IF(L19="X",(_xlfn.XLOOKUP($B19,Tabla1[SERVICIO],Tabla1[VALOR])*1),IF(L19&gt;=1,_xlfn.XLOOKUP($B19,Tabla1[SERVICIO],Tabla1[VALOR]*L19),0))</f>
        <v>0</v>
      </c>
      <c r="N19" s="14">
        <v>1</v>
      </c>
      <c r="O19" s="56" cm="1">
        <f t="array" ref="O19">IF(N19="X",(_xlfn.XLOOKUP($B19,Tabla1[SERVICIO],Tabla1[VALOR])*1),IF(N19&gt;=1,_xlfn.XLOOKUP($B19,Tabla1[SERVICIO],Tabla1[VALOR]*N19),0))</f>
        <v>20414.75585737115</v>
      </c>
      <c r="P19" s="8"/>
      <c r="Q19" s="56" cm="1">
        <f t="array" ref="Q19">IF(P19="X",(_xlfn.XLOOKUP($B19,Tabla1[SERVICIO],Tabla1[VALOR])*1),IF(P19&gt;=1,_xlfn.XLOOKUP($B19,Tabla1[SERVICIO],Tabla1[VALOR]*P19),0))</f>
        <v>0</v>
      </c>
      <c r="R19" s="8"/>
      <c r="S19" s="56" cm="1">
        <f t="array" ref="S19">IF(R19="X",(_xlfn.XLOOKUP($B19,Tabla1[SERVICIO],Tabla1[VALOR])*1),IF(R19&gt;=1,_xlfn.XLOOKUP($B19,Tabla1[SERVICIO],Tabla1[VALOR]*R19),0))</f>
        <v>0</v>
      </c>
      <c r="T19" s="8"/>
      <c r="U19" s="56" cm="1">
        <f t="array" ref="U19">IF(T19="X",(_xlfn.XLOOKUP($B19,Tabla1[SERVICIO],Tabla1[VALOR])*1),IF(T19&gt;=1,_xlfn.XLOOKUP($B19,Tabla1[SERVICIO],Tabla1[VALOR]*T19),0))</f>
        <v>0</v>
      </c>
      <c r="V19" s="8"/>
      <c r="W19" s="56" cm="1">
        <f t="array" ref="W19">IF(V19="X",(_xlfn.XLOOKUP($B19,Tabla1[SERVICIO],Tabla1[VALOR])*1),IF(V19&gt;=1,_xlfn.XLOOKUP($B19,Tabla1[SERVICIO],Tabla1[VALOR]*V19),0))</f>
        <v>0</v>
      </c>
      <c r="X19" s="8"/>
      <c r="Y19" s="56" cm="1">
        <f t="array" ref="Y19">IF(X19="X",(_xlfn.XLOOKUP($B19,Tabla1[SERVICIO],Tabla1[VALOR])*1),IF(X19&gt;=1,_xlfn.XLOOKUP($B19,Tabla1[SERVICIO],Tabla1[VALOR]*X19),0))</f>
        <v>0</v>
      </c>
      <c r="Z19" s="14">
        <v>1</v>
      </c>
      <c r="AA19" s="56" cm="1">
        <f t="array" ref="AA19">IF(Z19="X",(_xlfn.XLOOKUP($B19,Tabla1[SERVICIO],Tabla1[VALOR])*1),IF(Z19&gt;=1,_xlfn.XLOOKUP($B19,Tabla1[SERVICIO],Tabla1[VALOR]*Z19),0))</f>
        <v>20414.75585737115</v>
      </c>
      <c r="AB19" s="168">
        <f t="shared" si="0"/>
        <v>40829.511714742301</v>
      </c>
      <c r="AC19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2</v>
      </c>
      <c r="AD19" s="122" t="s">
        <v>318</v>
      </c>
      <c r="AE19" s="120">
        <v>1</v>
      </c>
      <c r="AF19" s="121">
        <f>+Tabla467891044[[#This Row],[TOTAL]]*Tabla467891044[[#This Row],[% de las personas que lo usaron]]</f>
        <v>40829.511714742301</v>
      </c>
      <c r="AG19" s="246" t="s">
        <v>356</v>
      </c>
      <c r="AH19" s="246">
        <v>12</v>
      </c>
    </row>
    <row r="20" spans="1:34" x14ac:dyDescent="0.25">
      <c r="A20" s="7" t="s">
        <v>113</v>
      </c>
      <c r="B20" s="98" t="s">
        <v>116</v>
      </c>
      <c r="C20" s="96" t="str">
        <f>_xlfn.XLOOKUP(Tabla4678942[[#This Row],[Servicios del Programa:]],Tabla151[CODIGO],Tabla151[VALOR])</f>
        <v>Consultas</v>
      </c>
      <c r="D20" s="14">
        <v>1</v>
      </c>
      <c r="E20" s="56" cm="1">
        <f t="array" ref="E20">IF(D20="X",(_xlfn.XLOOKUP($B20,Tabla1[SERVICIO],Tabla1[VALOR])*1),IF(D20&gt;=1,_xlfn.XLOOKUP($B20,Tabla1[SERVICIO],Tabla1[VALOR]*D20),0))</f>
        <v>60236.092716419647</v>
      </c>
      <c r="F20" s="14"/>
      <c r="G20" s="56" cm="1">
        <f t="array" ref="G20">IF(F20="X",(_xlfn.XLOOKUP($B20,Tabla1[SERVICIO],Tabla1[VALOR])*1),IF(F20&gt;=1,_xlfn.XLOOKUP($B20,Tabla1[SERVICIO],Tabla1[VALOR]*F20),0))</f>
        <v>0</v>
      </c>
      <c r="H20" s="14"/>
      <c r="I20" s="56" cm="1">
        <f t="array" ref="I20">IF(H20="X",(_xlfn.XLOOKUP($B20,Tabla1[SERVICIO],Tabla1[VALOR])*1),IF(H20&gt;=1,_xlfn.XLOOKUP($B20,Tabla1[SERVICIO],Tabla1[VALOR]*H20),0))</f>
        <v>0</v>
      </c>
      <c r="J20" s="14"/>
      <c r="K20" s="56" cm="1">
        <f t="array" ref="K20">IF(J20="X",(_xlfn.XLOOKUP($B20,Tabla1[SERVICIO],Tabla1[VALOR])*1),IF(J20&gt;=1,_xlfn.XLOOKUP($B20,Tabla1[SERVICIO],Tabla1[VALOR]*J20),0))</f>
        <v>0</v>
      </c>
      <c r="L20" s="14"/>
      <c r="M20" s="56" cm="1">
        <f t="array" ref="M20">IF(L20="X",(_xlfn.XLOOKUP($B20,Tabla1[SERVICIO],Tabla1[VALOR])*1),IF(L20&gt;=1,_xlfn.XLOOKUP($B20,Tabla1[SERVICIO],Tabla1[VALOR]*L20),0))</f>
        <v>0</v>
      </c>
      <c r="N20" s="14"/>
      <c r="O20" s="56" cm="1">
        <f t="array" ref="O20">IF(N20="X",(_xlfn.XLOOKUP($B20,Tabla1[SERVICIO],Tabla1[VALOR])*1),IF(N20&gt;=1,_xlfn.XLOOKUP($B20,Tabla1[SERVICIO],Tabla1[VALOR]*N20),0))</f>
        <v>0</v>
      </c>
      <c r="P20" s="14"/>
      <c r="Q20" s="56" cm="1">
        <f t="array" ref="Q20">IF(P20="X",(_xlfn.XLOOKUP($B20,Tabla1[SERVICIO],Tabla1[VALOR])*1),IF(P20&gt;=1,_xlfn.XLOOKUP($B20,Tabla1[SERVICIO],Tabla1[VALOR]*P20),0))</f>
        <v>0</v>
      </c>
      <c r="R20" s="14"/>
      <c r="S20" s="56" cm="1">
        <f t="array" ref="S20">IF(R20="X",(_xlfn.XLOOKUP($B20,Tabla1[SERVICIO],Tabla1[VALOR])*1),IF(R20&gt;=1,_xlfn.XLOOKUP($B20,Tabla1[SERVICIO],Tabla1[VALOR]*R20),0))</f>
        <v>0</v>
      </c>
      <c r="T20" s="14"/>
      <c r="U20" s="56" cm="1">
        <f t="array" ref="U20">IF(T20="X",(_xlfn.XLOOKUP($B20,Tabla1[SERVICIO],Tabla1[VALOR])*1),IF(T20&gt;=1,_xlfn.XLOOKUP($B20,Tabla1[SERVICIO],Tabla1[VALOR]*T20),0))</f>
        <v>0</v>
      </c>
      <c r="V20" s="14"/>
      <c r="W20" s="56" cm="1">
        <f t="array" ref="W20">IF(V20="X",(_xlfn.XLOOKUP($B20,Tabla1[SERVICIO],Tabla1[VALOR])*1),IF(V20&gt;=1,_xlfn.XLOOKUP($B20,Tabla1[SERVICIO],Tabla1[VALOR]*V20),0))</f>
        <v>0</v>
      </c>
      <c r="X20" s="14"/>
      <c r="Y20" s="56" cm="1">
        <f t="array" ref="Y20">IF(X20="X",(_xlfn.XLOOKUP($B20,Tabla1[SERVICIO],Tabla1[VALOR])*1),IF(X20&gt;=1,_xlfn.XLOOKUP($B20,Tabla1[SERVICIO],Tabla1[VALOR]*X20),0))</f>
        <v>0</v>
      </c>
      <c r="Z20" s="14"/>
      <c r="AA20" s="56" cm="1">
        <f t="array" ref="AA20">IF(Z20="X",(_xlfn.XLOOKUP($B20,Tabla1[SERVICIO],Tabla1[VALOR])*1),IF(Z20&gt;=1,_xlfn.XLOOKUP($B20,Tabla1[SERVICIO],Tabla1[VALOR]*Z20),0))</f>
        <v>0</v>
      </c>
      <c r="AB20" s="168">
        <f t="shared" si="0"/>
        <v>60236.092716419647</v>
      </c>
      <c r="AC20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0" s="37" t="s">
        <v>319</v>
      </c>
      <c r="AE20" s="120">
        <v>0</v>
      </c>
      <c r="AF20" s="121">
        <f>+Tabla467891044[[#This Row],[TOTAL]]*Tabla467891044[[#This Row],[% de las personas que lo usaron]]</f>
        <v>0</v>
      </c>
      <c r="AG20" s="246" t="s">
        <v>356</v>
      </c>
      <c r="AH20" s="246">
        <v>12</v>
      </c>
    </row>
    <row r="21" spans="1:34" x14ac:dyDescent="0.25">
      <c r="A21" s="7" t="s">
        <v>114</v>
      </c>
      <c r="B21" s="96" t="s">
        <v>117</v>
      </c>
      <c r="C21" s="96" t="str">
        <f>_xlfn.XLOOKUP(Tabla4678942[[#This Row],[Servicios del Programa:]],Tabla151[CODIGO],Tabla151[VALOR])</f>
        <v>Consultas</v>
      </c>
      <c r="D21" s="14">
        <v>1</v>
      </c>
      <c r="E21" s="56" cm="1">
        <f t="array" ref="E21">IF(D21="X",(_xlfn.XLOOKUP($B21,Tabla1[SERVICIO],Tabla1[VALOR])*1),IF(D21&gt;=1,_xlfn.XLOOKUP($B21,Tabla1[SERVICIO],Tabla1[VALOR]*D21),0))</f>
        <v>62748.232282880919</v>
      </c>
      <c r="F21" s="14"/>
      <c r="G21" s="56" cm="1">
        <f t="array" ref="G21">IF(F21="X",(_xlfn.XLOOKUP($B21,Tabla1[SERVICIO],Tabla1[VALOR])*1),IF(F21&gt;=1,_xlfn.XLOOKUP($B21,Tabla1[SERVICIO],Tabla1[VALOR]*F21),0))</f>
        <v>0</v>
      </c>
      <c r="H21" s="14"/>
      <c r="I21" s="56" cm="1">
        <f t="array" ref="I21">IF(H21="X",(_xlfn.XLOOKUP($B21,Tabla1[SERVICIO],Tabla1[VALOR])*1),IF(H21&gt;=1,_xlfn.XLOOKUP($B21,Tabla1[SERVICIO],Tabla1[VALOR]*H21),0))</f>
        <v>0</v>
      </c>
      <c r="J21" s="14"/>
      <c r="K21" s="56" cm="1">
        <f t="array" ref="K21">IF(J21="X",(_xlfn.XLOOKUP($B21,Tabla1[SERVICIO],Tabla1[VALOR])*1),IF(J21&gt;=1,_xlfn.XLOOKUP($B21,Tabla1[SERVICIO],Tabla1[VALOR]*J21),0))</f>
        <v>0</v>
      </c>
      <c r="L21" s="14"/>
      <c r="M21" s="56" cm="1">
        <f t="array" ref="M21">IF(L21="X",(_xlfn.XLOOKUP($B21,Tabla1[SERVICIO],Tabla1[VALOR])*1),IF(L21&gt;=1,_xlfn.XLOOKUP($B21,Tabla1[SERVICIO],Tabla1[VALOR]*L21),0))</f>
        <v>0</v>
      </c>
      <c r="N21" s="14"/>
      <c r="O21" s="56" cm="1">
        <f t="array" ref="O21">IF(N21="X",(_xlfn.XLOOKUP($B21,Tabla1[SERVICIO],Tabla1[VALOR])*1),IF(N21&gt;=1,_xlfn.XLOOKUP($B21,Tabla1[SERVICIO],Tabla1[VALOR]*N21),0))</f>
        <v>0</v>
      </c>
      <c r="P21" s="14"/>
      <c r="Q21" s="56" cm="1">
        <f t="array" ref="Q21">IF(P21="X",(_xlfn.XLOOKUP($B21,Tabla1[SERVICIO],Tabla1[VALOR])*1),IF(P21&gt;=1,_xlfn.XLOOKUP($B21,Tabla1[SERVICIO],Tabla1[VALOR]*P21),0))</f>
        <v>0</v>
      </c>
      <c r="R21" s="14"/>
      <c r="S21" s="56" cm="1">
        <f t="array" ref="S21">IF(R21="X",(_xlfn.XLOOKUP($B21,Tabla1[SERVICIO],Tabla1[VALOR])*1),IF(R21&gt;=1,_xlfn.XLOOKUP($B21,Tabla1[SERVICIO],Tabla1[VALOR]*R21),0))</f>
        <v>0</v>
      </c>
      <c r="T21" s="14"/>
      <c r="U21" s="56" cm="1">
        <f t="array" ref="U21">IF(T21="X",(_xlfn.XLOOKUP($B21,Tabla1[SERVICIO],Tabla1[VALOR])*1),IF(T21&gt;=1,_xlfn.XLOOKUP($B21,Tabla1[SERVICIO],Tabla1[VALOR]*T21),0))</f>
        <v>0</v>
      </c>
      <c r="V21" s="14"/>
      <c r="W21" s="56" cm="1">
        <f t="array" ref="W21">IF(V21="X",(_xlfn.XLOOKUP($B21,Tabla1[SERVICIO],Tabla1[VALOR])*1),IF(V21&gt;=1,_xlfn.XLOOKUP($B21,Tabla1[SERVICIO],Tabla1[VALOR]*V21),0))</f>
        <v>0</v>
      </c>
      <c r="X21" s="14"/>
      <c r="Y21" s="56" cm="1">
        <f t="array" ref="Y21">IF(X21="X",(_xlfn.XLOOKUP($B21,Tabla1[SERVICIO],Tabla1[VALOR])*1),IF(X21&gt;=1,_xlfn.XLOOKUP($B21,Tabla1[SERVICIO],Tabla1[VALOR]*X21),0))</f>
        <v>0</v>
      </c>
      <c r="Z21" s="14"/>
      <c r="AA21" s="56" cm="1">
        <f t="array" ref="AA21">IF(Z21="X",(_xlfn.XLOOKUP($B21,Tabla1[SERVICIO],Tabla1[VALOR])*1),IF(Z21&gt;=1,_xlfn.XLOOKUP($B21,Tabla1[SERVICIO],Tabla1[VALOR]*Z21),0))</f>
        <v>0</v>
      </c>
      <c r="AB21" s="168">
        <f t="shared" si="0"/>
        <v>62748.232282880919</v>
      </c>
      <c r="AC21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1" s="37" t="s">
        <v>319</v>
      </c>
      <c r="AE21" s="120">
        <v>0</v>
      </c>
      <c r="AF21" s="121">
        <f>+Tabla467891044[[#This Row],[TOTAL]]*Tabla467891044[[#This Row],[% de las personas que lo usaron]]</f>
        <v>0</v>
      </c>
      <c r="AG21" s="246" t="s">
        <v>356</v>
      </c>
      <c r="AH21" s="246">
        <v>12</v>
      </c>
    </row>
    <row r="22" spans="1:34" x14ac:dyDescent="0.25">
      <c r="A22" s="7" t="s">
        <v>115</v>
      </c>
      <c r="B22" s="96" t="s">
        <v>118</v>
      </c>
      <c r="C22" s="96" t="str">
        <f>_xlfn.XLOOKUP(Tabla4678942[[#This Row],[Servicios del Programa:]],Tabla151[CODIGO],Tabla151[VALOR])</f>
        <v>Consultas</v>
      </c>
      <c r="D22" s="14"/>
      <c r="E22" s="56" cm="1">
        <f t="array" ref="E22">IF(D22="X",(_xlfn.XLOOKUP($B22,Tabla1[SERVICIO],Tabla1[VALOR])*1),IF(D22&gt;=1,_xlfn.XLOOKUP($B22,Tabla1[SERVICIO],Tabla1[VALOR]*D22),0))</f>
        <v>0</v>
      </c>
      <c r="F22" s="14"/>
      <c r="G22" s="56" cm="1">
        <f t="array" ref="G22">IF(F22="X",(_xlfn.XLOOKUP($B22,Tabla1[SERVICIO],Tabla1[VALOR])*1),IF(F22&gt;=1,_xlfn.XLOOKUP($B22,Tabla1[SERVICIO],Tabla1[VALOR]*F22),0))</f>
        <v>0</v>
      </c>
      <c r="H22" s="14"/>
      <c r="I22" s="56" cm="1">
        <f t="array" ref="I22">IF(H22="X",(_xlfn.XLOOKUP($B22,Tabla1[SERVICIO],Tabla1[VALOR])*1),IF(H22&gt;=1,_xlfn.XLOOKUP($B22,Tabla1[SERVICIO],Tabla1[VALOR]*H22),0))</f>
        <v>0</v>
      </c>
      <c r="J22" s="14"/>
      <c r="K22" s="56" cm="1">
        <f t="array" ref="K22">IF(J22="X",(_xlfn.XLOOKUP($B22,Tabla1[SERVICIO],Tabla1[VALOR])*1),IF(J22&gt;=1,_xlfn.XLOOKUP($B22,Tabla1[SERVICIO],Tabla1[VALOR]*J22),0))</f>
        <v>0</v>
      </c>
      <c r="L22" s="14"/>
      <c r="M22" s="56" cm="1">
        <f t="array" ref="M22">IF(L22="X",(_xlfn.XLOOKUP($B22,Tabla1[SERVICIO],Tabla1[VALOR])*1),IF(L22&gt;=1,_xlfn.XLOOKUP($B22,Tabla1[SERVICIO],Tabla1[VALOR]*L22),0))</f>
        <v>0</v>
      </c>
      <c r="N22" s="14"/>
      <c r="O22" s="56" cm="1">
        <f t="array" ref="O22">IF(N22="X",(_xlfn.XLOOKUP($B22,Tabla1[SERVICIO],Tabla1[VALOR])*1),IF(N22&gt;=1,_xlfn.XLOOKUP($B22,Tabla1[SERVICIO],Tabla1[VALOR]*N22),0))</f>
        <v>0</v>
      </c>
      <c r="P22" s="14"/>
      <c r="Q22" s="56" cm="1">
        <f t="array" ref="Q22">IF(P22="X",(_xlfn.XLOOKUP($B22,Tabla1[SERVICIO],Tabla1[VALOR])*1),IF(P22&gt;=1,_xlfn.XLOOKUP($B22,Tabla1[SERVICIO],Tabla1[VALOR]*P22),0))</f>
        <v>0</v>
      </c>
      <c r="R22" s="14"/>
      <c r="S22" s="56" cm="1">
        <f t="array" ref="S22">IF(R22="X",(_xlfn.XLOOKUP($B22,Tabla1[SERVICIO],Tabla1[VALOR])*1),IF(R22&gt;=1,_xlfn.XLOOKUP($B22,Tabla1[SERVICIO],Tabla1[VALOR]*R22),0))</f>
        <v>0</v>
      </c>
      <c r="T22" s="14"/>
      <c r="U22" s="56" cm="1">
        <f t="array" ref="U22">IF(T22="X",(_xlfn.XLOOKUP($B22,Tabla1[SERVICIO],Tabla1[VALOR])*1),IF(T22&gt;=1,_xlfn.XLOOKUP($B22,Tabla1[SERVICIO],Tabla1[VALOR]*T22),0))</f>
        <v>0</v>
      </c>
      <c r="V22" s="14"/>
      <c r="W22" s="56" cm="1">
        <f t="array" ref="W22">IF(V22="X",(_xlfn.XLOOKUP($B22,Tabla1[SERVICIO],Tabla1[VALOR])*1),IF(V22&gt;=1,_xlfn.XLOOKUP($B22,Tabla1[SERVICIO],Tabla1[VALOR]*V22),0))</f>
        <v>0</v>
      </c>
      <c r="X22" s="14"/>
      <c r="Y22" s="56" cm="1">
        <f t="array" ref="Y22">IF(X22="X",(_xlfn.XLOOKUP($B22,Tabla1[SERVICIO],Tabla1[VALOR])*1),IF(X22&gt;=1,_xlfn.XLOOKUP($B22,Tabla1[SERVICIO],Tabla1[VALOR]*X22),0))</f>
        <v>0</v>
      </c>
      <c r="Z22" s="14">
        <v>1</v>
      </c>
      <c r="AA22" s="56" cm="1">
        <f t="array" ref="AA22">IF(Z22="X",(_xlfn.XLOOKUP($B22,Tabla1[SERVICIO],Tabla1[VALOR])*1),IF(Z22&gt;=1,_xlfn.XLOOKUP($B22,Tabla1[SERVICIO],Tabla1[VALOR]*Z22),0))</f>
        <v>62748.232282880919</v>
      </c>
      <c r="AB22" s="168">
        <f t="shared" si="0"/>
        <v>62748.232282880919</v>
      </c>
      <c r="AC22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2" s="37" t="s">
        <v>319</v>
      </c>
      <c r="AE22" s="120">
        <v>0</v>
      </c>
      <c r="AF22" s="121">
        <f>+Tabla467891044[[#This Row],[TOTAL]]*Tabla467891044[[#This Row],[% de las personas que lo usaron]]</f>
        <v>0</v>
      </c>
      <c r="AG22" s="246" t="s">
        <v>356</v>
      </c>
      <c r="AH22" s="246">
        <v>12</v>
      </c>
    </row>
    <row r="23" spans="1:34" x14ac:dyDescent="0.25">
      <c r="A23" s="7" t="s">
        <v>34</v>
      </c>
      <c r="B23" s="96" t="s">
        <v>35</v>
      </c>
      <c r="C23" s="96" t="str">
        <f>_xlfn.XLOOKUP(Tabla4678942[[#This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24009.730401318589</v>
      </c>
      <c r="F23" s="14"/>
      <c r="G23" s="56" cm="1">
        <f t="array" ref="G23">IF(F23="X",(_xlfn.XLOOKUP($B23,Tabla1[SERVICIO],Tabla1[VALOR])*1),IF(F23&gt;=1,_xlfn.XLOOKUP($B23,Tabla1[SERVICIO],Tabla1[VALOR]*F23),0))</f>
        <v>0</v>
      </c>
      <c r="H23" s="14"/>
      <c r="I23" s="56" cm="1">
        <f t="array" ref="I23">IF(H23="X",(_xlfn.XLOOKUP($B23,Tabla1[SERVICIO],Tabla1[VALOR])*1),IF(H23&gt;=1,_xlfn.XLOOKUP($B23,Tabla1[SERVICIO],Tabla1[VALOR]*H23),0))</f>
        <v>0</v>
      </c>
      <c r="J23" s="14"/>
      <c r="K23" s="56" cm="1">
        <f t="array" ref="K23">IF(J23="X",(_xlfn.XLOOKUP($B23,Tabla1[SERVICIO],Tabla1[VALOR])*1),IF(J23&gt;=1,_xlfn.XLOOKUP($B23,Tabla1[SERVICIO],Tabla1[VALOR]*J23),0))</f>
        <v>0</v>
      </c>
      <c r="L23" s="14"/>
      <c r="M23" s="56" cm="1">
        <f t="array" ref="M23">IF(L23="X",(_xlfn.XLOOKUP($B23,Tabla1[SERVICIO],Tabla1[VALOR])*1),IF(L23&gt;=1,_xlfn.XLOOKUP($B23,Tabla1[SERVICIO],Tabla1[VALOR]*L23),0))</f>
        <v>0</v>
      </c>
      <c r="N23" s="14"/>
      <c r="O23" s="56" cm="1">
        <f t="array" ref="O23">IF(N23="X",(_xlfn.XLOOKUP($B23,Tabla1[SERVICIO],Tabla1[VALOR])*1),IF(N23&gt;=1,_xlfn.XLOOKUP($B23,Tabla1[SERVICIO],Tabla1[VALOR]*N23),0))</f>
        <v>0</v>
      </c>
      <c r="P23" s="14"/>
      <c r="Q23" s="56" cm="1">
        <f t="array" ref="Q23">IF(P23="X",(_xlfn.XLOOKUP($B23,Tabla1[SERVICIO],Tabla1[VALOR])*1),IF(P23&gt;=1,_xlfn.XLOOKUP($B23,Tabla1[SERVICIO],Tabla1[VALOR]*P23),0))</f>
        <v>0</v>
      </c>
      <c r="R23" s="14"/>
      <c r="S23" s="56" cm="1">
        <f t="array" ref="S23">IF(R23="X",(_xlfn.XLOOKUP($B23,Tabla1[SERVICIO],Tabla1[VALOR])*1),IF(R23&gt;=1,_xlfn.XLOOKUP($B23,Tabla1[SERVICIO],Tabla1[VALOR]*R23),0))</f>
        <v>0</v>
      </c>
      <c r="T23" s="14"/>
      <c r="U23" s="56" cm="1">
        <f t="array" ref="U23">IF(T23="X",(_xlfn.XLOOKUP($B23,Tabla1[SERVICIO],Tabla1[VALOR])*1),IF(T23&gt;=1,_xlfn.XLOOKUP($B23,Tabla1[SERVICIO],Tabla1[VALOR]*T23),0))</f>
        <v>0</v>
      </c>
      <c r="V23" s="14"/>
      <c r="W23" s="56" cm="1">
        <f t="array" ref="W23">IF(V23="X",(_xlfn.XLOOKUP($B23,Tabla1[SERVICIO],Tabla1[VALOR])*1),IF(V23&gt;=1,_xlfn.XLOOKUP($B23,Tabla1[SERVICIO],Tabla1[VALOR]*V23),0))</f>
        <v>0</v>
      </c>
      <c r="X23" s="14"/>
      <c r="Y23" s="56" cm="1">
        <f t="array" ref="Y23">IF(X23="X",(_xlfn.XLOOKUP($B23,Tabla1[SERVICIO],Tabla1[VALOR])*1),IF(X23&gt;=1,_xlfn.XLOOKUP($B23,Tabla1[SERVICIO],Tabla1[VALOR]*X23),0))</f>
        <v>0</v>
      </c>
      <c r="Z23" s="14"/>
      <c r="AA23" s="56" cm="1">
        <f t="array" ref="AA23">IF(Z23="X",(_xlfn.XLOOKUP($B23,Tabla1[SERVICIO],Tabla1[VALOR])*1),IF(Z23&gt;=1,_xlfn.XLOOKUP($B23,Tabla1[SERVICIO],Tabla1[VALOR]*Z23),0))</f>
        <v>0</v>
      </c>
      <c r="AB23" s="168">
        <f t="shared" si="0"/>
        <v>24009.730401318589</v>
      </c>
      <c r="AC23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3" s="122" t="s">
        <v>318</v>
      </c>
      <c r="AE23" s="120">
        <v>1</v>
      </c>
      <c r="AF23" s="121">
        <f>+Tabla467891044[[#This Row],[TOTAL]]*Tabla467891044[[#This Row],[% de las personas que lo usaron]]</f>
        <v>24009.730401318589</v>
      </c>
      <c r="AG23" s="246" t="s">
        <v>356</v>
      </c>
      <c r="AH23" s="246">
        <v>12</v>
      </c>
    </row>
    <row r="24" spans="1:34" x14ac:dyDescent="0.25">
      <c r="A24" s="7" t="s">
        <v>32</v>
      </c>
      <c r="B24" s="96" t="s">
        <v>103</v>
      </c>
      <c r="C24" s="96" t="str">
        <f>_xlfn.XLOOKUP(Tabla4678942[[#This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24009.730401318589</v>
      </c>
      <c r="F24" s="14"/>
      <c r="G24" s="56" cm="1">
        <f t="array" ref="G24">IF(F24="X",(_xlfn.XLOOKUP($B24,Tabla1[SERVICIO],Tabla1[VALOR])*1),IF(F24&gt;=1,_xlfn.XLOOKUP($B24,Tabla1[SERVICIO],Tabla1[VALOR]*F24),0))</f>
        <v>0</v>
      </c>
      <c r="H24" s="14"/>
      <c r="I24" s="56" cm="1">
        <f t="array" ref="I24">IF(H24="X",(_xlfn.XLOOKUP($B24,Tabla1[SERVICIO],Tabla1[VALOR])*1),IF(H24&gt;=1,_xlfn.XLOOKUP($B24,Tabla1[SERVICIO],Tabla1[VALOR]*H24),0))</f>
        <v>0</v>
      </c>
      <c r="J24" s="14"/>
      <c r="K24" s="56" cm="1">
        <f t="array" ref="K24">IF(J24="X",(_xlfn.XLOOKUP($B24,Tabla1[SERVICIO],Tabla1[VALOR])*1),IF(J24&gt;=1,_xlfn.XLOOKUP($B24,Tabla1[SERVICIO],Tabla1[VALOR]*J24),0))</f>
        <v>0</v>
      </c>
      <c r="L24" s="14"/>
      <c r="M24" s="56" cm="1">
        <f t="array" ref="M24">IF(L24="X",(_xlfn.XLOOKUP($B24,Tabla1[SERVICIO],Tabla1[VALOR])*1),IF(L24&gt;=1,_xlfn.XLOOKUP($B24,Tabla1[SERVICIO],Tabla1[VALOR]*L24),0))</f>
        <v>0</v>
      </c>
      <c r="N24" s="14"/>
      <c r="O24" s="56" cm="1">
        <f t="array" ref="O24">IF(N24="X",(_xlfn.XLOOKUP($B24,Tabla1[SERVICIO],Tabla1[VALOR])*1),IF(N24&gt;=1,_xlfn.XLOOKUP($B24,Tabla1[SERVICIO],Tabla1[VALOR]*N24),0))</f>
        <v>0</v>
      </c>
      <c r="P24" s="14"/>
      <c r="Q24" s="56" cm="1">
        <f t="array" ref="Q24">IF(P24="X",(_xlfn.XLOOKUP($B24,Tabla1[SERVICIO],Tabla1[VALOR])*1),IF(P24&gt;=1,_xlfn.XLOOKUP($B24,Tabla1[SERVICIO],Tabla1[VALOR]*P24),0))</f>
        <v>0</v>
      </c>
      <c r="R24" s="14"/>
      <c r="S24" s="56" cm="1">
        <f t="array" ref="S24">IF(R24="X",(_xlfn.XLOOKUP($B24,Tabla1[SERVICIO],Tabla1[VALOR])*1),IF(R24&gt;=1,_xlfn.XLOOKUP($B24,Tabla1[SERVICIO],Tabla1[VALOR]*R24),0))</f>
        <v>0</v>
      </c>
      <c r="T24" s="14"/>
      <c r="U24" s="56" cm="1">
        <f t="array" ref="U24">IF(T24="X",(_xlfn.XLOOKUP($B24,Tabla1[SERVICIO],Tabla1[VALOR])*1),IF(T24&gt;=1,_xlfn.XLOOKUP($B24,Tabla1[SERVICIO],Tabla1[VALOR]*T24),0))</f>
        <v>0</v>
      </c>
      <c r="V24" s="14"/>
      <c r="W24" s="56" cm="1">
        <f t="array" ref="W24">IF(V24="X",(_xlfn.XLOOKUP($B24,Tabla1[SERVICIO],Tabla1[VALOR])*1),IF(V24&gt;=1,_xlfn.XLOOKUP($B24,Tabla1[SERVICIO],Tabla1[VALOR]*V24),0))</f>
        <v>0</v>
      </c>
      <c r="X24" s="14"/>
      <c r="Y24" s="56" cm="1">
        <f t="array" ref="Y24">IF(X24="X",(_xlfn.XLOOKUP($B24,Tabla1[SERVICIO],Tabla1[VALOR])*1),IF(X24&gt;=1,_xlfn.XLOOKUP($B24,Tabla1[SERVICIO],Tabla1[VALOR]*X24),0))</f>
        <v>0</v>
      </c>
      <c r="Z24" s="14"/>
      <c r="AA24" s="56" cm="1">
        <f t="array" ref="AA24">IF(Z24="X",(_xlfn.XLOOKUP($B24,Tabla1[SERVICIO],Tabla1[VALOR])*1),IF(Z24&gt;=1,_xlfn.XLOOKUP($B24,Tabla1[SERVICIO],Tabla1[VALOR]*Z24),0))</f>
        <v>0</v>
      </c>
      <c r="AB24" s="168">
        <f t="shared" si="0"/>
        <v>24009.730401318589</v>
      </c>
      <c r="AC24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4" s="37" t="s">
        <v>319</v>
      </c>
      <c r="AE24" s="120">
        <v>0</v>
      </c>
      <c r="AF24" s="121">
        <f>+Tabla467891044[[#This Row],[TOTAL]]*Tabla467891044[[#This Row],[% de las personas que lo usaron]]</f>
        <v>0</v>
      </c>
      <c r="AG24" s="246" t="s">
        <v>356</v>
      </c>
      <c r="AH24" s="246">
        <v>12</v>
      </c>
    </row>
    <row r="25" spans="1:34" x14ac:dyDescent="0.25">
      <c r="A25" s="7" t="s">
        <v>38</v>
      </c>
      <c r="B25" s="96" t="s">
        <v>102</v>
      </c>
      <c r="C25" s="96" t="str">
        <f>_xlfn.XLOOKUP(Tabla4678942[[#This Row],[Servicios del Programa:]],Tabla151[CODIGO],Tabla151[VALOR])</f>
        <v>Terapias</v>
      </c>
      <c r="D25" s="14">
        <v>1</v>
      </c>
      <c r="E25" s="56" cm="1">
        <f t="array" ref="E25">IF(D25="X",(_xlfn.XLOOKUP($B25,Tabla1[SERVICIO],Tabla1[VALOR])*1),IF(D25&gt;=1,_xlfn.XLOOKUP($B25,Tabla1[SERVICIO],Tabla1[VALOR]*D25),0))</f>
        <v>56420.692787682223</v>
      </c>
      <c r="F25" s="14"/>
      <c r="G25" s="56" cm="1">
        <f t="array" ref="G25">IF(F25="X",(_xlfn.XLOOKUP($B25,Tabla1[SERVICIO],Tabla1[VALOR])*1),IF(F25&gt;=1,_xlfn.XLOOKUP($B25,Tabla1[SERVICIO],Tabla1[VALOR]*F25),0))</f>
        <v>0</v>
      </c>
      <c r="H25" s="14"/>
      <c r="I25" s="56" cm="1">
        <f t="array" ref="I25">IF(H25="X",(_xlfn.XLOOKUP($B25,Tabla1[SERVICIO],Tabla1[VALOR])*1),IF(H25&gt;=1,_xlfn.XLOOKUP($B25,Tabla1[SERVICIO],Tabla1[VALOR]*H25),0))</f>
        <v>0</v>
      </c>
      <c r="J25" s="14"/>
      <c r="K25" s="56" cm="1">
        <f t="array" ref="K25">IF(J25="X",(_xlfn.XLOOKUP($B25,Tabla1[SERVICIO],Tabla1[VALOR])*1),IF(J25&gt;=1,_xlfn.XLOOKUP($B25,Tabla1[SERVICIO],Tabla1[VALOR]*J25),0))</f>
        <v>0</v>
      </c>
      <c r="L25" s="14"/>
      <c r="M25" s="56" cm="1">
        <f t="array" ref="M25">IF(L25="X",(_xlfn.XLOOKUP($B25,Tabla1[SERVICIO],Tabla1[VALOR])*1),IF(L25&gt;=1,_xlfn.XLOOKUP($B25,Tabla1[SERVICIO],Tabla1[VALOR]*L25),0))</f>
        <v>0</v>
      </c>
      <c r="N25" s="14"/>
      <c r="O25" s="56" cm="1">
        <f t="array" ref="O25">IF(N25="X",(_xlfn.XLOOKUP($B25,Tabla1[SERVICIO],Tabla1[VALOR])*1),IF(N25&gt;=1,_xlfn.XLOOKUP($B25,Tabla1[SERVICIO],Tabla1[VALOR]*N25),0))</f>
        <v>0</v>
      </c>
      <c r="P25" s="14"/>
      <c r="Q25" s="56" cm="1">
        <f t="array" ref="Q25">IF(P25="X",(_xlfn.XLOOKUP($B25,Tabla1[SERVICIO],Tabla1[VALOR])*1),IF(P25&gt;=1,_xlfn.XLOOKUP($B25,Tabla1[SERVICIO],Tabla1[VALOR]*P25),0))</f>
        <v>0</v>
      </c>
      <c r="R25" s="14"/>
      <c r="S25" s="56" cm="1">
        <f t="array" ref="S25">IF(R25="X",(_xlfn.XLOOKUP($B25,Tabla1[SERVICIO],Tabla1[VALOR])*1),IF(R25&gt;=1,_xlfn.XLOOKUP($B25,Tabla1[SERVICIO],Tabla1[VALOR]*R25),0))</f>
        <v>0</v>
      </c>
      <c r="T25" s="14"/>
      <c r="U25" s="56" cm="1">
        <f t="array" ref="U25">IF(T25="X",(_xlfn.XLOOKUP($B25,Tabla1[SERVICIO],Tabla1[VALOR])*1),IF(T25&gt;=1,_xlfn.XLOOKUP($B25,Tabla1[SERVICIO],Tabla1[VALOR]*T25),0))</f>
        <v>0</v>
      </c>
      <c r="V25" s="14"/>
      <c r="W25" s="56" cm="1">
        <f t="array" ref="W25">IF(V25="X",(_xlfn.XLOOKUP($B25,Tabla1[SERVICIO],Tabla1[VALOR])*1),IF(V25&gt;=1,_xlfn.XLOOKUP($B25,Tabla1[SERVICIO],Tabla1[VALOR]*V25),0))</f>
        <v>0</v>
      </c>
      <c r="X25" s="14"/>
      <c r="Y25" s="56" cm="1">
        <f t="array" ref="Y25">IF(X25="X",(_xlfn.XLOOKUP($B25,Tabla1[SERVICIO],Tabla1[VALOR])*1),IF(X25&gt;=1,_xlfn.XLOOKUP($B25,Tabla1[SERVICIO],Tabla1[VALOR]*X25),0))</f>
        <v>0</v>
      </c>
      <c r="Z25" s="14"/>
      <c r="AA25" s="56" cm="1">
        <f t="array" ref="AA25">IF(Z25="X",(_xlfn.XLOOKUP($B25,Tabla1[SERVICIO],Tabla1[VALOR])*1),IF(Z25&gt;=1,_xlfn.XLOOKUP($B25,Tabla1[SERVICIO],Tabla1[VALOR]*Z25),0))</f>
        <v>0</v>
      </c>
      <c r="AB25" s="168">
        <f t="shared" si="0"/>
        <v>56420.692787682223</v>
      </c>
      <c r="AC25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5" s="37" t="s">
        <v>319</v>
      </c>
      <c r="AE25" s="120">
        <v>0.2</v>
      </c>
      <c r="AF25" s="121">
        <f>+Tabla467891044[[#This Row],[TOTAL]]*Tabla467891044[[#This Row],[% de las personas que lo usaron]]</f>
        <v>11284.138557536446</v>
      </c>
      <c r="AG25" s="246" t="s">
        <v>356</v>
      </c>
      <c r="AH25" s="246">
        <v>12</v>
      </c>
    </row>
    <row r="26" spans="1:34" x14ac:dyDescent="0.25">
      <c r="A26" s="7" t="s">
        <v>42</v>
      </c>
      <c r="B26" s="96" t="s">
        <v>228</v>
      </c>
      <c r="C26" s="96" t="str">
        <f>_xlfn.XLOOKUP(Tabla4678942[[#This Row],[Servicios del Programa:]],Tabla151[CODIGO],Tabla151[VALOR])</f>
        <v>Consultas</v>
      </c>
      <c r="D26" s="14">
        <v>1</v>
      </c>
      <c r="E26" s="56" cm="1">
        <f t="array" ref="E26">IF(D26="X",(_xlfn.XLOOKUP($B26,Tabla1[SERVICIO],Tabla1[VALOR])*1),IF(D26&gt;=1,_xlfn.XLOOKUP($B26,Tabla1[SERVICIO],Tabla1[VALOR]*D26),0))</f>
        <v>31714.220952863223</v>
      </c>
      <c r="F26" s="14"/>
      <c r="G26" s="56" cm="1">
        <f t="array" ref="G26">IF(F26="X",(_xlfn.XLOOKUP($B26,Tabla1[SERVICIO],Tabla1[VALOR])*1),IF(F26&gt;=1,_xlfn.XLOOKUP($B26,Tabla1[SERVICIO],Tabla1[VALOR]*F26),0))</f>
        <v>0</v>
      </c>
      <c r="H26" s="14"/>
      <c r="I26" s="56" cm="1">
        <f t="array" ref="I26">IF(H26="X",(_xlfn.XLOOKUP($B26,Tabla1[SERVICIO],Tabla1[VALOR])*1),IF(H26&gt;=1,_xlfn.XLOOKUP($B26,Tabla1[SERVICIO],Tabla1[VALOR]*H26),0))</f>
        <v>0</v>
      </c>
      <c r="J26" s="14"/>
      <c r="K26" s="56" cm="1">
        <f t="array" ref="K26">IF(J26="X",(_xlfn.XLOOKUP($B26,Tabla1[SERVICIO],Tabla1[VALOR])*1),IF(J26&gt;=1,_xlfn.XLOOKUP($B26,Tabla1[SERVICIO],Tabla1[VALOR]*J26),0))</f>
        <v>0</v>
      </c>
      <c r="L26" s="14"/>
      <c r="M26" s="56" cm="1">
        <f t="array" ref="M26">IF(L26="X",(_xlfn.XLOOKUP($B26,Tabla1[SERVICIO],Tabla1[VALOR])*1),IF(L26&gt;=1,_xlfn.XLOOKUP($B26,Tabla1[SERVICIO],Tabla1[VALOR]*L26),0))</f>
        <v>0</v>
      </c>
      <c r="N26" s="14"/>
      <c r="O26" s="56" cm="1">
        <f t="array" ref="O26">IF(N26="X",(_xlfn.XLOOKUP($B26,Tabla1[SERVICIO],Tabla1[VALOR])*1),IF(N26&gt;=1,_xlfn.XLOOKUP($B26,Tabla1[SERVICIO],Tabla1[VALOR]*N26),0))</f>
        <v>0</v>
      </c>
      <c r="P26" s="14"/>
      <c r="Q26" s="56" cm="1">
        <f t="array" ref="Q26">IF(P26="X",(_xlfn.XLOOKUP($B26,Tabla1[SERVICIO],Tabla1[VALOR])*1),IF(P26&gt;=1,_xlfn.XLOOKUP($B26,Tabla1[SERVICIO],Tabla1[VALOR]*P26),0))</f>
        <v>0</v>
      </c>
      <c r="R26" s="14"/>
      <c r="S26" s="56" cm="1">
        <f t="array" ref="S26">IF(R26="X",(_xlfn.XLOOKUP($B26,Tabla1[SERVICIO],Tabla1[VALOR])*1),IF(R26&gt;=1,_xlfn.XLOOKUP($B26,Tabla1[SERVICIO],Tabla1[VALOR]*R26),0))</f>
        <v>0</v>
      </c>
      <c r="T26" s="14"/>
      <c r="U26" s="56" cm="1">
        <f t="array" ref="U26">IF(T26="X",(_xlfn.XLOOKUP($B26,Tabla1[SERVICIO],Tabla1[VALOR])*1),IF(T26&gt;=1,_xlfn.XLOOKUP($B26,Tabla1[SERVICIO],Tabla1[VALOR]*T26),0))</f>
        <v>0</v>
      </c>
      <c r="V26" s="14"/>
      <c r="W26" s="56" cm="1">
        <f t="array" ref="W26">IF(V26="X",(_xlfn.XLOOKUP($B26,Tabla1[SERVICIO],Tabla1[VALOR])*1),IF(V26&gt;=1,_xlfn.XLOOKUP($B26,Tabla1[SERVICIO],Tabla1[VALOR]*V26),0))</f>
        <v>0</v>
      </c>
      <c r="X26" s="14"/>
      <c r="Y26" s="56" cm="1">
        <f t="array" ref="Y26">IF(X26="X",(_xlfn.XLOOKUP($B26,Tabla1[SERVICIO],Tabla1[VALOR])*1),IF(X26&gt;=1,_xlfn.XLOOKUP($B26,Tabla1[SERVICIO],Tabla1[VALOR]*X26),0))</f>
        <v>0</v>
      </c>
      <c r="Z26" s="14"/>
      <c r="AA26" s="56" cm="1">
        <f t="array" ref="AA26">IF(Z26="X",(_xlfn.XLOOKUP($B26,Tabla1[SERVICIO],Tabla1[VALOR])*1),IF(Z26&gt;=1,_xlfn.XLOOKUP($B26,Tabla1[SERVICIO],Tabla1[VALOR]*Z26),0))</f>
        <v>0</v>
      </c>
      <c r="AB26" s="168">
        <f t="shared" si="0"/>
        <v>31714.220952863223</v>
      </c>
      <c r="AC26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6" s="37" t="s">
        <v>319</v>
      </c>
      <c r="AE26" s="120">
        <v>0</v>
      </c>
      <c r="AF26" s="121">
        <f>+Tabla467891044[[#This Row],[TOTAL]]*Tabla467891044[[#This Row],[% de las personas que lo usaron]]</f>
        <v>0</v>
      </c>
      <c r="AG26" s="246" t="s">
        <v>356</v>
      </c>
      <c r="AH26" s="246">
        <v>12</v>
      </c>
    </row>
    <row r="27" spans="1:34" x14ac:dyDescent="0.25">
      <c r="A27" s="7" t="s">
        <v>44</v>
      </c>
      <c r="B27" s="96" t="s">
        <v>229</v>
      </c>
      <c r="C27" s="96" t="str">
        <f>_xlfn.XLOOKUP(Tabla4678942[[#This Row],[Servicios del Programa:]],Tabla151[CODIGO],Tabla151[VALOR])</f>
        <v>Diagnosticos</v>
      </c>
      <c r="D27" s="14">
        <v>1</v>
      </c>
      <c r="E27" s="56" cm="1">
        <f t="array" ref="E27">IF(D27="X",(_xlfn.XLOOKUP($B27,Tabla1[SERVICIO],Tabla1[VALOR])*1),IF(D27&gt;=1,_xlfn.XLOOKUP($B27,Tabla1[SERVICIO],Tabla1[VALOR]*D27),0))</f>
        <v>31714.220952863223</v>
      </c>
      <c r="F27" s="14"/>
      <c r="G27" s="56" cm="1">
        <f t="array" ref="G27">IF(F27="X",(_xlfn.XLOOKUP($B27,Tabla1[SERVICIO],Tabla1[VALOR])*1),IF(F27&gt;=1,_xlfn.XLOOKUP($B27,Tabla1[SERVICIO],Tabla1[VALOR]*F27),0))</f>
        <v>0</v>
      </c>
      <c r="H27" s="14"/>
      <c r="I27" s="56" cm="1">
        <f t="array" ref="I27">IF(H27="X",(_xlfn.XLOOKUP($B27,Tabla1[SERVICIO],Tabla1[VALOR])*1),IF(H27&gt;=1,_xlfn.XLOOKUP($B27,Tabla1[SERVICIO],Tabla1[VALOR]*H27),0))</f>
        <v>0</v>
      </c>
      <c r="J27" s="14"/>
      <c r="K27" s="56" cm="1">
        <f t="array" ref="K27">IF(J27="X",(_xlfn.XLOOKUP($B27,Tabla1[SERVICIO],Tabla1[VALOR])*1),IF(J27&gt;=1,_xlfn.XLOOKUP($B27,Tabla1[SERVICIO],Tabla1[VALOR]*J27),0))</f>
        <v>0</v>
      </c>
      <c r="L27" s="14"/>
      <c r="M27" s="56" cm="1">
        <f t="array" ref="M27">IF(L27="X",(_xlfn.XLOOKUP($B27,Tabla1[SERVICIO],Tabla1[VALOR])*1),IF(L27&gt;=1,_xlfn.XLOOKUP($B27,Tabla1[SERVICIO],Tabla1[VALOR]*L27),0))</f>
        <v>0</v>
      </c>
      <c r="N27" s="14"/>
      <c r="O27" s="56" cm="1">
        <f t="array" ref="O27">IF(N27="X",(_xlfn.XLOOKUP($B27,Tabla1[SERVICIO],Tabla1[VALOR])*1),IF(N27&gt;=1,_xlfn.XLOOKUP($B27,Tabla1[SERVICIO],Tabla1[VALOR]*N27),0))</f>
        <v>0</v>
      </c>
      <c r="P27" s="14"/>
      <c r="Q27" s="56" cm="1">
        <f t="array" ref="Q27">IF(P27="X",(_xlfn.XLOOKUP($B27,Tabla1[SERVICIO],Tabla1[VALOR])*1),IF(P27&gt;=1,_xlfn.XLOOKUP($B27,Tabla1[SERVICIO],Tabla1[VALOR]*P27),0))</f>
        <v>0</v>
      </c>
      <c r="R27" s="14"/>
      <c r="S27" s="56" cm="1">
        <f t="array" ref="S27">IF(R27="X",(_xlfn.XLOOKUP($B27,Tabla1[SERVICIO],Tabla1[VALOR])*1),IF(R27&gt;=1,_xlfn.XLOOKUP($B27,Tabla1[SERVICIO],Tabla1[VALOR]*R27),0))</f>
        <v>0</v>
      </c>
      <c r="T27" s="14"/>
      <c r="U27" s="56" cm="1">
        <f t="array" ref="U27">IF(T27="X",(_xlfn.XLOOKUP($B27,Tabla1[SERVICIO],Tabla1[VALOR])*1),IF(T27&gt;=1,_xlfn.XLOOKUP($B27,Tabla1[SERVICIO],Tabla1[VALOR]*T27),0))</f>
        <v>0</v>
      </c>
      <c r="V27" s="14"/>
      <c r="W27" s="56" cm="1">
        <f t="array" ref="W27">IF(V27="X",(_xlfn.XLOOKUP($B27,Tabla1[SERVICIO],Tabla1[VALOR])*1),IF(V27&gt;=1,_xlfn.XLOOKUP($B27,Tabla1[SERVICIO],Tabla1[VALOR]*V27),0))</f>
        <v>0</v>
      </c>
      <c r="X27" s="14"/>
      <c r="Y27" s="56" cm="1">
        <f t="array" ref="Y27">IF(X27="X",(_xlfn.XLOOKUP($B27,Tabla1[SERVICIO],Tabla1[VALOR])*1),IF(X27&gt;=1,_xlfn.XLOOKUP($B27,Tabla1[SERVICIO],Tabla1[VALOR]*X27),0))</f>
        <v>0</v>
      </c>
      <c r="Z27" s="14"/>
      <c r="AA27" s="56" cm="1">
        <f t="array" ref="AA27">IF(Z27="X",(_xlfn.XLOOKUP($B27,Tabla1[SERVICIO],Tabla1[VALOR])*1),IF(Z27&gt;=1,_xlfn.XLOOKUP($B27,Tabla1[SERVICIO],Tabla1[VALOR]*Z27),0))</f>
        <v>0</v>
      </c>
      <c r="AB27" s="168">
        <f t="shared" si="0"/>
        <v>31714.220952863223</v>
      </c>
      <c r="AC27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7" s="37" t="s">
        <v>319</v>
      </c>
      <c r="AE27" s="120">
        <v>0</v>
      </c>
      <c r="AF27" s="121">
        <f>+Tabla467891044[[#This Row],[TOTAL]]*Tabla467891044[[#This Row],[% de las personas que lo usaron]]</f>
        <v>0</v>
      </c>
      <c r="AG27" s="246" t="s">
        <v>356</v>
      </c>
      <c r="AH27" s="246">
        <v>12</v>
      </c>
    </row>
    <row r="28" spans="1:34" x14ac:dyDescent="0.25">
      <c r="A28" s="7" t="s">
        <v>29</v>
      </c>
      <c r="B28" s="96" t="s">
        <v>196</v>
      </c>
      <c r="C28" s="96" t="str">
        <f>_xlfn.XLOOKUP(Tabla4678942[[#This Row],[Servicios del Programa:]],Tabla151[CODIGO],Tabla151[VALOR])</f>
        <v>Diagnosticos</v>
      </c>
      <c r="D28" s="14"/>
      <c r="E28" s="56" cm="1">
        <f t="array" ref="E28">IF(D28="X",(_xlfn.XLOOKUP($B28,Tabla1[SERVICIO],Tabla1[VALOR])*1),IF(D28&gt;=1,_xlfn.XLOOKUP($B28,Tabla1[SERVICIO],Tabla1[VALOR]*D28),0))</f>
        <v>0</v>
      </c>
      <c r="F28" s="14"/>
      <c r="G28" s="56" cm="1">
        <f t="array" ref="G28">IF(F28="X",(_xlfn.XLOOKUP($B28,Tabla1[SERVICIO],Tabla1[VALOR])*1),IF(F28&gt;=1,_xlfn.XLOOKUP($B28,Tabla1[SERVICIO],Tabla1[VALOR]*F28),0))</f>
        <v>0</v>
      </c>
      <c r="H28" s="14"/>
      <c r="I28" s="56" cm="1">
        <f t="array" ref="I28">IF(H28="X",(_xlfn.XLOOKUP($B28,Tabla1[SERVICIO],Tabla1[VALOR])*1),IF(H28&gt;=1,_xlfn.XLOOKUP($B28,Tabla1[SERVICIO],Tabla1[VALOR]*H28),0))</f>
        <v>0</v>
      </c>
      <c r="J28" s="14"/>
      <c r="K28" s="56" cm="1">
        <f t="array" ref="K28">IF(J28="X",(_xlfn.XLOOKUP($B28,Tabla1[SERVICIO],Tabla1[VALOR])*1),IF(J28&gt;=1,_xlfn.XLOOKUP($B28,Tabla1[SERVICIO],Tabla1[VALOR]*J28),0))</f>
        <v>0</v>
      </c>
      <c r="L28" s="14"/>
      <c r="M28" s="56" cm="1">
        <f t="array" ref="M28">IF(L28="X",(_xlfn.XLOOKUP($B28,Tabla1[SERVICIO],Tabla1[VALOR])*1),IF(L28&gt;=1,_xlfn.XLOOKUP($B28,Tabla1[SERVICIO],Tabla1[VALOR]*L28),0))</f>
        <v>0</v>
      </c>
      <c r="N28" s="14"/>
      <c r="O28" s="56" cm="1">
        <f t="array" ref="O28">IF(N28="X",(_xlfn.XLOOKUP($B28,Tabla1[SERVICIO],Tabla1[VALOR])*1),IF(N28&gt;=1,_xlfn.XLOOKUP($B28,Tabla1[SERVICIO],Tabla1[VALOR]*N28),0))</f>
        <v>0</v>
      </c>
      <c r="P28" s="14"/>
      <c r="Q28" s="56" cm="1">
        <f t="array" ref="Q28">IF(P28="X",(_xlfn.XLOOKUP($B28,Tabla1[SERVICIO],Tabla1[VALOR])*1),IF(P28&gt;=1,_xlfn.XLOOKUP($B28,Tabla1[SERVICIO],Tabla1[VALOR]*P28),0))</f>
        <v>0</v>
      </c>
      <c r="R28" s="14"/>
      <c r="S28" s="56" cm="1">
        <f t="array" ref="S28">IF(R28="X",(_xlfn.XLOOKUP($B28,Tabla1[SERVICIO],Tabla1[VALOR])*1),IF(R28&gt;=1,_xlfn.XLOOKUP($B28,Tabla1[SERVICIO],Tabla1[VALOR]*R28),0))</f>
        <v>0</v>
      </c>
      <c r="T28" s="14"/>
      <c r="U28" s="56" cm="1">
        <f t="array" ref="U28">IF(T28="X",(_xlfn.XLOOKUP($B28,Tabla1[SERVICIO],Tabla1[VALOR])*1),IF(T28&gt;=1,_xlfn.XLOOKUP($B28,Tabla1[SERVICIO],Tabla1[VALOR]*T28),0))</f>
        <v>0</v>
      </c>
      <c r="V28" s="14"/>
      <c r="W28" s="56" cm="1">
        <f t="array" ref="W28">IF(V28="X",(_xlfn.XLOOKUP($B28,Tabla1[SERVICIO],Tabla1[VALOR])*1),IF(V28&gt;=1,_xlfn.XLOOKUP($B28,Tabla1[SERVICIO],Tabla1[VALOR]*V28),0))</f>
        <v>0</v>
      </c>
      <c r="X28" s="14"/>
      <c r="Y28" s="56" cm="1">
        <f t="array" ref="Y28">IF(X28="X",(_xlfn.XLOOKUP($B28,Tabla1[SERVICIO],Tabla1[VALOR])*1),IF(X28&gt;=1,_xlfn.XLOOKUP($B28,Tabla1[SERVICIO],Tabla1[VALOR]*X28),0))</f>
        <v>0</v>
      </c>
      <c r="Z28" s="14">
        <v>1</v>
      </c>
      <c r="AA28" s="56" cm="1">
        <f t="array" ref="AA28">IF(Z28="X",(_xlfn.XLOOKUP($B28,Tabla1[SERVICIO],Tabla1[VALOR])*1),IF(Z28&gt;=1,_xlfn.XLOOKUP($B28,Tabla1[SERVICIO],Tabla1[VALOR]*Z28),0))</f>
        <v>31881.451880098426</v>
      </c>
      <c r="AB28" s="168">
        <f t="shared" si="0"/>
        <v>31881.451880098426</v>
      </c>
      <c r="AC28" s="153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8" s="122" t="s">
        <v>318</v>
      </c>
      <c r="AE28" s="120">
        <v>1</v>
      </c>
      <c r="AF28" s="121">
        <f>+Tabla467891044[[#This Row],[TOTAL]]*Tabla467891044[[#This Row],[% de las personas que lo usaron]]</f>
        <v>31881.451880098426</v>
      </c>
      <c r="AG28" s="246" t="s">
        <v>356</v>
      </c>
      <c r="AH28" s="246">
        <v>12</v>
      </c>
    </row>
    <row r="29" spans="1:34" x14ac:dyDescent="0.25">
      <c r="A29" s="9"/>
      <c r="B29" s="10"/>
      <c r="C29" s="10"/>
      <c r="D29" s="16">
        <f>SUBTOTAL(109,Tabla467891044[MES 1])</f>
        <v>27</v>
      </c>
      <c r="E29" s="16">
        <f>SUBTOTAL(109,Tabla467891044[MES 13])</f>
        <v>790802.16393836599</v>
      </c>
      <c r="F29" s="16">
        <f>SUBTOTAL(109,Tabla467891044[MES 2])</f>
        <v>9</v>
      </c>
      <c r="G29" s="72">
        <f>SUBTOTAL(109,Tabla467891044[MES 22])</f>
        <v>137639.05750186625</v>
      </c>
      <c r="H29" s="16">
        <f>SUBTOTAL(109,Tabla467891044[MES 3])</f>
        <v>9</v>
      </c>
      <c r="I29" s="72">
        <f>SUBTOTAL(109,Tabla467891044[MES 32])</f>
        <v>137639.05750186625</v>
      </c>
      <c r="J29" s="16">
        <f>SUBTOTAL(109,Tabla467891044[MES 4])</f>
        <v>9</v>
      </c>
      <c r="K29" s="72">
        <f>SUBTOTAL(109,Tabla467891044[MES 42])</f>
        <v>137639.05750186625</v>
      </c>
      <c r="L29" s="16">
        <f>SUBTOTAL(109,Tabla467891044[MES 5])</f>
        <v>9</v>
      </c>
      <c r="M29" s="72">
        <f>SUBTOTAL(109,Tabla467891044[MES 52])</f>
        <v>137639.05750186625</v>
      </c>
      <c r="N29" s="16">
        <f>SUBTOTAL(109,Tabla467891044[MES 6])</f>
        <v>14</v>
      </c>
      <c r="O29" s="72">
        <f>SUBTOTAL(109,Tabla467891044[MES 62])</f>
        <v>311728.16532044968</v>
      </c>
      <c r="P29" s="16">
        <f>SUBTOTAL(109,Tabla467891044[MES 7])</f>
        <v>9</v>
      </c>
      <c r="Q29" s="72">
        <f>SUBTOTAL(109,Tabla467891044[MES 72])</f>
        <v>137639.05750186625</v>
      </c>
      <c r="R29" s="16">
        <f>SUBTOTAL(109,Tabla467891044[MES 8])</f>
        <v>9</v>
      </c>
      <c r="S29" s="72">
        <f>SUBTOTAL(109,Tabla467891044[MES 82])</f>
        <v>137639.05750186625</v>
      </c>
      <c r="T29" s="16">
        <f>SUBTOTAL(109,Tabla467891044[MES 9])</f>
        <v>9</v>
      </c>
      <c r="U29" s="72">
        <f>SUBTOTAL(109,Tabla467891044[MES 92])</f>
        <v>137639.05750186625</v>
      </c>
      <c r="V29" s="16">
        <f>SUBTOTAL(109,Tabla467891044[MES 10])</f>
        <v>9</v>
      </c>
      <c r="W29" s="72">
        <f>SUBTOTAL(109,Tabla467891044[MES 102])</f>
        <v>137639.05750186625</v>
      </c>
      <c r="X29" s="16">
        <f>SUBTOTAL(109,Tabla467891044[MES 11])</f>
        <v>9</v>
      </c>
      <c r="Y29" s="72">
        <f>SUBTOTAL(109,Tabla467891044[MES 112])</f>
        <v>137639.05750186625</v>
      </c>
      <c r="Z29" s="16">
        <f>SUBTOTAL(109,Tabla467891044[MES 12])</f>
        <v>18</v>
      </c>
      <c r="AA29" s="87">
        <f>SUBTOTAL(109,Tabla467891044[MES 1122])</f>
        <v>445259.63496787637</v>
      </c>
      <c r="AB29" s="97">
        <f>SUBTOTAL(109,Tabla467891044[TOTAL])</f>
        <v>2786541.4817434875</v>
      </c>
      <c r="AC29" s="170">
        <f>SUBTOTAL(109,Tabla467891044[TOTAL SERVICIOS])</f>
        <v>140</v>
      </c>
      <c r="AD29" s="37"/>
      <c r="AE29" s="95"/>
      <c r="AF29" s="211">
        <f>SUBTOTAL(109,Tabla467891044[VALOR COSTO])</f>
        <v>1853151.4184918643</v>
      </c>
      <c r="AG29" s="95"/>
      <c r="AH29" s="95"/>
    </row>
    <row r="32" spans="1:34" ht="29.25" customHeight="1" x14ac:dyDescent="0.25">
      <c r="A32" s="44" t="s">
        <v>216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6"/>
    </row>
    <row r="33" spans="1:46" ht="30" x14ac:dyDescent="0.25">
      <c r="A33" s="20" t="s">
        <v>0</v>
      </c>
      <c r="B33" s="17" t="s">
        <v>203</v>
      </c>
      <c r="C33" s="183" t="s">
        <v>347</v>
      </c>
      <c r="D33" s="18" t="s">
        <v>56</v>
      </c>
      <c r="E33" s="18" t="s">
        <v>303</v>
      </c>
      <c r="F33" s="18" t="s">
        <v>57</v>
      </c>
      <c r="G33" s="18" t="s">
        <v>293</v>
      </c>
      <c r="H33" s="18" t="s">
        <v>58</v>
      </c>
      <c r="I33" s="18" t="s">
        <v>294</v>
      </c>
      <c r="J33" s="18" t="s">
        <v>59</v>
      </c>
      <c r="K33" s="18" t="s">
        <v>295</v>
      </c>
      <c r="L33" s="18" t="s">
        <v>60</v>
      </c>
      <c r="M33" s="18" t="s">
        <v>296</v>
      </c>
      <c r="N33" s="18" t="s">
        <v>61</v>
      </c>
      <c r="O33" s="18" t="s">
        <v>297</v>
      </c>
      <c r="P33" s="18" t="s">
        <v>62</v>
      </c>
      <c r="Q33" s="18" t="s">
        <v>298</v>
      </c>
      <c r="R33" s="18" t="s">
        <v>63</v>
      </c>
      <c r="S33" s="18" t="s">
        <v>299</v>
      </c>
      <c r="T33" s="18" t="s">
        <v>64</v>
      </c>
      <c r="U33" s="18" t="s">
        <v>300</v>
      </c>
      <c r="V33" s="18" t="s">
        <v>65</v>
      </c>
      <c r="W33" s="18" t="s">
        <v>301</v>
      </c>
      <c r="X33" s="18" t="s">
        <v>66</v>
      </c>
      <c r="Y33" s="18" t="s">
        <v>302</v>
      </c>
      <c r="Z33" s="18" t="s">
        <v>67</v>
      </c>
      <c r="AA33" s="18" t="s">
        <v>304</v>
      </c>
      <c r="AB33" s="18" t="s">
        <v>68</v>
      </c>
      <c r="AC33" s="18" t="s">
        <v>305</v>
      </c>
      <c r="AD33" s="18" t="s">
        <v>69</v>
      </c>
      <c r="AE33" s="18" t="s">
        <v>306</v>
      </c>
      <c r="AF33" s="18" t="s">
        <v>70</v>
      </c>
      <c r="AG33" s="18" t="s">
        <v>307</v>
      </c>
      <c r="AH33" s="18" t="s">
        <v>71</v>
      </c>
      <c r="AI33" s="18" t="s">
        <v>308</v>
      </c>
      <c r="AJ33" s="18" t="s">
        <v>72</v>
      </c>
      <c r="AK33" s="19" t="s">
        <v>309</v>
      </c>
      <c r="AL33" s="19" t="s">
        <v>73</v>
      </c>
      <c r="AM33" s="66" t="s">
        <v>310</v>
      </c>
      <c r="AN33" s="66" t="s">
        <v>247</v>
      </c>
      <c r="AO33" s="105" t="s">
        <v>313</v>
      </c>
      <c r="AP33" s="105" t="s">
        <v>187</v>
      </c>
      <c r="AQ33" s="103" t="s">
        <v>316</v>
      </c>
      <c r="AR33" s="105" t="s">
        <v>317</v>
      </c>
      <c r="AS33" s="105" t="s">
        <v>348</v>
      </c>
      <c r="AT33" s="66" t="s">
        <v>406</v>
      </c>
    </row>
    <row r="34" spans="1:46" x14ac:dyDescent="0.25">
      <c r="A34" s="7" t="s">
        <v>13</v>
      </c>
      <c r="B34" s="8" t="s">
        <v>14</v>
      </c>
      <c r="C34" s="96" t="str">
        <f>_xlfn.XLOOKUP(Tabla3172145[[#This Row],[Servicios del Programa:]],Tabla151[CODIGO],Tabla151[VALOR])</f>
        <v>Gestion y seguimiento</v>
      </c>
      <c r="D34" s="14">
        <v>1</v>
      </c>
      <c r="E34" s="56" cm="1">
        <f t="array" ref="E34">IF(D34="X",(_xlfn.XLOOKUP($B34,Tabla1[SERVICIO],Tabla1[VALOR])*1),IF(D34&gt;=1,_xlfn.XLOOKUP($B34,Tabla1[SERVICIO],Tabla1[VALOR]*D34),0))</f>
        <v>20552.755657371155</v>
      </c>
      <c r="F34" s="14"/>
      <c r="G34" s="56" cm="1">
        <f t="array" ref="G34">IF(F34="X",(_xlfn.XLOOKUP($B34,Tabla1[SERVICIO],Tabla1[VALOR])*1),IF(F34&gt;=1,_xlfn.XLOOKUP($B34,Tabla1[SERVICIO],Tabla1[VALOR]*F34),0))</f>
        <v>0</v>
      </c>
      <c r="H34" s="14"/>
      <c r="I34" s="56" cm="1">
        <f t="array" ref="I34">IF(H34="X",(_xlfn.XLOOKUP($B34,Tabla1[SERVICIO],Tabla1[VALOR])*1),IF(H34&gt;=1,_xlfn.XLOOKUP($B34,Tabla1[SERVICIO],Tabla1[VALOR]*H34),0))</f>
        <v>0</v>
      </c>
      <c r="J34" s="14"/>
      <c r="K34" s="56" cm="1">
        <f t="array" ref="K34">IF(J34="X",(_xlfn.XLOOKUP($B34,Tabla1[SERVICIO],Tabla1[VALOR])*1),IF(J34&gt;=1,_xlfn.XLOOKUP($B34,Tabla1[SERVICIO],Tabla1[VALOR]*J34),0))</f>
        <v>0</v>
      </c>
      <c r="L34" s="14"/>
      <c r="M34" s="56" cm="1">
        <f t="array" ref="M34">IF(L34="X",(_xlfn.XLOOKUP($B34,Tabla1[SERVICIO],Tabla1[VALOR])*1),IF(L34&gt;=1,_xlfn.XLOOKUP($B34,Tabla1[SERVICIO],Tabla1[VALOR]*L34),0))</f>
        <v>0</v>
      </c>
      <c r="N34" s="14"/>
      <c r="O34" s="56" cm="1">
        <f t="array" ref="O34">IF(N34="X",(_xlfn.XLOOKUP($B34,Tabla1[SERVICIO],Tabla1[VALOR])*1),IF(N34&gt;=1,_xlfn.XLOOKUP($B34,Tabla1[SERVICIO],Tabla1[VALOR]*N34),0))</f>
        <v>0</v>
      </c>
      <c r="P34" s="14"/>
      <c r="Q34" s="56" cm="1">
        <f t="array" ref="Q34">IF(P34="X",(_xlfn.XLOOKUP($B34,Tabla1[SERVICIO],Tabla1[VALOR])*1),IF(P34&gt;=1,_xlfn.XLOOKUP($B34,Tabla1[SERVICIO],Tabla1[VALOR]*P34),0))</f>
        <v>0</v>
      </c>
      <c r="R34" s="14"/>
      <c r="S34" s="56" cm="1">
        <f t="array" ref="S34">IF(R34="X",(_xlfn.XLOOKUP($B34,Tabla1[SERVICIO],Tabla1[VALOR])*1),IF(R34&gt;=1,_xlfn.XLOOKUP($B34,Tabla1[SERVICIO],Tabla1[VALOR]*R34),0))</f>
        <v>0</v>
      </c>
      <c r="T34" s="14"/>
      <c r="U34" s="56" cm="1">
        <f t="array" ref="U34">IF(T34="X",(_xlfn.XLOOKUP($B34,Tabla1[SERVICIO],Tabla1[VALOR])*1),IF(T34&gt;=1,_xlfn.XLOOKUP($B34,Tabla1[SERVICIO],Tabla1[VALOR]*T34),0))</f>
        <v>0</v>
      </c>
      <c r="V34" s="14"/>
      <c r="W34" s="56" cm="1">
        <f t="array" ref="W34">IF(V34="X",(_xlfn.XLOOKUP($B34,Tabla1[SERVICIO],Tabla1[VALOR])*1),IF(V34&gt;=1,_xlfn.XLOOKUP($B34,Tabla1[SERVICIO],Tabla1[VALOR]*V34),0))</f>
        <v>0</v>
      </c>
      <c r="X34" s="14"/>
      <c r="Y34" s="56" cm="1">
        <f t="array" ref="Y34">IF(X34="X",(_xlfn.XLOOKUP($B34,Tabla1[SERVICIO],Tabla1[VALOR])*1),IF(X34&gt;=1,_xlfn.XLOOKUP($B34,Tabla1[SERVICIO],Tabla1[VALOR]*X34),0))</f>
        <v>0</v>
      </c>
      <c r="Z34" s="14"/>
      <c r="AA34" s="56" cm="1">
        <f t="array" ref="AA34">IF(Z34="X",(_xlfn.XLOOKUP($B34,Tabla1[SERVICIO],Tabla1[VALOR])*1),IF(Z34&gt;=1,_xlfn.XLOOKUP($B34,Tabla1[SERVICIO],Tabla1[VALOR]*Z34),0))</f>
        <v>0</v>
      </c>
      <c r="AB34" s="14"/>
      <c r="AC34" s="56" cm="1">
        <f t="array" ref="AC34">IF(AB34="X",(_xlfn.XLOOKUP($B34,Tabla1[SERVICIO],Tabla1[VALOR])*1),IF(AB34&gt;=1,_xlfn.XLOOKUP($B34,Tabla1[SERVICIO],Tabla1[VALOR]*AB34),0))</f>
        <v>0</v>
      </c>
      <c r="AD34" s="14"/>
      <c r="AE34" s="56" cm="1">
        <f t="array" ref="AE34">IF(AD34="X",(_xlfn.XLOOKUP($B34,Tabla1[SERVICIO],Tabla1[VALOR])*1),IF(AD34&gt;=1,_xlfn.XLOOKUP($B34,Tabla1[SERVICIO],Tabla1[VALOR]*AD34),0))</f>
        <v>0</v>
      </c>
      <c r="AF34" s="14"/>
      <c r="AG34" s="56" cm="1">
        <f t="array" ref="AG34">IF(AF34="X",(_xlfn.XLOOKUP($B34,Tabla1[SERVICIO],Tabla1[VALOR])*1),IF(AF34&gt;=1,_xlfn.XLOOKUP($B34,Tabla1[SERVICIO],Tabla1[VALOR]*AF34),0))</f>
        <v>0</v>
      </c>
      <c r="AH34" s="14"/>
      <c r="AI34" s="56" cm="1">
        <f t="array" ref="AI34">IF(AH34="X",(_xlfn.XLOOKUP($B34,Tabla1[SERVICIO],Tabla1[VALOR])*1),IF(AH34&gt;=1,_xlfn.XLOOKUP($B34,Tabla1[SERVICIO],Tabla1[VALOR]*AH34),0))</f>
        <v>0</v>
      </c>
      <c r="AJ34" s="14"/>
      <c r="AK34" s="56" cm="1">
        <f t="array" ref="AK34">IF(AJ34="X",(_xlfn.XLOOKUP($B34,Tabla1[SERVICIO],Tabla1[VALOR])*1),IF(AJ34&gt;=1,_xlfn.XLOOKUP($B34,Tabla1[SERVICIO],Tabla1[VALOR]*AJ34),0))</f>
        <v>0</v>
      </c>
      <c r="AL34" s="14"/>
      <c r="AM34" s="56" cm="1">
        <f t="array" ref="AM34">IF(AL34="X",(_xlfn.XLOOKUP($B34,Tabla1[SERVICIO],Tabla1[VALOR])*1),IF(AL34&gt;=1,_xlfn.XLOOKUP($B34,Tabla1[SERVICIO],Tabla1[VALOR]*AL34),0))</f>
        <v>0</v>
      </c>
      <c r="AN34" s="89">
        <f>SUM(E34,G34,I34,K34,M34,O34,Q34,S34,U34,W34+Y34,AA34,AC34,AE34,AG34,AI34,AK34,AM34)</f>
        <v>20552.755657371155</v>
      </c>
      <c r="AO34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4" s="122" t="s">
        <v>318</v>
      </c>
      <c r="AQ34" s="120">
        <v>1</v>
      </c>
      <c r="AR34" s="121">
        <f>+Tabla3172145[[#This Row],[TOTAL]]*Tabla3172145[[#This Row],[% de las personas que lo usaron]]</f>
        <v>20552.755657371155</v>
      </c>
      <c r="AS34" s="246" t="s">
        <v>356</v>
      </c>
      <c r="AT34" s="246">
        <v>18</v>
      </c>
    </row>
    <row r="35" spans="1:46" x14ac:dyDescent="0.25">
      <c r="A35" s="7" t="s">
        <v>98</v>
      </c>
      <c r="B35" s="8" t="s">
        <v>99</v>
      </c>
      <c r="C35" s="96" t="str">
        <f>_xlfn.XLOOKUP(Tabla3172145[[#This Row],[Servicios del Programa:]],Tabla151[CODIGO],Tabla151[VALOR])</f>
        <v>Consultas</v>
      </c>
      <c r="D35" s="14">
        <v>1</v>
      </c>
      <c r="E35" s="56" cm="1">
        <f t="array" ref="E35">IF(D35="X",(_xlfn.XLOOKUP($B35,Tabla1[SERVICIO],Tabla1[VALOR])*1),IF(D35&gt;=1,_xlfn.XLOOKUP($B35,Tabla1[SERVICIO],Tabla1[VALOR]*D35),0))</f>
        <v>17887.388810409495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8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8"/>
      <c r="AM35" s="56" cm="1">
        <f t="array" ref="AM35">IF(AL35="X",(_xlfn.XLOOKUP($B35,Tabla1[SERVICIO],Tabla1[VALOR])*1),IF(AL35&gt;=1,_xlfn.XLOOKUP($B35,Tabla1[SERVICIO],Tabla1[VALOR]*AL35),0))</f>
        <v>0</v>
      </c>
      <c r="AN35" s="89">
        <f t="shared" ref="AN35:AN59" si="1">SUM(E35,G35,I35,K35,M35,O35,Q35,S35,U35,W35+Y35,AA35,AC35,AE35,AG35,AI35,AK35,AM35)</f>
        <v>17887.388810409495</v>
      </c>
      <c r="AO35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5" s="122" t="s">
        <v>318</v>
      </c>
      <c r="AQ35" s="120">
        <v>1</v>
      </c>
      <c r="AR35" s="121">
        <f>+Tabla3172145[[#This Row],[TOTAL]]*Tabla3172145[[#This Row],[% de las personas que lo usaron]]</f>
        <v>17887.388810409495</v>
      </c>
      <c r="AS35" s="246" t="s">
        <v>356</v>
      </c>
      <c r="AT35" s="246">
        <v>18</v>
      </c>
    </row>
    <row r="36" spans="1:46" x14ac:dyDescent="0.25">
      <c r="A36" s="7" t="s">
        <v>104</v>
      </c>
      <c r="B36" s="8" t="s">
        <v>105</v>
      </c>
      <c r="C36" s="96" t="str">
        <f>_xlfn.XLOOKUP(Tabla3172145[[#This Row],[Servicios del Programa:]],Tabla151[CODIGO],Tabla151[VALOR])</f>
        <v>Consultas</v>
      </c>
      <c r="D36" s="14"/>
      <c r="E36" s="56" cm="1">
        <f t="array" ref="E36">IF(D36="X",(_xlfn.XLOOKUP($B36,Tabla1[SERVICIO],Tabla1[VALOR])*1),IF(D36&gt;=1,_xlfn.XLOOKUP($B36,Tabla1[SERVICIO],Tabla1[VALOR]*D36),0))</f>
        <v>0</v>
      </c>
      <c r="F36" s="8"/>
      <c r="G36" s="56" cm="1">
        <f t="array" ref="G36">IF(F36="X",(_xlfn.XLOOKUP($B36,Tabla1[SERVICIO],Tabla1[VALOR])*1),IF(F36&gt;=1,_xlfn.XLOOKUP($B36,Tabla1[SERVICIO],Tabla1[VALOR]*F36),0))</f>
        <v>0</v>
      </c>
      <c r="H36" s="8"/>
      <c r="I36" s="56" cm="1">
        <f t="array" ref="I36">IF(H36="X",(_xlfn.XLOOKUP($B36,Tabla1[SERVICIO],Tabla1[VALOR])*1),IF(H36&gt;=1,_xlfn.XLOOKUP($B36,Tabla1[SERVICIO],Tabla1[VALOR]*H36),0))</f>
        <v>0</v>
      </c>
      <c r="J36" s="8"/>
      <c r="K36" s="56" cm="1">
        <f t="array" ref="K36">IF(J36="X",(_xlfn.XLOOKUP($B36,Tabla1[SERVICIO],Tabla1[VALOR])*1),IF(J36&gt;=1,_xlfn.XLOOKUP($B36,Tabla1[SERVICIO],Tabla1[VALOR]*J36),0))</f>
        <v>0</v>
      </c>
      <c r="L36" s="8"/>
      <c r="M36" s="56" cm="1">
        <f t="array" ref="M36">IF(L36="X",(_xlfn.XLOOKUP($B36,Tabla1[SERVICIO],Tabla1[VALOR])*1),IF(L36&gt;=1,_xlfn.XLOOKUP($B36,Tabla1[SERVICIO],Tabla1[VALOR]*L36),0))</f>
        <v>0</v>
      </c>
      <c r="N36" s="14"/>
      <c r="O36" s="56" cm="1">
        <f t="array" ref="O36">IF(N36="X",(_xlfn.XLOOKUP($B36,Tabla1[SERVICIO],Tabla1[VALOR])*1),IF(N36&gt;=1,_xlfn.XLOOKUP($B36,Tabla1[SERVICIO],Tabla1[VALOR]*N36),0))</f>
        <v>0</v>
      </c>
      <c r="P36" s="8"/>
      <c r="Q36" s="56" cm="1">
        <f t="array" ref="Q36">IF(P36="X",(_xlfn.XLOOKUP($B36,Tabla1[SERVICIO],Tabla1[VALOR])*1),IF(P36&gt;=1,_xlfn.XLOOKUP($B36,Tabla1[SERVICIO],Tabla1[VALOR]*P36),0))</f>
        <v>0</v>
      </c>
      <c r="R36" s="8"/>
      <c r="S36" s="56" cm="1">
        <f t="array" ref="S36">IF(R36="X",(_xlfn.XLOOKUP($B36,Tabla1[SERVICIO],Tabla1[VALOR])*1),IF(R36&gt;=1,_xlfn.XLOOKUP($B36,Tabla1[SERVICIO],Tabla1[VALOR]*R36),0))</f>
        <v>0</v>
      </c>
      <c r="T36" s="8"/>
      <c r="U36" s="56" cm="1">
        <f t="array" ref="U36">IF(T36="X",(_xlfn.XLOOKUP($B36,Tabla1[SERVICIO],Tabla1[VALOR])*1),IF(T36&gt;=1,_xlfn.XLOOKUP($B36,Tabla1[SERVICIO],Tabla1[VALOR]*T36),0))</f>
        <v>0</v>
      </c>
      <c r="V36" s="8"/>
      <c r="W36" s="56" cm="1">
        <f t="array" ref="W36">IF(V36="X",(_xlfn.XLOOKUP($B36,Tabla1[SERVICIO],Tabla1[VALOR])*1),IF(V36&gt;=1,_xlfn.XLOOKUP($B36,Tabla1[SERVICIO],Tabla1[VALOR]*V36),0))</f>
        <v>0</v>
      </c>
      <c r="X36" s="8"/>
      <c r="Y36" s="56" cm="1">
        <f t="array" ref="Y36">IF(X36="X",(_xlfn.XLOOKUP($B36,Tabla1[SERVICIO],Tabla1[VALOR])*1),IF(X36&gt;=1,_xlfn.XLOOKUP($B36,Tabla1[SERVICIO],Tabla1[VALOR]*X36),0))</f>
        <v>0</v>
      </c>
      <c r="Z36" s="8"/>
      <c r="AA36" s="56" cm="1">
        <f t="array" ref="AA36">IF(Z36="X",(_xlfn.XLOOKUP($B36,Tabla1[SERVICIO],Tabla1[VALOR])*1),IF(Z36&gt;=1,_xlfn.XLOOKUP($B36,Tabla1[SERVICIO],Tabla1[VALOR]*Z36),0))</f>
        <v>0</v>
      </c>
      <c r="AB36" s="8"/>
      <c r="AC36" s="56" cm="1">
        <f t="array" ref="AC36">IF(AB36="X",(_xlfn.XLOOKUP($B36,Tabla1[SERVICIO],Tabla1[VALOR])*1),IF(AB36&gt;=1,_xlfn.XLOOKUP($B36,Tabla1[SERVICIO],Tabla1[VALOR]*AB36),0))</f>
        <v>0</v>
      </c>
      <c r="AD36" s="8"/>
      <c r="AE36" s="56" cm="1">
        <f t="array" ref="AE36">IF(AD36="X",(_xlfn.XLOOKUP($B36,Tabla1[SERVICIO],Tabla1[VALOR])*1),IF(AD36&gt;=1,_xlfn.XLOOKUP($B36,Tabla1[SERVICIO],Tabla1[VALOR]*AD36),0))</f>
        <v>0</v>
      </c>
      <c r="AF36" s="8"/>
      <c r="AG36" s="56" cm="1">
        <f t="array" ref="AG36">IF(AF36="X",(_xlfn.XLOOKUP($B36,Tabla1[SERVICIO],Tabla1[VALOR])*1),IF(AF36&gt;=1,_xlfn.XLOOKUP($B36,Tabla1[SERVICIO],Tabla1[VALOR]*AF36),0))</f>
        <v>0</v>
      </c>
      <c r="AH36" s="8"/>
      <c r="AI36" s="56" cm="1">
        <f t="array" ref="AI36">IF(AH36="X",(_xlfn.XLOOKUP($B36,Tabla1[SERVICIO],Tabla1[VALOR])*1),IF(AH36&gt;=1,_xlfn.XLOOKUP($B36,Tabla1[SERVICIO],Tabla1[VALOR]*AH36),0))</f>
        <v>0</v>
      </c>
      <c r="AJ36" s="8"/>
      <c r="AK36" s="56" cm="1">
        <f t="array" ref="AK36">IF(AJ36="X",(_xlfn.XLOOKUP($B36,Tabla1[SERVICIO],Tabla1[VALOR])*1),IF(AJ36&gt;=1,_xlfn.XLOOKUP($B36,Tabla1[SERVICIO],Tabla1[VALOR]*AJ36),0))</f>
        <v>0</v>
      </c>
      <c r="AL36" s="14">
        <v>1</v>
      </c>
      <c r="AM36" s="56" cm="1">
        <f t="array" ref="AM36">IF(AL36="X",(_xlfn.XLOOKUP($B36,Tabla1[SERVICIO],Tabla1[VALOR])*1),IF(AL36&gt;=1,_xlfn.XLOOKUP($B36,Tabla1[SERVICIO],Tabla1[VALOR]*AL36),0))</f>
        <v>17887.388810409495</v>
      </c>
      <c r="AN36" s="89">
        <f t="shared" si="1"/>
        <v>17887.388810409495</v>
      </c>
      <c r="AO36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6" s="37" t="s">
        <v>319</v>
      </c>
      <c r="AQ36" s="120">
        <v>0.26666666666666666</v>
      </c>
      <c r="AR36" s="121">
        <f>+Tabla3172145[[#This Row],[TOTAL]]*Tabla3172145[[#This Row],[% de las personas que lo usaron]]</f>
        <v>4769.9703494425321</v>
      </c>
      <c r="AS36" s="246" t="s">
        <v>356</v>
      </c>
      <c r="AT36" s="246">
        <v>18</v>
      </c>
    </row>
    <row r="37" spans="1:46" x14ac:dyDescent="0.25">
      <c r="A37" s="7" t="s">
        <v>25</v>
      </c>
      <c r="B37" s="8" t="s">
        <v>26</v>
      </c>
      <c r="C37" s="96" t="str">
        <f>_xlfn.XLOOKUP(Tabla3172145[[#This Row],[Servicios del Programa:]],Tabla151[CODIGO],Tabla151[VALOR])</f>
        <v>Diagnosticos</v>
      </c>
      <c r="D37" s="14">
        <v>1</v>
      </c>
      <c r="E37" s="56" cm="1">
        <f t="array" ref="E37">IF(D37="X",(_xlfn.XLOOKUP($B37,Tabla1[SERVICIO],Tabla1[VALOR])*1),IF(D37&gt;=1,_xlfn.XLOOKUP($B37,Tabla1[SERVICIO],Tabla1[VALOR]*D37),0))</f>
        <v>19392.627189167735</v>
      </c>
      <c r="F37" s="8"/>
      <c r="G37" s="56" cm="1">
        <f t="array" ref="G37">IF(F37="X",(_xlfn.XLOOKUP($B37,Tabla1[SERVICIO],Tabla1[VALOR])*1),IF(F37&gt;=1,_xlfn.XLOOKUP($B37,Tabla1[SERVICIO],Tabla1[VALOR]*F37),0))</f>
        <v>0</v>
      </c>
      <c r="H37" s="8"/>
      <c r="I37" s="56" cm="1">
        <f t="array" ref="I37">IF(H37="X",(_xlfn.XLOOKUP($B37,Tabla1[SERVICIO],Tabla1[VALOR])*1),IF(H37&gt;=1,_xlfn.XLOOKUP($B37,Tabla1[SERVICIO],Tabla1[VALOR]*H37),0))</f>
        <v>0</v>
      </c>
      <c r="J37" s="8"/>
      <c r="K37" s="56" cm="1">
        <f t="array" ref="K37">IF(J37="X",(_xlfn.XLOOKUP($B37,Tabla1[SERVICIO],Tabla1[VALOR])*1),IF(J37&gt;=1,_xlfn.XLOOKUP($B37,Tabla1[SERVICIO],Tabla1[VALOR]*J37),0))</f>
        <v>0</v>
      </c>
      <c r="L37" s="8"/>
      <c r="M37" s="56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6" cm="1">
        <f t="array" ref="O37">IF(N37="X",(_xlfn.XLOOKUP($B37,Tabla1[SERVICIO],Tabla1[VALOR])*1),IF(N37&gt;=1,_xlfn.XLOOKUP($B37,Tabla1[SERVICIO],Tabla1[VALOR]*N37),0))</f>
        <v>19392.627189167735</v>
      </c>
      <c r="P37" s="8"/>
      <c r="Q37" s="56" cm="1">
        <f t="array" ref="Q37">IF(P37="X",(_xlfn.XLOOKUP($B37,Tabla1[SERVICIO],Tabla1[VALOR])*1),IF(P37&gt;=1,_xlfn.XLOOKUP($B37,Tabla1[SERVICIO],Tabla1[VALOR]*P37),0))</f>
        <v>0</v>
      </c>
      <c r="R37" s="8"/>
      <c r="S37" s="56" cm="1">
        <f t="array" ref="S37">IF(R37="X",(_xlfn.XLOOKUP($B37,Tabla1[SERVICIO],Tabla1[VALOR])*1),IF(R37&gt;=1,_xlfn.XLOOKUP($B37,Tabla1[SERVICIO],Tabla1[VALOR]*R37),0))</f>
        <v>0</v>
      </c>
      <c r="T37" s="8"/>
      <c r="U37" s="56" cm="1">
        <f t="array" ref="U37">IF(T37="X",(_xlfn.XLOOKUP($B37,Tabla1[SERVICIO],Tabla1[VALOR])*1),IF(T37&gt;=1,_xlfn.XLOOKUP($B37,Tabla1[SERVICIO],Tabla1[VALOR]*T37),0))</f>
        <v>0</v>
      </c>
      <c r="V37" s="8"/>
      <c r="W37" s="56" cm="1">
        <f t="array" ref="W37">IF(V37="X",(_xlfn.XLOOKUP($B37,Tabla1[SERVICIO],Tabla1[VALOR])*1),IF(V37&gt;=1,_xlfn.XLOOKUP($B37,Tabla1[SERVICIO],Tabla1[VALOR]*V37),0))</f>
        <v>0</v>
      </c>
      <c r="X37" s="8"/>
      <c r="Y37" s="56" cm="1">
        <f t="array" ref="Y37">IF(X37="X",(_xlfn.XLOOKUP($B37,Tabla1[SERVICIO],Tabla1[VALOR])*1),IF(X37&gt;=1,_xlfn.XLOOKUP($B37,Tabla1[SERVICIO],Tabla1[VALOR]*X37),0))</f>
        <v>0</v>
      </c>
      <c r="Z37" s="8"/>
      <c r="AA37" s="56" cm="1">
        <f t="array" ref="AA37">IF(Z37="X",(_xlfn.XLOOKUP($B37,Tabla1[SERVICIO],Tabla1[VALOR])*1),IF(Z37&gt;=1,_xlfn.XLOOKUP($B37,Tabla1[SERVICIO],Tabla1[VALOR]*Z37),0))</f>
        <v>0</v>
      </c>
      <c r="AB37" s="8"/>
      <c r="AC37" s="56" cm="1">
        <f t="array" ref="AC37">IF(AB37="X",(_xlfn.XLOOKUP($B37,Tabla1[SERVICIO],Tabla1[VALOR])*1),IF(AB37&gt;=1,_xlfn.XLOOKUP($B37,Tabla1[SERVICIO],Tabla1[VALOR]*AB37),0))</f>
        <v>0</v>
      </c>
      <c r="AD37" s="8"/>
      <c r="AE37" s="56" cm="1">
        <f t="array" ref="AE37">IF(AD37="X",(_xlfn.XLOOKUP($B37,Tabla1[SERVICIO],Tabla1[VALOR])*1),IF(AD37&gt;=1,_xlfn.XLOOKUP($B37,Tabla1[SERVICIO],Tabla1[VALOR]*AD37),0))</f>
        <v>0</v>
      </c>
      <c r="AF37" s="8"/>
      <c r="AG37" s="56" cm="1">
        <f t="array" ref="AG37">IF(AF37="X",(_xlfn.XLOOKUP($B37,Tabla1[SERVICIO],Tabla1[VALOR])*1),IF(AF37&gt;=1,_xlfn.XLOOKUP($B37,Tabla1[SERVICIO],Tabla1[VALOR]*AF37),0))</f>
        <v>0</v>
      </c>
      <c r="AH37" s="8"/>
      <c r="AI37" s="56" cm="1">
        <f t="array" ref="AI37">IF(AH37="X",(_xlfn.XLOOKUP($B37,Tabla1[SERVICIO],Tabla1[VALOR])*1),IF(AH37&gt;=1,_xlfn.XLOOKUP($B37,Tabla1[SERVICIO],Tabla1[VALOR]*AH37),0))</f>
        <v>0</v>
      </c>
      <c r="AJ37" s="8"/>
      <c r="AK37" s="56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6" cm="1">
        <f t="array" ref="AM37">IF(AL37="X",(_xlfn.XLOOKUP($B37,Tabla1[SERVICIO],Tabla1[VALOR])*1),IF(AL37&gt;=1,_xlfn.XLOOKUP($B37,Tabla1[SERVICIO],Tabla1[VALOR]*AL37),0))</f>
        <v>19392.627189167735</v>
      </c>
      <c r="AN37" s="89">
        <f t="shared" si="1"/>
        <v>58177.881567503209</v>
      </c>
      <c r="AO37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7" s="122" t="s">
        <v>318</v>
      </c>
      <c r="AQ37" s="120">
        <v>1</v>
      </c>
      <c r="AR37" s="121">
        <f>+Tabla3172145[[#This Row],[TOTAL]]*Tabla3172145[[#This Row],[% de las personas que lo usaron]]</f>
        <v>58177.881567503209</v>
      </c>
      <c r="AS37" s="246" t="s">
        <v>356</v>
      </c>
      <c r="AT37" s="246">
        <v>18</v>
      </c>
    </row>
    <row r="38" spans="1:46" x14ac:dyDescent="0.25">
      <c r="A38" s="7" t="s">
        <v>27</v>
      </c>
      <c r="B38" s="8" t="s">
        <v>28</v>
      </c>
      <c r="C38" s="96" t="str">
        <f>_xlfn.XLOOKUP(Tabla3172145[[#This Row],[Servicios del Programa:]],Tabla151[CODIGO],Tabla151[VALOR])</f>
        <v>Diagnosticos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43480.816890660324</v>
      </c>
      <c r="F38" s="8"/>
      <c r="G38" s="56" cm="1">
        <f t="array" ref="G38">IF(F38="X",(_xlfn.XLOOKUP($B38,Tabla1[SERVICIO],Tabla1[VALOR])*1),IF(F38&gt;=1,_xlfn.XLOOKUP($B38,Tabla1[SERVICIO],Tabla1[VALOR]*F38),0))</f>
        <v>0</v>
      </c>
      <c r="H38" s="8"/>
      <c r="I38" s="56" cm="1">
        <f t="array" ref="I38">IF(H38="X",(_xlfn.XLOOKUP($B38,Tabla1[SERVICIO],Tabla1[VALOR])*1),IF(H38&gt;=1,_xlfn.XLOOKUP($B38,Tabla1[SERVICIO],Tabla1[VALOR]*H38),0))</f>
        <v>0</v>
      </c>
      <c r="J38" s="8"/>
      <c r="K38" s="56" cm="1">
        <f t="array" ref="K38">IF(J38="X",(_xlfn.XLOOKUP($B38,Tabla1[SERVICIO],Tabla1[VALOR])*1),IF(J38&gt;=1,_xlfn.XLOOKUP($B38,Tabla1[SERVICIO],Tabla1[VALOR]*J38),0))</f>
        <v>0</v>
      </c>
      <c r="L38" s="8"/>
      <c r="M38" s="56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6" cm="1">
        <f t="array" ref="O38">IF(N38="X",(_xlfn.XLOOKUP($B38,Tabla1[SERVICIO],Tabla1[VALOR])*1),IF(N38&gt;=1,_xlfn.XLOOKUP($B38,Tabla1[SERVICIO],Tabla1[VALOR]*N38),0))</f>
        <v>43480.816890660324</v>
      </c>
      <c r="P38" s="8"/>
      <c r="Q38" s="56" cm="1">
        <f t="array" ref="Q38">IF(P38="X",(_xlfn.XLOOKUP($B38,Tabla1[SERVICIO],Tabla1[VALOR])*1),IF(P38&gt;=1,_xlfn.XLOOKUP($B38,Tabla1[SERVICIO],Tabla1[VALOR]*P38),0))</f>
        <v>0</v>
      </c>
      <c r="R38" s="8"/>
      <c r="S38" s="56" cm="1">
        <f t="array" ref="S38">IF(R38="X",(_xlfn.XLOOKUP($B38,Tabla1[SERVICIO],Tabla1[VALOR])*1),IF(R38&gt;=1,_xlfn.XLOOKUP($B38,Tabla1[SERVICIO],Tabla1[VALOR]*R38),0))</f>
        <v>0</v>
      </c>
      <c r="T38" s="8"/>
      <c r="U38" s="56" cm="1">
        <f t="array" ref="U38">IF(T38="X",(_xlfn.XLOOKUP($B38,Tabla1[SERVICIO],Tabla1[VALOR])*1),IF(T38&gt;=1,_xlfn.XLOOKUP($B38,Tabla1[SERVICIO],Tabla1[VALOR]*T38),0))</f>
        <v>0</v>
      </c>
      <c r="V38" s="8"/>
      <c r="W38" s="56" cm="1">
        <f t="array" ref="W38">IF(V38="X",(_xlfn.XLOOKUP($B38,Tabla1[SERVICIO],Tabla1[VALOR])*1),IF(V38&gt;=1,_xlfn.XLOOKUP($B38,Tabla1[SERVICIO],Tabla1[VALOR]*V38),0))</f>
        <v>0</v>
      </c>
      <c r="X38" s="8"/>
      <c r="Y38" s="56" cm="1">
        <f t="array" ref="Y38">IF(X38="X",(_xlfn.XLOOKUP($B38,Tabla1[SERVICIO],Tabla1[VALOR])*1),IF(X38&gt;=1,_xlfn.XLOOKUP($B38,Tabla1[SERVICIO],Tabla1[VALOR]*X38),0))</f>
        <v>0</v>
      </c>
      <c r="Z38" s="8"/>
      <c r="AA38" s="56" cm="1">
        <f t="array" ref="AA38">IF(Z38="X",(_xlfn.XLOOKUP($B38,Tabla1[SERVICIO],Tabla1[VALOR])*1),IF(Z38&gt;=1,_xlfn.XLOOKUP($B38,Tabla1[SERVICIO],Tabla1[VALOR]*Z38),0))</f>
        <v>0</v>
      </c>
      <c r="AB38" s="8"/>
      <c r="AC38" s="56" cm="1">
        <f t="array" ref="AC38">IF(AB38="X",(_xlfn.XLOOKUP($B38,Tabla1[SERVICIO],Tabla1[VALOR])*1),IF(AB38&gt;=1,_xlfn.XLOOKUP($B38,Tabla1[SERVICIO],Tabla1[VALOR]*AB38),0))</f>
        <v>0</v>
      </c>
      <c r="AD38" s="8"/>
      <c r="AE38" s="56" cm="1">
        <f t="array" ref="AE38">IF(AD38="X",(_xlfn.XLOOKUP($B38,Tabla1[SERVICIO],Tabla1[VALOR])*1),IF(AD38&gt;=1,_xlfn.XLOOKUP($B38,Tabla1[SERVICIO],Tabla1[VALOR]*AD38),0))</f>
        <v>0</v>
      </c>
      <c r="AF38" s="8"/>
      <c r="AG38" s="56" cm="1">
        <f t="array" ref="AG38">IF(AF38="X",(_xlfn.XLOOKUP($B38,Tabla1[SERVICIO],Tabla1[VALOR])*1),IF(AF38&gt;=1,_xlfn.XLOOKUP($B38,Tabla1[SERVICIO],Tabla1[VALOR]*AF38),0))</f>
        <v>0</v>
      </c>
      <c r="AH38" s="8"/>
      <c r="AI38" s="56" cm="1">
        <f t="array" ref="AI38">IF(AH38="X",(_xlfn.XLOOKUP($B38,Tabla1[SERVICIO],Tabla1[VALOR])*1),IF(AH38&gt;=1,_xlfn.XLOOKUP($B38,Tabla1[SERVICIO],Tabla1[VALOR]*AH38),0))</f>
        <v>0</v>
      </c>
      <c r="AJ38" s="8"/>
      <c r="AK38" s="56" cm="1">
        <f t="array" ref="AK38">IF(AJ38="X",(_xlfn.XLOOKUP($B38,Tabla1[SERVICIO],Tabla1[VALOR])*1),IF(AJ38&gt;=1,_xlfn.XLOOKUP($B38,Tabla1[SERVICIO],Tabla1[VALOR]*AJ38),0))</f>
        <v>0</v>
      </c>
      <c r="AL38" s="14">
        <v>1</v>
      </c>
      <c r="AM38" s="56" cm="1">
        <f t="array" ref="AM38">IF(AL38="X",(_xlfn.XLOOKUP($B38,Tabla1[SERVICIO],Tabla1[VALOR])*1),IF(AL38&gt;=1,_xlfn.XLOOKUP($B38,Tabla1[SERVICIO],Tabla1[VALOR]*AL38),0))</f>
        <v>43480.816890660324</v>
      </c>
      <c r="AN38" s="89">
        <f t="shared" si="1"/>
        <v>130442.45067198097</v>
      </c>
      <c r="AO38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8" s="122" t="s">
        <v>318</v>
      </c>
      <c r="AQ38" s="120">
        <v>1</v>
      </c>
      <c r="AR38" s="121">
        <f>+Tabla3172145[[#This Row],[TOTAL]]*Tabla3172145[[#This Row],[% de las personas que lo usaron]]</f>
        <v>130442.45067198097</v>
      </c>
      <c r="AS38" s="246" t="s">
        <v>356</v>
      </c>
      <c r="AT38" s="246">
        <v>18</v>
      </c>
    </row>
    <row r="39" spans="1:46" x14ac:dyDescent="0.25">
      <c r="A39" s="7" t="s">
        <v>84</v>
      </c>
      <c r="B39" s="96" t="s">
        <v>85</v>
      </c>
      <c r="C39" s="96" t="str">
        <f>_xlfn.XLOOKUP(Tabla3172145[[#This Row],[Servicios del Programa:]],Tabla151[CODIGO],Tabla151[VALOR])</f>
        <v>Diagnosticos</v>
      </c>
      <c r="D39" s="14">
        <v>1</v>
      </c>
      <c r="E39" s="56" cm="1">
        <f t="array" ref="E39">IF(D39="X",(_xlfn.XLOOKUP($B39,Tabla1[SERVICIO],Tabla1[VALOR])*1),IF(D39&gt;=1,_xlfn.XLOOKUP($B39,Tabla1[SERVICIO],Tabla1[VALOR]*D39),0))</f>
        <v>68748.387080831264</v>
      </c>
      <c r="F39" s="8"/>
      <c r="G39" s="56" cm="1">
        <f t="array" ref="G39">IF(F39="X",(_xlfn.XLOOKUP($B39,Tabla1[SERVICIO],Tabla1[VALOR])*1),IF(F39&gt;=1,_xlfn.XLOOKUP($B39,Tabla1[SERVICIO],Tabla1[VALOR]*F39),0))</f>
        <v>0</v>
      </c>
      <c r="H39" s="8"/>
      <c r="I39" s="56" cm="1">
        <f t="array" ref="I39">IF(H39="X",(_xlfn.XLOOKUP($B39,Tabla1[SERVICIO],Tabla1[VALOR])*1),IF(H39&gt;=1,_xlfn.XLOOKUP($B39,Tabla1[SERVICIO],Tabla1[VALOR]*H39),0))</f>
        <v>0</v>
      </c>
      <c r="J39" s="8"/>
      <c r="K39" s="56" cm="1">
        <f t="array" ref="K39">IF(J39="X",(_xlfn.XLOOKUP($B39,Tabla1[SERVICIO],Tabla1[VALOR])*1),IF(J39&gt;=1,_xlfn.XLOOKUP($B39,Tabla1[SERVICIO],Tabla1[VALOR]*J39),0))</f>
        <v>0</v>
      </c>
      <c r="L39" s="8"/>
      <c r="M39" s="56" cm="1">
        <f t="array" ref="M39">IF(L39="X",(_xlfn.XLOOKUP($B39,Tabla1[SERVICIO],Tabla1[VALOR])*1),IF(L39&gt;=1,_xlfn.XLOOKUP($B39,Tabla1[SERVICIO],Tabla1[VALOR]*L39),0))</f>
        <v>0</v>
      </c>
      <c r="N39" s="14">
        <v>1</v>
      </c>
      <c r="O39" s="56" cm="1">
        <f t="array" ref="O39">IF(N39="X",(_xlfn.XLOOKUP($B39,Tabla1[SERVICIO],Tabla1[VALOR])*1),IF(N39&gt;=1,_xlfn.XLOOKUP($B39,Tabla1[SERVICIO],Tabla1[VALOR]*N39),0))</f>
        <v>68748.387080831264</v>
      </c>
      <c r="P39" s="8"/>
      <c r="Q39" s="56" cm="1">
        <f t="array" ref="Q39">IF(P39="X",(_xlfn.XLOOKUP($B39,Tabla1[SERVICIO],Tabla1[VALOR])*1),IF(P39&gt;=1,_xlfn.XLOOKUP($B39,Tabla1[SERVICIO],Tabla1[VALOR]*P39),0))</f>
        <v>0</v>
      </c>
      <c r="R39" s="8"/>
      <c r="S39" s="56" cm="1">
        <f t="array" ref="S39">IF(R39="X",(_xlfn.XLOOKUP($B39,Tabla1[SERVICIO],Tabla1[VALOR])*1),IF(R39&gt;=1,_xlfn.XLOOKUP($B39,Tabla1[SERVICIO],Tabla1[VALOR]*R39),0))</f>
        <v>0</v>
      </c>
      <c r="T39" s="8"/>
      <c r="U39" s="56" cm="1">
        <f t="array" ref="U39">IF(T39="X",(_xlfn.XLOOKUP($B39,Tabla1[SERVICIO],Tabla1[VALOR])*1),IF(T39&gt;=1,_xlfn.XLOOKUP($B39,Tabla1[SERVICIO],Tabla1[VALOR]*T39),0))</f>
        <v>0</v>
      </c>
      <c r="V39" s="8"/>
      <c r="W39" s="56" cm="1">
        <f t="array" ref="W39">IF(V39="X",(_xlfn.XLOOKUP($B39,Tabla1[SERVICIO],Tabla1[VALOR])*1),IF(V39&gt;=1,_xlfn.XLOOKUP($B39,Tabla1[SERVICIO],Tabla1[VALOR]*V39),0))</f>
        <v>0</v>
      </c>
      <c r="X39" s="8"/>
      <c r="Y39" s="56" cm="1">
        <f t="array" ref="Y39">IF(X39="X",(_xlfn.XLOOKUP($B39,Tabla1[SERVICIO],Tabla1[VALOR])*1),IF(X39&gt;=1,_xlfn.XLOOKUP($B39,Tabla1[SERVICIO],Tabla1[VALOR]*X39),0))</f>
        <v>0</v>
      </c>
      <c r="Z39" s="8"/>
      <c r="AA39" s="56" cm="1">
        <f t="array" ref="AA39">IF(Z39="X",(_xlfn.XLOOKUP($B39,Tabla1[SERVICIO],Tabla1[VALOR])*1),IF(Z39&gt;=1,_xlfn.XLOOKUP($B39,Tabla1[SERVICIO],Tabla1[VALOR]*Z39),0))</f>
        <v>0</v>
      </c>
      <c r="AB39" s="8"/>
      <c r="AC39" s="56" cm="1">
        <f t="array" ref="AC39">IF(AB39="X",(_xlfn.XLOOKUP($B39,Tabla1[SERVICIO],Tabla1[VALOR])*1),IF(AB39&gt;=1,_xlfn.XLOOKUP($B39,Tabla1[SERVICIO],Tabla1[VALOR]*AB39),0))</f>
        <v>0</v>
      </c>
      <c r="AD39" s="8"/>
      <c r="AE39" s="56" cm="1">
        <f t="array" ref="AE39">IF(AD39="X",(_xlfn.XLOOKUP($B39,Tabla1[SERVICIO],Tabla1[VALOR])*1),IF(AD39&gt;=1,_xlfn.XLOOKUP($B39,Tabla1[SERVICIO],Tabla1[VALOR]*AD39),0))</f>
        <v>0</v>
      </c>
      <c r="AF39" s="8"/>
      <c r="AG39" s="56" cm="1">
        <f t="array" ref="AG39">IF(AF39="X",(_xlfn.XLOOKUP($B39,Tabla1[SERVICIO],Tabla1[VALOR])*1),IF(AF39&gt;=1,_xlfn.XLOOKUP($B39,Tabla1[SERVICIO],Tabla1[VALOR]*AF39),0))</f>
        <v>0</v>
      </c>
      <c r="AH39" s="8"/>
      <c r="AI39" s="56" cm="1">
        <f t="array" ref="AI39">IF(AH39="X",(_xlfn.XLOOKUP($B39,Tabla1[SERVICIO],Tabla1[VALOR])*1),IF(AH39&gt;=1,_xlfn.XLOOKUP($B39,Tabla1[SERVICIO],Tabla1[VALOR]*AH39),0))</f>
        <v>0</v>
      </c>
      <c r="AJ39" s="8"/>
      <c r="AK39" s="56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6" cm="1">
        <f t="array" ref="AM39">IF(AL39="X",(_xlfn.XLOOKUP($B39,Tabla1[SERVICIO],Tabla1[VALOR])*1),IF(AL39&gt;=1,_xlfn.XLOOKUP($B39,Tabla1[SERVICIO],Tabla1[VALOR]*AL39),0))</f>
        <v>68748.387080831264</v>
      </c>
      <c r="AN39" s="89">
        <f>SUM(E39,G39,I39,K39,M39,O39,Q39,S39,U39,W39+Y39,AA39,AC39,AE39,AG39,AI39,AK39,AM39)</f>
        <v>206245.16124249378</v>
      </c>
      <c r="AO39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9" s="122" t="s">
        <v>318</v>
      </c>
      <c r="AQ39" s="120">
        <v>1</v>
      </c>
      <c r="AR39" s="121">
        <f>+Tabla3172145[[#This Row],[TOTAL]]*Tabla3172145[[#This Row],[% de las personas que lo usaron]]</f>
        <v>206245.16124249378</v>
      </c>
      <c r="AS39" s="246" t="s">
        <v>356</v>
      </c>
      <c r="AT39" s="246">
        <v>18</v>
      </c>
    </row>
    <row r="40" spans="1:46" x14ac:dyDescent="0.25">
      <c r="A40" s="7" t="s">
        <v>23</v>
      </c>
      <c r="B40" s="8" t="s">
        <v>24</v>
      </c>
      <c r="C40" s="96" t="str">
        <f>_xlfn.XLOOKUP(Tabla3172145[[#This Row],[Servicios del Programa:]],Tabla151[CODIGO],Tabla151[VALOR])</f>
        <v>Terapias</v>
      </c>
      <c r="D40" s="14">
        <v>1</v>
      </c>
      <c r="E40" s="56" cm="1">
        <f t="array" ref="E40">IF(D40="X",(_xlfn.XLOOKUP($B40,Tabla1[SERVICIO],Tabla1[VALOR])*1),IF(D40&gt;=1,_xlfn.XLOOKUP($B40,Tabla1[SERVICIO],Tabla1[VALOR]*D40),0))</f>
        <v>31881.451880098426</v>
      </c>
      <c r="F40" s="14"/>
      <c r="G40" s="56" cm="1">
        <f t="array" ref="G40">IF(F40="X",(_xlfn.XLOOKUP($B40,Tabla1[SERVICIO],Tabla1[VALOR])*1),IF(F40&gt;=1,_xlfn.XLOOKUP($B40,Tabla1[SERVICIO],Tabla1[VALOR]*F40),0))</f>
        <v>0</v>
      </c>
      <c r="H40" s="14"/>
      <c r="I40" s="56" cm="1">
        <f t="array" ref="I40">IF(H40="X",(_xlfn.XLOOKUP($B40,Tabla1[SERVICIO],Tabla1[VALOR])*1),IF(H40&gt;=1,_xlfn.XLOOKUP($B40,Tabla1[SERVICIO],Tabla1[VALOR]*H40),0))</f>
        <v>0</v>
      </c>
      <c r="J40" s="14"/>
      <c r="K40" s="56" cm="1">
        <f t="array" ref="K40">IF(J40="X",(_xlfn.XLOOKUP($B40,Tabla1[SERVICIO],Tabla1[VALOR])*1),IF(J40&gt;=1,_xlfn.XLOOKUP($B40,Tabla1[SERVICIO],Tabla1[VALOR]*J40),0))</f>
        <v>0</v>
      </c>
      <c r="L40" s="14"/>
      <c r="M40" s="56" cm="1">
        <f t="array" ref="M40">IF(L40="X",(_xlfn.XLOOKUP($B40,Tabla1[SERVICIO],Tabla1[VALOR])*1),IF(L40&gt;=1,_xlfn.XLOOKUP($B40,Tabla1[SERVICIO],Tabla1[VALOR]*L40),0))</f>
        <v>0</v>
      </c>
      <c r="N40" s="14"/>
      <c r="O40" s="56" cm="1">
        <f t="array" ref="O40">IF(N40="X",(_xlfn.XLOOKUP($B40,Tabla1[SERVICIO],Tabla1[VALOR])*1),IF(N40&gt;=1,_xlfn.XLOOKUP($B40,Tabla1[SERVICIO],Tabla1[VALOR]*N40),0))</f>
        <v>0</v>
      </c>
      <c r="P40" s="14"/>
      <c r="Q40" s="56" cm="1">
        <f t="array" ref="Q40">IF(P40="X",(_xlfn.XLOOKUP($B40,Tabla1[SERVICIO],Tabla1[VALOR])*1),IF(P40&gt;=1,_xlfn.XLOOKUP($B40,Tabla1[SERVICIO],Tabla1[VALOR]*P40),0))</f>
        <v>0</v>
      </c>
      <c r="R40" s="14"/>
      <c r="S40" s="56" cm="1">
        <f t="array" ref="S40">IF(R40="X",(_xlfn.XLOOKUP($B40,Tabla1[SERVICIO],Tabla1[VALOR])*1),IF(R40&gt;=1,_xlfn.XLOOKUP($B40,Tabla1[SERVICIO],Tabla1[VALOR]*R40),0))</f>
        <v>0</v>
      </c>
      <c r="T40" s="14"/>
      <c r="U40" s="56" cm="1">
        <f t="array" ref="U40">IF(T40="X",(_xlfn.XLOOKUP($B40,Tabla1[SERVICIO],Tabla1[VALOR])*1),IF(T40&gt;=1,_xlfn.XLOOKUP($B40,Tabla1[SERVICIO],Tabla1[VALOR]*T40),0))</f>
        <v>0</v>
      </c>
      <c r="V40" s="14"/>
      <c r="W40" s="56" cm="1">
        <f t="array" ref="W40">IF(V40="X",(_xlfn.XLOOKUP($B40,Tabla1[SERVICIO],Tabla1[VALOR])*1),IF(V40&gt;=1,_xlfn.XLOOKUP($B40,Tabla1[SERVICIO],Tabla1[VALOR]*V40),0))</f>
        <v>0</v>
      </c>
      <c r="X40" s="14"/>
      <c r="Y40" s="56" cm="1">
        <f t="array" ref="Y40">IF(X40="X",(_xlfn.XLOOKUP($B40,Tabla1[SERVICIO],Tabla1[VALOR])*1),IF(X40&gt;=1,_xlfn.XLOOKUP($B40,Tabla1[SERVICIO],Tabla1[VALOR]*X40),0))</f>
        <v>0</v>
      </c>
      <c r="Z40" s="14"/>
      <c r="AA40" s="56" cm="1">
        <f t="array" ref="AA40">IF(Z40="X",(_xlfn.XLOOKUP($B40,Tabla1[SERVICIO],Tabla1[VALOR])*1),IF(Z40&gt;=1,_xlfn.XLOOKUP($B40,Tabla1[SERVICIO],Tabla1[VALOR]*Z40),0))</f>
        <v>0</v>
      </c>
      <c r="AB40" s="14"/>
      <c r="AC40" s="56" cm="1">
        <f t="array" ref="AC40">IF(AB40="X",(_xlfn.XLOOKUP($B40,Tabla1[SERVICIO],Tabla1[VALOR])*1),IF(AB40&gt;=1,_xlfn.XLOOKUP($B40,Tabla1[SERVICIO],Tabla1[VALOR]*AB40),0))</f>
        <v>0</v>
      </c>
      <c r="AD40" s="14"/>
      <c r="AE40" s="56" cm="1">
        <f t="array" ref="AE40">IF(AD40="X",(_xlfn.XLOOKUP($B40,Tabla1[SERVICIO],Tabla1[VALOR])*1),IF(AD40&gt;=1,_xlfn.XLOOKUP($B40,Tabla1[SERVICIO],Tabla1[VALOR]*AD40),0))</f>
        <v>0</v>
      </c>
      <c r="AF40" s="14"/>
      <c r="AG40" s="56" cm="1">
        <f t="array" ref="AG40">IF(AF40="X",(_xlfn.XLOOKUP($B40,Tabla1[SERVICIO],Tabla1[VALOR])*1),IF(AF40&gt;=1,_xlfn.XLOOKUP($B40,Tabla1[SERVICIO],Tabla1[VALOR]*AF40),0))</f>
        <v>0</v>
      </c>
      <c r="AH40" s="14"/>
      <c r="AI40" s="56" cm="1">
        <f t="array" ref="AI40">IF(AH40="X",(_xlfn.XLOOKUP($B40,Tabla1[SERVICIO],Tabla1[VALOR])*1),IF(AH40&gt;=1,_xlfn.XLOOKUP($B40,Tabla1[SERVICIO],Tabla1[VALOR]*AH40),0))</f>
        <v>0</v>
      </c>
      <c r="AJ40" s="14"/>
      <c r="AK40" s="56" cm="1">
        <f t="array" ref="AK40">IF(AJ40="X",(_xlfn.XLOOKUP($B40,Tabla1[SERVICIO],Tabla1[VALOR])*1),IF(AJ40&gt;=1,_xlfn.XLOOKUP($B40,Tabla1[SERVICIO],Tabla1[VALOR]*AJ40),0))</f>
        <v>0</v>
      </c>
      <c r="AL40" s="14"/>
      <c r="AM40" s="56" cm="1">
        <f t="array" ref="AM40">IF(AL40="X",(_xlfn.XLOOKUP($B40,Tabla1[SERVICIO],Tabla1[VALOR])*1),IF(AL40&gt;=1,_xlfn.XLOOKUP($B40,Tabla1[SERVICIO],Tabla1[VALOR]*AL40),0))</f>
        <v>0</v>
      </c>
      <c r="AN40" s="89">
        <f t="shared" si="1"/>
        <v>31881.451880098426</v>
      </c>
      <c r="AO40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0" s="122" t="s">
        <v>318</v>
      </c>
      <c r="AQ40" s="120">
        <v>1</v>
      </c>
      <c r="AR40" s="121">
        <f>+Tabla3172145[[#This Row],[TOTAL]]*Tabla3172145[[#This Row],[% de las personas que lo usaron]]</f>
        <v>31881.451880098426</v>
      </c>
      <c r="AS40" s="246" t="s">
        <v>356</v>
      </c>
      <c r="AT40" s="246">
        <v>18</v>
      </c>
    </row>
    <row r="41" spans="1:46" x14ac:dyDescent="0.25">
      <c r="A41" s="7" t="s">
        <v>36</v>
      </c>
      <c r="B41" s="8" t="s">
        <v>100</v>
      </c>
      <c r="C41" s="96" t="str">
        <f>_xlfn.XLOOKUP(Tabla3172145[[#This Row],[Servicios del Programa:]],Tabla151[CODIGO],Tabla151[VALOR])</f>
        <v>Terapias</v>
      </c>
      <c r="D41" s="14">
        <v>8</v>
      </c>
      <c r="E41" s="56" cm="1">
        <f t="array" ref="E41">IF(D41="X",(_xlfn.XLOOKUP($B41,Tabla1[SERVICIO],Tabla1[VALOR])*1),IF(D41&gt;=1,_xlfn.XLOOKUP($B41,Tabla1[SERVICIO],Tabla1[VALOR]*D41),0))</f>
        <v>70240.958933331596</v>
      </c>
      <c r="F41" s="14">
        <v>8</v>
      </c>
      <c r="G41" s="56" cm="1">
        <f t="array" ref="G41">IF(F41="X",(_xlfn.XLOOKUP($B41,Tabla1[SERVICIO],Tabla1[VALOR])*1),IF(F41&gt;=1,_xlfn.XLOOKUP($B41,Tabla1[SERVICIO],Tabla1[VALOR]*F41),0))</f>
        <v>70240.958933331596</v>
      </c>
      <c r="H41" s="14">
        <v>8</v>
      </c>
      <c r="I41" s="56" cm="1">
        <f t="array" ref="I41">IF(H41="X",(_xlfn.XLOOKUP($B41,Tabla1[SERVICIO],Tabla1[VALOR])*1),IF(H41&gt;=1,_xlfn.XLOOKUP($B41,Tabla1[SERVICIO],Tabla1[VALOR]*H41),0))</f>
        <v>70240.958933331596</v>
      </c>
      <c r="J41" s="14">
        <v>8</v>
      </c>
      <c r="K41" s="56" cm="1">
        <f t="array" ref="K41">IF(J41="X",(_xlfn.XLOOKUP($B41,Tabla1[SERVICIO],Tabla1[VALOR])*1),IF(J41&gt;=1,_xlfn.XLOOKUP($B41,Tabla1[SERVICIO],Tabla1[VALOR]*J41),0))</f>
        <v>70240.958933331596</v>
      </c>
      <c r="L41" s="14">
        <v>8</v>
      </c>
      <c r="M41" s="56" cm="1">
        <f t="array" ref="M41">IF(L41="X",(_xlfn.XLOOKUP($B41,Tabla1[SERVICIO],Tabla1[VALOR])*1),IF(L41&gt;=1,_xlfn.XLOOKUP($B41,Tabla1[SERVICIO],Tabla1[VALOR]*L41),0))</f>
        <v>70240.958933331596</v>
      </c>
      <c r="N41" s="14">
        <v>8</v>
      </c>
      <c r="O41" s="56" cm="1">
        <f t="array" ref="O41">IF(N41="X",(_xlfn.XLOOKUP($B41,Tabla1[SERVICIO],Tabla1[VALOR])*1),IF(N41&gt;=1,_xlfn.XLOOKUP($B41,Tabla1[SERVICIO],Tabla1[VALOR]*N41),0))</f>
        <v>70240.958933331596</v>
      </c>
      <c r="P41" s="14">
        <v>8</v>
      </c>
      <c r="Q41" s="56" cm="1">
        <f t="array" ref="Q41">IF(P41="X",(_xlfn.XLOOKUP($B41,Tabla1[SERVICIO],Tabla1[VALOR])*1),IF(P41&gt;=1,_xlfn.XLOOKUP($B41,Tabla1[SERVICIO],Tabla1[VALOR]*P41),0))</f>
        <v>70240.958933331596</v>
      </c>
      <c r="R41" s="14">
        <v>8</v>
      </c>
      <c r="S41" s="56" cm="1">
        <f t="array" ref="S41">IF(R41="X",(_xlfn.XLOOKUP($B41,Tabla1[SERVICIO],Tabla1[VALOR])*1),IF(R41&gt;=1,_xlfn.XLOOKUP($B41,Tabla1[SERVICIO],Tabla1[VALOR]*R41),0))</f>
        <v>70240.958933331596</v>
      </c>
      <c r="T41" s="14">
        <v>8</v>
      </c>
      <c r="U41" s="56" cm="1">
        <f t="array" ref="U41">IF(T41="X",(_xlfn.XLOOKUP($B41,Tabla1[SERVICIO],Tabla1[VALOR])*1),IF(T41&gt;=1,_xlfn.XLOOKUP($B41,Tabla1[SERVICIO],Tabla1[VALOR]*T41),0))</f>
        <v>70240.958933331596</v>
      </c>
      <c r="V41" s="14">
        <v>8</v>
      </c>
      <c r="W41" s="56" cm="1">
        <f t="array" ref="W41">IF(V41="X",(_xlfn.XLOOKUP($B41,Tabla1[SERVICIO],Tabla1[VALOR])*1),IF(V41&gt;=1,_xlfn.XLOOKUP($B41,Tabla1[SERVICIO],Tabla1[VALOR]*V41),0))</f>
        <v>70240.958933331596</v>
      </c>
      <c r="X41" s="14">
        <v>8</v>
      </c>
      <c r="Y41" s="56" cm="1">
        <f t="array" ref="Y41">IF(X41="X",(_xlfn.XLOOKUP($B41,Tabla1[SERVICIO],Tabla1[VALOR])*1),IF(X41&gt;=1,_xlfn.XLOOKUP($B41,Tabla1[SERVICIO],Tabla1[VALOR]*X41),0))</f>
        <v>70240.958933331596</v>
      </c>
      <c r="Z41" s="14">
        <v>8</v>
      </c>
      <c r="AA41" s="56" cm="1">
        <f t="array" ref="AA41">IF(Z41="X",(_xlfn.XLOOKUP($B41,Tabla1[SERVICIO],Tabla1[VALOR])*1),IF(Z41&gt;=1,_xlfn.XLOOKUP($B41,Tabla1[SERVICIO],Tabla1[VALOR]*Z41),0))</f>
        <v>70240.958933331596</v>
      </c>
      <c r="AB41" s="14">
        <v>8</v>
      </c>
      <c r="AC41" s="56" cm="1">
        <f t="array" ref="AC41">IF(AB41="X",(_xlfn.XLOOKUP($B41,Tabla1[SERVICIO],Tabla1[VALOR])*1),IF(AB41&gt;=1,_xlfn.XLOOKUP($B41,Tabla1[SERVICIO],Tabla1[VALOR]*AB41),0))</f>
        <v>70240.958933331596</v>
      </c>
      <c r="AD41" s="14">
        <v>8</v>
      </c>
      <c r="AE41" s="56" cm="1">
        <f t="array" ref="AE41">IF(AD41="X",(_xlfn.XLOOKUP($B41,Tabla1[SERVICIO],Tabla1[VALOR])*1),IF(AD41&gt;=1,_xlfn.XLOOKUP($B41,Tabla1[SERVICIO],Tabla1[VALOR]*AD41),0))</f>
        <v>70240.958933331596</v>
      </c>
      <c r="AF41" s="14">
        <v>8</v>
      </c>
      <c r="AG41" s="56" cm="1">
        <f t="array" ref="AG41">IF(AF41="X",(_xlfn.XLOOKUP($B41,Tabla1[SERVICIO],Tabla1[VALOR])*1),IF(AF41&gt;=1,_xlfn.XLOOKUP($B41,Tabla1[SERVICIO],Tabla1[VALOR]*AF41),0))</f>
        <v>70240.958933331596</v>
      </c>
      <c r="AH41" s="14">
        <v>8</v>
      </c>
      <c r="AI41" s="56" cm="1">
        <f t="array" ref="AI41">IF(AH41="X",(_xlfn.XLOOKUP($B41,Tabla1[SERVICIO],Tabla1[VALOR])*1),IF(AH41&gt;=1,_xlfn.XLOOKUP($B41,Tabla1[SERVICIO],Tabla1[VALOR]*AH41),0))</f>
        <v>70240.958933331596</v>
      </c>
      <c r="AJ41" s="14">
        <v>8</v>
      </c>
      <c r="AK41" s="56" cm="1">
        <f t="array" ref="AK41">IF(AJ41="X",(_xlfn.XLOOKUP($B41,Tabla1[SERVICIO],Tabla1[VALOR])*1),IF(AJ41&gt;=1,_xlfn.XLOOKUP($B41,Tabla1[SERVICIO],Tabla1[VALOR]*AJ41),0))</f>
        <v>70240.958933331596</v>
      </c>
      <c r="AL41" s="14">
        <v>8</v>
      </c>
      <c r="AM41" s="56" cm="1">
        <f t="array" ref="AM41">IF(AL41="X",(_xlfn.XLOOKUP($B41,Tabla1[SERVICIO],Tabla1[VALOR])*1),IF(AL41&gt;=1,_xlfn.XLOOKUP($B41,Tabla1[SERVICIO],Tabla1[VALOR]*AL41),0))</f>
        <v>70240.958933331596</v>
      </c>
      <c r="AN41" s="89">
        <f t="shared" si="1"/>
        <v>1264337.2607999684</v>
      </c>
      <c r="AO41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144</v>
      </c>
      <c r="AP41" s="122" t="s">
        <v>318</v>
      </c>
      <c r="AQ41" s="120">
        <v>1</v>
      </c>
      <c r="AR41" s="121">
        <f>+Tabla3172145[[#This Row],[TOTAL]]*Tabla3172145[[#This Row],[% de las personas que lo usaron]]</f>
        <v>1264337.2607999684</v>
      </c>
      <c r="AS41" s="246" t="s">
        <v>356</v>
      </c>
      <c r="AT41" s="246">
        <v>18</v>
      </c>
    </row>
    <row r="42" spans="1:46" x14ac:dyDescent="0.25">
      <c r="A42" s="7" t="s">
        <v>3</v>
      </c>
      <c r="B42" s="8" t="s">
        <v>4</v>
      </c>
      <c r="C42" s="96" t="str">
        <f>_xlfn.XLOOKUP(Tabla3172145[[#This Row],[Servicios del Programa:]],Tabla151[CODIGO],Tabla151[VALOR])</f>
        <v>Consultas</v>
      </c>
      <c r="D42" s="14">
        <v>1</v>
      </c>
      <c r="E42" s="56" cm="1">
        <f t="array" ref="E42">IF(D42="X",(_xlfn.XLOOKUP($B42,Tabla1[SERVICIO],Tabla1[VALOR])*1),IF(D42&gt;=1,_xlfn.XLOOKUP($B42,Tabla1[SERVICIO],Tabla1[VALOR]*D42),0))</f>
        <v>20406.13276336317</v>
      </c>
      <c r="F42" s="14"/>
      <c r="G42" s="56" cm="1">
        <f t="array" ref="G42">IF(F42="X",(_xlfn.XLOOKUP($B42,Tabla1[SERVICIO],Tabla1[VALOR])*1),IF(F42&gt;=1,_xlfn.XLOOKUP($B42,Tabla1[SERVICIO],Tabla1[VALOR]*F42),0))</f>
        <v>0</v>
      </c>
      <c r="H42" s="14"/>
      <c r="I42" s="56" cm="1">
        <f t="array" ref="I42">IF(H42="X",(_xlfn.XLOOKUP($B42,Tabla1[SERVICIO],Tabla1[VALOR])*1),IF(H42&gt;=1,_xlfn.XLOOKUP($B42,Tabla1[SERVICIO],Tabla1[VALOR]*H42),0))</f>
        <v>0</v>
      </c>
      <c r="J42" s="14"/>
      <c r="K42" s="56" cm="1">
        <f t="array" ref="K42">IF(J42="X",(_xlfn.XLOOKUP($B42,Tabla1[SERVICIO],Tabla1[VALOR])*1),IF(J42&gt;=1,_xlfn.XLOOKUP($B42,Tabla1[SERVICIO],Tabla1[VALOR]*J42),0))</f>
        <v>0</v>
      </c>
      <c r="L42" s="14"/>
      <c r="M42" s="56" cm="1">
        <f t="array" ref="M42">IF(L42="X",(_xlfn.XLOOKUP($B42,Tabla1[SERVICIO],Tabla1[VALOR])*1),IF(L42&gt;=1,_xlfn.XLOOKUP($B42,Tabla1[SERVICIO],Tabla1[VALOR]*L42),0))</f>
        <v>0</v>
      </c>
      <c r="N42" s="14"/>
      <c r="O42" s="56" cm="1">
        <f t="array" ref="O42">IF(N42="X",(_xlfn.XLOOKUP($B42,Tabla1[SERVICIO],Tabla1[VALOR])*1),IF(N42&gt;=1,_xlfn.XLOOKUP($B42,Tabla1[SERVICIO],Tabla1[VALOR]*N42),0))</f>
        <v>0</v>
      </c>
      <c r="P42" s="14"/>
      <c r="Q42" s="56" cm="1">
        <f t="array" ref="Q42">IF(P42="X",(_xlfn.XLOOKUP($B42,Tabla1[SERVICIO],Tabla1[VALOR])*1),IF(P42&gt;=1,_xlfn.XLOOKUP($B42,Tabla1[SERVICIO],Tabla1[VALOR]*P42),0))</f>
        <v>0</v>
      </c>
      <c r="R42" s="14"/>
      <c r="S42" s="56" cm="1">
        <f t="array" ref="S42">IF(R42="X",(_xlfn.XLOOKUP($B42,Tabla1[SERVICIO],Tabla1[VALOR])*1),IF(R42&gt;=1,_xlfn.XLOOKUP($B42,Tabla1[SERVICIO],Tabla1[VALOR]*R42),0))</f>
        <v>0</v>
      </c>
      <c r="T42" s="14"/>
      <c r="U42" s="56" cm="1">
        <f t="array" ref="U42">IF(T42="X",(_xlfn.XLOOKUP($B42,Tabla1[SERVICIO],Tabla1[VALOR])*1),IF(T42&gt;=1,_xlfn.XLOOKUP($B42,Tabla1[SERVICIO],Tabla1[VALOR]*T42),0))</f>
        <v>0</v>
      </c>
      <c r="V42" s="14"/>
      <c r="W42" s="56" cm="1">
        <f t="array" ref="W42">IF(V42="X",(_xlfn.XLOOKUP($B42,Tabla1[SERVICIO],Tabla1[VALOR])*1),IF(V42&gt;=1,_xlfn.XLOOKUP($B42,Tabla1[SERVICIO],Tabla1[VALOR]*V42),0))</f>
        <v>0</v>
      </c>
      <c r="X42" s="14"/>
      <c r="Y42" s="56" cm="1">
        <f t="array" ref="Y42">IF(X42="X",(_xlfn.XLOOKUP($B42,Tabla1[SERVICIO],Tabla1[VALOR])*1),IF(X42&gt;=1,_xlfn.XLOOKUP($B42,Tabla1[SERVICIO],Tabla1[VALOR]*X42),0))</f>
        <v>0</v>
      </c>
      <c r="Z42" s="14"/>
      <c r="AA42" s="56" cm="1">
        <f t="array" ref="AA42">IF(Z42="X",(_xlfn.XLOOKUP($B42,Tabla1[SERVICIO],Tabla1[VALOR])*1),IF(Z42&gt;=1,_xlfn.XLOOKUP($B42,Tabla1[SERVICIO],Tabla1[VALOR]*Z42),0))</f>
        <v>0</v>
      </c>
      <c r="AB42" s="14"/>
      <c r="AC42" s="56" cm="1">
        <f t="array" ref="AC42">IF(AB42="X",(_xlfn.XLOOKUP($B42,Tabla1[SERVICIO],Tabla1[VALOR])*1),IF(AB42&gt;=1,_xlfn.XLOOKUP($B42,Tabla1[SERVICIO],Tabla1[VALOR]*AB42),0))</f>
        <v>0</v>
      </c>
      <c r="AD42" s="14"/>
      <c r="AE42" s="56" cm="1">
        <f t="array" ref="AE42">IF(AD42="X",(_xlfn.XLOOKUP($B42,Tabla1[SERVICIO],Tabla1[VALOR])*1),IF(AD42&gt;=1,_xlfn.XLOOKUP($B42,Tabla1[SERVICIO],Tabla1[VALOR]*AD42),0))</f>
        <v>0</v>
      </c>
      <c r="AF42" s="14"/>
      <c r="AG42" s="56" cm="1">
        <f t="array" ref="AG42">IF(AF42="X",(_xlfn.XLOOKUP($B42,Tabla1[SERVICIO],Tabla1[VALOR])*1),IF(AF42&gt;=1,_xlfn.XLOOKUP($B42,Tabla1[SERVICIO],Tabla1[VALOR]*AF42),0))</f>
        <v>0</v>
      </c>
      <c r="AH42" s="14"/>
      <c r="AI42" s="56" cm="1">
        <f t="array" ref="AI42">IF(AH42="X",(_xlfn.XLOOKUP($B42,Tabla1[SERVICIO],Tabla1[VALOR])*1),IF(AH42&gt;=1,_xlfn.XLOOKUP($B42,Tabla1[SERVICIO],Tabla1[VALOR]*AH42),0))</f>
        <v>0</v>
      </c>
      <c r="AJ42" s="14"/>
      <c r="AK42" s="56" cm="1">
        <f t="array" ref="AK42">IF(AJ42="X",(_xlfn.XLOOKUP($B42,Tabla1[SERVICIO],Tabla1[VALOR])*1),IF(AJ42&gt;=1,_xlfn.XLOOKUP($B42,Tabla1[SERVICIO],Tabla1[VALOR]*AJ42),0))</f>
        <v>0</v>
      </c>
      <c r="AL42" s="14"/>
      <c r="AM42" s="56" cm="1">
        <f t="array" ref="AM42">IF(AL42="X",(_xlfn.XLOOKUP($B42,Tabla1[SERVICIO],Tabla1[VALOR])*1),IF(AL42&gt;=1,_xlfn.XLOOKUP($B42,Tabla1[SERVICIO],Tabla1[VALOR]*AL42),0))</f>
        <v>0</v>
      </c>
      <c r="AN42" s="89">
        <f t="shared" si="1"/>
        <v>20406.13276336317</v>
      </c>
      <c r="AO42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2" s="122" t="s">
        <v>318</v>
      </c>
      <c r="AQ42" s="120">
        <v>1</v>
      </c>
      <c r="AR42" s="121">
        <f>+Tabla3172145[[#This Row],[TOTAL]]*Tabla3172145[[#This Row],[% de las personas que lo usaron]]</f>
        <v>20406.13276336317</v>
      </c>
      <c r="AS42" s="246" t="s">
        <v>356</v>
      </c>
      <c r="AT42" s="246">
        <v>18</v>
      </c>
    </row>
    <row r="43" spans="1:46" x14ac:dyDescent="0.25">
      <c r="A43" s="7" t="s">
        <v>15</v>
      </c>
      <c r="B43" s="8" t="s">
        <v>16</v>
      </c>
      <c r="C43" s="96" t="str">
        <f>_xlfn.XLOOKUP(Tabla3172145[[#This Row],[Servicios del Programa:]],Tabla151[CODIGO],Tabla151[VALOR])</f>
        <v>Consultas</v>
      </c>
      <c r="D43" s="8"/>
      <c r="E43" s="56" cm="1">
        <f t="array" ref="E43">IF(D43="X",(_xlfn.XLOOKUP($B43,Tabla1[SERVICIO],Tabla1[VALOR])*1),IF(D43&gt;=1,_xlfn.XLOOKUP($B43,Tabla1[SERVICIO],Tabla1[VALOR]*D43),0))</f>
        <v>0</v>
      </c>
      <c r="F43" s="8"/>
      <c r="G43" s="56" cm="1">
        <f t="array" ref="G43">IF(F43="X",(_xlfn.XLOOKUP($B43,Tabla1[SERVICIO],Tabla1[VALOR])*1),IF(F43&gt;=1,_xlfn.XLOOKUP($B43,Tabla1[SERVICIO],Tabla1[VALOR]*F43),0))</f>
        <v>0</v>
      </c>
      <c r="H43" s="8"/>
      <c r="I43" s="56" cm="1">
        <f t="array" ref="I43">IF(H43="X",(_xlfn.XLOOKUP($B43,Tabla1[SERVICIO],Tabla1[VALOR])*1),IF(H43&gt;=1,_xlfn.XLOOKUP($B43,Tabla1[SERVICIO],Tabla1[VALOR]*H43),0))</f>
        <v>0</v>
      </c>
      <c r="J43" s="8"/>
      <c r="K43" s="56" cm="1">
        <f t="array" ref="K43">IF(J43="X",(_xlfn.XLOOKUP($B43,Tabla1[SERVICIO],Tabla1[VALOR])*1),IF(J43&gt;=1,_xlfn.XLOOKUP($B43,Tabla1[SERVICIO],Tabla1[VALOR]*J43),0))</f>
        <v>0</v>
      </c>
      <c r="L43" s="8"/>
      <c r="M43" s="56" cm="1">
        <f t="array" ref="M43">IF(L43="X",(_xlfn.XLOOKUP($B43,Tabla1[SERVICIO],Tabla1[VALOR])*1),IF(L43&gt;=1,_xlfn.XLOOKUP($B43,Tabla1[SERVICIO],Tabla1[VALOR]*L43),0))</f>
        <v>0</v>
      </c>
      <c r="N43" s="14">
        <v>1</v>
      </c>
      <c r="O43" s="56" cm="1">
        <f t="array" ref="O43">IF(N43="X",(_xlfn.XLOOKUP($B43,Tabla1[SERVICIO],Tabla1[VALOR])*1),IF(N43&gt;=1,_xlfn.XLOOKUP($B43,Tabla1[SERVICIO],Tabla1[VALOR]*N43),0))</f>
        <v>22052.520800552971</v>
      </c>
      <c r="P43" s="8"/>
      <c r="Q43" s="56" cm="1">
        <f t="array" ref="Q43">IF(P43="X",(_xlfn.XLOOKUP($B43,Tabla1[SERVICIO],Tabla1[VALOR])*1),IF(P43&gt;=1,_xlfn.XLOOKUP($B43,Tabla1[SERVICIO],Tabla1[VALOR]*P43),0))</f>
        <v>0</v>
      </c>
      <c r="R43" s="8"/>
      <c r="S43" s="56" cm="1">
        <f t="array" ref="S43">IF(R43="X",(_xlfn.XLOOKUP($B43,Tabla1[SERVICIO],Tabla1[VALOR])*1),IF(R43&gt;=1,_xlfn.XLOOKUP($B43,Tabla1[SERVICIO],Tabla1[VALOR]*R43),0))</f>
        <v>0</v>
      </c>
      <c r="T43" s="8"/>
      <c r="U43" s="56" cm="1">
        <f t="array" ref="U43">IF(T43="X",(_xlfn.XLOOKUP($B43,Tabla1[SERVICIO],Tabla1[VALOR])*1),IF(T43&gt;=1,_xlfn.XLOOKUP($B43,Tabla1[SERVICIO],Tabla1[VALOR]*T43),0))</f>
        <v>0</v>
      </c>
      <c r="V43" s="8"/>
      <c r="W43" s="56" cm="1">
        <f t="array" ref="W43">IF(V43="X",(_xlfn.XLOOKUP($B43,Tabla1[SERVICIO],Tabla1[VALOR])*1),IF(V43&gt;=1,_xlfn.XLOOKUP($B43,Tabla1[SERVICIO],Tabla1[VALOR]*V43),0))</f>
        <v>0</v>
      </c>
      <c r="X43" s="8"/>
      <c r="Y43" s="56" cm="1">
        <f t="array" ref="Y43">IF(X43="X",(_xlfn.XLOOKUP($B43,Tabla1[SERVICIO],Tabla1[VALOR])*1),IF(X43&gt;=1,_xlfn.XLOOKUP($B43,Tabla1[SERVICIO],Tabla1[VALOR]*X43),0))</f>
        <v>0</v>
      </c>
      <c r="Z43" s="8"/>
      <c r="AA43" s="56" cm="1">
        <f t="array" ref="AA43">IF(Z43="X",(_xlfn.XLOOKUP($B43,Tabla1[SERVICIO],Tabla1[VALOR])*1),IF(Z43&gt;=1,_xlfn.XLOOKUP($B43,Tabla1[SERVICIO],Tabla1[VALOR]*Z43),0))</f>
        <v>0</v>
      </c>
      <c r="AB43" s="8"/>
      <c r="AC43" s="56" cm="1">
        <f t="array" ref="AC43">IF(AB43="X",(_xlfn.XLOOKUP($B43,Tabla1[SERVICIO],Tabla1[VALOR])*1),IF(AB43&gt;=1,_xlfn.XLOOKUP($B43,Tabla1[SERVICIO],Tabla1[VALOR]*AB43),0))</f>
        <v>0</v>
      </c>
      <c r="AD43" s="8"/>
      <c r="AE43" s="56" cm="1">
        <f t="array" ref="AE43">IF(AD43="X",(_xlfn.XLOOKUP($B43,Tabla1[SERVICIO],Tabla1[VALOR])*1),IF(AD43&gt;=1,_xlfn.XLOOKUP($B43,Tabla1[SERVICIO],Tabla1[VALOR]*AD43),0))</f>
        <v>0</v>
      </c>
      <c r="AF43" s="8"/>
      <c r="AG43" s="56" cm="1">
        <f t="array" ref="AG43">IF(AF43="X",(_xlfn.XLOOKUP($B43,Tabla1[SERVICIO],Tabla1[VALOR])*1),IF(AF43&gt;=1,_xlfn.XLOOKUP($B43,Tabla1[SERVICIO],Tabla1[VALOR]*AF43),0))</f>
        <v>0</v>
      </c>
      <c r="AH43" s="8"/>
      <c r="AI43" s="56" cm="1">
        <f t="array" ref="AI43">IF(AH43="X",(_xlfn.XLOOKUP($B43,Tabla1[SERVICIO],Tabla1[VALOR])*1),IF(AH43&gt;=1,_xlfn.XLOOKUP($B43,Tabla1[SERVICIO],Tabla1[VALOR]*AH43),0))</f>
        <v>0</v>
      </c>
      <c r="AJ43" s="8"/>
      <c r="AK43" s="56" cm="1">
        <f t="array" ref="AK43">IF(AJ43="X",(_xlfn.XLOOKUP($B43,Tabla1[SERVICIO],Tabla1[VALOR])*1),IF(AJ43&gt;=1,_xlfn.XLOOKUP($B43,Tabla1[SERVICIO],Tabla1[VALOR]*AJ43),0))</f>
        <v>0</v>
      </c>
      <c r="AL43" s="14">
        <v>1</v>
      </c>
      <c r="AM43" s="56" cm="1">
        <f t="array" ref="AM43">IF(AL43="X",(_xlfn.XLOOKUP($B43,Tabla1[SERVICIO],Tabla1[VALOR])*1),IF(AL43&gt;=1,_xlfn.XLOOKUP($B43,Tabla1[SERVICIO],Tabla1[VALOR]*AL43),0))</f>
        <v>22052.520800552971</v>
      </c>
      <c r="AN43" s="89">
        <f t="shared" si="1"/>
        <v>44105.041601105942</v>
      </c>
      <c r="AO43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2</v>
      </c>
      <c r="AP43" s="122" t="s">
        <v>318</v>
      </c>
      <c r="AQ43" s="120">
        <v>1</v>
      </c>
      <c r="AR43" s="121">
        <f>+Tabla3172145[[#This Row],[TOTAL]]*Tabla3172145[[#This Row],[% de las personas que lo usaron]]</f>
        <v>44105.041601105942</v>
      </c>
      <c r="AS43" s="246" t="s">
        <v>356</v>
      </c>
      <c r="AT43" s="246">
        <v>18</v>
      </c>
    </row>
    <row r="44" spans="1:46" x14ac:dyDescent="0.25">
      <c r="A44" s="7" t="s">
        <v>1</v>
      </c>
      <c r="B44" s="8" t="s">
        <v>2</v>
      </c>
      <c r="C44" s="96" t="str">
        <f>_xlfn.XLOOKUP(Tabla3172145[[#This Row],[Servicios del Programa:]],Tabla151[CODIGO],Tabla151[VALOR])</f>
        <v>Consultas</v>
      </c>
      <c r="D44" s="14"/>
      <c r="E44" s="56" cm="1">
        <f t="array" ref="E44">IF(D44="X",(_xlfn.XLOOKUP($B44,Tabla1[SERVICIO],Tabla1[VALOR])*1),IF(D44&gt;=1,_xlfn.XLOOKUP($B44,Tabla1[SERVICIO],Tabla1[VALOR]*D44),0))</f>
        <v>0</v>
      </c>
      <c r="F44" s="14"/>
      <c r="G44" s="56" cm="1">
        <f t="array" ref="G44">IF(F44="X",(_xlfn.XLOOKUP($B44,Tabla1[SERVICIO],Tabla1[VALOR])*1),IF(F44&gt;=1,_xlfn.XLOOKUP($B44,Tabla1[SERVICIO],Tabla1[VALOR]*F44),0))</f>
        <v>0</v>
      </c>
      <c r="H44" s="14"/>
      <c r="I44" s="56" cm="1">
        <f t="array" ref="I44">IF(H44="X",(_xlfn.XLOOKUP($B44,Tabla1[SERVICIO],Tabla1[VALOR])*1),IF(H44&gt;=1,_xlfn.XLOOKUP($B44,Tabla1[SERVICIO],Tabla1[VALOR]*H44),0))</f>
        <v>0</v>
      </c>
      <c r="J44" s="14"/>
      <c r="K44" s="56" cm="1">
        <f t="array" ref="K44">IF(J44="X",(_xlfn.XLOOKUP($B44,Tabla1[SERVICIO],Tabla1[VALOR])*1),IF(J44&gt;=1,_xlfn.XLOOKUP($B44,Tabla1[SERVICIO],Tabla1[VALOR]*J44),0))</f>
        <v>0</v>
      </c>
      <c r="L44" s="14"/>
      <c r="M44" s="56" cm="1">
        <f t="array" ref="M44">IF(L44="X",(_xlfn.XLOOKUP($B44,Tabla1[SERVICIO],Tabla1[VALOR])*1),IF(L44&gt;=1,_xlfn.XLOOKUP($B44,Tabla1[SERVICIO],Tabla1[VALOR]*L44),0))</f>
        <v>0</v>
      </c>
      <c r="N44" s="14"/>
      <c r="O44" s="56" cm="1">
        <f t="array" ref="O44">IF(N44="X",(_xlfn.XLOOKUP($B44,Tabla1[SERVICIO],Tabla1[VALOR])*1),IF(N44&gt;=1,_xlfn.XLOOKUP($B44,Tabla1[SERVICIO],Tabla1[VALOR]*N44),0))</f>
        <v>0</v>
      </c>
      <c r="P44" s="14"/>
      <c r="Q44" s="56" cm="1">
        <f t="array" ref="Q44">IF(P44="X",(_xlfn.XLOOKUP($B44,Tabla1[SERVICIO],Tabla1[VALOR])*1),IF(P44&gt;=1,_xlfn.XLOOKUP($B44,Tabla1[SERVICIO],Tabla1[VALOR]*P44),0))</f>
        <v>0</v>
      </c>
      <c r="R44" s="14"/>
      <c r="S44" s="56" cm="1">
        <f t="array" ref="S44">IF(R44="X",(_xlfn.XLOOKUP($B44,Tabla1[SERVICIO],Tabla1[VALOR])*1),IF(R44&gt;=1,_xlfn.XLOOKUP($B44,Tabla1[SERVICIO],Tabla1[VALOR]*R44),0))</f>
        <v>0</v>
      </c>
      <c r="T44" s="14"/>
      <c r="U44" s="56" cm="1">
        <f t="array" ref="U44">IF(T44="X",(_xlfn.XLOOKUP($B44,Tabla1[SERVICIO],Tabla1[VALOR])*1),IF(T44&gt;=1,_xlfn.XLOOKUP($B44,Tabla1[SERVICIO],Tabla1[VALOR]*T44),0))</f>
        <v>0</v>
      </c>
      <c r="V44" s="14"/>
      <c r="W44" s="56" cm="1">
        <f t="array" ref="W44">IF(V44="X",(_xlfn.XLOOKUP($B44,Tabla1[SERVICIO],Tabla1[VALOR])*1),IF(V44&gt;=1,_xlfn.XLOOKUP($B44,Tabla1[SERVICIO],Tabla1[VALOR]*V44),0))</f>
        <v>0</v>
      </c>
      <c r="X44" s="14"/>
      <c r="Y44" s="56" cm="1">
        <f t="array" ref="Y44">IF(X44="X",(_xlfn.XLOOKUP($B44,Tabla1[SERVICIO],Tabla1[VALOR])*1),IF(X44&gt;=1,_xlfn.XLOOKUP($B44,Tabla1[SERVICIO],Tabla1[VALOR]*X44),0))</f>
        <v>0</v>
      </c>
      <c r="Z44" s="14"/>
      <c r="AA44" s="56" cm="1">
        <f t="array" ref="AA44">IF(Z44="X",(_xlfn.XLOOKUP($B44,Tabla1[SERVICIO],Tabla1[VALOR])*1),IF(Z44&gt;=1,_xlfn.XLOOKUP($B44,Tabla1[SERVICIO],Tabla1[VALOR]*Z44),0))</f>
        <v>0</v>
      </c>
      <c r="AB44" s="14"/>
      <c r="AC44" s="56" cm="1">
        <f t="array" ref="AC44">IF(AB44="X",(_xlfn.XLOOKUP($B44,Tabla1[SERVICIO],Tabla1[VALOR])*1),IF(AB44&gt;=1,_xlfn.XLOOKUP($B44,Tabla1[SERVICIO],Tabla1[VALOR]*AB44),0))</f>
        <v>0</v>
      </c>
      <c r="AD44" s="14"/>
      <c r="AE44" s="56" cm="1">
        <f t="array" ref="AE44">IF(AD44="X",(_xlfn.XLOOKUP($B44,Tabla1[SERVICIO],Tabla1[VALOR])*1),IF(AD44&gt;=1,_xlfn.XLOOKUP($B44,Tabla1[SERVICIO],Tabla1[VALOR]*AD44),0))</f>
        <v>0</v>
      </c>
      <c r="AF44" s="14"/>
      <c r="AG44" s="56" cm="1">
        <f t="array" ref="AG44">IF(AF44="X",(_xlfn.XLOOKUP($B44,Tabla1[SERVICIO],Tabla1[VALOR])*1),IF(AF44&gt;=1,_xlfn.XLOOKUP($B44,Tabla1[SERVICIO],Tabla1[VALOR]*AF44),0))</f>
        <v>0</v>
      </c>
      <c r="AH44" s="14"/>
      <c r="AI44" s="56" cm="1">
        <f t="array" ref="AI44">IF(AH44="X",(_xlfn.XLOOKUP($B44,Tabla1[SERVICIO],Tabla1[VALOR])*1),IF(AH44&gt;=1,_xlfn.XLOOKUP($B44,Tabla1[SERVICIO],Tabla1[VALOR]*AH44),0))</f>
        <v>0</v>
      </c>
      <c r="AJ44" s="14"/>
      <c r="AK44" s="56" cm="1">
        <f t="array" ref="AK44">IF(AJ44="X",(_xlfn.XLOOKUP($B44,Tabla1[SERVICIO],Tabla1[VALOR])*1),IF(AJ44&gt;=1,_xlfn.XLOOKUP($B44,Tabla1[SERVICIO],Tabla1[VALOR]*AJ44),0))</f>
        <v>0</v>
      </c>
      <c r="AL44" s="14">
        <v>1</v>
      </c>
      <c r="AM44" s="56" cm="1">
        <f t="array" ref="AM44">IF(AL44="X",(_xlfn.XLOOKUP($B44,Tabla1[SERVICIO],Tabla1[VALOR])*1),IF(AL44&gt;=1,_xlfn.XLOOKUP($B44,Tabla1[SERVICIO],Tabla1[VALOR]*AL44),0))</f>
        <v>21014.39667403782</v>
      </c>
      <c r="AN44" s="89">
        <f t="shared" si="1"/>
        <v>21014.39667403782</v>
      </c>
      <c r="AO44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4" s="122" t="s">
        <v>318</v>
      </c>
      <c r="AQ44" s="120">
        <v>1</v>
      </c>
      <c r="AR44" s="121">
        <f>+Tabla3172145[[#This Row],[TOTAL]]*Tabla3172145[[#This Row],[% de las personas que lo usaron]]</f>
        <v>21014.39667403782</v>
      </c>
      <c r="AS44" s="246" t="s">
        <v>356</v>
      </c>
      <c r="AT44" s="246">
        <v>18</v>
      </c>
    </row>
    <row r="45" spans="1:46" x14ac:dyDescent="0.25">
      <c r="A45" s="7" t="s">
        <v>19</v>
      </c>
      <c r="B45" s="8" t="s">
        <v>20</v>
      </c>
      <c r="C45" s="96" t="str">
        <f>_xlfn.XLOOKUP(Tabla3172145[[#This Row],[Servicios del Programa:]],Tabla151[CODIGO],Tabla151[VALOR])</f>
        <v>Consultas</v>
      </c>
      <c r="D45" s="14">
        <v>1</v>
      </c>
      <c r="E45" s="56" cm="1">
        <f t="array" ref="E45">IF(D45="X",(_xlfn.XLOOKUP($B45,Tabla1[SERVICIO],Tabla1[VALOR])*1),IF(D45&gt;=1,_xlfn.XLOOKUP($B45,Tabla1[SERVICIO],Tabla1[VALOR]*D45),0))</f>
        <v>67398.098568534639</v>
      </c>
      <c r="F45" s="14"/>
      <c r="G45" s="56" cm="1">
        <f t="array" ref="G45">IF(F45="X",(_xlfn.XLOOKUP($B45,Tabla1[SERVICIO],Tabla1[VALOR])*1),IF(F45&gt;=1,_xlfn.XLOOKUP($B45,Tabla1[SERVICIO],Tabla1[VALOR]*F45),0))</f>
        <v>0</v>
      </c>
      <c r="H45" s="14"/>
      <c r="I45" s="56" cm="1">
        <f t="array" ref="I45">IF(H45="X",(_xlfn.XLOOKUP($B45,Tabla1[SERVICIO],Tabla1[VALOR])*1),IF(H45&gt;=1,_xlfn.XLOOKUP($B45,Tabla1[SERVICIO],Tabla1[VALOR]*H45),0))</f>
        <v>0</v>
      </c>
      <c r="J45" s="14"/>
      <c r="K45" s="56" cm="1">
        <f t="array" ref="K45">IF(J45="X",(_xlfn.XLOOKUP($B45,Tabla1[SERVICIO],Tabla1[VALOR])*1),IF(J45&gt;=1,_xlfn.XLOOKUP($B45,Tabla1[SERVICIO],Tabla1[VALOR]*J45),0))</f>
        <v>0</v>
      </c>
      <c r="L45" s="14"/>
      <c r="M45" s="56" cm="1">
        <f t="array" ref="M45">IF(L45="X",(_xlfn.XLOOKUP($B45,Tabla1[SERVICIO],Tabla1[VALOR])*1),IF(L45&gt;=1,_xlfn.XLOOKUP($B45,Tabla1[SERVICIO],Tabla1[VALOR]*L45),0))</f>
        <v>0</v>
      </c>
      <c r="N45" s="14"/>
      <c r="O45" s="56" cm="1">
        <f t="array" ref="O45">IF(N45="X",(_xlfn.XLOOKUP($B45,Tabla1[SERVICIO],Tabla1[VALOR])*1),IF(N45&gt;=1,_xlfn.XLOOKUP($B45,Tabla1[SERVICIO],Tabla1[VALOR]*N45),0))</f>
        <v>0</v>
      </c>
      <c r="P45" s="14"/>
      <c r="Q45" s="56" cm="1">
        <f t="array" ref="Q45">IF(P45="X",(_xlfn.XLOOKUP($B45,Tabla1[SERVICIO],Tabla1[VALOR])*1),IF(P45&gt;=1,_xlfn.XLOOKUP($B45,Tabla1[SERVICIO],Tabla1[VALOR]*P45),0))</f>
        <v>0</v>
      </c>
      <c r="R45" s="14"/>
      <c r="S45" s="56" cm="1">
        <f t="array" ref="S45">IF(R45="X",(_xlfn.XLOOKUP($B45,Tabla1[SERVICIO],Tabla1[VALOR])*1),IF(R45&gt;=1,_xlfn.XLOOKUP($B45,Tabla1[SERVICIO],Tabla1[VALOR]*R45),0))</f>
        <v>0</v>
      </c>
      <c r="T45" s="14"/>
      <c r="U45" s="56" cm="1">
        <f t="array" ref="U45">IF(T45="X",(_xlfn.XLOOKUP($B45,Tabla1[SERVICIO],Tabla1[VALOR])*1),IF(T45&gt;=1,_xlfn.XLOOKUP($B45,Tabla1[SERVICIO],Tabla1[VALOR]*T45),0))</f>
        <v>0</v>
      </c>
      <c r="V45" s="14"/>
      <c r="W45" s="56" cm="1">
        <f t="array" ref="W45">IF(V45="X",(_xlfn.XLOOKUP($B45,Tabla1[SERVICIO],Tabla1[VALOR])*1),IF(V45&gt;=1,_xlfn.XLOOKUP($B45,Tabla1[SERVICIO],Tabla1[VALOR]*V45),0))</f>
        <v>0</v>
      </c>
      <c r="X45" s="14"/>
      <c r="Y45" s="56" cm="1">
        <f t="array" ref="Y45">IF(X45="X",(_xlfn.XLOOKUP($B45,Tabla1[SERVICIO],Tabla1[VALOR])*1),IF(X45&gt;=1,_xlfn.XLOOKUP($B45,Tabla1[SERVICIO],Tabla1[VALOR]*X45),0))</f>
        <v>0</v>
      </c>
      <c r="Z45" s="14"/>
      <c r="AA45" s="56" cm="1">
        <f t="array" ref="AA45">IF(Z45="X",(_xlfn.XLOOKUP($B45,Tabla1[SERVICIO],Tabla1[VALOR])*1),IF(Z45&gt;=1,_xlfn.XLOOKUP($B45,Tabla1[SERVICIO],Tabla1[VALOR]*Z45),0))</f>
        <v>0</v>
      </c>
      <c r="AB45" s="14"/>
      <c r="AC45" s="56" cm="1">
        <f t="array" ref="AC45">IF(AB45="X",(_xlfn.XLOOKUP($B45,Tabla1[SERVICIO],Tabla1[VALOR])*1),IF(AB45&gt;=1,_xlfn.XLOOKUP($B45,Tabla1[SERVICIO],Tabla1[VALOR]*AB45),0))</f>
        <v>0</v>
      </c>
      <c r="AD45" s="14"/>
      <c r="AE45" s="56" cm="1">
        <f t="array" ref="AE45">IF(AD45="X",(_xlfn.XLOOKUP($B45,Tabla1[SERVICIO],Tabla1[VALOR])*1),IF(AD45&gt;=1,_xlfn.XLOOKUP($B45,Tabla1[SERVICIO],Tabla1[VALOR]*AD45),0))</f>
        <v>0</v>
      </c>
      <c r="AF45" s="14"/>
      <c r="AG45" s="56" cm="1">
        <f t="array" ref="AG45">IF(AF45="X",(_xlfn.XLOOKUP($B45,Tabla1[SERVICIO],Tabla1[VALOR])*1),IF(AF45&gt;=1,_xlfn.XLOOKUP($B45,Tabla1[SERVICIO],Tabla1[VALOR]*AF45),0))</f>
        <v>0</v>
      </c>
      <c r="AH45" s="14"/>
      <c r="AI45" s="56" cm="1">
        <f t="array" ref="AI45">IF(AH45="X",(_xlfn.XLOOKUP($B45,Tabla1[SERVICIO],Tabla1[VALOR])*1),IF(AH45&gt;=1,_xlfn.XLOOKUP($B45,Tabla1[SERVICIO],Tabla1[VALOR]*AH45),0))</f>
        <v>0</v>
      </c>
      <c r="AJ45" s="14"/>
      <c r="AK45" s="56" cm="1">
        <f t="array" ref="AK45">IF(AJ45="X",(_xlfn.XLOOKUP($B45,Tabla1[SERVICIO],Tabla1[VALOR])*1),IF(AJ45&gt;=1,_xlfn.XLOOKUP($B45,Tabla1[SERVICIO],Tabla1[VALOR]*AJ45),0))</f>
        <v>0</v>
      </c>
      <c r="AL45" s="14"/>
      <c r="AM45" s="56" cm="1">
        <f t="array" ref="AM45">IF(AL45="X",(_xlfn.XLOOKUP($B45,Tabla1[SERVICIO],Tabla1[VALOR])*1),IF(AL45&gt;=1,_xlfn.XLOOKUP($B45,Tabla1[SERVICIO],Tabla1[VALOR]*AL45),0))</f>
        <v>0</v>
      </c>
      <c r="AN45" s="89">
        <f t="shared" si="1"/>
        <v>67398.098568534639</v>
      </c>
      <c r="AO45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5" s="37" t="s">
        <v>319</v>
      </c>
      <c r="AQ45" s="120">
        <v>6.6666666666666666E-2</v>
      </c>
      <c r="AR45" s="121">
        <f>+Tabla3172145[[#This Row],[TOTAL]]*Tabla3172145[[#This Row],[% de las personas que lo usaron]]</f>
        <v>4493.2065712356425</v>
      </c>
      <c r="AS45" s="246" t="s">
        <v>356</v>
      </c>
      <c r="AT45" s="246">
        <v>18</v>
      </c>
    </row>
    <row r="46" spans="1:46" x14ac:dyDescent="0.25">
      <c r="A46" s="7" t="s">
        <v>21</v>
      </c>
      <c r="B46" s="8" t="s">
        <v>221</v>
      </c>
      <c r="C46" s="96" t="str">
        <f>_xlfn.XLOOKUP(Tabla3172145[[#This Row],[Servicios del Programa:]],Tabla151[CODIGO],Tabla151[VALOR])</f>
        <v>Consultas</v>
      </c>
      <c r="D46" s="14">
        <v>1</v>
      </c>
      <c r="E46" s="56" cm="1">
        <f t="array" ref="E46">IF(D46="X",(_xlfn.XLOOKUP($B46,Tabla1[SERVICIO],Tabla1[VALOR])*1),IF(D46&gt;=1,_xlfn.XLOOKUP($B46,Tabla1[SERVICIO],Tabla1[VALOR]*D46),0))</f>
        <v>67398.098568534639</v>
      </c>
      <c r="F46" s="14">
        <v>1</v>
      </c>
      <c r="G46" s="56" cm="1">
        <f t="array" ref="G46">IF(F46="X",(_xlfn.XLOOKUP($B46,Tabla1[SERVICIO],Tabla1[VALOR])*1),IF(F46&gt;=1,_xlfn.XLOOKUP($B46,Tabla1[SERVICIO],Tabla1[VALOR]*F46),0))</f>
        <v>67398.098568534639</v>
      </c>
      <c r="H46" s="14">
        <v>1</v>
      </c>
      <c r="I46" s="56" cm="1">
        <f t="array" ref="I46">IF(H46="X",(_xlfn.XLOOKUP($B46,Tabla1[SERVICIO],Tabla1[VALOR])*1),IF(H46&gt;=1,_xlfn.XLOOKUP($B46,Tabla1[SERVICIO],Tabla1[VALOR]*H46),0))</f>
        <v>67398.098568534639</v>
      </c>
      <c r="J46" s="14">
        <v>1</v>
      </c>
      <c r="K46" s="56" cm="1">
        <f t="array" ref="K46">IF(J46="X",(_xlfn.XLOOKUP($B46,Tabla1[SERVICIO],Tabla1[VALOR])*1),IF(J46&gt;=1,_xlfn.XLOOKUP($B46,Tabla1[SERVICIO],Tabla1[VALOR]*J46),0))</f>
        <v>67398.098568534639</v>
      </c>
      <c r="L46" s="14">
        <v>1</v>
      </c>
      <c r="M46" s="56" cm="1">
        <f t="array" ref="M46">IF(L46="X",(_xlfn.XLOOKUP($B46,Tabla1[SERVICIO],Tabla1[VALOR])*1),IF(L46&gt;=1,_xlfn.XLOOKUP($B46,Tabla1[SERVICIO],Tabla1[VALOR]*L46),0))</f>
        <v>67398.098568534639</v>
      </c>
      <c r="N46" s="14">
        <v>1</v>
      </c>
      <c r="O46" s="56" cm="1">
        <f t="array" ref="O46">IF(N46="X",(_xlfn.XLOOKUP($B46,Tabla1[SERVICIO],Tabla1[VALOR])*1),IF(N46&gt;=1,_xlfn.XLOOKUP($B46,Tabla1[SERVICIO],Tabla1[VALOR]*N46),0))</f>
        <v>67398.098568534639</v>
      </c>
      <c r="P46" s="14">
        <v>1</v>
      </c>
      <c r="Q46" s="56" cm="1">
        <f t="array" ref="Q46">IF(P46="X",(_xlfn.XLOOKUP($B46,Tabla1[SERVICIO],Tabla1[VALOR])*1),IF(P46&gt;=1,_xlfn.XLOOKUP($B46,Tabla1[SERVICIO],Tabla1[VALOR]*P46),0))</f>
        <v>67398.098568534639</v>
      </c>
      <c r="R46" s="14">
        <v>1</v>
      </c>
      <c r="S46" s="56" cm="1">
        <f t="array" ref="S46">IF(R46="X",(_xlfn.XLOOKUP($B46,Tabla1[SERVICIO],Tabla1[VALOR])*1),IF(R46&gt;=1,_xlfn.XLOOKUP($B46,Tabla1[SERVICIO],Tabla1[VALOR]*R46),0))</f>
        <v>67398.098568534639</v>
      </c>
      <c r="T46" s="14">
        <v>1</v>
      </c>
      <c r="U46" s="56" cm="1">
        <f t="array" ref="U46">IF(T46="X",(_xlfn.XLOOKUP($B46,Tabla1[SERVICIO],Tabla1[VALOR])*1),IF(T46&gt;=1,_xlfn.XLOOKUP($B46,Tabla1[SERVICIO],Tabla1[VALOR]*T46),0))</f>
        <v>67398.098568534639</v>
      </c>
      <c r="V46" s="14">
        <v>1</v>
      </c>
      <c r="W46" s="56" cm="1">
        <f t="array" ref="W46">IF(V46="X",(_xlfn.XLOOKUP($B46,Tabla1[SERVICIO],Tabla1[VALOR])*1),IF(V46&gt;=1,_xlfn.XLOOKUP($B46,Tabla1[SERVICIO],Tabla1[VALOR]*V46),0))</f>
        <v>67398.098568534639</v>
      </c>
      <c r="X46" s="14">
        <v>1</v>
      </c>
      <c r="Y46" s="56" cm="1">
        <f t="array" ref="Y46">IF(X46="X",(_xlfn.XLOOKUP($B46,Tabla1[SERVICIO],Tabla1[VALOR])*1),IF(X46&gt;=1,_xlfn.XLOOKUP($B46,Tabla1[SERVICIO],Tabla1[VALOR]*X46),0))</f>
        <v>67398.098568534639</v>
      </c>
      <c r="Z46" s="14">
        <v>1</v>
      </c>
      <c r="AA46" s="56" cm="1">
        <f t="array" ref="AA46">IF(Z46="X",(_xlfn.XLOOKUP($B46,Tabla1[SERVICIO],Tabla1[VALOR])*1),IF(Z46&gt;=1,_xlfn.XLOOKUP($B46,Tabla1[SERVICIO],Tabla1[VALOR]*Z46),0))</f>
        <v>67398.098568534639</v>
      </c>
      <c r="AB46" s="14">
        <v>1</v>
      </c>
      <c r="AC46" s="56" cm="1">
        <f t="array" ref="AC46">IF(AB46="X",(_xlfn.XLOOKUP($B46,Tabla1[SERVICIO],Tabla1[VALOR])*1),IF(AB46&gt;=1,_xlfn.XLOOKUP($B46,Tabla1[SERVICIO],Tabla1[VALOR]*AB46),0))</f>
        <v>67398.098568534639</v>
      </c>
      <c r="AD46" s="14">
        <v>1</v>
      </c>
      <c r="AE46" s="56" cm="1">
        <f t="array" ref="AE46">IF(AD46="X",(_xlfn.XLOOKUP($B46,Tabla1[SERVICIO],Tabla1[VALOR])*1),IF(AD46&gt;=1,_xlfn.XLOOKUP($B46,Tabla1[SERVICIO],Tabla1[VALOR]*AD46),0))</f>
        <v>67398.098568534639</v>
      </c>
      <c r="AF46" s="14">
        <v>1</v>
      </c>
      <c r="AG46" s="56" cm="1">
        <f t="array" ref="AG46">IF(AF46="X",(_xlfn.XLOOKUP($B46,Tabla1[SERVICIO],Tabla1[VALOR])*1),IF(AF46&gt;=1,_xlfn.XLOOKUP($B46,Tabla1[SERVICIO],Tabla1[VALOR]*AF46),0))</f>
        <v>67398.098568534639</v>
      </c>
      <c r="AH46" s="14">
        <v>1</v>
      </c>
      <c r="AI46" s="56" cm="1">
        <f t="array" ref="AI46">IF(AH46="X",(_xlfn.XLOOKUP($B46,Tabla1[SERVICIO],Tabla1[VALOR])*1),IF(AH46&gt;=1,_xlfn.XLOOKUP($B46,Tabla1[SERVICIO],Tabla1[VALOR]*AH46),0))</f>
        <v>67398.098568534639</v>
      </c>
      <c r="AJ46" s="14">
        <v>1</v>
      </c>
      <c r="AK46" s="56" cm="1">
        <f t="array" ref="AK46">IF(AJ46="X",(_xlfn.XLOOKUP($B46,Tabla1[SERVICIO],Tabla1[VALOR])*1),IF(AJ46&gt;=1,_xlfn.XLOOKUP($B46,Tabla1[SERVICIO],Tabla1[VALOR]*AJ46),0))</f>
        <v>67398.098568534639</v>
      </c>
      <c r="AL46" s="14">
        <v>1</v>
      </c>
      <c r="AM46" s="56" cm="1">
        <f t="array" ref="AM46">IF(AL46="X",(_xlfn.XLOOKUP($B46,Tabla1[SERVICIO],Tabla1[VALOR])*1),IF(AL46&gt;=1,_xlfn.XLOOKUP($B46,Tabla1[SERVICIO],Tabla1[VALOR]*AL46),0))</f>
        <v>67398.098568534639</v>
      </c>
      <c r="AN46" s="89">
        <f t="shared" si="1"/>
        <v>1213165.7742336234</v>
      </c>
      <c r="AO46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18</v>
      </c>
      <c r="AP46" s="37" t="s">
        <v>319</v>
      </c>
      <c r="AQ46" s="120">
        <v>0.4</v>
      </c>
      <c r="AR46" s="121">
        <f>+Tabla3172145[[#This Row],[TOTAL]]*Tabla3172145[[#This Row],[% de las personas que lo usaron]]</f>
        <v>485266.30969344941</v>
      </c>
      <c r="AS46" s="246" t="s">
        <v>356</v>
      </c>
      <c r="AT46" s="246">
        <v>18</v>
      </c>
    </row>
    <row r="47" spans="1:46" x14ac:dyDescent="0.25">
      <c r="A47" s="7" t="s">
        <v>52</v>
      </c>
      <c r="B47" s="8" t="s">
        <v>191</v>
      </c>
      <c r="C47" s="96" t="str">
        <f>_xlfn.XLOOKUP(Tabla3172145[[#This Row],[Servicios del Programa:]],Tabla151[CODIGO],Tabla151[VALOR])</f>
        <v>Consultas</v>
      </c>
      <c r="D47" s="14">
        <v>1</v>
      </c>
      <c r="E47" s="56" cm="1">
        <f t="array" ref="E47">IF(D47="X",(_xlfn.XLOOKUP($B47,Tabla1[SERVICIO],Tabla1[VALOR])*1),IF(D47&gt;=1,_xlfn.XLOOKUP($B47,Tabla1[SERVICIO],Tabla1[VALOR]*D47),0))</f>
        <v>26897.079640267821</v>
      </c>
      <c r="F47" s="14"/>
      <c r="G47" s="56" cm="1">
        <f t="array" ref="G47">IF(F47="X",(_xlfn.XLOOKUP($B47,Tabla1[SERVICIO],Tabla1[VALOR])*1),IF(F47&gt;=1,_xlfn.XLOOKUP($B47,Tabla1[SERVICIO],Tabla1[VALOR]*F47),0))</f>
        <v>0</v>
      </c>
      <c r="H47" s="14"/>
      <c r="I47" s="56" cm="1">
        <f t="array" ref="I47">IF(H47="X",(_xlfn.XLOOKUP($B47,Tabla1[SERVICIO],Tabla1[VALOR])*1),IF(H47&gt;=1,_xlfn.XLOOKUP($B47,Tabla1[SERVICIO],Tabla1[VALOR]*H47),0))</f>
        <v>0</v>
      </c>
      <c r="J47" s="14"/>
      <c r="K47" s="56" cm="1">
        <f t="array" ref="K47">IF(J47="X",(_xlfn.XLOOKUP($B47,Tabla1[SERVICIO],Tabla1[VALOR])*1),IF(J47&gt;=1,_xlfn.XLOOKUP($B47,Tabla1[SERVICIO],Tabla1[VALOR]*J47),0))</f>
        <v>0</v>
      </c>
      <c r="L47" s="14"/>
      <c r="M47" s="56" cm="1">
        <f t="array" ref="M47">IF(L47="X",(_xlfn.XLOOKUP($B47,Tabla1[SERVICIO],Tabla1[VALOR])*1),IF(L47&gt;=1,_xlfn.XLOOKUP($B47,Tabla1[SERVICIO],Tabla1[VALOR]*L47),0))</f>
        <v>0</v>
      </c>
      <c r="N47" s="14"/>
      <c r="O47" s="56" cm="1">
        <f t="array" ref="O47">IF(N47="X",(_xlfn.XLOOKUP($B47,Tabla1[SERVICIO],Tabla1[VALOR])*1),IF(N47&gt;=1,_xlfn.XLOOKUP($B47,Tabla1[SERVICIO],Tabla1[VALOR]*N47),0))</f>
        <v>0</v>
      </c>
      <c r="P47" s="14"/>
      <c r="Q47" s="56" cm="1">
        <f t="array" ref="Q47">IF(P47="X",(_xlfn.XLOOKUP($B47,Tabla1[SERVICIO],Tabla1[VALOR])*1),IF(P47&gt;=1,_xlfn.XLOOKUP($B47,Tabla1[SERVICIO],Tabla1[VALOR]*P47),0))</f>
        <v>0</v>
      </c>
      <c r="R47" s="14"/>
      <c r="S47" s="56" cm="1">
        <f t="array" ref="S47">IF(R47="X",(_xlfn.XLOOKUP($B47,Tabla1[SERVICIO],Tabla1[VALOR])*1),IF(R47&gt;=1,_xlfn.XLOOKUP($B47,Tabla1[SERVICIO],Tabla1[VALOR]*R47),0))</f>
        <v>0</v>
      </c>
      <c r="T47" s="14"/>
      <c r="U47" s="56" cm="1">
        <f t="array" ref="U47">IF(T47="X",(_xlfn.XLOOKUP($B47,Tabla1[SERVICIO],Tabla1[VALOR])*1),IF(T47&gt;=1,_xlfn.XLOOKUP($B47,Tabla1[SERVICIO],Tabla1[VALOR]*T47),0))</f>
        <v>0</v>
      </c>
      <c r="V47" s="14"/>
      <c r="W47" s="56" cm="1">
        <f t="array" ref="W47">IF(V47="X",(_xlfn.XLOOKUP($B47,Tabla1[SERVICIO],Tabla1[VALOR])*1),IF(V47&gt;=1,_xlfn.XLOOKUP($B47,Tabla1[SERVICIO],Tabla1[VALOR]*V47),0))</f>
        <v>0</v>
      </c>
      <c r="X47" s="14"/>
      <c r="Y47" s="56" cm="1">
        <f t="array" ref="Y47">IF(X47="X",(_xlfn.XLOOKUP($B47,Tabla1[SERVICIO],Tabla1[VALOR])*1),IF(X47&gt;=1,_xlfn.XLOOKUP($B47,Tabla1[SERVICIO],Tabla1[VALOR]*X47),0))</f>
        <v>0</v>
      </c>
      <c r="Z47" s="14"/>
      <c r="AA47" s="56" cm="1">
        <f t="array" ref="AA47">IF(Z47="X",(_xlfn.XLOOKUP($B47,Tabla1[SERVICIO],Tabla1[VALOR])*1),IF(Z47&gt;=1,_xlfn.XLOOKUP($B47,Tabla1[SERVICIO],Tabla1[VALOR]*Z47),0))</f>
        <v>0</v>
      </c>
      <c r="AB47" s="14"/>
      <c r="AC47" s="56" cm="1">
        <f t="array" ref="AC47">IF(AB47="X",(_xlfn.XLOOKUP($B47,Tabla1[SERVICIO],Tabla1[VALOR])*1),IF(AB47&gt;=1,_xlfn.XLOOKUP($B47,Tabla1[SERVICIO],Tabla1[VALOR]*AB47),0))</f>
        <v>0</v>
      </c>
      <c r="AD47" s="14"/>
      <c r="AE47" s="56" cm="1">
        <f t="array" ref="AE47">IF(AD47="X",(_xlfn.XLOOKUP($B47,Tabla1[SERVICIO],Tabla1[VALOR])*1),IF(AD47&gt;=1,_xlfn.XLOOKUP($B47,Tabla1[SERVICIO],Tabla1[VALOR]*AD47),0))</f>
        <v>0</v>
      </c>
      <c r="AF47" s="14"/>
      <c r="AG47" s="56" cm="1">
        <f t="array" ref="AG47">IF(AF47="X",(_xlfn.XLOOKUP($B47,Tabla1[SERVICIO],Tabla1[VALOR])*1),IF(AF47&gt;=1,_xlfn.XLOOKUP($B47,Tabla1[SERVICIO],Tabla1[VALOR]*AF47),0))</f>
        <v>0</v>
      </c>
      <c r="AH47" s="14"/>
      <c r="AI47" s="56" cm="1">
        <f t="array" ref="AI47">IF(AH47="X",(_xlfn.XLOOKUP($B47,Tabla1[SERVICIO],Tabla1[VALOR])*1),IF(AH47&gt;=1,_xlfn.XLOOKUP($B47,Tabla1[SERVICIO],Tabla1[VALOR]*AH47),0))</f>
        <v>0</v>
      </c>
      <c r="AJ47" s="14"/>
      <c r="AK47" s="56" cm="1">
        <f t="array" ref="AK47">IF(AJ47="X",(_xlfn.XLOOKUP($B47,Tabla1[SERVICIO],Tabla1[VALOR])*1),IF(AJ47&gt;=1,_xlfn.XLOOKUP($B47,Tabla1[SERVICIO],Tabla1[VALOR]*AJ47),0))</f>
        <v>0</v>
      </c>
      <c r="AL47" s="14"/>
      <c r="AM47" s="56" cm="1">
        <f t="array" ref="AM47">IF(AL47="X",(_xlfn.XLOOKUP($B47,Tabla1[SERVICIO],Tabla1[VALOR])*1),IF(AL47&gt;=1,_xlfn.XLOOKUP($B47,Tabla1[SERVICIO],Tabla1[VALOR]*AL47),0))</f>
        <v>0</v>
      </c>
      <c r="AN47" s="89">
        <f t="shared" si="1"/>
        <v>26897.079640267821</v>
      </c>
      <c r="AO47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7" s="37" t="s">
        <v>319</v>
      </c>
      <c r="AQ47" s="120">
        <v>0</v>
      </c>
      <c r="AR47" s="121">
        <f>+Tabla3172145[[#This Row],[TOTAL]]*Tabla3172145[[#This Row],[% de las personas que lo usaron]]</f>
        <v>0</v>
      </c>
      <c r="AS47" s="246" t="s">
        <v>356</v>
      </c>
      <c r="AT47" s="246">
        <v>18</v>
      </c>
    </row>
    <row r="48" spans="1:46" x14ac:dyDescent="0.25">
      <c r="A48" s="7" t="s">
        <v>53</v>
      </c>
      <c r="B48" s="8" t="s">
        <v>230</v>
      </c>
      <c r="C48" s="96" t="str">
        <f>_xlfn.XLOOKUP(Tabla3172145[[#This Row],[Servicios del Programa:]],Tabla151[CODIGO],Tabla151[VALOR])</f>
        <v>Consultas</v>
      </c>
      <c r="D48" s="14">
        <v>1</v>
      </c>
      <c r="E48" s="56" cm="1">
        <f t="array" ref="E48">IF(D48="X",(_xlfn.XLOOKUP($B48,Tabla1[SERVICIO],Tabla1[VALOR])*1),IF(D48&gt;=1,_xlfn.XLOOKUP($B48,Tabla1[SERVICIO],Tabla1[VALOR]*D48),0))</f>
        <v>26897.079640267817</v>
      </c>
      <c r="F48" s="14"/>
      <c r="G48" s="56" cm="1">
        <f t="array" ref="G48">IF(F48="X",(_xlfn.XLOOKUP($B48,Tabla1[SERVICIO],Tabla1[VALOR])*1),IF(F48&gt;=1,_xlfn.XLOOKUP($B48,Tabla1[SERVICIO],Tabla1[VALOR]*F48),0))</f>
        <v>0</v>
      </c>
      <c r="H48" s="14"/>
      <c r="I48" s="56" cm="1">
        <f t="array" ref="I48">IF(H48="X",(_xlfn.XLOOKUP($B48,Tabla1[SERVICIO],Tabla1[VALOR])*1),IF(H48&gt;=1,_xlfn.XLOOKUP($B48,Tabla1[SERVICIO],Tabla1[VALOR]*H48),0))</f>
        <v>0</v>
      </c>
      <c r="J48" s="14"/>
      <c r="K48" s="56" cm="1">
        <f t="array" ref="K48">IF(J48="X",(_xlfn.XLOOKUP($B48,Tabla1[SERVICIO],Tabla1[VALOR])*1),IF(J48&gt;=1,_xlfn.XLOOKUP($B48,Tabla1[SERVICIO],Tabla1[VALOR]*J48),0))</f>
        <v>0</v>
      </c>
      <c r="L48" s="14"/>
      <c r="M48" s="56" cm="1">
        <f t="array" ref="M48">IF(L48="X",(_xlfn.XLOOKUP($B48,Tabla1[SERVICIO],Tabla1[VALOR])*1),IF(L48&gt;=1,_xlfn.XLOOKUP($B48,Tabla1[SERVICIO],Tabla1[VALOR]*L48),0))</f>
        <v>0</v>
      </c>
      <c r="N48" s="14"/>
      <c r="O48" s="56" cm="1">
        <f t="array" ref="O48">IF(N48="X",(_xlfn.XLOOKUP($B48,Tabla1[SERVICIO],Tabla1[VALOR])*1),IF(N48&gt;=1,_xlfn.XLOOKUP($B48,Tabla1[SERVICIO],Tabla1[VALOR]*N48),0))</f>
        <v>0</v>
      </c>
      <c r="P48" s="14"/>
      <c r="Q48" s="56" cm="1">
        <f t="array" ref="Q48">IF(P48="X",(_xlfn.XLOOKUP($B48,Tabla1[SERVICIO],Tabla1[VALOR])*1),IF(P48&gt;=1,_xlfn.XLOOKUP($B48,Tabla1[SERVICIO],Tabla1[VALOR]*P48),0))</f>
        <v>0</v>
      </c>
      <c r="R48" s="14"/>
      <c r="S48" s="56" cm="1">
        <f t="array" ref="S48">IF(R48="X",(_xlfn.XLOOKUP($B48,Tabla1[SERVICIO],Tabla1[VALOR])*1),IF(R48&gt;=1,_xlfn.XLOOKUP($B48,Tabla1[SERVICIO],Tabla1[VALOR]*R48),0))</f>
        <v>0</v>
      </c>
      <c r="T48" s="14"/>
      <c r="U48" s="56" cm="1">
        <f t="array" ref="U48">IF(T48="X",(_xlfn.XLOOKUP($B48,Tabla1[SERVICIO],Tabla1[VALOR])*1),IF(T48&gt;=1,_xlfn.XLOOKUP($B48,Tabla1[SERVICIO],Tabla1[VALOR]*T48),0))</f>
        <v>0</v>
      </c>
      <c r="V48" s="14"/>
      <c r="W48" s="56" cm="1">
        <f t="array" ref="W48">IF(V48="X",(_xlfn.XLOOKUP($B48,Tabla1[SERVICIO],Tabla1[VALOR])*1),IF(V48&gt;=1,_xlfn.XLOOKUP($B48,Tabla1[SERVICIO],Tabla1[VALOR]*V48),0))</f>
        <v>0</v>
      </c>
      <c r="X48" s="14"/>
      <c r="Y48" s="56" cm="1">
        <f t="array" ref="Y48">IF(X48="X",(_xlfn.XLOOKUP($B48,Tabla1[SERVICIO],Tabla1[VALOR])*1),IF(X48&gt;=1,_xlfn.XLOOKUP($B48,Tabla1[SERVICIO],Tabla1[VALOR]*X48),0))</f>
        <v>0</v>
      </c>
      <c r="Z48" s="14"/>
      <c r="AA48" s="56" cm="1">
        <f t="array" ref="AA48">IF(Z48="X",(_xlfn.XLOOKUP($B48,Tabla1[SERVICIO],Tabla1[VALOR])*1),IF(Z48&gt;=1,_xlfn.XLOOKUP($B48,Tabla1[SERVICIO],Tabla1[VALOR]*Z48),0))</f>
        <v>0</v>
      </c>
      <c r="AB48" s="14"/>
      <c r="AC48" s="56" cm="1">
        <f t="array" ref="AC48">IF(AB48="X",(_xlfn.XLOOKUP($B48,Tabla1[SERVICIO],Tabla1[VALOR])*1),IF(AB48&gt;=1,_xlfn.XLOOKUP($B48,Tabla1[SERVICIO],Tabla1[VALOR]*AB48),0))</f>
        <v>0</v>
      </c>
      <c r="AD48" s="14"/>
      <c r="AE48" s="56" cm="1">
        <f t="array" ref="AE48">IF(AD48="X",(_xlfn.XLOOKUP($B48,Tabla1[SERVICIO],Tabla1[VALOR])*1),IF(AD48&gt;=1,_xlfn.XLOOKUP($B48,Tabla1[SERVICIO],Tabla1[VALOR]*AD48),0))</f>
        <v>0</v>
      </c>
      <c r="AF48" s="14"/>
      <c r="AG48" s="56" cm="1">
        <f t="array" ref="AG48">IF(AF48="X",(_xlfn.XLOOKUP($B48,Tabla1[SERVICIO],Tabla1[VALOR])*1),IF(AF48&gt;=1,_xlfn.XLOOKUP($B48,Tabla1[SERVICIO],Tabla1[VALOR]*AF48),0))</f>
        <v>0</v>
      </c>
      <c r="AH48" s="14"/>
      <c r="AI48" s="56" cm="1">
        <f t="array" ref="AI48">IF(AH48="X",(_xlfn.XLOOKUP($B48,Tabla1[SERVICIO],Tabla1[VALOR])*1),IF(AH48&gt;=1,_xlfn.XLOOKUP($B48,Tabla1[SERVICIO],Tabla1[VALOR]*AH48),0))</f>
        <v>0</v>
      </c>
      <c r="AJ48" s="14"/>
      <c r="AK48" s="56" cm="1">
        <f t="array" ref="AK48">IF(AJ48="X",(_xlfn.XLOOKUP($B48,Tabla1[SERVICIO],Tabla1[VALOR])*1),IF(AJ48&gt;=1,_xlfn.XLOOKUP($B48,Tabla1[SERVICIO],Tabla1[VALOR]*AJ48),0))</f>
        <v>0</v>
      </c>
      <c r="AL48" s="14"/>
      <c r="AM48" s="56" cm="1">
        <f t="array" ref="AM48">IF(AL48="X",(_xlfn.XLOOKUP($B48,Tabla1[SERVICIO],Tabla1[VALOR])*1),IF(AL48&gt;=1,_xlfn.XLOOKUP($B48,Tabla1[SERVICIO],Tabla1[VALOR]*AL48),0))</f>
        <v>0</v>
      </c>
      <c r="AN48" s="89">
        <f t="shared" si="1"/>
        <v>26897.079640267817</v>
      </c>
      <c r="AO48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8" s="37" t="s">
        <v>319</v>
      </c>
      <c r="AQ48" s="120">
        <v>0</v>
      </c>
      <c r="AR48" s="121">
        <f>+Tabla3172145[[#This Row],[TOTAL]]*Tabla3172145[[#This Row],[% de las personas que lo usaron]]</f>
        <v>0</v>
      </c>
      <c r="AS48" s="246" t="s">
        <v>356</v>
      </c>
      <c r="AT48" s="246">
        <v>18</v>
      </c>
    </row>
    <row r="49" spans="1:46" x14ac:dyDescent="0.25">
      <c r="A49" s="7" t="s">
        <v>5</v>
      </c>
      <c r="B49" s="8" t="s">
        <v>6</v>
      </c>
      <c r="C49" s="96" t="str">
        <f>_xlfn.XLOOKUP(Tabla3172145[[#This Row],[Servicios del Programa:]],Tabla151[CODIGO],Tabla151[VALOR])</f>
        <v>Consultas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18768.367820181349</v>
      </c>
      <c r="F49" s="14"/>
      <c r="G49" s="56" cm="1">
        <f t="array" ref="G49">IF(F49="X",(_xlfn.XLOOKUP($B49,Tabla1[SERVICIO],Tabla1[VALOR])*1),IF(F49&gt;=1,_xlfn.XLOOKUP($B49,Tabla1[SERVICIO],Tabla1[VALOR]*F49),0))</f>
        <v>0</v>
      </c>
      <c r="H49" s="14"/>
      <c r="I49" s="56" cm="1">
        <f t="array" ref="I49">IF(H49="X",(_xlfn.XLOOKUP($B49,Tabla1[SERVICIO],Tabla1[VALOR])*1),IF(H49&gt;=1,_xlfn.XLOOKUP($B49,Tabla1[SERVICIO],Tabla1[VALOR]*H49),0))</f>
        <v>0</v>
      </c>
      <c r="J49" s="14"/>
      <c r="K49" s="56" cm="1">
        <f t="array" ref="K49">IF(J49="X",(_xlfn.XLOOKUP($B49,Tabla1[SERVICIO],Tabla1[VALOR])*1),IF(J49&gt;=1,_xlfn.XLOOKUP($B49,Tabla1[SERVICIO],Tabla1[VALOR]*J49),0))</f>
        <v>0</v>
      </c>
      <c r="L49" s="14"/>
      <c r="M49" s="56" cm="1">
        <f t="array" ref="M49">IF(L49="X",(_xlfn.XLOOKUP($B49,Tabla1[SERVICIO],Tabla1[VALOR])*1),IF(L49&gt;=1,_xlfn.XLOOKUP($B49,Tabla1[SERVICIO],Tabla1[VALOR]*L49),0))</f>
        <v>0</v>
      </c>
      <c r="N49" s="14"/>
      <c r="O49" s="56" cm="1">
        <f t="array" ref="O49">IF(N49="X",(_xlfn.XLOOKUP($B49,Tabla1[SERVICIO],Tabla1[VALOR])*1),IF(N49&gt;=1,_xlfn.XLOOKUP($B49,Tabla1[SERVICIO],Tabla1[VALOR]*N49),0))</f>
        <v>0</v>
      </c>
      <c r="P49" s="8"/>
      <c r="Q49" s="56" cm="1">
        <f t="array" ref="Q49">IF(P49="X",(_xlfn.XLOOKUP($B49,Tabla1[SERVICIO],Tabla1[VALOR])*1),IF(P49&gt;=1,_xlfn.XLOOKUP($B49,Tabla1[SERVICIO],Tabla1[VALOR]*P49),0))</f>
        <v>0</v>
      </c>
      <c r="R49" s="8"/>
      <c r="S49" s="56" cm="1">
        <f t="array" ref="S49">IF(R49="X",(_xlfn.XLOOKUP($B49,Tabla1[SERVICIO],Tabla1[VALOR])*1),IF(R49&gt;=1,_xlfn.XLOOKUP($B49,Tabla1[SERVICIO],Tabla1[VALOR]*R49),0))</f>
        <v>0</v>
      </c>
      <c r="T49" s="8"/>
      <c r="U49" s="56" cm="1">
        <f t="array" ref="U49">IF(T49="X",(_xlfn.XLOOKUP($B49,Tabla1[SERVICIO],Tabla1[VALOR])*1),IF(T49&gt;=1,_xlfn.XLOOKUP($B49,Tabla1[SERVICIO],Tabla1[VALOR]*T49),0))</f>
        <v>0</v>
      </c>
      <c r="V49" s="8"/>
      <c r="W49" s="56" cm="1">
        <f t="array" ref="W49">IF(V49="X",(_xlfn.XLOOKUP($B49,Tabla1[SERVICIO],Tabla1[VALOR])*1),IF(V49&gt;=1,_xlfn.XLOOKUP($B49,Tabla1[SERVICIO],Tabla1[VALOR]*V49),0))</f>
        <v>0</v>
      </c>
      <c r="X49" s="8"/>
      <c r="Y49" s="56" cm="1">
        <f t="array" ref="Y49">IF(X49="X",(_xlfn.XLOOKUP($B49,Tabla1[SERVICIO],Tabla1[VALOR])*1),IF(X49&gt;=1,_xlfn.XLOOKUP($B49,Tabla1[SERVICIO],Tabla1[VALOR]*X49),0))</f>
        <v>0</v>
      </c>
      <c r="Z49" s="8"/>
      <c r="AA49" s="56" cm="1">
        <f t="array" ref="AA49">IF(Z49="X",(_xlfn.XLOOKUP($B49,Tabla1[SERVICIO],Tabla1[VALOR])*1),IF(Z49&gt;=1,_xlfn.XLOOKUP($B49,Tabla1[SERVICIO],Tabla1[VALOR]*Z49),0))</f>
        <v>0</v>
      </c>
      <c r="AB49" s="8"/>
      <c r="AC49" s="56" cm="1">
        <f t="array" ref="AC49">IF(AB49="X",(_xlfn.XLOOKUP($B49,Tabla1[SERVICIO],Tabla1[VALOR])*1),IF(AB49&gt;=1,_xlfn.XLOOKUP($B49,Tabla1[SERVICIO],Tabla1[VALOR]*AB49),0))</f>
        <v>0</v>
      </c>
      <c r="AD49" s="8"/>
      <c r="AE49" s="56" cm="1">
        <f t="array" ref="AE49">IF(AD49="X",(_xlfn.XLOOKUP($B49,Tabla1[SERVICIO],Tabla1[VALOR])*1),IF(AD49&gt;=1,_xlfn.XLOOKUP($B49,Tabla1[SERVICIO],Tabla1[VALOR]*AD49),0))</f>
        <v>0</v>
      </c>
      <c r="AF49" s="8"/>
      <c r="AG49" s="56" cm="1">
        <f t="array" ref="AG49">IF(AF49="X",(_xlfn.XLOOKUP($B49,Tabla1[SERVICIO],Tabla1[VALOR])*1),IF(AF49&gt;=1,_xlfn.XLOOKUP($B49,Tabla1[SERVICIO],Tabla1[VALOR]*AF49),0))</f>
        <v>0</v>
      </c>
      <c r="AH49" s="8"/>
      <c r="AI49" s="56" cm="1">
        <f t="array" ref="AI49">IF(AH49="X",(_xlfn.XLOOKUP($B49,Tabla1[SERVICIO],Tabla1[VALOR])*1),IF(AH49&gt;=1,_xlfn.XLOOKUP($B49,Tabla1[SERVICIO],Tabla1[VALOR]*AH49),0))</f>
        <v>0</v>
      </c>
      <c r="AJ49" s="8"/>
      <c r="AK49" s="56" cm="1">
        <f t="array" ref="AK49">IF(AJ49="X",(_xlfn.XLOOKUP($B49,Tabla1[SERVICIO],Tabla1[VALOR])*1),IF(AJ49&gt;=1,_xlfn.XLOOKUP($B49,Tabla1[SERVICIO],Tabla1[VALOR]*AJ49),0))</f>
        <v>0</v>
      </c>
      <c r="AL49" s="14"/>
      <c r="AM49" s="56" cm="1">
        <f t="array" ref="AM49">IF(AL49="X",(_xlfn.XLOOKUP($B49,Tabla1[SERVICIO],Tabla1[VALOR])*1),IF(AL49&gt;=1,_xlfn.XLOOKUP($B49,Tabla1[SERVICIO],Tabla1[VALOR]*AL49),0))</f>
        <v>0</v>
      </c>
      <c r="AN49" s="89">
        <f t="shared" si="1"/>
        <v>18768.367820181349</v>
      </c>
      <c r="AO49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9" s="122" t="s">
        <v>318</v>
      </c>
      <c r="AQ49" s="120">
        <v>1</v>
      </c>
      <c r="AR49" s="121">
        <f>+Tabla3172145[[#This Row],[TOTAL]]*Tabla3172145[[#This Row],[% de las personas que lo usaron]]</f>
        <v>18768.367820181349</v>
      </c>
      <c r="AS49" s="246" t="s">
        <v>356</v>
      </c>
      <c r="AT49" s="246">
        <v>18</v>
      </c>
    </row>
    <row r="50" spans="1:46" x14ac:dyDescent="0.25">
      <c r="A50" s="7" t="s">
        <v>17</v>
      </c>
      <c r="B50" s="8" t="s">
        <v>18</v>
      </c>
      <c r="C50" s="96" t="str">
        <f>_xlfn.XLOOKUP(Tabla3172145[[#This Row],[Servicios del Programa:]],Tabla151[CODIGO],Tabla151[VALOR])</f>
        <v>Consultas</v>
      </c>
      <c r="D50" s="14"/>
      <c r="E50" s="56" cm="1">
        <f t="array" ref="E50">IF(D50="X",(_xlfn.XLOOKUP($B50,Tabla1[SERVICIO],Tabla1[VALOR])*1),IF(D50&gt;=1,_xlfn.XLOOKUP($B50,Tabla1[SERVICIO],Tabla1[VALOR]*D50),0))</f>
        <v>0</v>
      </c>
      <c r="F50" s="14"/>
      <c r="G50" s="56" cm="1">
        <f t="array" ref="G50">IF(F50="X",(_xlfn.XLOOKUP($B50,Tabla1[SERVICIO],Tabla1[VALOR])*1),IF(F50&gt;=1,_xlfn.XLOOKUP($B50,Tabla1[SERVICIO],Tabla1[VALOR]*F50),0))</f>
        <v>0</v>
      </c>
      <c r="H50" s="14"/>
      <c r="I50" s="56" cm="1">
        <f t="array" ref="I50">IF(H50="X",(_xlfn.XLOOKUP($B50,Tabla1[SERVICIO],Tabla1[VALOR])*1),IF(H50&gt;=1,_xlfn.XLOOKUP($B50,Tabla1[SERVICIO],Tabla1[VALOR]*H50),0))</f>
        <v>0</v>
      </c>
      <c r="J50" s="14"/>
      <c r="K50" s="56" cm="1">
        <f t="array" ref="K50">IF(J50="X",(_xlfn.XLOOKUP($B50,Tabla1[SERVICIO],Tabla1[VALOR])*1),IF(J50&gt;=1,_xlfn.XLOOKUP($B50,Tabla1[SERVICIO],Tabla1[VALOR]*J50),0))</f>
        <v>0</v>
      </c>
      <c r="L50" s="14"/>
      <c r="M50" s="56" cm="1">
        <f t="array" ref="M50">IF(L50="X",(_xlfn.XLOOKUP($B50,Tabla1[SERVICIO],Tabla1[VALOR])*1),IF(L50&gt;=1,_xlfn.XLOOKUP($B50,Tabla1[SERVICIO],Tabla1[VALOR]*L50),0))</f>
        <v>0</v>
      </c>
      <c r="N50" s="14">
        <v>1</v>
      </c>
      <c r="O50" s="56" cm="1">
        <f t="array" ref="O50">IF(N50="X",(_xlfn.XLOOKUP($B50,Tabla1[SERVICIO],Tabla1[VALOR])*1),IF(N50&gt;=1,_xlfn.XLOOKUP($B50,Tabla1[SERVICIO],Tabla1[VALOR]*N50),0))</f>
        <v>20414.75585737115</v>
      </c>
      <c r="P50" s="8"/>
      <c r="Q50" s="56" cm="1">
        <f t="array" ref="Q50">IF(P50="X",(_xlfn.XLOOKUP($B50,Tabla1[SERVICIO],Tabla1[VALOR])*1),IF(P50&gt;=1,_xlfn.XLOOKUP($B50,Tabla1[SERVICIO],Tabla1[VALOR]*P50),0))</f>
        <v>0</v>
      </c>
      <c r="R50" s="8"/>
      <c r="S50" s="56" cm="1">
        <f t="array" ref="S50">IF(R50="X",(_xlfn.XLOOKUP($B50,Tabla1[SERVICIO],Tabla1[VALOR])*1),IF(R50&gt;=1,_xlfn.XLOOKUP($B50,Tabla1[SERVICIO],Tabla1[VALOR]*R50),0))</f>
        <v>0</v>
      </c>
      <c r="T50" s="8"/>
      <c r="U50" s="56" cm="1">
        <f t="array" ref="U50">IF(T50="X",(_xlfn.XLOOKUP($B50,Tabla1[SERVICIO],Tabla1[VALOR])*1),IF(T50&gt;=1,_xlfn.XLOOKUP($B50,Tabla1[SERVICIO],Tabla1[VALOR]*T50),0))</f>
        <v>0</v>
      </c>
      <c r="V50" s="8"/>
      <c r="W50" s="56" cm="1">
        <f t="array" ref="W50">IF(V50="X",(_xlfn.XLOOKUP($B50,Tabla1[SERVICIO],Tabla1[VALOR])*1),IF(V50&gt;=1,_xlfn.XLOOKUP($B50,Tabla1[SERVICIO],Tabla1[VALOR]*V50),0))</f>
        <v>0</v>
      </c>
      <c r="X50" s="8"/>
      <c r="Y50" s="56" cm="1">
        <f t="array" ref="Y50">IF(X50="X",(_xlfn.XLOOKUP($B50,Tabla1[SERVICIO],Tabla1[VALOR])*1),IF(X50&gt;=1,_xlfn.XLOOKUP($B50,Tabla1[SERVICIO],Tabla1[VALOR]*X50),0))</f>
        <v>0</v>
      </c>
      <c r="Z50" s="8"/>
      <c r="AA50" s="56" cm="1">
        <f t="array" ref="AA50">IF(Z50="X",(_xlfn.XLOOKUP($B50,Tabla1[SERVICIO],Tabla1[VALOR])*1),IF(Z50&gt;=1,_xlfn.XLOOKUP($B50,Tabla1[SERVICIO],Tabla1[VALOR]*Z50),0))</f>
        <v>0</v>
      </c>
      <c r="AB50" s="8"/>
      <c r="AC50" s="56" cm="1">
        <f t="array" ref="AC50">IF(AB50="X",(_xlfn.XLOOKUP($B50,Tabla1[SERVICIO],Tabla1[VALOR])*1),IF(AB50&gt;=1,_xlfn.XLOOKUP($B50,Tabla1[SERVICIO],Tabla1[VALOR]*AB50),0))</f>
        <v>0</v>
      </c>
      <c r="AD50" s="8"/>
      <c r="AE50" s="56" cm="1">
        <f t="array" ref="AE50">IF(AD50="X",(_xlfn.XLOOKUP($B50,Tabla1[SERVICIO],Tabla1[VALOR])*1),IF(AD50&gt;=1,_xlfn.XLOOKUP($B50,Tabla1[SERVICIO],Tabla1[VALOR]*AD50),0))</f>
        <v>0</v>
      </c>
      <c r="AF50" s="8"/>
      <c r="AG50" s="56" cm="1">
        <f t="array" ref="AG50">IF(AF50="X",(_xlfn.XLOOKUP($B50,Tabla1[SERVICIO],Tabla1[VALOR])*1),IF(AF50&gt;=1,_xlfn.XLOOKUP($B50,Tabla1[SERVICIO],Tabla1[VALOR]*AF50),0))</f>
        <v>0</v>
      </c>
      <c r="AH50" s="8"/>
      <c r="AI50" s="56" cm="1">
        <f t="array" ref="AI50">IF(AH50="X",(_xlfn.XLOOKUP($B50,Tabla1[SERVICIO],Tabla1[VALOR])*1),IF(AH50&gt;=1,_xlfn.XLOOKUP($B50,Tabla1[SERVICIO],Tabla1[VALOR]*AH50),0))</f>
        <v>0</v>
      </c>
      <c r="AJ50" s="8"/>
      <c r="AK50" s="56" cm="1">
        <f t="array" ref="AK50">IF(AJ50="X",(_xlfn.XLOOKUP($B50,Tabla1[SERVICIO],Tabla1[VALOR])*1),IF(AJ50&gt;=1,_xlfn.XLOOKUP($B50,Tabla1[SERVICIO],Tabla1[VALOR]*AJ50),0))</f>
        <v>0</v>
      </c>
      <c r="AL50" s="14">
        <v>1</v>
      </c>
      <c r="AM50" s="56" cm="1">
        <f t="array" ref="AM50">IF(AL50="X",(_xlfn.XLOOKUP($B50,Tabla1[SERVICIO],Tabla1[VALOR])*1),IF(AL50&gt;=1,_xlfn.XLOOKUP($B50,Tabla1[SERVICIO],Tabla1[VALOR]*AL50),0))</f>
        <v>20414.75585737115</v>
      </c>
      <c r="AN50" s="89">
        <f t="shared" si="1"/>
        <v>40829.511714742301</v>
      </c>
      <c r="AO50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2</v>
      </c>
      <c r="AP50" s="122" t="s">
        <v>318</v>
      </c>
      <c r="AQ50" s="120">
        <v>1</v>
      </c>
      <c r="AR50" s="121">
        <f>+Tabla3172145[[#This Row],[TOTAL]]*Tabla3172145[[#This Row],[% de las personas que lo usaron]]</f>
        <v>40829.511714742301</v>
      </c>
      <c r="AS50" s="246" t="s">
        <v>356</v>
      </c>
      <c r="AT50" s="246">
        <v>18</v>
      </c>
    </row>
    <row r="51" spans="1:46" x14ac:dyDescent="0.25">
      <c r="A51" s="7" t="s">
        <v>113</v>
      </c>
      <c r="B51" s="25" t="s">
        <v>116</v>
      </c>
      <c r="C51" s="96" t="str">
        <f>_xlfn.XLOOKUP(Tabla3172145[[#This Row],[Servicios del Programa:]],Tabla151[CODIGO],Tabla151[VALOR])</f>
        <v>Consultas</v>
      </c>
      <c r="D51" s="14">
        <v>1</v>
      </c>
      <c r="E51" s="56" cm="1">
        <f t="array" ref="E51">IF(D51="X",(_xlfn.XLOOKUP($B51,Tabla1[SERVICIO],Tabla1[VALOR])*1),IF(D51&gt;=1,_xlfn.XLOOKUP($B51,Tabla1[SERVICIO],Tabla1[VALOR]*D51),0))</f>
        <v>60236.092716419647</v>
      </c>
      <c r="F51" s="14"/>
      <c r="G51" s="56" cm="1">
        <f t="array" ref="G51">IF(F51="X",(_xlfn.XLOOKUP($B51,Tabla1[SERVICIO],Tabla1[VALOR])*1),IF(F51&gt;=1,_xlfn.XLOOKUP($B51,Tabla1[SERVICIO],Tabla1[VALOR]*F51),0))</f>
        <v>0</v>
      </c>
      <c r="H51" s="14"/>
      <c r="I51" s="56" cm="1">
        <f t="array" ref="I51">IF(H51="X",(_xlfn.XLOOKUP($B51,Tabla1[SERVICIO],Tabla1[VALOR])*1),IF(H51&gt;=1,_xlfn.XLOOKUP($B51,Tabla1[SERVICIO],Tabla1[VALOR]*H51),0))</f>
        <v>0</v>
      </c>
      <c r="J51" s="14"/>
      <c r="K51" s="56" cm="1">
        <f t="array" ref="K51">IF(J51="X",(_xlfn.XLOOKUP($B51,Tabla1[SERVICIO],Tabla1[VALOR])*1),IF(J51&gt;=1,_xlfn.XLOOKUP($B51,Tabla1[SERVICIO],Tabla1[VALOR]*J51),0))</f>
        <v>0</v>
      </c>
      <c r="L51" s="14"/>
      <c r="M51" s="56" cm="1">
        <f t="array" ref="M51">IF(L51="X",(_xlfn.XLOOKUP($B51,Tabla1[SERVICIO],Tabla1[VALOR])*1),IF(L51&gt;=1,_xlfn.XLOOKUP($B51,Tabla1[SERVICIO],Tabla1[VALOR]*L51),0))</f>
        <v>0</v>
      </c>
      <c r="N51" s="14"/>
      <c r="O51" s="56" cm="1">
        <f t="array" ref="O51">IF(N51="X",(_xlfn.XLOOKUP($B51,Tabla1[SERVICIO],Tabla1[VALOR])*1),IF(N51&gt;=1,_xlfn.XLOOKUP($B51,Tabla1[SERVICIO],Tabla1[VALOR]*N51),0))</f>
        <v>0</v>
      </c>
      <c r="P51" s="14"/>
      <c r="Q51" s="56" cm="1">
        <f t="array" ref="Q51">IF(P51="X",(_xlfn.XLOOKUP($B51,Tabla1[SERVICIO],Tabla1[VALOR])*1),IF(P51&gt;=1,_xlfn.XLOOKUP($B51,Tabla1[SERVICIO],Tabla1[VALOR]*P51),0))</f>
        <v>0</v>
      </c>
      <c r="R51" s="14"/>
      <c r="S51" s="56" cm="1">
        <f t="array" ref="S51">IF(R51="X",(_xlfn.XLOOKUP($B51,Tabla1[SERVICIO],Tabla1[VALOR])*1),IF(R51&gt;=1,_xlfn.XLOOKUP($B51,Tabla1[SERVICIO],Tabla1[VALOR]*R51),0))</f>
        <v>0</v>
      </c>
      <c r="T51" s="14"/>
      <c r="U51" s="56" cm="1">
        <f t="array" ref="U51">IF(T51="X",(_xlfn.XLOOKUP($B51,Tabla1[SERVICIO],Tabla1[VALOR])*1),IF(T51&gt;=1,_xlfn.XLOOKUP($B51,Tabla1[SERVICIO],Tabla1[VALOR]*T51),0))</f>
        <v>0</v>
      </c>
      <c r="V51" s="14"/>
      <c r="W51" s="56" cm="1">
        <f t="array" ref="W51">IF(V51="X",(_xlfn.XLOOKUP($B51,Tabla1[SERVICIO],Tabla1[VALOR])*1),IF(V51&gt;=1,_xlfn.XLOOKUP($B51,Tabla1[SERVICIO],Tabla1[VALOR]*V51),0))</f>
        <v>0</v>
      </c>
      <c r="X51" s="14"/>
      <c r="Y51" s="56" cm="1">
        <f t="array" ref="Y51">IF(X51="X",(_xlfn.XLOOKUP($B51,Tabla1[SERVICIO],Tabla1[VALOR])*1),IF(X51&gt;=1,_xlfn.XLOOKUP($B51,Tabla1[SERVICIO],Tabla1[VALOR]*X51),0))</f>
        <v>0</v>
      </c>
      <c r="Z51" s="14"/>
      <c r="AA51" s="56" cm="1">
        <f t="array" ref="AA51">IF(Z51="X",(_xlfn.XLOOKUP($B51,Tabla1[SERVICIO],Tabla1[VALOR])*1),IF(Z51&gt;=1,_xlfn.XLOOKUP($B51,Tabla1[SERVICIO],Tabla1[VALOR]*Z51),0))</f>
        <v>0</v>
      </c>
      <c r="AB51" s="14"/>
      <c r="AC51" s="56" cm="1">
        <f t="array" ref="AC51">IF(AB51="X",(_xlfn.XLOOKUP($B51,Tabla1[SERVICIO],Tabla1[VALOR])*1),IF(AB51&gt;=1,_xlfn.XLOOKUP($B51,Tabla1[SERVICIO],Tabla1[VALOR]*AB51),0))</f>
        <v>0</v>
      </c>
      <c r="AD51" s="14"/>
      <c r="AE51" s="56" cm="1">
        <f t="array" ref="AE51">IF(AD51="X",(_xlfn.XLOOKUP($B51,Tabla1[SERVICIO],Tabla1[VALOR])*1),IF(AD51&gt;=1,_xlfn.XLOOKUP($B51,Tabla1[SERVICIO],Tabla1[VALOR]*AD51),0))</f>
        <v>0</v>
      </c>
      <c r="AF51" s="14"/>
      <c r="AG51" s="56" cm="1">
        <f t="array" ref="AG51">IF(AF51="X",(_xlfn.XLOOKUP($B51,Tabla1[SERVICIO],Tabla1[VALOR])*1),IF(AF51&gt;=1,_xlfn.XLOOKUP($B51,Tabla1[SERVICIO],Tabla1[VALOR]*AF51),0))</f>
        <v>0</v>
      </c>
      <c r="AH51" s="14"/>
      <c r="AI51" s="56" cm="1">
        <f t="array" ref="AI51">IF(AH51="X",(_xlfn.XLOOKUP($B51,Tabla1[SERVICIO],Tabla1[VALOR])*1),IF(AH51&gt;=1,_xlfn.XLOOKUP($B51,Tabla1[SERVICIO],Tabla1[VALOR]*AH51),0))</f>
        <v>0</v>
      </c>
      <c r="AJ51" s="14"/>
      <c r="AK51" s="56" cm="1">
        <f t="array" ref="AK51">IF(AJ51="X",(_xlfn.XLOOKUP($B51,Tabla1[SERVICIO],Tabla1[VALOR])*1),IF(AJ51&gt;=1,_xlfn.XLOOKUP($B51,Tabla1[SERVICIO],Tabla1[VALOR]*AJ51),0))</f>
        <v>0</v>
      </c>
      <c r="AL51" s="14"/>
      <c r="AM51" s="56" cm="1">
        <f t="array" ref="AM51">IF(AL51="X",(_xlfn.XLOOKUP($B51,Tabla1[SERVICIO],Tabla1[VALOR])*1),IF(AL51&gt;=1,_xlfn.XLOOKUP($B51,Tabla1[SERVICIO],Tabla1[VALOR]*AL51),0))</f>
        <v>0</v>
      </c>
      <c r="AN51" s="89">
        <f t="shared" si="1"/>
        <v>60236.092716419647</v>
      </c>
      <c r="AO51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1" s="37" t="s">
        <v>319</v>
      </c>
      <c r="AQ51" s="120">
        <v>0</v>
      </c>
      <c r="AR51" s="121">
        <f>+Tabla3172145[[#This Row],[TOTAL]]*Tabla3172145[[#This Row],[% de las personas que lo usaron]]</f>
        <v>0</v>
      </c>
      <c r="AS51" s="246" t="s">
        <v>356</v>
      </c>
      <c r="AT51" s="246">
        <v>18</v>
      </c>
    </row>
    <row r="52" spans="1:46" x14ac:dyDescent="0.25">
      <c r="A52" s="7" t="s">
        <v>114</v>
      </c>
      <c r="B52" s="8" t="s">
        <v>117</v>
      </c>
      <c r="C52" s="96" t="str">
        <f>_xlfn.XLOOKUP(Tabla3172145[[#This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62748.232282880919</v>
      </c>
      <c r="F52" s="14"/>
      <c r="G52" s="56" cm="1">
        <f t="array" ref="G52">IF(F52="X",(_xlfn.XLOOKUP($B52,Tabla1[SERVICIO],Tabla1[VALOR])*1),IF(F52&gt;=1,_xlfn.XLOOKUP($B52,Tabla1[SERVICIO],Tabla1[VALOR]*F52),0))</f>
        <v>0</v>
      </c>
      <c r="H52" s="14"/>
      <c r="I52" s="56" cm="1">
        <f t="array" ref="I52">IF(H52="X",(_xlfn.XLOOKUP($B52,Tabla1[SERVICIO],Tabla1[VALOR])*1),IF(H52&gt;=1,_xlfn.XLOOKUP($B52,Tabla1[SERVICIO],Tabla1[VALOR]*H52),0))</f>
        <v>0</v>
      </c>
      <c r="J52" s="14"/>
      <c r="K52" s="56" cm="1">
        <f t="array" ref="K52">IF(J52="X",(_xlfn.XLOOKUP($B52,Tabla1[SERVICIO],Tabla1[VALOR])*1),IF(J52&gt;=1,_xlfn.XLOOKUP($B52,Tabla1[SERVICIO],Tabla1[VALOR]*J52),0))</f>
        <v>0</v>
      </c>
      <c r="L52" s="14"/>
      <c r="M52" s="56" cm="1">
        <f t="array" ref="M52">IF(L52="X",(_xlfn.XLOOKUP($B52,Tabla1[SERVICIO],Tabla1[VALOR])*1),IF(L52&gt;=1,_xlfn.XLOOKUP($B52,Tabla1[SERVICIO],Tabla1[VALOR]*L52),0))</f>
        <v>0</v>
      </c>
      <c r="N52" s="14"/>
      <c r="O52" s="56" cm="1">
        <f t="array" ref="O52">IF(N52="X",(_xlfn.XLOOKUP($B52,Tabla1[SERVICIO],Tabla1[VALOR])*1),IF(N52&gt;=1,_xlfn.XLOOKUP($B52,Tabla1[SERVICIO],Tabla1[VALOR]*N52),0))</f>
        <v>0</v>
      </c>
      <c r="P52" s="14"/>
      <c r="Q52" s="56" cm="1">
        <f t="array" ref="Q52">IF(P52="X",(_xlfn.XLOOKUP($B52,Tabla1[SERVICIO],Tabla1[VALOR])*1),IF(P52&gt;=1,_xlfn.XLOOKUP($B52,Tabla1[SERVICIO],Tabla1[VALOR]*P52),0))</f>
        <v>0</v>
      </c>
      <c r="R52" s="14"/>
      <c r="S52" s="56" cm="1">
        <f t="array" ref="S52">IF(R52="X",(_xlfn.XLOOKUP($B52,Tabla1[SERVICIO],Tabla1[VALOR])*1),IF(R52&gt;=1,_xlfn.XLOOKUP($B52,Tabla1[SERVICIO],Tabla1[VALOR]*R52),0))</f>
        <v>0</v>
      </c>
      <c r="T52" s="14"/>
      <c r="U52" s="56" cm="1">
        <f t="array" ref="U52">IF(T52="X",(_xlfn.XLOOKUP($B52,Tabla1[SERVICIO],Tabla1[VALOR])*1),IF(T52&gt;=1,_xlfn.XLOOKUP($B52,Tabla1[SERVICIO],Tabla1[VALOR]*T52),0))</f>
        <v>0</v>
      </c>
      <c r="V52" s="14"/>
      <c r="W52" s="56" cm="1">
        <f t="array" ref="W52">IF(V52="X",(_xlfn.XLOOKUP($B52,Tabla1[SERVICIO],Tabla1[VALOR])*1),IF(V52&gt;=1,_xlfn.XLOOKUP($B52,Tabla1[SERVICIO],Tabla1[VALOR]*V52),0))</f>
        <v>0</v>
      </c>
      <c r="X52" s="14"/>
      <c r="Y52" s="56" cm="1">
        <f t="array" ref="Y52">IF(X52="X",(_xlfn.XLOOKUP($B52,Tabla1[SERVICIO],Tabla1[VALOR])*1),IF(X52&gt;=1,_xlfn.XLOOKUP($B52,Tabla1[SERVICIO],Tabla1[VALOR]*X52),0))</f>
        <v>0</v>
      </c>
      <c r="Z52" s="14"/>
      <c r="AA52" s="56" cm="1">
        <f t="array" ref="AA52">IF(Z52="X",(_xlfn.XLOOKUP($B52,Tabla1[SERVICIO],Tabla1[VALOR])*1),IF(Z52&gt;=1,_xlfn.XLOOKUP($B52,Tabla1[SERVICIO],Tabla1[VALOR]*Z52),0))</f>
        <v>0</v>
      </c>
      <c r="AB52" s="14"/>
      <c r="AC52" s="56" cm="1">
        <f t="array" ref="AC52">IF(AB52="X",(_xlfn.XLOOKUP($B52,Tabla1[SERVICIO],Tabla1[VALOR])*1),IF(AB52&gt;=1,_xlfn.XLOOKUP($B52,Tabla1[SERVICIO],Tabla1[VALOR]*AB52),0))</f>
        <v>0</v>
      </c>
      <c r="AD52" s="14"/>
      <c r="AE52" s="56" cm="1">
        <f t="array" ref="AE52">IF(AD52="X",(_xlfn.XLOOKUP($B52,Tabla1[SERVICIO],Tabla1[VALOR])*1),IF(AD52&gt;=1,_xlfn.XLOOKUP($B52,Tabla1[SERVICIO],Tabla1[VALOR]*AD52),0))</f>
        <v>0</v>
      </c>
      <c r="AF52" s="14"/>
      <c r="AG52" s="56" cm="1">
        <f t="array" ref="AG52">IF(AF52="X",(_xlfn.XLOOKUP($B52,Tabla1[SERVICIO],Tabla1[VALOR])*1),IF(AF52&gt;=1,_xlfn.XLOOKUP($B52,Tabla1[SERVICIO],Tabla1[VALOR]*AF52),0))</f>
        <v>0</v>
      </c>
      <c r="AH52" s="14"/>
      <c r="AI52" s="56" cm="1">
        <f t="array" ref="AI52">IF(AH52="X",(_xlfn.XLOOKUP($B52,Tabla1[SERVICIO],Tabla1[VALOR])*1),IF(AH52&gt;=1,_xlfn.XLOOKUP($B52,Tabla1[SERVICIO],Tabla1[VALOR]*AH52),0))</f>
        <v>0</v>
      </c>
      <c r="AJ52" s="14"/>
      <c r="AK52" s="56" cm="1">
        <f t="array" ref="AK52">IF(AJ52="X",(_xlfn.XLOOKUP($B52,Tabla1[SERVICIO],Tabla1[VALOR])*1),IF(AJ52&gt;=1,_xlfn.XLOOKUP($B52,Tabla1[SERVICIO],Tabla1[VALOR]*AJ52),0))</f>
        <v>0</v>
      </c>
      <c r="AL52" s="14"/>
      <c r="AM52" s="56" cm="1">
        <f t="array" ref="AM52">IF(AL52="X",(_xlfn.XLOOKUP($B52,Tabla1[SERVICIO],Tabla1[VALOR])*1),IF(AL52&gt;=1,_xlfn.XLOOKUP($B52,Tabla1[SERVICIO],Tabla1[VALOR]*AL52),0))</f>
        <v>0</v>
      </c>
      <c r="AN52" s="89">
        <f t="shared" si="1"/>
        <v>62748.232282880919</v>
      </c>
      <c r="AO52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2" s="37" t="s">
        <v>319</v>
      </c>
      <c r="AQ52" s="120">
        <v>0</v>
      </c>
      <c r="AR52" s="121">
        <f>+Tabla3172145[[#This Row],[TOTAL]]*Tabla3172145[[#This Row],[% de las personas que lo usaron]]</f>
        <v>0</v>
      </c>
      <c r="AS52" s="246" t="s">
        <v>356</v>
      </c>
      <c r="AT52" s="246">
        <v>18</v>
      </c>
    </row>
    <row r="53" spans="1:46" x14ac:dyDescent="0.25">
      <c r="A53" s="7" t="s">
        <v>115</v>
      </c>
      <c r="B53" s="8" t="s">
        <v>118</v>
      </c>
      <c r="C53" s="96" t="str">
        <f>_xlfn.XLOOKUP(Tabla3172145[[#This Row],[Servicios del Programa:]],Tabla151[CODIGO],Tabla151[VALOR])</f>
        <v>Consultas</v>
      </c>
      <c r="D53" s="14"/>
      <c r="E53" s="56" cm="1">
        <f t="array" ref="E53">IF(D53="X",(_xlfn.XLOOKUP($B53,Tabla1[SERVICIO],Tabla1[VALOR])*1),IF(D53&gt;=1,_xlfn.XLOOKUP($B53,Tabla1[SERVICIO],Tabla1[VALOR]*D53),0))</f>
        <v>0</v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/>
      <c r="O53" s="56" cm="1">
        <f t="array" ref="O53">IF(N53="X",(_xlfn.XLOOKUP($B53,Tabla1[SERVICIO],Tabla1[VALOR])*1),IF(N53&gt;=1,_xlfn.XLOOKUP($B53,Tabla1[SERVICIO],Tabla1[VALOR]*N53),0))</f>
        <v>0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>
        <v>1</v>
      </c>
      <c r="AM53" s="56" cm="1">
        <f t="array" ref="AM53">IF(AL53="X",(_xlfn.XLOOKUP($B53,Tabla1[SERVICIO],Tabla1[VALOR])*1),IF(AL53&gt;=1,_xlfn.XLOOKUP($B53,Tabla1[SERVICIO],Tabla1[VALOR]*AL53),0))</f>
        <v>62748.232282880919</v>
      </c>
      <c r="AN53" s="89">
        <f t="shared" si="1"/>
        <v>62748.232282880919</v>
      </c>
      <c r="AO53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3" s="37" t="s">
        <v>319</v>
      </c>
      <c r="AQ53" s="120">
        <v>0</v>
      </c>
      <c r="AR53" s="121">
        <f>+Tabla3172145[[#This Row],[TOTAL]]*Tabla3172145[[#This Row],[% de las personas que lo usaron]]</f>
        <v>0</v>
      </c>
      <c r="AS53" s="246" t="s">
        <v>356</v>
      </c>
      <c r="AT53" s="246">
        <v>18</v>
      </c>
    </row>
    <row r="54" spans="1:46" x14ac:dyDescent="0.25">
      <c r="A54" s="7" t="s">
        <v>34</v>
      </c>
      <c r="B54" s="8" t="s">
        <v>35</v>
      </c>
      <c r="C54" s="96" t="str">
        <f>_xlfn.XLOOKUP(Tabla3172145[[#This Row],[Servicios del Programa:]],Tabla151[CODIGO],Tabla151[VALOR])</f>
        <v>Consultas</v>
      </c>
      <c r="D54" s="14">
        <v>1</v>
      </c>
      <c r="E54" s="56" cm="1">
        <f t="array" ref="E54">IF(D54="X",(_xlfn.XLOOKUP($B54,Tabla1[SERVICIO],Tabla1[VALOR])*1),IF(D54&gt;=1,_xlfn.XLOOKUP($B54,Tabla1[SERVICIO],Tabla1[VALOR]*D54),0))</f>
        <v>24009.730401318589</v>
      </c>
      <c r="F54" s="14"/>
      <c r="G54" s="56" cm="1">
        <f t="array" ref="G54">IF(F54="X",(_xlfn.XLOOKUP($B54,Tabla1[SERVICIO],Tabla1[VALOR])*1),IF(F54&gt;=1,_xlfn.XLOOKUP($B54,Tabla1[SERVICIO],Tabla1[VALOR]*F54),0))</f>
        <v>0</v>
      </c>
      <c r="H54" s="14"/>
      <c r="I54" s="56" cm="1">
        <f t="array" ref="I54">IF(H54="X",(_xlfn.XLOOKUP($B54,Tabla1[SERVICIO],Tabla1[VALOR])*1),IF(H54&gt;=1,_xlfn.XLOOKUP($B54,Tabla1[SERVICIO],Tabla1[VALOR]*H54),0))</f>
        <v>0</v>
      </c>
      <c r="J54" s="14"/>
      <c r="K54" s="56" cm="1">
        <f t="array" ref="K54">IF(J54="X",(_xlfn.XLOOKUP($B54,Tabla1[SERVICIO],Tabla1[VALOR])*1),IF(J54&gt;=1,_xlfn.XLOOKUP($B54,Tabla1[SERVICIO],Tabla1[VALOR]*J54),0))</f>
        <v>0</v>
      </c>
      <c r="L54" s="14"/>
      <c r="M54" s="56" cm="1">
        <f t="array" ref="M54">IF(L54="X",(_xlfn.XLOOKUP($B54,Tabla1[SERVICIO],Tabla1[VALOR])*1),IF(L54&gt;=1,_xlfn.XLOOKUP($B54,Tabla1[SERVICIO],Tabla1[VALOR]*L54),0))</f>
        <v>0</v>
      </c>
      <c r="N54" s="14"/>
      <c r="O54" s="56" cm="1">
        <f t="array" ref="O54">IF(N54="X",(_xlfn.XLOOKUP($B54,Tabla1[SERVICIO],Tabla1[VALOR])*1),IF(N54&gt;=1,_xlfn.XLOOKUP($B54,Tabla1[SERVICIO],Tabla1[VALOR]*N54),0))</f>
        <v>0</v>
      </c>
      <c r="P54" s="14"/>
      <c r="Q54" s="56" cm="1">
        <f t="array" ref="Q54">IF(P54="X",(_xlfn.XLOOKUP($B54,Tabla1[SERVICIO],Tabla1[VALOR])*1),IF(P54&gt;=1,_xlfn.XLOOKUP($B54,Tabla1[SERVICIO],Tabla1[VALOR]*P54),0))</f>
        <v>0</v>
      </c>
      <c r="R54" s="14"/>
      <c r="S54" s="56" cm="1">
        <f t="array" ref="S54">IF(R54="X",(_xlfn.XLOOKUP($B54,Tabla1[SERVICIO],Tabla1[VALOR])*1),IF(R54&gt;=1,_xlfn.XLOOKUP($B54,Tabla1[SERVICIO],Tabla1[VALOR]*R54),0))</f>
        <v>0</v>
      </c>
      <c r="T54" s="14"/>
      <c r="U54" s="56" cm="1">
        <f t="array" ref="U54">IF(T54="X",(_xlfn.XLOOKUP($B54,Tabla1[SERVICIO],Tabla1[VALOR])*1),IF(T54&gt;=1,_xlfn.XLOOKUP($B54,Tabla1[SERVICIO],Tabla1[VALOR]*T54),0))</f>
        <v>0</v>
      </c>
      <c r="V54" s="14"/>
      <c r="W54" s="56" cm="1">
        <f t="array" ref="W54">IF(V54="X",(_xlfn.XLOOKUP($B54,Tabla1[SERVICIO],Tabla1[VALOR])*1),IF(V54&gt;=1,_xlfn.XLOOKUP($B54,Tabla1[SERVICIO],Tabla1[VALOR]*V54),0))</f>
        <v>0</v>
      </c>
      <c r="X54" s="14"/>
      <c r="Y54" s="56" cm="1">
        <f t="array" ref="Y54">IF(X54="X",(_xlfn.XLOOKUP($B54,Tabla1[SERVICIO],Tabla1[VALOR])*1),IF(X54&gt;=1,_xlfn.XLOOKUP($B54,Tabla1[SERVICIO],Tabla1[VALOR]*X54),0))</f>
        <v>0</v>
      </c>
      <c r="Z54" s="14"/>
      <c r="AA54" s="56" cm="1">
        <f t="array" ref="AA54">IF(Z54="X",(_xlfn.XLOOKUP($B54,Tabla1[SERVICIO],Tabla1[VALOR])*1),IF(Z54&gt;=1,_xlfn.XLOOKUP($B54,Tabla1[SERVICIO],Tabla1[VALOR]*Z54),0))</f>
        <v>0</v>
      </c>
      <c r="AB54" s="14"/>
      <c r="AC54" s="56" cm="1">
        <f t="array" ref="AC54">IF(AB54="X",(_xlfn.XLOOKUP($B54,Tabla1[SERVICIO],Tabla1[VALOR])*1),IF(AB54&gt;=1,_xlfn.XLOOKUP($B54,Tabla1[SERVICIO],Tabla1[VALOR]*AB54),0))</f>
        <v>0</v>
      </c>
      <c r="AD54" s="14"/>
      <c r="AE54" s="56" cm="1">
        <f t="array" ref="AE54">IF(AD54="X",(_xlfn.XLOOKUP($B54,Tabla1[SERVICIO],Tabla1[VALOR])*1),IF(AD54&gt;=1,_xlfn.XLOOKUP($B54,Tabla1[SERVICIO],Tabla1[VALOR]*AD54),0))</f>
        <v>0</v>
      </c>
      <c r="AF54" s="14"/>
      <c r="AG54" s="56" cm="1">
        <f t="array" ref="AG54">IF(AF54="X",(_xlfn.XLOOKUP($B54,Tabla1[SERVICIO],Tabla1[VALOR])*1),IF(AF54&gt;=1,_xlfn.XLOOKUP($B54,Tabla1[SERVICIO],Tabla1[VALOR]*AF54),0))</f>
        <v>0</v>
      </c>
      <c r="AH54" s="14"/>
      <c r="AI54" s="56" cm="1">
        <f t="array" ref="AI54">IF(AH54="X",(_xlfn.XLOOKUP($B54,Tabla1[SERVICIO],Tabla1[VALOR])*1),IF(AH54&gt;=1,_xlfn.XLOOKUP($B54,Tabla1[SERVICIO],Tabla1[VALOR]*AH54),0))</f>
        <v>0</v>
      </c>
      <c r="AJ54" s="14"/>
      <c r="AK54" s="56" cm="1">
        <f t="array" ref="AK54">IF(AJ54="X",(_xlfn.XLOOKUP($B54,Tabla1[SERVICIO],Tabla1[VALOR])*1),IF(AJ54&gt;=1,_xlfn.XLOOKUP($B54,Tabla1[SERVICIO],Tabla1[VALOR]*AJ54),0))</f>
        <v>0</v>
      </c>
      <c r="AL54" s="14"/>
      <c r="AM54" s="56" cm="1">
        <f t="array" ref="AM54">IF(AL54="X",(_xlfn.XLOOKUP($B54,Tabla1[SERVICIO],Tabla1[VALOR])*1),IF(AL54&gt;=1,_xlfn.XLOOKUP($B54,Tabla1[SERVICIO],Tabla1[VALOR]*AL54),0))</f>
        <v>0</v>
      </c>
      <c r="AN54" s="89">
        <f t="shared" si="1"/>
        <v>24009.730401318589</v>
      </c>
      <c r="AO54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4" s="122" t="s">
        <v>318</v>
      </c>
      <c r="AQ54" s="120">
        <v>1</v>
      </c>
      <c r="AR54" s="121">
        <f>+Tabla3172145[[#This Row],[TOTAL]]*Tabla3172145[[#This Row],[% de las personas que lo usaron]]</f>
        <v>24009.730401318589</v>
      </c>
      <c r="AS54" s="246" t="s">
        <v>356</v>
      </c>
      <c r="AT54" s="246">
        <v>18</v>
      </c>
    </row>
    <row r="55" spans="1:46" x14ac:dyDescent="0.25">
      <c r="A55" s="7" t="s">
        <v>32</v>
      </c>
      <c r="B55" s="8" t="s">
        <v>103</v>
      </c>
      <c r="C55" s="96" t="str">
        <f>_xlfn.XLOOKUP(Tabla3172145[[#This Row],[Servicios del Programa:]],Tabla151[CODIGO],Tabla151[VALOR])</f>
        <v>Consultas</v>
      </c>
      <c r="D55" s="14">
        <v>1</v>
      </c>
      <c r="E55" s="56" cm="1">
        <f t="array" ref="E55">IF(D55="X",(_xlfn.XLOOKUP($B55,Tabla1[SERVICIO],Tabla1[VALOR])*1),IF(D55&gt;=1,_xlfn.XLOOKUP($B55,Tabla1[SERVICIO],Tabla1[VALOR]*D55),0))</f>
        <v>24009.730401318589</v>
      </c>
      <c r="F55" s="14"/>
      <c r="G55" s="56" cm="1">
        <f t="array" ref="G55">IF(F55="X",(_xlfn.XLOOKUP($B55,Tabla1[SERVICIO],Tabla1[VALOR])*1),IF(F55&gt;=1,_xlfn.XLOOKUP($B55,Tabla1[SERVICIO],Tabla1[VALOR]*F55),0))</f>
        <v>0</v>
      </c>
      <c r="H55" s="14"/>
      <c r="I55" s="56" cm="1">
        <f t="array" ref="I55">IF(H55="X",(_xlfn.XLOOKUP($B55,Tabla1[SERVICIO],Tabla1[VALOR])*1),IF(H55&gt;=1,_xlfn.XLOOKUP($B55,Tabla1[SERVICIO],Tabla1[VALOR]*H55),0))</f>
        <v>0</v>
      </c>
      <c r="J55" s="14"/>
      <c r="K55" s="56" cm="1">
        <f t="array" ref="K55">IF(J55="X",(_xlfn.XLOOKUP($B55,Tabla1[SERVICIO],Tabla1[VALOR])*1),IF(J55&gt;=1,_xlfn.XLOOKUP($B55,Tabla1[SERVICIO],Tabla1[VALOR]*J55),0))</f>
        <v>0</v>
      </c>
      <c r="L55" s="14"/>
      <c r="M55" s="56" cm="1">
        <f t="array" ref="M55">IF(L55="X",(_xlfn.XLOOKUP($B55,Tabla1[SERVICIO],Tabla1[VALOR])*1),IF(L55&gt;=1,_xlfn.XLOOKUP($B55,Tabla1[SERVICIO],Tabla1[VALOR]*L55),0))</f>
        <v>0</v>
      </c>
      <c r="N55" s="14"/>
      <c r="O55" s="56" cm="1">
        <f t="array" ref="O55">IF(N55="X",(_xlfn.XLOOKUP($B55,Tabla1[SERVICIO],Tabla1[VALOR])*1),IF(N55&gt;=1,_xlfn.XLOOKUP($B55,Tabla1[SERVICIO],Tabla1[VALOR]*N55),0))</f>
        <v>0</v>
      </c>
      <c r="P55" s="14"/>
      <c r="Q55" s="56" cm="1">
        <f t="array" ref="Q55">IF(P55="X",(_xlfn.XLOOKUP($B55,Tabla1[SERVICIO],Tabla1[VALOR])*1),IF(P55&gt;=1,_xlfn.XLOOKUP($B55,Tabla1[SERVICIO],Tabla1[VALOR]*P55),0))</f>
        <v>0</v>
      </c>
      <c r="R55" s="14"/>
      <c r="S55" s="56" cm="1">
        <f t="array" ref="S55">IF(R55="X",(_xlfn.XLOOKUP($B55,Tabla1[SERVICIO],Tabla1[VALOR])*1),IF(R55&gt;=1,_xlfn.XLOOKUP($B55,Tabla1[SERVICIO],Tabla1[VALOR]*R55),0))</f>
        <v>0</v>
      </c>
      <c r="T55" s="14"/>
      <c r="U55" s="56" cm="1">
        <f t="array" ref="U55">IF(T55="X",(_xlfn.XLOOKUP($B55,Tabla1[SERVICIO],Tabla1[VALOR])*1),IF(T55&gt;=1,_xlfn.XLOOKUP($B55,Tabla1[SERVICIO],Tabla1[VALOR]*T55),0))</f>
        <v>0</v>
      </c>
      <c r="V55" s="14"/>
      <c r="W55" s="56" cm="1">
        <f t="array" ref="W55">IF(V55="X",(_xlfn.XLOOKUP($B55,Tabla1[SERVICIO],Tabla1[VALOR])*1),IF(V55&gt;=1,_xlfn.XLOOKUP($B55,Tabla1[SERVICIO],Tabla1[VALOR]*V55),0))</f>
        <v>0</v>
      </c>
      <c r="X55" s="14"/>
      <c r="Y55" s="56" cm="1">
        <f t="array" ref="Y55">IF(X55="X",(_xlfn.XLOOKUP($B55,Tabla1[SERVICIO],Tabla1[VALOR])*1),IF(X55&gt;=1,_xlfn.XLOOKUP($B55,Tabla1[SERVICIO],Tabla1[VALOR]*X55),0))</f>
        <v>0</v>
      </c>
      <c r="Z55" s="14"/>
      <c r="AA55" s="56" cm="1">
        <f t="array" ref="AA55">IF(Z55="X",(_xlfn.XLOOKUP($B55,Tabla1[SERVICIO],Tabla1[VALOR])*1),IF(Z55&gt;=1,_xlfn.XLOOKUP($B55,Tabla1[SERVICIO],Tabla1[VALOR]*Z55),0))</f>
        <v>0</v>
      </c>
      <c r="AB55" s="14"/>
      <c r="AC55" s="56" cm="1">
        <f t="array" ref="AC55">IF(AB55="X",(_xlfn.XLOOKUP($B55,Tabla1[SERVICIO],Tabla1[VALOR])*1),IF(AB55&gt;=1,_xlfn.XLOOKUP($B55,Tabla1[SERVICIO],Tabla1[VALOR]*AB55),0))</f>
        <v>0</v>
      </c>
      <c r="AD55" s="14"/>
      <c r="AE55" s="56" cm="1">
        <f t="array" ref="AE55">IF(AD55="X",(_xlfn.XLOOKUP($B55,Tabla1[SERVICIO],Tabla1[VALOR])*1),IF(AD55&gt;=1,_xlfn.XLOOKUP($B55,Tabla1[SERVICIO],Tabla1[VALOR]*AD55),0))</f>
        <v>0</v>
      </c>
      <c r="AF55" s="14"/>
      <c r="AG55" s="56" cm="1">
        <f t="array" ref="AG55">IF(AF55="X",(_xlfn.XLOOKUP($B55,Tabla1[SERVICIO],Tabla1[VALOR])*1),IF(AF55&gt;=1,_xlfn.XLOOKUP($B55,Tabla1[SERVICIO],Tabla1[VALOR]*AF55),0))</f>
        <v>0</v>
      </c>
      <c r="AH55" s="14"/>
      <c r="AI55" s="56" cm="1">
        <f t="array" ref="AI55">IF(AH55="X",(_xlfn.XLOOKUP($B55,Tabla1[SERVICIO],Tabla1[VALOR])*1),IF(AH55&gt;=1,_xlfn.XLOOKUP($B55,Tabla1[SERVICIO],Tabla1[VALOR]*AH55),0))</f>
        <v>0</v>
      </c>
      <c r="AJ55" s="14"/>
      <c r="AK55" s="56" cm="1">
        <f t="array" ref="AK55">IF(AJ55="X",(_xlfn.XLOOKUP($B55,Tabla1[SERVICIO],Tabla1[VALOR])*1),IF(AJ55&gt;=1,_xlfn.XLOOKUP($B55,Tabla1[SERVICIO],Tabla1[VALOR]*AJ55),0))</f>
        <v>0</v>
      </c>
      <c r="AL55" s="14"/>
      <c r="AM55" s="56" cm="1">
        <f t="array" ref="AM55">IF(AL55="X",(_xlfn.XLOOKUP($B55,Tabla1[SERVICIO],Tabla1[VALOR])*1),IF(AL55&gt;=1,_xlfn.XLOOKUP($B55,Tabla1[SERVICIO],Tabla1[VALOR]*AL55),0))</f>
        <v>0</v>
      </c>
      <c r="AN55" s="89">
        <f t="shared" si="1"/>
        <v>24009.730401318589</v>
      </c>
      <c r="AO55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5" s="37" t="s">
        <v>319</v>
      </c>
      <c r="AQ55" s="120">
        <v>0</v>
      </c>
      <c r="AR55" s="121">
        <f>+Tabla3172145[[#This Row],[TOTAL]]*Tabla3172145[[#This Row],[% de las personas que lo usaron]]</f>
        <v>0</v>
      </c>
      <c r="AS55" s="246" t="s">
        <v>356</v>
      </c>
      <c r="AT55" s="246">
        <v>18</v>
      </c>
    </row>
    <row r="56" spans="1:46" x14ac:dyDescent="0.25">
      <c r="A56" s="7" t="s">
        <v>38</v>
      </c>
      <c r="B56" s="8" t="s">
        <v>102</v>
      </c>
      <c r="C56" s="96" t="str">
        <f>_xlfn.XLOOKUP(Tabla3172145[[#This Row],[Servicios del Programa:]],Tabla151[CODIGO],Tabla151[VALOR])</f>
        <v>Consultas</v>
      </c>
      <c r="D56" s="14">
        <v>1</v>
      </c>
      <c r="E56" s="56" cm="1">
        <f t="array" ref="E56">IF(D56="X",(_xlfn.XLOOKUP($B56,Tabla1[SERVICIO],Tabla1[VALOR])*1),IF(D56&gt;=1,_xlfn.XLOOKUP($B56,Tabla1[SERVICIO],Tabla1[VALOR]*D56),0))</f>
        <v>56420.692787682223</v>
      </c>
      <c r="F56" s="14"/>
      <c r="G56" s="56" cm="1">
        <f t="array" ref="G56">IF(F56="X",(_xlfn.XLOOKUP($B56,Tabla1[SERVICIO],Tabla1[VALOR])*1),IF(F56&gt;=1,_xlfn.XLOOKUP($B56,Tabla1[SERVICIO],Tabla1[VALOR]*F56),0))</f>
        <v>0</v>
      </c>
      <c r="H56" s="14"/>
      <c r="I56" s="56" cm="1">
        <f t="array" ref="I56">IF(H56="X",(_xlfn.XLOOKUP($B56,Tabla1[SERVICIO],Tabla1[VALOR])*1),IF(H56&gt;=1,_xlfn.XLOOKUP($B56,Tabla1[SERVICIO],Tabla1[VALOR]*H56),0))</f>
        <v>0</v>
      </c>
      <c r="J56" s="14"/>
      <c r="K56" s="56" cm="1">
        <f t="array" ref="K56">IF(J56="X",(_xlfn.XLOOKUP($B56,Tabla1[SERVICIO],Tabla1[VALOR])*1),IF(J56&gt;=1,_xlfn.XLOOKUP($B56,Tabla1[SERVICIO],Tabla1[VALOR]*J56),0))</f>
        <v>0</v>
      </c>
      <c r="L56" s="14"/>
      <c r="M56" s="56" cm="1">
        <f t="array" ref="M56">IF(L56="X",(_xlfn.XLOOKUP($B56,Tabla1[SERVICIO],Tabla1[VALOR])*1),IF(L56&gt;=1,_xlfn.XLOOKUP($B56,Tabla1[SERVICIO],Tabla1[VALOR]*L56),0))</f>
        <v>0</v>
      </c>
      <c r="N56" s="14"/>
      <c r="O56" s="56" cm="1">
        <f t="array" ref="O56">IF(N56="X",(_xlfn.XLOOKUP($B56,Tabla1[SERVICIO],Tabla1[VALOR])*1),IF(N56&gt;=1,_xlfn.XLOOKUP($B56,Tabla1[SERVICIO],Tabla1[VALOR]*N56),0))</f>
        <v>0</v>
      </c>
      <c r="P56" s="14"/>
      <c r="Q56" s="56" cm="1">
        <f t="array" ref="Q56">IF(P56="X",(_xlfn.XLOOKUP($B56,Tabla1[SERVICIO],Tabla1[VALOR])*1),IF(P56&gt;=1,_xlfn.XLOOKUP($B56,Tabla1[SERVICIO],Tabla1[VALOR]*P56),0))</f>
        <v>0</v>
      </c>
      <c r="R56" s="14"/>
      <c r="S56" s="56" cm="1">
        <f t="array" ref="S56">IF(R56="X",(_xlfn.XLOOKUP($B56,Tabla1[SERVICIO],Tabla1[VALOR])*1),IF(R56&gt;=1,_xlfn.XLOOKUP($B56,Tabla1[SERVICIO],Tabla1[VALOR]*R56),0))</f>
        <v>0</v>
      </c>
      <c r="T56" s="14"/>
      <c r="U56" s="56" cm="1">
        <f t="array" ref="U56">IF(T56="X",(_xlfn.XLOOKUP($B56,Tabla1[SERVICIO],Tabla1[VALOR])*1),IF(T56&gt;=1,_xlfn.XLOOKUP($B56,Tabla1[SERVICIO],Tabla1[VALOR]*T56),0))</f>
        <v>0</v>
      </c>
      <c r="V56" s="14"/>
      <c r="W56" s="56" cm="1">
        <f t="array" ref="W56">IF(V56="X",(_xlfn.XLOOKUP($B56,Tabla1[SERVICIO],Tabla1[VALOR])*1),IF(V56&gt;=1,_xlfn.XLOOKUP($B56,Tabla1[SERVICIO],Tabla1[VALOR]*V56),0))</f>
        <v>0</v>
      </c>
      <c r="X56" s="14"/>
      <c r="Y56" s="56" cm="1">
        <f t="array" ref="Y56">IF(X56="X",(_xlfn.XLOOKUP($B56,Tabla1[SERVICIO],Tabla1[VALOR])*1),IF(X56&gt;=1,_xlfn.XLOOKUP($B56,Tabla1[SERVICIO],Tabla1[VALOR]*X56),0))</f>
        <v>0</v>
      </c>
      <c r="Z56" s="14"/>
      <c r="AA56" s="56" cm="1">
        <f t="array" ref="AA56">IF(Z56="X",(_xlfn.XLOOKUP($B56,Tabla1[SERVICIO],Tabla1[VALOR])*1),IF(Z56&gt;=1,_xlfn.XLOOKUP($B56,Tabla1[SERVICIO],Tabla1[VALOR]*Z56),0))</f>
        <v>0</v>
      </c>
      <c r="AB56" s="14"/>
      <c r="AC56" s="56" cm="1">
        <f t="array" ref="AC56">IF(AB56="X",(_xlfn.XLOOKUP($B56,Tabla1[SERVICIO],Tabla1[VALOR])*1),IF(AB56&gt;=1,_xlfn.XLOOKUP($B56,Tabla1[SERVICIO],Tabla1[VALOR]*AB56),0))</f>
        <v>0</v>
      </c>
      <c r="AD56" s="14"/>
      <c r="AE56" s="56" cm="1">
        <f t="array" ref="AE56">IF(AD56="X",(_xlfn.XLOOKUP($B56,Tabla1[SERVICIO],Tabla1[VALOR])*1),IF(AD56&gt;=1,_xlfn.XLOOKUP($B56,Tabla1[SERVICIO],Tabla1[VALOR]*AD56),0))</f>
        <v>0</v>
      </c>
      <c r="AF56" s="14"/>
      <c r="AG56" s="56" cm="1">
        <f t="array" ref="AG56">IF(AF56="X",(_xlfn.XLOOKUP($B56,Tabla1[SERVICIO],Tabla1[VALOR])*1),IF(AF56&gt;=1,_xlfn.XLOOKUP($B56,Tabla1[SERVICIO],Tabla1[VALOR]*AF56),0))</f>
        <v>0</v>
      </c>
      <c r="AH56" s="14"/>
      <c r="AI56" s="56" cm="1">
        <f t="array" ref="AI56">IF(AH56="X",(_xlfn.XLOOKUP($B56,Tabla1[SERVICIO],Tabla1[VALOR])*1),IF(AH56&gt;=1,_xlfn.XLOOKUP($B56,Tabla1[SERVICIO],Tabla1[VALOR]*AH56),0))</f>
        <v>0</v>
      </c>
      <c r="AJ56" s="14"/>
      <c r="AK56" s="56" cm="1">
        <f t="array" ref="AK56">IF(AJ56="X",(_xlfn.XLOOKUP($B56,Tabla1[SERVICIO],Tabla1[VALOR])*1),IF(AJ56&gt;=1,_xlfn.XLOOKUP($B56,Tabla1[SERVICIO],Tabla1[VALOR]*AJ56),0))</f>
        <v>0</v>
      </c>
      <c r="AL56" s="14"/>
      <c r="AM56" s="56" cm="1">
        <f t="array" ref="AM56">IF(AL56="X",(_xlfn.XLOOKUP($B56,Tabla1[SERVICIO],Tabla1[VALOR])*1),IF(AL56&gt;=1,_xlfn.XLOOKUP($B56,Tabla1[SERVICIO],Tabla1[VALOR]*AL56),0))</f>
        <v>0</v>
      </c>
      <c r="AN56" s="89">
        <f t="shared" si="1"/>
        <v>56420.692787682223</v>
      </c>
      <c r="AO56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6" s="37" t="s">
        <v>319</v>
      </c>
      <c r="AQ56" s="120">
        <v>0.2</v>
      </c>
      <c r="AR56" s="121">
        <f>+Tabla3172145[[#This Row],[TOTAL]]*Tabla3172145[[#This Row],[% de las personas que lo usaron]]</f>
        <v>11284.138557536446</v>
      </c>
      <c r="AS56" s="246" t="s">
        <v>356</v>
      </c>
      <c r="AT56" s="246">
        <v>18</v>
      </c>
    </row>
    <row r="57" spans="1:46" x14ac:dyDescent="0.25">
      <c r="A57" s="7" t="s">
        <v>42</v>
      </c>
      <c r="B57" s="8" t="s">
        <v>228</v>
      </c>
      <c r="C57" s="96" t="str">
        <f>_xlfn.XLOOKUP(Tabla3172145[[#This Row],[Servicios del Programa:]],Tabla151[CODIGO],Tabla151[VALOR])</f>
        <v>Terapias</v>
      </c>
      <c r="D57" s="14">
        <v>1</v>
      </c>
      <c r="E57" s="56" cm="1">
        <f t="array" ref="E57">IF(D57="X",(_xlfn.XLOOKUP($B57,Tabla1[SERVICIO],Tabla1[VALOR])*1),IF(D57&gt;=1,_xlfn.XLOOKUP($B57,Tabla1[SERVICIO],Tabla1[VALOR]*D57),0))</f>
        <v>31714.220952863223</v>
      </c>
      <c r="F57" s="14"/>
      <c r="G57" s="56" cm="1">
        <f t="array" ref="G57">IF(F57="X",(_xlfn.XLOOKUP($B57,Tabla1[SERVICIO],Tabla1[VALOR])*1),IF(F57&gt;=1,_xlfn.XLOOKUP($B57,Tabla1[SERVICIO],Tabla1[VALOR]*F57),0))</f>
        <v>0</v>
      </c>
      <c r="H57" s="14"/>
      <c r="I57" s="56" cm="1">
        <f t="array" ref="I57">IF(H57="X",(_xlfn.XLOOKUP($B57,Tabla1[SERVICIO],Tabla1[VALOR])*1),IF(H57&gt;=1,_xlfn.XLOOKUP($B57,Tabla1[SERVICIO],Tabla1[VALOR]*H57),0))</f>
        <v>0</v>
      </c>
      <c r="J57" s="14"/>
      <c r="K57" s="56" cm="1">
        <f t="array" ref="K57">IF(J57="X",(_xlfn.XLOOKUP($B57,Tabla1[SERVICIO],Tabla1[VALOR])*1),IF(J57&gt;=1,_xlfn.XLOOKUP($B57,Tabla1[SERVICIO],Tabla1[VALOR]*J57),0))</f>
        <v>0</v>
      </c>
      <c r="L57" s="14"/>
      <c r="M57" s="56" cm="1">
        <f t="array" ref="M57">IF(L57="X",(_xlfn.XLOOKUP($B57,Tabla1[SERVICIO],Tabla1[VALOR])*1),IF(L57&gt;=1,_xlfn.XLOOKUP($B57,Tabla1[SERVICIO],Tabla1[VALOR]*L57),0))</f>
        <v>0</v>
      </c>
      <c r="N57" s="14"/>
      <c r="O57" s="56" cm="1">
        <f t="array" ref="O57">IF(N57="X",(_xlfn.XLOOKUP($B57,Tabla1[SERVICIO],Tabla1[VALOR])*1),IF(N57&gt;=1,_xlfn.XLOOKUP($B57,Tabla1[SERVICIO],Tabla1[VALOR]*N57),0))</f>
        <v>0</v>
      </c>
      <c r="P57" s="14"/>
      <c r="Q57" s="56" cm="1">
        <f t="array" ref="Q57">IF(P57="X",(_xlfn.XLOOKUP($B57,Tabla1[SERVICIO],Tabla1[VALOR])*1),IF(P57&gt;=1,_xlfn.XLOOKUP($B57,Tabla1[SERVICIO],Tabla1[VALOR]*P57),0))</f>
        <v>0</v>
      </c>
      <c r="R57" s="14"/>
      <c r="S57" s="56" cm="1">
        <f t="array" ref="S57">IF(R57="X",(_xlfn.XLOOKUP($B57,Tabla1[SERVICIO],Tabla1[VALOR])*1),IF(R57&gt;=1,_xlfn.XLOOKUP($B57,Tabla1[SERVICIO],Tabla1[VALOR]*R57),0))</f>
        <v>0</v>
      </c>
      <c r="T57" s="14"/>
      <c r="U57" s="56" cm="1">
        <f t="array" ref="U57">IF(T57="X",(_xlfn.XLOOKUP($B57,Tabla1[SERVICIO],Tabla1[VALOR])*1),IF(T57&gt;=1,_xlfn.XLOOKUP($B57,Tabla1[SERVICIO],Tabla1[VALOR]*T57),0))</f>
        <v>0</v>
      </c>
      <c r="V57" s="14"/>
      <c r="W57" s="56" cm="1">
        <f t="array" ref="W57">IF(V57="X",(_xlfn.XLOOKUP($B57,Tabla1[SERVICIO],Tabla1[VALOR])*1),IF(V57&gt;=1,_xlfn.XLOOKUP($B57,Tabla1[SERVICIO],Tabla1[VALOR]*V57),0))</f>
        <v>0</v>
      </c>
      <c r="X57" s="14"/>
      <c r="Y57" s="56" cm="1">
        <f t="array" ref="Y57">IF(X57="X",(_xlfn.XLOOKUP($B57,Tabla1[SERVICIO],Tabla1[VALOR])*1),IF(X57&gt;=1,_xlfn.XLOOKUP($B57,Tabla1[SERVICIO],Tabla1[VALOR]*X57),0))</f>
        <v>0</v>
      </c>
      <c r="Z57" s="14"/>
      <c r="AA57" s="56" cm="1">
        <f t="array" ref="AA57">IF(Z57="X",(_xlfn.XLOOKUP($B57,Tabla1[SERVICIO],Tabla1[VALOR])*1),IF(Z57&gt;=1,_xlfn.XLOOKUP($B57,Tabla1[SERVICIO],Tabla1[VALOR]*Z57),0))</f>
        <v>0</v>
      </c>
      <c r="AB57" s="14"/>
      <c r="AC57" s="56" cm="1">
        <f t="array" ref="AC57">IF(AB57="X",(_xlfn.XLOOKUP($B57,Tabla1[SERVICIO],Tabla1[VALOR])*1),IF(AB57&gt;=1,_xlfn.XLOOKUP($B57,Tabla1[SERVICIO],Tabla1[VALOR]*AB57),0))</f>
        <v>0</v>
      </c>
      <c r="AD57" s="14"/>
      <c r="AE57" s="56" cm="1">
        <f t="array" ref="AE57">IF(AD57="X",(_xlfn.XLOOKUP($B57,Tabla1[SERVICIO],Tabla1[VALOR])*1),IF(AD57&gt;=1,_xlfn.XLOOKUP($B57,Tabla1[SERVICIO],Tabla1[VALOR]*AD57),0))</f>
        <v>0</v>
      </c>
      <c r="AF57" s="14"/>
      <c r="AG57" s="56" cm="1">
        <f t="array" ref="AG57">IF(AF57="X",(_xlfn.XLOOKUP($B57,Tabla1[SERVICIO],Tabla1[VALOR])*1),IF(AF57&gt;=1,_xlfn.XLOOKUP($B57,Tabla1[SERVICIO],Tabla1[VALOR]*AF57),0))</f>
        <v>0</v>
      </c>
      <c r="AH57" s="14"/>
      <c r="AI57" s="56" cm="1">
        <f t="array" ref="AI57">IF(AH57="X",(_xlfn.XLOOKUP($B57,Tabla1[SERVICIO],Tabla1[VALOR])*1),IF(AH57&gt;=1,_xlfn.XLOOKUP($B57,Tabla1[SERVICIO],Tabla1[VALOR]*AH57),0))</f>
        <v>0</v>
      </c>
      <c r="AJ57" s="14"/>
      <c r="AK57" s="56" cm="1">
        <f t="array" ref="AK57">IF(AJ57="X",(_xlfn.XLOOKUP($B57,Tabla1[SERVICIO],Tabla1[VALOR])*1),IF(AJ57&gt;=1,_xlfn.XLOOKUP($B57,Tabla1[SERVICIO],Tabla1[VALOR]*AJ57),0))</f>
        <v>0</v>
      </c>
      <c r="AL57" s="14"/>
      <c r="AM57" s="56" cm="1">
        <f t="array" ref="AM57">IF(AL57="X",(_xlfn.XLOOKUP($B57,Tabla1[SERVICIO],Tabla1[VALOR])*1),IF(AL57&gt;=1,_xlfn.XLOOKUP($B57,Tabla1[SERVICIO],Tabla1[VALOR]*AL57),0))</f>
        <v>0</v>
      </c>
      <c r="AN57" s="89">
        <f t="shared" si="1"/>
        <v>31714.220952863223</v>
      </c>
      <c r="AO57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7" s="37" t="s">
        <v>319</v>
      </c>
      <c r="AQ57" s="120">
        <v>0</v>
      </c>
      <c r="AR57" s="121">
        <f>+Tabla3172145[[#This Row],[TOTAL]]*Tabla3172145[[#This Row],[% de las personas que lo usaron]]</f>
        <v>0</v>
      </c>
      <c r="AS57" s="246" t="s">
        <v>356</v>
      </c>
      <c r="AT57" s="246">
        <v>18</v>
      </c>
    </row>
    <row r="58" spans="1:46" x14ac:dyDescent="0.25">
      <c r="A58" s="7" t="s">
        <v>44</v>
      </c>
      <c r="B58" s="8" t="s">
        <v>229</v>
      </c>
      <c r="C58" s="96" t="str">
        <f>_xlfn.XLOOKUP(Tabla3172145[[#This Row],[Servicios del Programa:]],Tabla151[CODIGO],Tabla151[VALOR])</f>
        <v>Terapias</v>
      </c>
      <c r="D58" s="14">
        <v>1</v>
      </c>
      <c r="E58" s="56" cm="1">
        <f t="array" ref="E58">IF(D58="X",(_xlfn.XLOOKUP($B58,Tabla1[SERVICIO],Tabla1[VALOR])*1),IF(D58&gt;=1,_xlfn.XLOOKUP($B58,Tabla1[SERVICIO],Tabla1[VALOR]*D58),0))</f>
        <v>31714.220952863223</v>
      </c>
      <c r="F58" s="14"/>
      <c r="G58" s="56" cm="1">
        <f t="array" ref="G58">IF(F58="X",(_xlfn.XLOOKUP($B58,Tabla1[SERVICIO],Tabla1[VALOR])*1),IF(F58&gt;=1,_xlfn.XLOOKUP($B58,Tabla1[SERVICIO],Tabla1[VALOR]*F58),0))</f>
        <v>0</v>
      </c>
      <c r="H58" s="14"/>
      <c r="I58" s="56" cm="1">
        <f t="array" ref="I58">IF(H58="X",(_xlfn.XLOOKUP($B58,Tabla1[SERVICIO],Tabla1[VALOR])*1),IF(H58&gt;=1,_xlfn.XLOOKUP($B58,Tabla1[SERVICIO],Tabla1[VALOR]*H58),0))</f>
        <v>0</v>
      </c>
      <c r="J58" s="14"/>
      <c r="K58" s="56" cm="1">
        <f t="array" ref="K58">IF(J58="X",(_xlfn.XLOOKUP($B58,Tabla1[SERVICIO],Tabla1[VALOR])*1),IF(J58&gt;=1,_xlfn.XLOOKUP($B58,Tabla1[SERVICIO],Tabla1[VALOR]*J58),0))</f>
        <v>0</v>
      </c>
      <c r="L58" s="14"/>
      <c r="M58" s="56" cm="1">
        <f t="array" ref="M58">IF(L58="X",(_xlfn.XLOOKUP($B58,Tabla1[SERVICIO],Tabla1[VALOR])*1),IF(L58&gt;=1,_xlfn.XLOOKUP($B58,Tabla1[SERVICIO],Tabla1[VALOR]*L58),0))</f>
        <v>0</v>
      </c>
      <c r="N58" s="14"/>
      <c r="O58" s="56" cm="1">
        <f t="array" ref="O58">IF(N58="X",(_xlfn.XLOOKUP($B58,Tabla1[SERVICIO],Tabla1[VALOR])*1),IF(N58&gt;=1,_xlfn.XLOOKUP($B58,Tabla1[SERVICIO],Tabla1[VALOR]*N58),0))</f>
        <v>0</v>
      </c>
      <c r="P58" s="14"/>
      <c r="Q58" s="56" cm="1">
        <f t="array" ref="Q58">IF(P58="X",(_xlfn.XLOOKUP($B58,Tabla1[SERVICIO],Tabla1[VALOR])*1),IF(P58&gt;=1,_xlfn.XLOOKUP($B58,Tabla1[SERVICIO],Tabla1[VALOR]*P58),0))</f>
        <v>0</v>
      </c>
      <c r="R58" s="14"/>
      <c r="S58" s="56" cm="1">
        <f t="array" ref="S58">IF(R58="X",(_xlfn.XLOOKUP($B58,Tabla1[SERVICIO],Tabla1[VALOR])*1),IF(R58&gt;=1,_xlfn.XLOOKUP($B58,Tabla1[SERVICIO],Tabla1[VALOR]*R58),0))</f>
        <v>0</v>
      </c>
      <c r="T58" s="14"/>
      <c r="U58" s="56" cm="1">
        <f t="array" ref="U58">IF(T58="X",(_xlfn.XLOOKUP($B58,Tabla1[SERVICIO],Tabla1[VALOR])*1),IF(T58&gt;=1,_xlfn.XLOOKUP($B58,Tabla1[SERVICIO],Tabla1[VALOR]*T58),0))</f>
        <v>0</v>
      </c>
      <c r="V58" s="14"/>
      <c r="W58" s="56" cm="1">
        <f t="array" ref="W58">IF(V58="X",(_xlfn.XLOOKUP($B58,Tabla1[SERVICIO],Tabla1[VALOR])*1),IF(V58&gt;=1,_xlfn.XLOOKUP($B58,Tabla1[SERVICIO],Tabla1[VALOR]*V58),0))</f>
        <v>0</v>
      </c>
      <c r="X58" s="14"/>
      <c r="Y58" s="56" cm="1">
        <f t="array" ref="Y58">IF(X58="X",(_xlfn.XLOOKUP($B58,Tabla1[SERVICIO],Tabla1[VALOR])*1),IF(X58&gt;=1,_xlfn.XLOOKUP($B58,Tabla1[SERVICIO],Tabla1[VALOR]*X58),0))</f>
        <v>0</v>
      </c>
      <c r="Z58" s="14"/>
      <c r="AA58" s="56" cm="1">
        <f t="array" ref="AA58">IF(Z58="X",(_xlfn.XLOOKUP($B58,Tabla1[SERVICIO],Tabla1[VALOR])*1),IF(Z58&gt;=1,_xlfn.XLOOKUP($B58,Tabla1[SERVICIO],Tabla1[VALOR]*Z58),0))</f>
        <v>0</v>
      </c>
      <c r="AB58" s="14"/>
      <c r="AC58" s="56" cm="1">
        <f t="array" ref="AC58">IF(AB58="X",(_xlfn.XLOOKUP($B58,Tabla1[SERVICIO],Tabla1[VALOR])*1),IF(AB58&gt;=1,_xlfn.XLOOKUP($B58,Tabla1[SERVICIO],Tabla1[VALOR]*AB58),0))</f>
        <v>0</v>
      </c>
      <c r="AD58" s="14"/>
      <c r="AE58" s="56" cm="1">
        <f t="array" ref="AE58">IF(AD58="X",(_xlfn.XLOOKUP($B58,Tabla1[SERVICIO],Tabla1[VALOR])*1),IF(AD58&gt;=1,_xlfn.XLOOKUP($B58,Tabla1[SERVICIO],Tabla1[VALOR]*AD58),0))</f>
        <v>0</v>
      </c>
      <c r="AF58" s="14"/>
      <c r="AG58" s="56" cm="1">
        <f t="array" ref="AG58">IF(AF58="X",(_xlfn.XLOOKUP($B58,Tabla1[SERVICIO],Tabla1[VALOR])*1),IF(AF58&gt;=1,_xlfn.XLOOKUP($B58,Tabla1[SERVICIO],Tabla1[VALOR]*AF58),0))</f>
        <v>0</v>
      </c>
      <c r="AH58" s="14"/>
      <c r="AI58" s="56" cm="1">
        <f t="array" ref="AI58">IF(AH58="X",(_xlfn.XLOOKUP($B58,Tabla1[SERVICIO],Tabla1[VALOR])*1),IF(AH58&gt;=1,_xlfn.XLOOKUP($B58,Tabla1[SERVICIO],Tabla1[VALOR]*AH58),0))</f>
        <v>0</v>
      </c>
      <c r="AJ58" s="14"/>
      <c r="AK58" s="56" cm="1">
        <f t="array" ref="AK58">IF(AJ58="X",(_xlfn.XLOOKUP($B58,Tabla1[SERVICIO],Tabla1[VALOR])*1),IF(AJ58&gt;=1,_xlfn.XLOOKUP($B58,Tabla1[SERVICIO],Tabla1[VALOR]*AJ58),0))</f>
        <v>0</v>
      </c>
      <c r="AL58" s="14"/>
      <c r="AM58" s="56" cm="1">
        <f t="array" ref="AM58">IF(AL58="X",(_xlfn.XLOOKUP($B58,Tabla1[SERVICIO],Tabla1[VALOR])*1),IF(AL58&gt;=1,_xlfn.XLOOKUP($B58,Tabla1[SERVICIO],Tabla1[VALOR]*AL58),0))</f>
        <v>0</v>
      </c>
      <c r="AN58" s="89">
        <f t="shared" si="1"/>
        <v>31714.220952863223</v>
      </c>
      <c r="AO58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8" s="37" t="s">
        <v>319</v>
      </c>
      <c r="AQ58" s="120">
        <v>0</v>
      </c>
      <c r="AR58" s="121">
        <f>+Tabla3172145[[#This Row],[TOTAL]]*Tabla3172145[[#This Row],[% de las personas que lo usaron]]</f>
        <v>0</v>
      </c>
      <c r="AS58" s="246" t="s">
        <v>356</v>
      </c>
      <c r="AT58" s="246">
        <v>18</v>
      </c>
    </row>
    <row r="59" spans="1:46" x14ac:dyDescent="0.25">
      <c r="A59" s="7" t="s">
        <v>29</v>
      </c>
      <c r="B59" s="8" t="s">
        <v>196</v>
      </c>
      <c r="C59" s="96" t="str">
        <f>_xlfn.XLOOKUP(Tabla3172145[[#This Row],[Servicios del Programa:]],Tabla151[CODIGO],Tabla151[VALOR])</f>
        <v>Terapias</v>
      </c>
      <c r="D59" s="14"/>
      <c r="E59" s="56" cm="1">
        <f t="array" ref="E59">IF(D59="X",(_xlfn.XLOOKUP($B59,Tabla1[SERVICIO],Tabla1[VALOR])*1),IF(D59&gt;=1,_xlfn.XLOOKUP($B59,Tabla1[SERVICIO],Tabla1[VALOR]*D59),0))</f>
        <v>0</v>
      </c>
      <c r="F59" s="14"/>
      <c r="G59" s="56" cm="1">
        <f t="array" ref="G59">IF(F59="X",(_xlfn.XLOOKUP($B59,Tabla1[SERVICIO],Tabla1[VALOR])*1),IF(F59&gt;=1,_xlfn.XLOOKUP($B59,Tabla1[SERVICIO],Tabla1[VALOR]*F59),0))</f>
        <v>0</v>
      </c>
      <c r="H59" s="14"/>
      <c r="I59" s="56" cm="1">
        <f t="array" ref="I59">IF(H59="X",(_xlfn.XLOOKUP($B59,Tabla1[SERVICIO],Tabla1[VALOR])*1),IF(H59&gt;=1,_xlfn.XLOOKUP($B59,Tabla1[SERVICIO],Tabla1[VALOR]*H59),0))</f>
        <v>0</v>
      </c>
      <c r="J59" s="14"/>
      <c r="K59" s="56" cm="1">
        <f t="array" ref="K59">IF(J59="X",(_xlfn.XLOOKUP($B59,Tabla1[SERVICIO],Tabla1[VALOR])*1),IF(J59&gt;=1,_xlfn.XLOOKUP($B59,Tabla1[SERVICIO],Tabla1[VALOR]*J59),0))</f>
        <v>0</v>
      </c>
      <c r="L59" s="14"/>
      <c r="M59" s="56" cm="1">
        <f t="array" ref="M59">IF(L59="X",(_xlfn.XLOOKUP($B59,Tabla1[SERVICIO],Tabla1[VALOR])*1),IF(L59&gt;=1,_xlfn.XLOOKUP($B59,Tabla1[SERVICIO],Tabla1[VALOR]*L59),0))</f>
        <v>0</v>
      </c>
      <c r="N59" s="14"/>
      <c r="O59" s="56" cm="1">
        <f t="array" ref="O59">IF(N59="X",(_xlfn.XLOOKUP($B59,Tabla1[SERVICIO],Tabla1[VALOR])*1),IF(N59&gt;=1,_xlfn.XLOOKUP($B59,Tabla1[SERVICIO],Tabla1[VALOR]*N59),0))</f>
        <v>0</v>
      </c>
      <c r="P59" s="14"/>
      <c r="Q59" s="56" cm="1">
        <f t="array" ref="Q59">IF(P59="X",(_xlfn.XLOOKUP($B59,Tabla1[SERVICIO],Tabla1[VALOR])*1),IF(P59&gt;=1,_xlfn.XLOOKUP($B59,Tabla1[SERVICIO],Tabla1[VALOR]*P59),0))</f>
        <v>0</v>
      </c>
      <c r="R59" s="14"/>
      <c r="S59" s="56" cm="1">
        <f t="array" ref="S59">IF(R59="X",(_xlfn.XLOOKUP($B59,Tabla1[SERVICIO],Tabla1[VALOR])*1),IF(R59&gt;=1,_xlfn.XLOOKUP($B59,Tabla1[SERVICIO],Tabla1[VALOR]*R59),0))</f>
        <v>0</v>
      </c>
      <c r="T59" s="14"/>
      <c r="U59" s="56" cm="1">
        <f t="array" ref="U59">IF(T59="X",(_xlfn.XLOOKUP($B59,Tabla1[SERVICIO],Tabla1[VALOR])*1),IF(T59&gt;=1,_xlfn.XLOOKUP($B59,Tabla1[SERVICIO],Tabla1[VALOR]*T59),0))</f>
        <v>0</v>
      </c>
      <c r="V59" s="14"/>
      <c r="W59" s="56" cm="1">
        <f t="array" ref="W59">IF(V59="X",(_xlfn.XLOOKUP($B59,Tabla1[SERVICIO],Tabla1[VALOR])*1),IF(V59&gt;=1,_xlfn.XLOOKUP($B59,Tabla1[SERVICIO],Tabla1[VALOR]*V59),0))</f>
        <v>0</v>
      </c>
      <c r="X59" s="14"/>
      <c r="Y59" s="56" cm="1">
        <f t="array" ref="Y59">IF(X59="X",(_xlfn.XLOOKUP($B59,Tabla1[SERVICIO],Tabla1[VALOR])*1),IF(X59&gt;=1,_xlfn.XLOOKUP($B59,Tabla1[SERVICIO],Tabla1[VALOR]*X59),0))</f>
        <v>0</v>
      </c>
      <c r="Z59" s="14"/>
      <c r="AA59" s="56" cm="1">
        <f t="array" ref="AA59">IF(Z59="X",(_xlfn.XLOOKUP($B59,Tabla1[SERVICIO],Tabla1[VALOR])*1),IF(Z59&gt;=1,_xlfn.XLOOKUP($B59,Tabla1[SERVICIO],Tabla1[VALOR]*Z59),0))</f>
        <v>0</v>
      </c>
      <c r="AB59" s="14"/>
      <c r="AC59" s="56" cm="1">
        <f t="array" ref="AC59">IF(AB59="X",(_xlfn.XLOOKUP($B59,Tabla1[SERVICIO],Tabla1[VALOR])*1),IF(AB59&gt;=1,_xlfn.XLOOKUP($B59,Tabla1[SERVICIO],Tabla1[VALOR]*AB59),0))</f>
        <v>0</v>
      </c>
      <c r="AD59" s="14"/>
      <c r="AE59" s="56" cm="1">
        <f t="array" ref="AE59">IF(AD59="X",(_xlfn.XLOOKUP($B59,Tabla1[SERVICIO],Tabla1[VALOR])*1),IF(AD59&gt;=1,_xlfn.XLOOKUP($B59,Tabla1[SERVICIO],Tabla1[VALOR]*AD59),0))</f>
        <v>0</v>
      </c>
      <c r="AF59" s="14"/>
      <c r="AG59" s="56" cm="1">
        <f t="array" ref="AG59">IF(AF59="X",(_xlfn.XLOOKUP($B59,Tabla1[SERVICIO],Tabla1[VALOR])*1),IF(AF59&gt;=1,_xlfn.XLOOKUP($B59,Tabla1[SERVICIO],Tabla1[VALOR]*AF59),0))</f>
        <v>0</v>
      </c>
      <c r="AH59" s="14"/>
      <c r="AI59" s="56" cm="1">
        <f t="array" ref="AI59">IF(AH59="X",(_xlfn.XLOOKUP($B59,Tabla1[SERVICIO],Tabla1[VALOR])*1),IF(AH59&gt;=1,_xlfn.XLOOKUP($B59,Tabla1[SERVICIO],Tabla1[VALOR]*AH59),0))</f>
        <v>0</v>
      </c>
      <c r="AJ59" s="14"/>
      <c r="AK59" s="56" cm="1">
        <f t="array" ref="AK59">IF(AJ59="X",(_xlfn.XLOOKUP($B59,Tabla1[SERVICIO],Tabla1[VALOR])*1),IF(AJ59&gt;=1,_xlfn.XLOOKUP($B59,Tabla1[SERVICIO],Tabla1[VALOR]*AJ59),0))</f>
        <v>0</v>
      </c>
      <c r="AL59" s="14">
        <v>1</v>
      </c>
      <c r="AM59" s="56" cm="1">
        <f t="array" ref="AM59">IF(AL59="X",(_xlfn.XLOOKUP($B59,Tabla1[SERVICIO],Tabla1[VALOR])*1),IF(AL59&gt;=1,_xlfn.XLOOKUP($B59,Tabla1[SERVICIO],Tabla1[VALOR]*AL59),0))</f>
        <v>31881.451880098426</v>
      </c>
      <c r="AN59" s="89">
        <f t="shared" si="1"/>
        <v>31881.451880098426</v>
      </c>
      <c r="AO59" s="153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9" s="122" t="s">
        <v>318</v>
      </c>
      <c r="AQ59" s="120">
        <v>1</v>
      </c>
      <c r="AR59" s="121">
        <f>+Tabla3172145[[#This Row],[TOTAL]]*Tabla3172145[[#This Row],[% de las personas que lo usaron]]</f>
        <v>31881.451880098426</v>
      </c>
      <c r="AS59" s="246" t="s">
        <v>356</v>
      </c>
      <c r="AT59" s="246">
        <v>18</v>
      </c>
    </row>
    <row r="60" spans="1:46" x14ac:dyDescent="0.25">
      <c r="A60" s="9"/>
      <c r="B60" s="10"/>
      <c r="C60" s="10"/>
      <c r="D60" s="16">
        <f>SUBTOTAL(109,Tabla3172145[MES 1])</f>
        <v>27</v>
      </c>
      <c r="E60" s="16">
        <f>SUBTOTAL(109,Tabla3172145[MES 19])</f>
        <v>790802.16393836599</v>
      </c>
      <c r="F60" s="16">
        <f>SUBTOTAL(109,Tabla3172145[MES 2])</f>
        <v>9</v>
      </c>
      <c r="G60" s="72">
        <f>SUBTOTAL(109,Tabla3172145[MES 22])</f>
        <v>137639.05750186625</v>
      </c>
      <c r="H60" s="16">
        <f>SUBTOTAL(109,Tabla3172145[MES 3])</f>
        <v>9</v>
      </c>
      <c r="I60" s="72">
        <f>SUBTOTAL(109,Tabla3172145[MES 32])</f>
        <v>137639.05750186625</v>
      </c>
      <c r="J60" s="16">
        <f>SUBTOTAL(109,Tabla3172145[MES 4])</f>
        <v>9</v>
      </c>
      <c r="K60" s="72">
        <f>SUBTOTAL(109,Tabla3172145[MES 42])</f>
        <v>137639.05750186625</v>
      </c>
      <c r="L60" s="16">
        <f>SUBTOTAL(109,Tabla3172145[MES 5])</f>
        <v>9</v>
      </c>
      <c r="M60" s="72">
        <f>SUBTOTAL(109,Tabla3172145[MES 52])</f>
        <v>137639.05750186625</v>
      </c>
      <c r="N60" s="16">
        <f>SUBTOTAL(109,Tabla3172145[MES 6])</f>
        <v>14</v>
      </c>
      <c r="O60" s="72">
        <f>SUBTOTAL(109,Tabla3172145[MES 62])</f>
        <v>311728.16532044968</v>
      </c>
      <c r="P60" s="16">
        <f>SUBTOTAL(109,Tabla3172145[MES 7])</f>
        <v>9</v>
      </c>
      <c r="Q60" s="72">
        <f>SUBTOTAL(109,Tabla3172145[MES 72])</f>
        <v>137639.05750186625</v>
      </c>
      <c r="R60" s="16">
        <f>SUBTOTAL(109,Tabla3172145[MES 8])</f>
        <v>9</v>
      </c>
      <c r="S60" s="72">
        <f>SUBTOTAL(109,Tabla3172145[MES 82])</f>
        <v>137639.05750186625</v>
      </c>
      <c r="T60" s="16">
        <f>SUBTOTAL(109,Tabla3172145[MES 9])</f>
        <v>9</v>
      </c>
      <c r="U60" s="72">
        <f>SUBTOTAL(109,Tabla3172145[MES 92])</f>
        <v>137639.05750186625</v>
      </c>
      <c r="V60" s="16">
        <f>SUBTOTAL(109,Tabla3172145[MES 10])</f>
        <v>9</v>
      </c>
      <c r="W60" s="72">
        <f>SUBTOTAL(109,Tabla3172145[MES 102])</f>
        <v>137639.05750186625</v>
      </c>
      <c r="X60" s="16">
        <f>SUBTOTAL(109,Tabla3172145[MES 11])</f>
        <v>9</v>
      </c>
      <c r="Y60" s="72">
        <f>SUBTOTAL(109,Tabla3172145[MES 112])</f>
        <v>137639.05750186625</v>
      </c>
      <c r="Z60" s="16">
        <f>SUBTOTAL(109,Tabla3172145[MES 12])</f>
        <v>9</v>
      </c>
      <c r="AA60" s="72">
        <f>SUBTOTAL(109,Tabla3172145[MES 122])</f>
        <v>137639.05750186625</v>
      </c>
      <c r="AB60" s="16">
        <f>SUBTOTAL(109,Tabla3172145[MES 13])</f>
        <v>9</v>
      </c>
      <c r="AC60" s="72">
        <f>SUBTOTAL(109,Tabla3172145[MES 132])</f>
        <v>137639.05750186625</v>
      </c>
      <c r="AD60" s="16">
        <f>SUBTOTAL(109,Tabla3172145[MES 14])</f>
        <v>9</v>
      </c>
      <c r="AE60" s="72">
        <f>SUBTOTAL(109,Tabla3172145[MES 142])</f>
        <v>137639.05750186625</v>
      </c>
      <c r="AF60" s="16">
        <f>SUBTOTAL(109,Tabla3172145[MES 15])</f>
        <v>9</v>
      </c>
      <c r="AG60" s="72">
        <f>SUBTOTAL(109,Tabla3172145[MES 152])</f>
        <v>137639.05750186625</v>
      </c>
      <c r="AH60" s="16">
        <f>SUBTOTAL(109,Tabla3172145[MES 16])</f>
        <v>9</v>
      </c>
      <c r="AI60" s="72">
        <f>SUBTOTAL(109,Tabla3172145[MES 162])</f>
        <v>137639.05750186625</v>
      </c>
      <c r="AJ60" s="16">
        <f>SUBTOTAL(109,Tabla3172145[MES 17])</f>
        <v>9</v>
      </c>
      <c r="AK60" s="72">
        <f>SUBTOTAL(109,Tabla3172145[MES 172])</f>
        <v>137639.05750186625</v>
      </c>
      <c r="AL60" s="69">
        <f>SUBTOTAL(109,Tabla3172145[MES 18])</f>
        <v>18</v>
      </c>
      <c r="AM60" s="87">
        <f>SUBTOTAL(109,Tabla3172145[MES 1722])</f>
        <v>445259.63496787637</v>
      </c>
      <c r="AN60" s="211">
        <f>SUBTOTAL(109,Tabla3172145[TOTAL])</f>
        <v>3612375.826754685</v>
      </c>
      <c r="AO60" s="95">
        <f>SUBTOTAL(109,Tabla3172145[TOTAL SERVICIOS])</f>
        <v>194</v>
      </c>
      <c r="AP60" s="95"/>
      <c r="AQ60" s="95"/>
      <c r="AR60" s="125">
        <f>SUBTOTAL(109,Tabla3172145[VALOR COSTO])</f>
        <v>2436352.608656337</v>
      </c>
      <c r="AS60" s="95"/>
      <c r="AT60" s="95"/>
    </row>
    <row r="64" spans="1:46" x14ac:dyDescent="0.25">
      <c r="B64" s="4" t="b">
        <f>+B3=B34</f>
        <v>1</v>
      </c>
    </row>
    <row r="65" spans="2:2" x14ac:dyDescent="0.25">
      <c r="B65" s="4" t="b">
        <f>+B4=B35</f>
        <v>1</v>
      </c>
    </row>
    <row r="66" spans="2:2" x14ac:dyDescent="0.25">
      <c r="B66" s="4" t="b">
        <f>+B5=B36</f>
        <v>1</v>
      </c>
    </row>
    <row r="67" spans="2:2" x14ac:dyDescent="0.25">
      <c r="B67" s="4" t="b">
        <f>+B6=B37</f>
        <v>1</v>
      </c>
    </row>
    <row r="68" spans="2:2" x14ac:dyDescent="0.25">
      <c r="B68" s="4" t="b">
        <f>+B7=B38</f>
        <v>1</v>
      </c>
    </row>
    <row r="69" spans="2:2" x14ac:dyDescent="0.25">
      <c r="B69" s="4" t="b">
        <f t="shared" ref="B69:B88" si="2">+B8=B39</f>
        <v>1</v>
      </c>
    </row>
    <row r="70" spans="2:2" x14ac:dyDescent="0.25">
      <c r="B70" s="4" t="b">
        <f t="shared" si="2"/>
        <v>1</v>
      </c>
    </row>
    <row r="71" spans="2:2" x14ac:dyDescent="0.25">
      <c r="B71" s="4" t="b">
        <f t="shared" si="2"/>
        <v>1</v>
      </c>
    </row>
    <row r="72" spans="2:2" x14ac:dyDescent="0.25">
      <c r="B72" s="4" t="b">
        <f t="shared" si="2"/>
        <v>1</v>
      </c>
    </row>
    <row r="73" spans="2:2" x14ac:dyDescent="0.25">
      <c r="B73" s="4" t="b">
        <f t="shared" si="2"/>
        <v>1</v>
      </c>
    </row>
    <row r="74" spans="2:2" x14ac:dyDescent="0.25">
      <c r="B74" s="4" t="b">
        <f t="shared" si="2"/>
        <v>1</v>
      </c>
    </row>
    <row r="75" spans="2:2" x14ac:dyDescent="0.25">
      <c r="B75" s="4" t="b">
        <f t="shared" si="2"/>
        <v>1</v>
      </c>
    </row>
    <row r="76" spans="2:2" x14ac:dyDescent="0.25">
      <c r="B76" s="4" t="b">
        <f t="shared" si="2"/>
        <v>1</v>
      </c>
    </row>
    <row r="77" spans="2:2" x14ac:dyDescent="0.25">
      <c r="B77" s="4" t="b">
        <f t="shared" si="2"/>
        <v>1</v>
      </c>
    </row>
    <row r="78" spans="2:2" x14ac:dyDescent="0.25">
      <c r="B78" s="4" t="b">
        <f t="shared" si="2"/>
        <v>1</v>
      </c>
    </row>
    <row r="79" spans="2:2" x14ac:dyDescent="0.25">
      <c r="B79" s="4" t="b">
        <f t="shared" si="2"/>
        <v>1</v>
      </c>
    </row>
    <row r="80" spans="2:2" x14ac:dyDescent="0.25">
      <c r="B80" s="4" t="b">
        <f t="shared" si="2"/>
        <v>1</v>
      </c>
    </row>
    <row r="81" spans="2:2" x14ac:dyDescent="0.25">
      <c r="B81" s="4" t="b">
        <f t="shared" si="2"/>
        <v>1</v>
      </c>
    </row>
    <row r="82" spans="2:2" x14ac:dyDescent="0.25">
      <c r="B82" s="4" t="b">
        <f t="shared" si="2"/>
        <v>1</v>
      </c>
    </row>
    <row r="83" spans="2:2" x14ac:dyDescent="0.25">
      <c r="B83" s="4" t="b">
        <f t="shared" si="2"/>
        <v>1</v>
      </c>
    </row>
    <row r="84" spans="2:2" x14ac:dyDescent="0.25">
      <c r="B84" s="4" t="b">
        <f t="shared" si="2"/>
        <v>1</v>
      </c>
    </row>
    <row r="85" spans="2:2" x14ac:dyDescent="0.25">
      <c r="B85" s="4" t="b">
        <f t="shared" si="2"/>
        <v>1</v>
      </c>
    </row>
    <row r="86" spans="2:2" x14ac:dyDescent="0.25">
      <c r="B86" s="4" t="b">
        <f t="shared" si="2"/>
        <v>1</v>
      </c>
    </row>
    <row r="87" spans="2:2" x14ac:dyDescent="0.25">
      <c r="B87" s="4" t="b">
        <f t="shared" si="2"/>
        <v>1</v>
      </c>
    </row>
    <row r="88" spans="2:2" x14ac:dyDescent="0.25">
      <c r="B88" s="4" t="b">
        <f t="shared" si="2"/>
        <v>1</v>
      </c>
    </row>
  </sheetData>
  <phoneticPr fontId="13" type="noConversion"/>
  <conditionalFormatting sqref="A5">
    <cfRule type="duplicateValues" dxfId="24" priority="8"/>
  </conditionalFormatting>
  <conditionalFormatting sqref="A20:A22">
    <cfRule type="duplicateValues" dxfId="23" priority="7"/>
  </conditionalFormatting>
  <conditionalFormatting sqref="A23:A28 A3:A4 A7 A9:A19">
    <cfRule type="duplicateValues" dxfId="22" priority="9"/>
  </conditionalFormatting>
  <conditionalFormatting sqref="A36">
    <cfRule type="duplicateValues" dxfId="21" priority="5"/>
  </conditionalFormatting>
  <conditionalFormatting sqref="A51:A53">
    <cfRule type="duplicateValues" dxfId="20" priority="4"/>
  </conditionalFormatting>
  <conditionalFormatting sqref="A54:A59 A34:A35 A38 A40:A50">
    <cfRule type="duplicateValues" dxfId="19" priority="6"/>
  </conditionalFormatting>
  <conditionalFormatting sqref="AF3:A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4:AR5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CF6E-D8C1-452E-B78F-15E281414006}">
  <sheetPr codeName="Hoja23">
    <tabColor theme="7" tint="0.39997558519241921"/>
  </sheetPr>
  <dimension ref="A1:AT80"/>
  <sheetViews>
    <sheetView topLeftCell="J1" zoomScale="85" zoomScaleNormal="85" workbookViewId="0">
      <selection activeCell="A3" sqref="A3:AH25"/>
    </sheetView>
    <sheetView workbookViewId="1">
      <selection activeCell="F15" sqref="F15"/>
    </sheetView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20.28515625" style="4" bestFit="1" customWidth="1"/>
    <col min="4" max="4" width="8.140625" style="4" bestFit="1" customWidth="1"/>
    <col min="5" max="5" width="12.5703125" style="4" bestFit="1" customWidth="1"/>
    <col min="6" max="6" width="8.5703125" style="4" bestFit="1" customWidth="1"/>
    <col min="7" max="7" width="11.42578125" style="4" bestFit="1" customWidth="1"/>
    <col min="8" max="8" width="8.5703125" style="4" bestFit="1" customWidth="1"/>
    <col min="9" max="9" width="12.140625" style="4" bestFit="1" customWidth="1"/>
    <col min="10" max="10" width="8.5703125" style="4" bestFit="1" customWidth="1"/>
    <col min="11" max="11" width="12.140625" style="4" bestFit="1" customWidth="1"/>
    <col min="12" max="12" width="8.5703125" style="4" bestFit="1" customWidth="1"/>
    <col min="13" max="13" width="12.140625" style="4" bestFit="1" customWidth="1"/>
    <col min="14" max="14" width="8.5703125" style="4" bestFit="1" customWidth="1"/>
    <col min="15" max="15" width="12.140625" style="4" bestFit="1" customWidth="1"/>
    <col min="16" max="16" width="8.5703125" style="4" bestFit="1" customWidth="1"/>
    <col min="17" max="17" width="12.140625" style="4" bestFit="1" customWidth="1"/>
    <col min="18" max="18" width="8.5703125" style="4" bestFit="1" customWidth="1"/>
    <col min="19" max="19" width="12.140625" style="4" bestFit="1" customWidth="1"/>
    <col min="20" max="20" width="8.5703125" style="4" bestFit="1" customWidth="1"/>
    <col min="21" max="21" width="12.140625" style="4" bestFit="1" customWidth="1"/>
    <col min="22" max="22" width="9.28515625" style="4" bestFit="1" customWidth="1"/>
    <col min="23" max="23" width="12.140625" style="4" bestFit="1" customWidth="1"/>
    <col min="24" max="24" width="8.85546875" style="4" bestFit="1" customWidth="1"/>
    <col min="25" max="25" width="12.140625" style="4" bestFit="1" customWidth="1"/>
    <col min="26" max="26" width="9.28515625" style="4" bestFit="1" customWidth="1"/>
    <col min="27" max="27" width="13" style="4" bestFit="1" customWidth="1"/>
    <col min="28" max="28" width="15.7109375" style="4" bestFit="1" customWidth="1"/>
    <col min="29" max="29" width="13.28515625" style="4" customWidth="1"/>
    <col min="30" max="30" width="14.28515625" style="4" customWidth="1"/>
    <col min="31" max="31" width="21" style="4" bestFit="1" customWidth="1"/>
    <col min="32" max="32" width="12.140625" style="4" customWidth="1"/>
    <col min="33" max="33" width="25.28515625" style="4" bestFit="1" customWidth="1"/>
    <col min="34" max="34" width="12.140625" style="4" bestFit="1" customWidth="1"/>
    <col min="35" max="35" width="11.42578125" style="4"/>
    <col min="36" max="36" width="12.140625" style="4" bestFit="1" customWidth="1"/>
    <col min="37" max="37" width="11.42578125" style="4"/>
    <col min="38" max="38" width="13" style="4" bestFit="1" customWidth="1"/>
    <col min="39" max="39" width="16.7109375" style="4" bestFit="1" customWidth="1"/>
    <col min="40" max="40" width="14.28515625" style="4" customWidth="1"/>
    <col min="41" max="42" width="11.42578125" style="4"/>
    <col min="43" max="43" width="20.5703125" style="4" customWidth="1"/>
    <col min="44" max="44" width="11.42578125" style="4"/>
    <col min="45" max="45" width="25.28515625" style="4" bestFit="1" customWidth="1"/>
    <col min="46" max="16384" width="11.42578125" style="4"/>
  </cols>
  <sheetData>
    <row r="1" spans="1:34" ht="27" customHeight="1" x14ac:dyDescent="0.25">
      <c r="A1" s="43" t="s">
        <v>217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AC1" s="172" t="s">
        <v>325</v>
      </c>
    </row>
    <row r="2" spans="1:34" s="3" customFormat="1" ht="25.5" x14ac:dyDescent="0.2">
      <c r="A2" s="20" t="s">
        <v>0</v>
      </c>
      <c r="B2" s="17" t="s">
        <v>218</v>
      </c>
      <c r="C2" s="183" t="s">
        <v>347</v>
      </c>
      <c r="D2" s="18" t="s">
        <v>56</v>
      </c>
      <c r="E2" s="18" t="s">
        <v>68</v>
      </c>
      <c r="F2" s="18" t="s">
        <v>57</v>
      </c>
      <c r="G2" s="18" t="s">
        <v>293</v>
      </c>
      <c r="H2" s="18" t="s">
        <v>58</v>
      </c>
      <c r="I2" s="18" t="s">
        <v>294</v>
      </c>
      <c r="J2" s="18" t="s">
        <v>59</v>
      </c>
      <c r="K2" s="18" t="s">
        <v>295</v>
      </c>
      <c r="L2" s="18" t="s">
        <v>60</v>
      </c>
      <c r="M2" s="18" t="s">
        <v>296</v>
      </c>
      <c r="N2" s="18" t="s">
        <v>61</v>
      </c>
      <c r="O2" s="18" t="s">
        <v>297</v>
      </c>
      <c r="P2" s="18" t="s">
        <v>62</v>
      </c>
      <c r="Q2" s="18" t="s">
        <v>298</v>
      </c>
      <c r="R2" s="18" t="s">
        <v>63</v>
      </c>
      <c r="S2" s="18" t="s">
        <v>299</v>
      </c>
      <c r="T2" s="18" t="s">
        <v>64</v>
      </c>
      <c r="U2" s="18" t="s">
        <v>300</v>
      </c>
      <c r="V2" s="18" t="s">
        <v>65</v>
      </c>
      <c r="W2" s="18" t="s">
        <v>301</v>
      </c>
      <c r="X2" s="18" t="s">
        <v>66</v>
      </c>
      <c r="Y2" s="18" t="s">
        <v>302</v>
      </c>
      <c r="Z2" s="18" t="s">
        <v>67</v>
      </c>
      <c r="AA2" s="66" t="s">
        <v>311</v>
      </c>
      <c r="AB2" s="167" t="s">
        <v>247</v>
      </c>
      <c r="AC2" s="105" t="s">
        <v>313</v>
      </c>
      <c r="AD2" s="165" t="s">
        <v>187</v>
      </c>
      <c r="AE2" s="66" t="s">
        <v>316</v>
      </c>
      <c r="AF2" s="66" t="s">
        <v>317</v>
      </c>
      <c r="AG2" s="66" t="s">
        <v>348</v>
      </c>
      <c r="AH2" s="66" t="s">
        <v>406</v>
      </c>
    </row>
    <row r="3" spans="1:34" x14ac:dyDescent="0.25">
      <c r="A3" s="7" t="s">
        <v>13</v>
      </c>
      <c r="B3" s="55" t="s">
        <v>14</v>
      </c>
      <c r="C3" s="96" t="str">
        <f>_xlfn.XLOOKUP(Tabla46789101146[[#This Row],[Servicios del Programa:]],Tabla151[CODIGO],Tabla151[VALOR])</f>
        <v>Gestion y seguimiento</v>
      </c>
      <c r="D3" s="14">
        <v>1</v>
      </c>
      <c r="E3" s="56" cm="1">
        <f t="array" ref="E3">IF(D3="X",(_xlfn.XLOOKUP($B3,Tabla1[SERVICIO],Tabla1[VALOR])*1),IF(D3&gt;=1,_xlfn.XLOOKUP($B3,Tabla1[SERVICIO],Tabla1[VALOR]*D3),0))</f>
        <v>20552.755657371155</v>
      </c>
      <c r="F3" s="8"/>
      <c r="G3" s="56" cm="1">
        <f t="array" ref="G3">IF(F3="X",(_xlfn.XLOOKUP($B3,Tabla1[SERVICIO],Tabla1[VALOR])*1),IF(F3&gt;=1,_xlfn.XLOOKUP($B3,Tabla1[SERVICIO],Tabla1[VALOR]*F3),0))</f>
        <v>0</v>
      </c>
      <c r="H3" s="8"/>
      <c r="I3" s="56" cm="1">
        <f t="array" ref="I3">IF(H3="X",(_xlfn.XLOOKUP($B3,Tabla1[SERVICIO],Tabla1[VALOR])*1),IF(H3&gt;=1,_xlfn.XLOOKUP($B3,Tabla1[SERVICIO],Tabla1[VALOR]*H3),0))</f>
        <v>0</v>
      </c>
      <c r="J3" s="8"/>
      <c r="K3" s="56" cm="1">
        <f t="array" ref="K3">IF(J3="X",(_xlfn.XLOOKUP($B3,Tabla1[SERVICIO],Tabla1[VALOR])*1),IF(J3&gt;=1,_xlfn.XLOOKUP($B3,Tabla1[SERVICIO],Tabla1[VALOR]*J3),0))</f>
        <v>0</v>
      </c>
      <c r="L3" s="8"/>
      <c r="M3" s="56" cm="1">
        <f t="array" ref="M3">IF(L3="X",(_xlfn.XLOOKUP($B3,Tabla1[SERVICIO],Tabla1[VALOR])*1),IF(L3&gt;=1,_xlfn.XLOOKUP($B3,Tabla1[SERVICIO],Tabla1[VALOR]*L3),0))</f>
        <v>0</v>
      </c>
      <c r="N3" s="8"/>
      <c r="O3" s="56" cm="1">
        <f t="array" ref="O3">IF(N3="X",(_xlfn.XLOOKUP($B3,Tabla1[SERVICIO],Tabla1[VALOR])*1),IF(N3&gt;=1,_xlfn.XLOOKUP($B3,Tabla1[SERVICIO],Tabla1[VALOR]*N3),0))</f>
        <v>0</v>
      </c>
      <c r="P3" s="8"/>
      <c r="Q3" s="56" cm="1">
        <f t="array" ref="Q3">IF(P3="X",(_xlfn.XLOOKUP($B3,Tabla1[SERVICIO],Tabla1[VALOR])*1),IF(P3&gt;=1,_xlfn.XLOOKUP($B3,Tabla1[SERVICIO],Tabla1[VALOR]*P3),0))</f>
        <v>0</v>
      </c>
      <c r="R3" s="8"/>
      <c r="S3" s="56" cm="1">
        <f t="array" ref="S3">IF(R3="X",(_xlfn.XLOOKUP($B3,Tabla1[SERVICIO],Tabla1[VALOR])*1),IF(R3&gt;=1,_xlfn.XLOOKUP($B3,Tabla1[SERVICIO],Tabla1[VALOR]*R3),0))</f>
        <v>0</v>
      </c>
      <c r="T3" s="8"/>
      <c r="U3" s="56" cm="1">
        <f t="array" ref="U3">IF(T3="X",(_xlfn.XLOOKUP($B3,Tabla1[SERVICIO],Tabla1[VALOR])*1),IF(T3&gt;=1,_xlfn.XLOOKUP($B3,Tabla1[SERVICIO],Tabla1[VALOR]*T3),0))</f>
        <v>0</v>
      </c>
      <c r="V3" s="8"/>
      <c r="W3" s="56" cm="1">
        <f t="array" ref="W3">IF(V3="X",(_xlfn.XLOOKUP($B3,Tabla1[SERVICIO],Tabla1[VALOR])*1),IF(V3&gt;=1,_xlfn.XLOOKUP($B3,Tabla1[SERVICIO],Tabla1[VALOR]*V3),0))</f>
        <v>0</v>
      </c>
      <c r="X3" s="8"/>
      <c r="Y3" s="56" cm="1">
        <f t="array" ref="Y3">IF(X3="X",(_xlfn.XLOOKUP($B3,Tabla1[SERVICIO],Tabla1[VALOR])*1),IF(X3&gt;=1,_xlfn.XLOOKUP($B3,Tabla1[SERVICIO],Tabla1[VALOR]*X3),0))</f>
        <v>0</v>
      </c>
      <c r="Z3" s="8"/>
      <c r="AA3" s="56" cm="1">
        <f t="array" ref="AA3">IF(Z3="X",(_xlfn.XLOOKUP($B3,Tabla1[SERVICIO],Tabla1[VALOR])*1),IF(Z3&gt;=1,_xlfn.XLOOKUP($B3,Tabla1[SERVICIO],Tabla1[VALOR]*Z3),0))</f>
        <v>0</v>
      </c>
      <c r="AB3" s="168">
        <f>SUM(E3,G3,I3,K3+M3,O3,Q3,S3,U3,W3,Y3,AA3)</f>
        <v>20552.755657371155</v>
      </c>
      <c r="AC3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3" s="122" t="s">
        <v>318</v>
      </c>
      <c r="AE3" s="127">
        <v>1</v>
      </c>
      <c r="AF3" s="121">
        <f>+Tabla46789101146[[#This Row],[% de las personas que lo usaron]]*Tabla46789101146[[#This Row],[TOTAL]]</f>
        <v>20552.755657371155</v>
      </c>
      <c r="AG3" s="246" t="s">
        <v>357</v>
      </c>
      <c r="AH3" s="246">
        <v>12</v>
      </c>
    </row>
    <row r="4" spans="1:34" x14ac:dyDescent="0.25">
      <c r="A4" s="7">
        <v>890305</v>
      </c>
      <c r="B4" s="55" t="s">
        <v>123</v>
      </c>
      <c r="C4" s="96" t="str">
        <f>_xlfn.XLOOKUP(Tabla46789101146[[#This Row],[Servicios del Programa:]],Tabla151[CODIGO],Tabla151[VALOR])</f>
        <v>Consultas</v>
      </c>
      <c r="D4" s="14">
        <v>1</v>
      </c>
      <c r="E4" s="56" cm="1">
        <f t="array" ref="E4">IF(D4="X",(_xlfn.XLOOKUP($B4,Tabla1[SERVICIO],Tabla1[VALOR])*1),IF(D4&gt;=1,_xlfn.XLOOKUP($B4,Tabla1[SERVICIO],Tabla1[VALOR]*D4),0))</f>
        <v>21014.396674037816</v>
      </c>
      <c r="F4" s="8"/>
      <c r="G4" s="56" cm="1">
        <f t="array" ref="G4">IF(F4="X",(_xlfn.XLOOKUP($B4,Tabla1[SERVICIO],Tabla1[VALOR])*1),IF(F4&gt;=1,_xlfn.XLOOKUP($B4,Tabla1[SERVICIO],Tabla1[VALOR]*F4),0))</f>
        <v>0</v>
      </c>
      <c r="H4" s="8"/>
      <c r="I4" s="56" cm="1">
        <f t="array" ref="I4">IF(H4="X",(_xlfn.XLOOKUP($B4,Tabla1[SERVICIO],Tabla1[VALOR])*1),IF(H4&gt;=1,_xlfn.XLOOKUP($B4,Tabla1[SERVICIO],Tabla1[VALOR]*H4),0))</f>
        <v>0</v>
      </c>
      <c r="J4" s="8"/>
      <c r="K4" s="56" cm="1">
        <f t="array" ref="K4">IF(J4="X",(_xlfn.XLOOKUP($B4,Tabla1[SERVICIO],Tabla1[VALOR])*1),IF(J4&gt;=1,_xlfn.XLOOKUP($B4,Tabla1[SERVICIO],Tabla1[VALOR]*J4),0))</f>
        <v>0</v>
      </c>
      <c r="L4" s="8"/>
      <c r="M4" s="56" cm="1">
        <f t="array" ref="M4">IF(L4="X",(_xlfn.XLOOKUP($B4,Tabla1[SERVICIO],Tabla1[VALOR])*1),IF(L4&gt;=1,_xlfn.XLOOKUP($B4,Tabla1[SERVICIO],Tabla1[VALOR]*L4),0))</f>
        <v>0</v>
      </c>
      <c r="N4" s="8"/>
      <c r="O4" s="56" cm="1">
        <f t="array" ref="O4">IF(N4="X",(_xlfn.XLOOKUP($B4,Tabla1[SERVICIO],Tabla1[VALOR])*1),IF(N4&gt;=1,_xlfn.XLOOKUP($B4,Tabla1[SERVICIO],Tabla1[VALOR]*N4),0))</f>
        <v>0</v>
      </c>
      <c r="P4" s="8"/>
      <c r="Q4" s="56" cm="1">
        <f t="array" ref="Q4">IF(P4="X",(_xlfn.XLOOKUP($B4,Tabla1[SERVICIO],Tabla1[VALOR])*1),IF(P4&gt;=1,_xlfn.XLOOKUP($B4,Tabla1[SERVICIO],Tabla1[VALOR]*P4),0))</f>
        <v>0</v>
      </c>
      <c r="R4" s="8"/>
      <c r="S4" s="56" cm="1">
        <f t="array" ref="S4">IF(R4="X",(_xlfn.XLOOKUP($B4,Tabla1[SERVICIO],Tabla1[VALOR])*1),IF(R4&gt;=1,_xlfn.XLOOKUP($B4,Tabla1[SERVICIO],Tabla1[VALOR]*R4),0))</f>
        <v>0</v>
      </c>
      <c r="T4" s="8"/>
      <c r="U4" s="56" cm="1">
        <f t="array" ref="U4">IF(T4="X",(_xlfn.XLOOKUP($B4,Tabla1[SERVICIO],Tabla1[VALOR])*1),IF(T4&gt;=1,_xlfn.XLOOKUP($B4,Tabla1[SERVICIO],Tabla1[VALOR]*T4),0))</f>
        <v>0</v>
      </c>
      <c r="V4" s="8"/>
      <c r="W4" s="56" cm="1">
        <f t="array" ref="W4">IF(V4="X",(_xlfn.XLOOKUP($B4,Tabla1[SERVICIO],Tabla1[VALOR])*1),IF(V4&gt;=1,_xlfn.XLOOKUP($B4,Tabla1[SERVICIO],Tabla1[VALOR]*V4),0))</f>
        <v>0</v>
      </c>
      <c r="X4" s="8"/>
      <c r="Y4" s="56" cm="1">
        <f t="array" ref="Y4">IF(X4="X",(_xlfn.XLOOKUP($B4,Tabla1[SERVICIO],Tabla1[VALOR])*1),IF(X4&gt;=1,_xlfn.XLOOKUP($B4,Tabla1[SERVICIO],Tabla1[VALOR]*X4),0))</f>
        <v>0</v>
      </c>
      <c r="Z4" s="8"/>
      <c r="AA4" s="56" cm="1">
        <f t="array" ref="AA4">IF(Z4="X",(_xlfn.XLOOKUP($B4,Tabla1[SERVICIO],Tabla1[VALOR])*1),IF(Z4&gt;=1,_xlfn.XLOOKUP($B4,Tabla1[SERVICIO],Tabla1[VALOR]*Z4),0))</f>
        <v>0</v>
      </c>
      <c r="AB4" s="168">
        <f t="shared" ref="AB4:AB25" si="0">SUM(E4,G4,I4,K4+M4,O4,Q4,S4,U4,W4,Y4,AA4)</f>
        <v>21014.396674037816</v>
      </c>
      <c r="AC4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4" s="122" t="s">
        <v>318</v>
      </c>
      <c r="AE4" s="127">
        <v>1</v>
      </c>
      <c r="AF4" s="121">
        <f>+Tabla46789101146[[#This Row],[% de las personas que lo usaron]]*Tabla46789101146[[#This Row],[TOTAL]]</f>
        <v>21014.396674037816</v>
      </c>
      <c r="AG4" s="246" t="s">
        <v>357</v>
      </c>
      <c r="AH4" s="246">
        <v>12</v>
      </c>
    </row>
    <row r="5" spans="1:34" x14ac:dyDescent="0.25">
      <c r="A5" s="7" t="s">
        <v>98</v>
      </c>
      <c r="B5" s="55" t="s">
        <v>99</v>
      </c>
      <c r="C5" s="96" t="str">
        <f>_xlfn.XLOOKUP(Tabla46789101146[[#This Row],[Servicios del Programa:]],Tabla151[CODIGO],Tabla151[VALOR])</f>
        <v>Consultas</v>
      </c>
      <c r="D5" s="14">
        <v>1</v>
      </c>
      <c r="E5" s="56" cm="1">
        <f t="array" ref="E5">IF(D5="X",(_xlfn.XLOOKUP($B5,Tabla1[SERVICIO],Tabla1[VALOR])*1),IF(D5&gt;=1,_xlfn.XLOOKUP($B5,Tabla1[SERVICIO],Tabla1[VALOR]*D5),0))</f>
        <v>17887.388810409495</v>
      </c>
      <c r="F5" s="8"/>
      <c r="G5" s="56" cm="1">
        <f t="array" ref="G5">IF(F5="X",(_xlfn.XLOOKUP($B5,Tabla1[SERVICIO],Tabla1[VALOR])*1),IF(F5&gt;=1,_xlfn.XLOOKUP($B5,Tabla1[SERVICIO],Tabla1[VALOR]*F5),0))</f>
        <v>0</v>
      </c>
      <c r="H5" s="8"/>
      <c r="I5" s="56" cm="1">
        <f t="array" ref="I5">IF(H5="X",(_xlfn.XLOOKUP($B5,Tabla1[SERVICIO],Tabla1[VALOR])*1),IF(H5&gt;=1,_xlfn.XLOOKUP($B5,Tabla1[SERVICIO],Tabla1[VALOR]*H5),0))</f>
        <v>0</v>
      </c>
      <c r="J5" s="8"/>
      <c r="K5" s="56" cm="1">
        <f t="array" ref="K5">IF(J5="X",(_xlfn.XLOOKUP($B5,Tabla1[SERVICIO],Tabla1[VALOR])*1),IF(J5&gt;=1,_xlfn.XLOOKUP($B5,Tabla1[SERVICIO],Tabla1[VALOR]*J5),0))</f>
        <v>0</v>
      </c>
      <c r="L5" s="8"/>
      <c r="M5" s="56" cm="1">
        <f t="array" ref="M5">IF(L5="X",(_xlfn.XLOOKUP($B5,Tabla1[SERVICIO],Tabla1[VALOR])*1),IF(L5&gt;=1,_xlfn.XLOOKUP($B5,Tabla1[SERVICIO],Tabla1[VALOR]*L5),0))</f>
        <v>0</v>
      </c>
      <c r="N5" s="8"/>
      <c r="O5" s="56" cm="1">
        <f t="array" ref="O5">IF(N5="X",(_xlfn.XLOOKUP($B5,Tabla1[SERVICIO],Tabla1[VALOR])*1),IF(N5&gt;=1,_xlfn.XLOOKUP($B5,Tabla1[SERVICIO],Tabla1[VALOR]*N5),0))</f>
        <v>0</v>
      </c>
      <c r="P5" s="8"/>
      <c r="Q5" s="56" cm="1">
        <f t="array" ref="Q5">IF(P5="X",(_xlfn.XLOOKUP($B5,Tabla1[SERVICIO],Tabla1[VALOR])*1),IF(P5&gt;=1,_xlfn.XLOOKUP($B5,Tabla1[SERVICIO],Tabla1[VALOR]*P5),0))</f>
        <v>0</v>
      </c>
      <c r="R5" s="8"/>
      <c r="S5" s="56" cm="1">
        <f t="array" ref="S5">IF(R5="X",(_xlfn.XLOOKUP($B5,Tabla1[SERVICIO],Tabla1[VALOR])*1),IF(R5&gt;=1,_xlfn.XLOOKUP($B5,Tabla1[SERVICIO],Tabla1[VALOR]*R5),0))</f>
        <v>0</v>
      </c>
      <c r="T5" s="8"/>
      <c r="U5" s="56" cm="1">
        <f t="array" ref="U5">IF(T5="X",(_xlfn.XLOOKUP($B5,Tabla1[SERVICIO],Tabla1[VALOR])*1),IF(T5&gt;=1,_xlfn.XLOOKUP($B5,Tabla1[SERVICIO],Tabla1[VALOR]*T5),0))</f>
        <v>0</v>
      </c>
      <c r="V5" s="8"/>
      <c r="W5" s="56" cm="1">
        <f t="array" ref="W5">IF(V5="X",(_xlfn.XLOOKUP($B5,Tabla1[SERVICIO],Tabla1[VALOR])*1),IF(V5&gt;=1,_xlfn.XLOOKUP($B5,Tabla1[SERVICIO],Tabla1[VALOR]*V5),0))</f>
        <v>0</v>
      </c>
      <c r="X5" s="8"/>
      <c r="Y5" s="56" cm="1">
        <f t="array" ref="Y5">IF(X5="X",(_xlfn.XLOOKUP($B5,Tabla1[SERVICIO],Tabla1[VALOR])*1),IF(X5&gt;=1,_xlfn.XLOOKUP($B5,Tabla1[SERVICIO],Tabla1[VALOR]*X5),0))</f>
        <v>0</v>
      </c>
      <c r="Z5" s="8"/>
      <c r="AA5" s="56" cm="1">
        <f t="array" ref="AA5">IF(Z5="X",(_xlfn.XLOOKUP($B5,Tabla1[SERVICIO],Tabla1[VALOR])*1),IF(Z5&gt;=1,_xlfn.XLOOKUP($B5,Tabla1[SERVICIO],Tabla1[VALOR]*Z5),0))</f>
        <v>0</v>
      </c>
      <c r="AB5" s="168">
        <f t="shared" si="0"/>
        <v>17887.388810409495</v>
      </c>
      <c r="AC5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5" s="122" t="s">
        <v>318</v>
      </c>
      <c r="AE5" s="127">
        <v>1</v>
      </c>
      <c r="AF5" s="121">
        <f>+Tabla46789101146[[#This Row],[% de las personas que lo usaron]]*Tabla46789101146[[#This Row],[TOTAL]]</f>
        <v>17887.388810409495</v>
      </c>
      <c r="AG5" s="246" t="s">
        <v>357</v>
      </c>
      <c r="AH5" s="246">
        <v>12</v>
      </c>
    </row>
    <row r="6" spans="1:34" x14ac:dyDescent="0.25">
      <c r="A6" s="7" t="s">
        <v>104</v>
      </c>
      <c r="B6" s="96" t="s">
        <v>105</v>
      </c>
      <c r="C6" s="96" t="str">
        <f>_xlfn.XLOOKUP(Tabla46789101146[[#This Row],[Servicios del Programa:]],Tabla151[CODIGO],Tabla151[VALOR])</f>
        <v>Consultas</v>
      </c>
      <c r="D6" s="14"/>
      <c r="E6" s="56" cm="1">
        <f t="array" ref="E6">IF(D6="X",(_xlfn.XLOOKUP($B6,Tabla1[SERVICIO],Tabla1[VALOR])*1),IF(D6&gt;=1,_xlfn.XLOOKUP($B6,Tabla1[SERVICIO],Tabla1[VALOR]*D6),0))</f>
        <v>0</v>
      </c>
      <c r="F6" s="8"/>
      <c r="G6" s="56" cm="1">
        <f t="array" ref="G6">IF(F6="X",(_xlfn.XLOOKUP($B6,Tabla1[SERVICIO],Tabla1[VALOR])*1),IF(F6&gt;=1,_xlfn.XLOOKUP($B6,Tabla1[SERVICIO],Tabla1[VALOR]*F6),0))</f>
        <v>0</v>
      </c>
      <c r="H6" s="8"/>
      <c r="I6" s="56" cm="1">
        <f t="array" ref="I6">IF(H6="X",(_xlfn.XLOOKUP($B6,Tabla1[SERVICIO],Tabla1[VALOR])*1),IF(H6&gt;=1,_xlfn.XLOOKUP($B6,Tabla1[SERVICIO],Tabla1[VALOR]*H6),0))</f>
        <v>0</v>
      </c>
      <c r="J6" s="8"/>
      <c r="K6" s="56" cm="1">
        <f t="array" ref="K6">IF(J6="X",(_xlfn.XLOOKUP($B6,Tabla1[SERVICIO],Tabla1[VALOR])*1),IF(J6&gt;=1,_xlfn.XLOOKUP($B6,Tabla1[SERVICIO],Tabla1[VALOR]*J6),0))</f>
        <v>0</v>
      </c>
      <c r="L6" s="8"/>
      <c r="M6" s="56" cm="1">
        <f t="array" ref="M6">IF(L6="X",(_xlfn.XLOOKUP($B6,Tabla1[SERVICIO],Tabla1[VALOR])*1),IF(L6&gt;=1,_xlfn.XLOOKUP($B6,Tabla1[SERVICIO],Tabla1[VALOR]*L6),0))</f>
        <v>0</v>
      </c>
      <c r="N6" s="14"/>
      <c r="O6" s="56" cm="1">
        <f t="array" ref="O6">IF(N6="X",(_xlfn.XLOOKUP($B6,Tabla1[SERVICIO],Tabla1[VALOR])*1),IF(N6&gt;=1,_xlfn.XLOOKUP($B6,Tabla1[SERVICIO],Tabla1[VALOR]*N6),0))</f>
        <v>0</v>
      </c>
      <c r="P6" s="8"/>
      <c r="Q6" s="56" cm="1">
        <f t="array" ref="Q6">IF(P6="X",(_xlfn.XLOOKUP($B6,Tabla1[SERVICIO],Tabla1[VALOR])*1),IF(P6&gt;=1,_xlfn.XLOOKUP($B6,Tabla1[SERVICIO],Tabla1[VALOR]*P6),0))</f>
        <v>0</v>
      </c>
      <c r="R6" s="8"/>
      <c r="S6" s="56" cm="1">
        <f t="array" ref="S6">IF(R6="X",(_xlfn.XLOOKUP($B6,Tabla1[SERVICIO],Tabla1[VALOR])*1),IF(R6&gt;=1,_xlfn.XLOOKUP($B6,Tabla1[SERVICIO],Tabla1[VALOR]*R6),0))</f>
        <v>0</v>
      </c>
      <c r="T6" s="8"/>
      <c r="U6" s="56" cm="1">
        <f t="array" ref="U6">IF(T6="X",(_xlfn.XLOOKUP($B6,Tabla1[SERVICIO],Tabla1[VALOR])*1),IF(T6&gt;=1,_xlfn.XLOOKUP($B6,Tabla1[SERVICIO],Tabla1[VALOR]*T6),0))</f>
        <v>0</v>
      </c>
      <c r="V6" s="8"/>
      <c r="W6" s="56" cm="1">
        <f t="array" ref="W6">IF(V6="X",(_xlfn.XLOOKUP($B6,Tabla1[SERVICIO],Tabla1[VALOR])*1),IF(V6&gt;=1,_xlfn.XLOOKUP($B6,Tabla1[SERVICIO],Tabla1[VALOR]*V6),0))</f>
        <v>0</v>
      </c>
      <c r="X6" s="8"/>
      <c r="Y6" s="56" cm="1">
        <f t="array" ref="Y6">IF(X6="X",(_xlfn.XLOOKUP($B6,Tabla1[SERVICIO],Tabla1[VALOR])*1),IF(X6&gt;=1,_xlfn.XLOOKUP($B6,Tabla1[SERVICIO],Tabla1[VALOR]*X6),0))</f>
        <v>0</v>
      </c>
      <c r="Z6" s="15">
        <v>1</v>
      </c>
      <c r="AA6" s="56" cm="1">
        <f t="array" ref="AA6">IF(Z6="X",(_xlfn.XLOOKUP($B6,Tabla1[SERVICIO],Tabla1[VALOR])*1),IF(Z6&gt;=1,_xlfn.XLOOKUP($B6,Tabla1[SERVICIO],Tabla1[VALOR]*Z6),0))</f>
        <v>17887.388810409495</v>
      </c>
      <c r="AB6" s="168">
        <f t="shared" si="0"/>
        <v>17887.388810409495</v>
      </c>
      <c r="AC6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6" s="37" t="s">
        <v>319</v>
      </c>
      <c r="AE6" s="127">
        <v>0</v>
      </c>
      <c r="AF6" s="121">
        <f>+Tabla46789101146[[#This Row],[% de las personas que lo usaron]]*Tabla46789101146[[#This Row],[TOTAL]]</f>
        <v>0</v>
      </c>
      <c r="AG6" s="246" t="s">
        <v>357</v>
      </c>
      <c r="AH6" s="246">
        <v>12</v>
      </c>
    </row>
    <row r="7" spans="1:34" x14ac:dyDescent="0.25">
      <c r="A7" s="7" t="s">
        <v>3</v>
      </c>
      <c r="B7" s="55" t="s">
        <v>4</v>
      </c>
      <c r="C7" s="96" t="str">
        <f>_xlfn.XLOOKUP(Tabla46789101146[[#This Row],[Servicios del Programa:]],Tabla151[CODIGO],Tabla151[VALOR])</f>
        <v>Consultas</v>
      </c>
      <c r="D7" s="14">
        <v>1</v>
      </c>
      <c r="E7" s="56" cm="1">
        <f t="array" ref="E7">IF(D7="X",(_xlfn.XLOOKUP($B7,Tabla1[SERVICIO],Tabla1[VALOR])*1),IF(D7&gt;=1,_xlfn.XLOOKUP($B7,Tabla1[SERVICIO],Tabla1[VALOR]*D7),0))</f>
        <v>20406.13276336317</v>
      </c>
      <c r="F7" s="8"/>
      <c r="G7" s="56" cm="1">
        <f t="array" ref="G7">IF(F7="X",(_xlfn.XLOOKUP($B7,Tabla1[SERVICIO],Tabla1[VALOR])*1),IF(F7&gt;=1,_xlfn.XLOOKUP($B7,Tabla1[SERVICIO],Tabla1[VALOR]*F7),0))</f>
        <v>0</v>
      </c>
      <c r="H7" s="8"/>
      <c r="I7" s="56" cm="1">
        <f t="array" ref="I7">IF(H7="X",(_xlfn.XLOOKUP($B7,Tabla1[SERVICIO],Tabla1[VALOR])*1),IF(H7&gt;=1,_xlfn.XLOOKUP($B7,Tabla1[SERVICIO],Tabla1[VALOR]*H7),0))</f>
        <v>0</v>
      </c>
      <c r="J7" s="8"/>
      <c r="K7" s="56" cm="1">
        <f t="array" ref="K7">IF(J7="X",(_xlfn.XLOOKUP($B7,Tabla1[SERVICIO],Tabla1[VALOR])*1),IF(J7&gt;=1,_xlfn.XLOOKUP($B7,Tabla1[SERVICIO],Tabla1[VALOR]*J7),0))</f>
        <v>0</v>
      </c>
      <c r="L7" s="8"/>
      <c r="M7" s="56" cm="1">
        <f t="array" ref="M7">IF(L7="X",(_xlfn.XLOOKUP($B7,Tabla1[SERVICIO],Tabla1[VALOR])*1),IF(L7&gt;=1,_xlfn.XLOOKUP($B7,Tabla1[SERVICIO],Tabla1[VALOR]*L7),0))</f>
        <v>0</v>
      </c>
      <c r="N7" s="8"/>
      <c r="O7" s="56" cm="1">
        <f t="array" ref="O7">IF(N7="X",(_xlfn.XLOOKUP($B7,Tabla1[SERVICIO],Tabla1[VALOR])*1),IF(N7&gt;=1,_xlfn.XLOOKUP($B7,Tabla1[SERVICIO],Tabla1[VALOR]*N7),0))</f>
        <v>0</v>
      </c>
      <c r="P7" s="8"/>
      <c r="Q7" s="56" cm="1">
        <f t="array" ref="Q7">IF(P7="X",(_xlfn.XLOOKUP($B7,Tabla1[SERVICIO],Tabla1[VALOR])*1),IF(P7&gt;=1,_xlfn.XLOOKUP($B7,Tabla1[SERVICIO],Tabla1[VALOR]*P7),0))</f>
        <v>0</v>
      </c>
      <c r="R7" s="8"/>
      <c r="S7" s="56" cm="1">
        <f t="array" ref="S7">IF(R7="X",(_xlfn.XLOOKUP($B7,Tabla1[SERVICIO],Tabla1[VALOR])*1),IF(R7&gt;=1,_xlfn.XLOOKUP($B7,Tabla1[SERVICIO],Tabla1[VALOR]*R7),0))</f>
        <v>0</v>
      </c>
      <c r="T7" s="8"/>
      <c r="U7" s="56" cm="1">
        <f t="array" ref="U7">IF(T7="X",(_xlfn.XLOOKUP($B7,Tabla1[SERVICIO],Tabla1[VALOR])*1),IF(T7&gt;=1,_xlfn.XLOOKUP($B7,Tabla1[SERVICIO],Tabla1[VALOR]*T7),0))</f>
        <v>0</v>
      </c>
      <c r="V7" s="8"/>
      <c r="W7" s="56" cm="1">
        <f t="array" ref="W7">IF(V7="X",(_xlfn.XLOOKUP($B7,Tabla1[SERVICIO],Tabla1[VALOR])*1),IF(V7&gt;=1,_xlfn.XLOOKUP($B7,Tabla1[SERVICIO],Tabla1[VALOR]*V7),0))</f>
        <v>0</v>
      </c>
      <c r="X7" s="8"/>
      <c r="Y7" s="56" cm="1">
        <f t="array" ref="Y7">IF(X7="X",(_xlfn.XLOOKUP($B7,Tabla1[SERVICIO],Tabla1[VALOR])*1),IF(X7&gt;=1,_xlfn.XLOOKUP($B7,Tabla1[SERVICIO],Tabla1[VALOR]*X7),0))</f>
        <v>0</v>
      </c>
      <c r="Z7" s="8"/>
      <c r="AA7" s="56" cm="1">
        <f t="array" ref="AA7">IF(Z7="X",(_xlfn.XLOOKUP($B7,Tabla1[SERVICIO],Tabla1[VALOR])*1),IF(Z7&gt;=1,_xlfn.XLOOKUP($B7,Tabla1[SERVICIO],Tabla1[VALOR]*Z7),0))</f>
        <v>0</v>
      </c>
      <c r="AB7" s="168">
        <f t="shared" si="0"/>
        <v>20406.13276336317</v>
      </c>
      <c r="AC7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7" s="122" t="s">
        <v>318</v>
      </c>
      <c r="AE7" s="127">
        <v>1</v>
      </c>
      <c r="AF7" s="121">
        <f>+Tabla46789101146[[#This Row],[% de las personas que lo usaron]]*Tabla46789101146[[#This Row],[TOTAL]]</f>
        <v>20406.13276336317</v>
      </c>
      <c r="AG7" s="246" t="s">
        <v>357</v>
      </c>
      <c r="AH7" s="246">
        <v>12</v>
      </c>
    </row>
    <row r="8" spans="1:34" x14ac:dyDescent="0.25">
      <c r="A8" s="7" t="s">
        <v>15</v>
      </c>
      <c r="B8" s="55" t="s">
        <v>16</v>
      </c>
      <c r="C8" s="96" t="str">
        <f>_xlfn.XLOOKUP(Tabla46789101146[[#This Row],[Servicios del Programa:]],Tabla151[CODIGO],Tabla151[VALOR])</f>
        <v>Consultas</v>
      </c>
      <c r="D8" s="8"/>
      <c r="E8" s="56" cm="1">
        <f t="array" ref="E8">IF(D8="X",(_xlfn.XLOOKUP($B8,Tabla1[SERVICIO],Tabla1[VALOR])*1),IF(D8&gt;=1,_xlfn.XLOOKUP($B8,Tabla1[SERVICIO],Tabla1[VALOR]*D8),0))</f>
        <v>0</v>
      </c>
      <c r="F8" s="8"/>
      <c r="G8" s="56" cm="1">
        <f t="array" ref="G8">IF(F8="X",(_xlfn.XLOOKUP($B8,Tabla1[SERVICIO],Tabla1[VALOR])*1),IF(F8&gt;=1,_xlfn.XLOOKUP($B8,Tabla1[SERVICIO],Tabla1[VALOR]*F8),0))</f>
        <v>0</v>
      </c>
      <c r="H8" s="8"/>
      <c r="I8" s="56" cm="1">
        <f t="array" ref="I8">IF(H8="X",(_xlfn.XLOOKUP($B8,Tabla1[SERVICIO],Tabla1[VALOR])*1),IF(H8&gt;=1,_xlfn.XLOOKUP($B8,Tabla1[SERVICIO],Tabla1[VALOR]*H8),0))</f>
        <v>0</v>
      </c>
      <c r="J8" s="8"/>
      <c r="K8" s="56" cm="1">
        <f t="array" ref="K8">IF(J8="X",(_xlfn.XLOOKUP($B8,Tabla1[SERVICIO],Tabla1[VALOR])*1),IF(J8&gt;=1,_xlfn.XLOOKUP($B8,Tabla1[SERVICIO],Tabla1[VALOR]*J8),0))</f>
        <v>0</v>
      </c>
      <c r="L8" s="8"/>
      <c r="M8" s="56" cm="1">
        <f t="array" ref="M8">IF(L8="X",(_xlfn.XLOOKUP($B8,Tabla1[SERVICIO],Tabla1[VALOR])*1),IF(L8&gt;=1,_xlfn.XLOOKUP($B8,Tabla1[SERVICIO],Tabla1[VALOR]*L8),0))</f>
        <v>0</v>
      </c>
      <c r="N8" s="14">
        <v>1</v>
      </c>
      <c r="O8" s="56" cm="1">
        <f t="array" ref="O8">IF(N8="X",(_xlfn.XLOOKUP($B8,Tabla1[SERVICIO],Tabla1[VALOR])*1),IF(N8&gt;=1,_xlfn.XLOOKUP($B8,Tabla1[SERVICIO],Tabla1[VALOR]*N8),0))</f>
        <v>22052.520800552971</v>
      </c>
      <c r="P8" s="8"/>
      <c r="Q8" s="56" cm="1">
        <f t="array" ref="Q8">IF(P8="X",(_xlfn.XLOOKUP($B8,Tabla1[SERVICIO],Tabla1[VALOR])*1),IF(P8&gt;=1,_xlfn.XLOOKUP($B8,Tabla1[SERVICIO],Tabla1[VALOR]*P8),0))</f>
        <v>0</v>
      </c>
      <c r="R8" s="8"/>
      <c r="S8" s="56" cm="1">
        <f t="array" ref="S8">IF(R8="X",(_xlfn.XLOOKUP($B8,Tabla1[SERVICIO],Tabla1[VALOR])*1),IF(R8&gt;=1,_xlfn.XLOOKUP($B8,Tabla1[SERVICIO],Tabla1[VALOR]*R8),0))</f>
        <v>0</v>
      </c>
      <c r="T8" s="8"/>
      <c r="U8" s="56" cm="1">
        <f t="array" ref="U8">IF(T8="X",(_xlfn.XLOOKUP($B8,Tabla1[SERVICIO],Tabla1[VALOR])*1),IF(T8&gt;=1,_xlfn.XLOOKUP($B8,Tabla1[SERVICIO],Tabla1[VALOR]*T8),0))</f>
        <v>0</v>
      </c>
      <c r="V8" s="8"/>
      <c r="W8" s="56" cm="1">
        <f t="array" ref="W8">IF(V8="X",(_xlfn.XLOOKUP($B8,Tabla1[SERVICIO],Tabla1[VALOR])*1),IF(V8&gt;=1,_xlfn.XLOOKUP($B8,Tabla1[SERVICIO],Tabla1[VALOR]*V8),0))</f>
        <v>0</v>
      </c>
      <c r="X8" s="8"/>
      <c r="Y8" s="56" cm="1">
        <f t="array" ref="Y8">IF(X8="X",(_xlfn.XLOOKUP($B8,Tabla1[SERVICIO],Tabla1[VALOR])*1),IF(X8&gt;=1,_xlfn.XLOOKUP($B8,Tabla1[SERVICIO],Tabla1[VALOR]*X8),0))</f>
        <v>0</v>
      </c>
      <c r="Z8" s="14">
        <v>1</v>
      </c>
      <c r="AA8" s="56" cm="1">
        <f t="array" ref="AA8">IF(Z8="X",(_xlfn.XLOOKUP($B8,Tabla1[SERVICIO],Tabla1[VALOR])*1),IF(Z8&gt;=1,_xlfn.XLOOKUP($B8,Tabla1[SERVICIO],Tabla1[VALOR]*Z8),0))</f>
        <v>22052.520800552971</v>
      </c>
      <c r="AB8" s="168">
        <f t="shared" si="0"/>
        <v>44105.041601105942</v>
      </c>
      <c r="AC8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2</v>
      </c>
      <c r="AD8" s="122" t="s">
        <v>318</v>
      </c>
      <c r="AE8" s="127">
        <v>1</v>
      </c>
      <c r="AF8" s="121">
        <f>+Tabla46789101146[[#This Row],[% de las personas que lo usaron]]*Tabla46789101146[[#This Row],[TOTAL]]</f>
        <v>44105.041601105942</v>
      </c>
      <c r="AG8" s="246" t="s">
        <v>357</v>
      </c>
      <c r="AH8" s="246">
        <v>12</v>
      </c>
    </row>
    <row r="9" spans="1:34" x14ac:dyDescent="0.25">
      <c r="A9" s="7" t="s">
        <v>5</v>
      </c>
      <c r="B9" s="55" t="s">
        <v>6</v>
      </c>
      <c r="C9" s="96" t="str">
        <f>_xlfn.XLOOKUP(Tabla46789101146[[#This Row],[Servicios del Programa:]],Tabla151[CODIGO],Tabla151[VALOR])</f>
        <v>Consultas</v>
      </c>
      <c r="D9" s="14">
        <v>1</v>
      </c>
      <c r="E9" s="56" cm="1">
        <f t="array" ref="E9">IF(D9="X",(_xlfn.XLOOKUP($B9,Tabla1[SERVICIO],Tabla1[VALOR])*1),IF(D9&gt;=1,_xlfn.XLOOKUP($B9,Tabla1[SERVICIO],Tabla1[VALOR]*D9),0))</f>
        <v>18768.367820181349</v>
      </c>
      <c r="F9" s="8"/>
      <c r="G9" s="56" cm="1">
        <f t="array" ref="G9">IF(F9="X",(_xlfn.XLOOKUP($B9,Tabla1[SERVICIO],Tabla1[VALOR])*1),IF(F9&gt;=1,_xlfn.XLOOKUP($B9,Tabla1[SERVICIO],Tabla1[VALOR]*F9),0))</f>
        <v>0</v>
      </c>
      <c r="H9" s="8"/>
      <c r="I9" s="56" cm="1">
        <f t="array" ref="I9">IF(H9="X",(_xlfn.XLOOKUP($B9,Tabla1[SERVICIO],Tabla1[VALOR])*1),IF(H9&gt;=1,_xlfn.XLOOKUP($B9,Tabla1[SERVICIO],Tabla1[VALOR]*H9),0))</f>
        <v>0</v>
      </c>
      <c r="J9" s="8"/>
      <c r="K9" s="56" cm="1">
        <f t="array" ref="K9">IF(J9="X",(_xlfn.XLOOKUP($B9,Tabla1[SERVICIO],Tabla1[VALOR])*1),IF(J9&gt;=1,_xlfn.XLOOKUP($B9,Tabla1[SERVICIO],Tabla1[VALOR]*J9),0))</f>
        <v>0</v>
      </c>
      <c r="L9" s="8"/>
      <c r="M9" s="56" cm="1">
        <f t="array" ref="M9">IF(L9="X",(_xlfn.XLOOKUP($B9,Tabla1[SERVICIO],Tabla1[VALOR])*1),IF(L9&gt;=1,_xlfn.XLOOKUP($B9,Tabla1[SERVICIO],Tabla1[VALOR]*L9),0))</f>
        <v>0</v>
      </c>
      <c r="N9" s="8"/>
      <c r="O9" s="56" cm="1">
        <f t="array" ref="O9">IF(N9="X",(_xlfn.XLOOKUP($B9,Tabla1[SERVICIO],Tabla1[VALOR])*1),IF(N9&gt;=1,_xlfn.XLOOKUP($B9,Tabla1[SERVICIO],Tabla1[VALOR]*N9),0))</f>
        <v>0</v>
      </c>
      <c r="P9" s="8"/>
      <c r="Q9" s="56" cm="1">
        <f t="array" ref="Q9">IF(P9="X",(_xlfn.XLOOKUP($B9,Tabla1[SERVICIO],Tabla1[VALOR])*1),IF(P9&gt;=1,_xlfn.XLOOKUP($B9,Tabla1[SERVICIO],Tabla1[VALOR]*P9),0))</f>
        <v>0</v>
      </c>
      <c r="R9" s="8"/>
      <c r="S9" s="56" cm="1">
        <f t="array" ref="S9">IF(R9="X",(_xlfn.XLOOKUP($B9,Tabla1[SERVICIO],Tabla1[VALOR])*1),IF(R9&gt;=1,_xlfn.XLOOKUP($B9,Tabla1[SERVICIO],Tabla1[VALOR]*R9),0))</f>
        <v>0</v>
      </c>
      <c r="T9" s="8"/>
      <c r="U9" s="56" cm="1">
        <f t="array" ref="U9">IF(T9="X",(_xlfn.XLOOKUP($B9,Tabla1[SERVICIO],Tabla1[VALOR])*1),IF(T9&gt;=1,_xlfn.XLOOKUP($B9,Tabla1[SERVICIO],Tabla1[VALOR]*T9),0))</f>
        <v>0</v>
      </c>
      <c r="V9" s="8"/>
      <c r="W9" s="56" cm="1">
        <f t="array" ref="W9">IF(V9="X",(_xlfn.XLOOKUP($B9,Tabla1[SERVICIO],Tabla1[VALOR])*1),IF(V9&gt;=1,_xlfn.XLOOKUP($B9,Tabla1[SERVICIO],Tabla1[VALOR]*V9),0))</f>
        <v>0</v>
      </c>
      <c r="X9" s="8"/>
      <c r="Y9" s="56" cm="1">
        <f t="array" ref="Y9">IF(X9="X",(_xlfn.XLOOKUP($B9,Tabla1[SERVICIO],Tabla1[VALOR])*1),IF(X9&gt;=1,_xlfn.XLOOKUP($B9,Tabla1[SERVICIO],Tabla1[VALOR]*X9),0))</f>
        <v>0</v>
      </c>
      <c r="Z9" s="8"/>
      <c r="AA9" s="56" cm="1">
        <f t="array" ref="AA9">IF(Z9="X",(_xlfn.XLOOKUP($B9,Tabla1[SERVICIO],Tabla1[VALOR])*1),IF(Z9&gt;=1,_xlfn.XLOOKUP($B9,Tabla1[SERVICIO],Tabla1[VALOR]*Z9),0))</f>
        <v>0</v>
      </c>
      <c r="AB9" s="168">
        <f t="shared" si="0"/>
        <v>18768.367820181349</v>
      </c>
      <c r="AC9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9" s="122" t="s">
        <v>318</v>
      </c>
      <c r="AE9" s="127">
        <v>1</v>
      </c>
      <c r="AF9" s="121">
        <f>+Tabla46789101146[[#This Row],[% de las personas que lo usaron]]*Tabla46789101146[[#This Row],[TOTAL]]</f>
        <v>18768.367820181349</v>
      </c>
      <c r="AG9" s="246" t="s">
        <v>357</v>
      </c>
      <c r="AH9" s="246">
        <v>12</v>
      </c>
    </row>
    <row r="10" spans="1:34" s="24" customFormat="1" x14ac:dyDescent="0.25">
      <c r="A10" s="22" t="s">
        <v>17</v>
      </c>
      <c r="B10" s="176" t="s">
        <v>18</v>
      </c>
      <c r="C10" s="96" t="str">
        <f>_xlfn.XLOOKUP(Tabla46789101146[[#This Row],[Servicios del Programa:]],Tabla151[CODIGO],Tabla151[VALOR])</f>
        <v>Consultas</v>
      </c>
      <c r="D10" s="23"/>
      <c r="E10" s="56" cm="1">
        <f t="array" ref="E10">IF(D10="X",(_xlfn.XLOOKUP($B10,Tabla1[SERVICIO],Tabla1[VALOR])*1),IF(D10&gt;=1,_xlfn.XLOOKUP($B10,Tabla1[SERVICIO],Tabla1[VALOR]*D10),0))</f>
        <v>0</v>
      </c>
      <c r="F10" s="23"/>
      <c r="G10" s="56" cm="1">
        <f t="array" ref="G10">IF(F10="X",(_xlfn.XLOOKUP($B10,Tabla1[SERVICIO],Tabla1[VALOR])*1),IF(F10&gt;=1,_xlfn.XLOOKUP($B10,Tabla1[SERVICIO],Tabla1[VALOR]*F10),0))</f>
        <v>0</v>
      </c>
      <c r="H10" s="23"/>
      <c r="I10" s="56" cm="1">
        <f t="array" ref="I10">IF(H10="X",(_xlfn.XLOOKUP($B10,Tabla1[SERVICIO],Tabla1[VALOR])*1),IF(H10&gt;=1,_xlfn.XLOOKUP($B10,Tabla1[SERVICIO],Tabla1[VALOR]*H10),0))</f>
        <v>0</v>
      </c>
      <c r="J10" s="23"/>
      <c r="K10" s="56" cm="1">
        <f t="array" ref="K10">IF(J10="X",(_xlfn.XLOOKUP($B10,Tabla1[SERVICIO],Tabla1[VALOR])*1),IF(J10&gt;=1,_xlfn.XLOOKUP($B10,Tabla1[SERVICIO],Tabla1[VALOR]*J10),0))</f>
        <v>0</v>
      </c>
      <c r="L10" s="23"/>
      <c r="M10" s="56" cm="1">
        <f t="array" ref="M10">IF(L10="X",(_xlfn.XLOOKUP($B10,Tabla1[SERVICIO],Tabla1[VALOR])*1),IF(L10&gt;=1,_xlfn.XLOOKUP($B10,Tabla1[SERVICIO],Tabla1[VALOR]*L10),0))</f>
        <v>0</v>
      </c>
      <c r="N10" s="14">
        <v>1</v>
      </c>
      <c r="O10" s="56" cm="1">
        <f t="array" ref="O10">IF(N10="X",(_xlfn.XLOOKUP($B10,Tabla1[SERVICIO],Tabla1[VALOR])*1),IF(N10&gt;=1,_xlfn.XLOOKUP($B10,Tabla1[SERVICIO],Tabla1[VALOR]*N10),0))</f>
        <v>20414.75585737115</v>
      </c>
      <c r="P10" s="23"/>
      <c r="Q10" s="56" cm="1">
        <f t="array" ref="Q10">IF(P10="X",(_xlfn.XLOOKUP($B10,Tabla1[SERVICIO],Tabla1[VALOR])*1),IF(P10&gt;=1,_xlfn.XLOOKUP($B10,Tabla1[SERVICIO],Tabla1[VALOR]*P10),0))</f>
        <v>0</v>
      </c>
      <c r="R10" s="23"/>
      <c r="S10" s="56" cm="1">
        <f t="array" ref="S10">IF(R10="X",(_xlfn.XLOOKUP($B10,Tabla1[SERVICIO],Tabla1[VALOR])*1),IF(R10&gt;=1,_xlfn.XLOOKUP($B10,Tabla1[SERVICIO],Tabla1[VALOR]*R10),0))</f>
        <v>0</v>
      </c>
      <c r="T10" s="23"/>
      <c r="U10" s="56" cm="1">
        <f t="array" ref="U10">IF(T10="X",(_xlfn.XLOOKUP($B10,Tabla1[SERVICIO],Tabla1[VALOR])*1),IF(T10&gt;=1,_xlfn.XLOOKUP($B10,Tabla1[SERVICIO],Tabla1[VALOR]*T10),0))</f>
        <v>0</v>
      </c>
      <c r="V10" s="23"/>
      <c r="W10" s="56" cm="1">
        <f t="array" ref="W10">IF(V10="X",(_xlfn.XLOOKUP($B10,Tabla1[SERVICIO],Tabla1[VALOR])*1),IF(V10&gt;=1,_xlfn.XLOOKUP($B10,Tabla1[SERVICIO],Tabla1[VALOR]*V10),0))</f>
        <v>0</v>
      </c>
      <c r="X10" s="23"/>
      <c r="Y10" s="56" cm="1">
        <f t="array" ref="Y10">IF(X10="X",(_xlfn.XLOOKUP($B10,Tabla1[SERVICIO],Tabla1[VALOR])*1),IF(X10&gt;=1,_xlfn.XLOOKUP($B10,Tabla1[SERVICIO],Tabla1[VALOR]*X10),0))</f>
        <v>0</v>
      </c>
      <c r="Z10" s="14">
        <v>1</v>
      </c>
      <c r="AA10" s="56" cm="1">
        <f t="array" ref="AA10">IF(Z10="X",(_xlfn.XLOOKUP($B10,Tabla1[SERVICIO],Tabla1[VALOR])*1),IF(Z10&gt;=1,_xlfn.XLOOKUP($B10,Tabla1[SERVICIO],Tabla1[VALOR]*Z10),0))</f>
        <v>20414.75585737115</v>
      </c>
      <c r="AB10" s="168">
        <f t="shared" si="0"/>
        <v>40829.511714742301</v>
      </c>
      <c r="AC10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2</v>
      </c>
      <c r="AD10" s="122" t="s">
        <v>318</v>
      </c>
      <c r="AE10" s="127">
        <v>1</v>
      </c>
      <c r="AF10" s="121">
        <f>+Tabla46789101146[[#This Row],[% de las personas que lo usaron]]*Tabla46789101146[[#This Row],[TOTAL]]</f>
        <v>40829.511714742301</v>
      </c>
      <c r="AG10" s="246" t="s">
        <v>357</v>
      </c>
      <c r="AH10" s="246">
        <v>12</v>
      </c>
    </row>
    <row r="11" spans="1:34" x14ac:dyDescent="0.25">
      <c r="A11" s="7" t="s">
        <v>74</v>
      </c>
      <c r="B11" s="55" t="s">
        <v>75</v>
      </c>
      <c r="C11" s="96" t="str">
        <f>_xlfn.XLOOKUP(Tabla46789101146[[#This Row],[Servicios del Programa:]],Tabla151[CODIGO],Tabla151[VALOR])</f>
        <v>Consultas</v>
      </c>
      <c r="D11" s="14">
        <v>1</v>
      </c>
      <c r="E11" s="56" cm="1">
        <f t="array" ref="E11">IF(D11="X",(_xlfn.XLOOKUP($B11,Tabla1[SERVICIO],Tabla1[VALOR])*1),IF(D11&gt;=1,_xlfn.XLOOKUP($B11,Tabla1[SERVICIO],Tabla1[VALOR]*D11),0))</f>
        <v>19368.008636848015</v>
      </c>
      <c r="F11" s="8"/>
      <c r="G11" s="56" cm="1">
        <f t="array" ref="G11">IF(F11="X",(_xlfn.XLOOKUP($B11,Tabla1[SERVICIO],Tabla1[VALOR])*1),IF(F11&gt;=1,_xlfn.XLOOKUP($B11,Tabla1[SERVICIO],Tabla1[VALOR]*F11),0))</f>
        <v>0</v>
      </c>
      <c r="H11" s="8"/>
      <c r="I11" s="56" cm="1">
        <f t="array" ref="I11">IF(H11="X",(_xlfn.XLOOKUP($B11,Tabla1[SERVICIO],Tabla1[VALOR])*1),IF(H11&gt;=1,_xlfn.XLOOKUP($B11,Tabla1[SERVICIO],Tabla1[VALOR]*H11),0))</f>
        <v>0</v>
      </c>
      <c r="J11" s="8"/>
      <c r="K11" s="56" cm="1">
        <f t="array" ref="K11">IF(J11="X",(_xlfn.XLOOKUP($B11,Tabla1[SERVICIO],Tabla1[VALOR])*1),IF(J11&gt;=1,_xlfn.XLOOKUP($B11,Tabla1[SERVICIO],Tabla1[VALOR]*J11),0))</f>
        <v>0</v>
      </c>
      <c r="L11" s="8"/>
      <c r="M11" s="56" cm="1">
        <f t="array" ref="M11">IF(L11="X",(_xlfn.XLOOKUP($B11,Tabla1[SERVICIO],Tabla1[VALOR])*1),IF(L11&gt;=1,_xlfn.XLOOKUP($B11,Tabla1[SERVICIO],Tabla1[VALOR]*L11),0))</f>
        <v>0</v>
      </c>
      <c r="N11" s="8"/>
      <c r="O11" s="56" cm="1">
        <f t="array" ref="O11">IF(N11="X",(_xlfn.XLOOKUP($B11,Tabla1[SERVICIO],Tabla1[VALOR])*1),IF(N11&gt;=1,_xlfn.XLOOKUP($B11,Tabla1[SERVICIO],Tabla1[VALOR]*N11),0))</f>
        <v>0</v>
      </c>
      <c r="P11" s="8"/>
      <c r="Q11" s="56" cm="1">
        <f t="array" ref="Q11">IF(P11="X",(_xlfn.XLOOKUP($B11,Tabla1[SERVICIO],Tabla1[VALOR])*1),IF(P11&gt;=1,_xlfn.XLOOKUP($B11,Tabla1[SERVICIO],Tabla1[VALOR]*P11),0))</f>
        <v>0</v>
      </c>
      <c r="R11" s="8"/>
      <c r="S11" s="56" cm="1">
        <f t="array" ref="S11">IF(R11="X",(_xlfn.XLOOKUP($B11,Tabla1[SERVICIO],Tabla1[VALOR])*1),IF(R11&gt;=1,_xlfn.XLOOKUP($B11,Tabla1[SERVICIO],Tabla1[VALOR]*R11),0))</f>
        <v>0</v>
      </c>
      <c r="T11" s="8"/>
      <c r="U11" s="56" cm="1">
        <f t="array" ref="U11">IF(T11="X",(_xlfn.XLOOKUP($B11,Tabla1[SERVICIO],Tabla1[VALOR])*1),IF(T11&gt;=1,_xlfn.XLOOKUP($B11,Tabla1[SERVICIO],Tabla1[VALOR]*T11),0))</f>
        <v>0</v>
      </c>
      <c r="V11" s="8"/>
      <c r="W11" s="56" cm="1">
        <f t="array" ref="W11">IF(V11="X",(_xlfn.XLOOKUP($B11,Tabla1[SERVICIO],Tabla1[VALOR])*1),IF(V11&gt;=1,_xlfn.XLOOKUP($B11,Tabla1[SERVICIO],Tabla1[VALOR]*V11),0))</f>
        <v>0</v>
      </c>
      <c r="X11" s="8"/>
      <c r="Y11" s="56" cm="1">
        <f t="array" ref="Y11">IF(X11="X",(_xlfn.XLOOKUP($B11,Tabla1[SERVICIO],Tabla1[VALOR])*1),IF(X11&gt;=1,_xlfn.XLOOKUP($B11,Tabla1[SERVICIO],Tabla1[VALOR]*X11),0))</f>
        <v>0</v>
      </c>
      <c r="Z11" s="8"/>
      <c r="AA11" s="56" cm="1">
        <f t="array" ref="AA11">IF(Z11="X",(_xlfn.XLOOKUP($B11,Tabla1[SERVICIO],Tabla1[VALOR])*1),IF(Z11&gt;=1,_xlfn.XLOOKUP($B11,Tabla1[SERVICIO],Tabla1[VALOR]*Z11),0))</f>
        <v>0</v>
      </c>
      <c r="AB11" s="168">
        <f t="shared" si="0"/>
        <v>19368.008636848015</v>
      </c>
      <c r="AC11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1" s="37" t="s">
        <v>319</v>
      </c>
      <c r="AE11" s="127">
        <v>0</v>
      </c>
      <c r="AF11" s="121">
        <f>+Tabla46789101146[[#This Row],[% de las personas que lo usaron]]*Tabla46789101146[[#This Row],[TOTAL]]</f>
        <v>0</v>
      </c>
      <c r="AG11" s="246" t="s">
        <v>357</v>
      </c>
      <c r="AH11" s="246">
        <v>12</v>
      </c>
    </row>
    <row r="12" spans="1:34" x14ac:dyDescent="0.25">
      <c r="A12" s="7" t="s">
        <v>76</v>
      </c>
      <c r="B12" s="96" t="s">
        <v>77</v>
      </c>
      <c r="C12" s="96" t="str">
        <f>_xlfn.XLOOKUP(Tabla46789101146[[#This Row],[Servicios del Programa:]],Tabla151[CODIGO],Tabla151[VALOR])</f>
        <v>Consultas</v>
      </c>
      <c r="D12" s="8"/>
      <c r="E12" s="56" cm="1">
        <f t="array" ref="E12">IF(D12="X",(_xlfn.XLOOKUP($B12,Tabla1[SERVICIO],Tabla1[VALOR])*1),IF(D12&gt;=1,_xlfn.XLOOKUP($B12,Tabla1[SERVICIO],Tabla1[VALOR]*D12),0))</f>
        <v>0</v>
      </c>
      <c r="F12" s="8"/>
      <c r="G12" s="56" cm="1">
        <f t="array" ref="G12">IF(F12="X",(_xlfn.XLOOKUP($B12,Tabla1[SERVICIO],Tabla1[VALOR])*1),IF(F12&gt;=1,_xlfn.XLOOKUP($B12,Tabla1[SERVICIO],Tabla1[VALOR]*F12),0))</f>
        <v>0</v>
      </c>
      <c r="H12" s="8"/>
      <c r="I12" s="56" cm="1">
        <f t="array" ref="I12">IF(H12="X",(_xlfn.XLOOKUP($B12,Tabla1[SERVICIO],Tabla1[VALOR])*1),IF(H12&gt;=1,_xlfn.XLOOKUP($B12,Tabla1[SERVICIO],Tabla1[VALOR]*H12),0))</f>
        <v>0</v>
      </c>
      <c r="J12" s="8"/>
      <c r="K12" s="56" cm="1">
        <f t="array" ref="K12">IF(J12="X",(_xlfn.XLOOKUP($B12,Tabla1[SERVICIO],Tabla1[VALOR])*1),IF(J12&gt;=1,_xlfn.XLOOKUP($B12,Tabla1[SERVICIO],Tabla1[VALOR]*J12),0))</f>
        <v>0</v>
      </c>
      <c r="L12" s="8"/>
      <c r="M12" s="56" cm="1">
        <f t="array" ref="M12">IF(L12="X",(_xlfn.XLOOKUP($B12,Tabla1[SERVICIO],Tabla1[VALOR])*1),IF(L12&gt;=1,_xlfn.XLOOKUP($B12,Tabla1[SERVICIO],Tabla1[VALOR]*L12),0))</f>
        <v>0</v>
      </c>
      <c r="N12" s="8"/>
      <c r="O12" s="56" cm="1">
        <f t="array" ref="O12">IF(N12="X",(_xlfn.XLOOKUP($B12,Tabla1[SERVICIO],Tabla1[VALOR])*1),IF(N12&gt;=1,_xlfn.XLOOKUP($B12,Tabla1[SERVICIO],Tabla1[VALOR]*N12),0))</f>
        <v>0</v>
      </c>
      <c r="P12" s="8"/>
      <c r="Q12" s="56" cm="1">
        <f t="array" ref="Q12">IF(P12="X",(_xlfn.XLOOKUP($B12,Tabla1[SERVICIO],Tabla1[VALOR])*1),IF(P12&gt;=1,_xlfn.XLOOKUP($B12,Tabla1[SERVICIO],Tabla1[VALOR]*P12),0))</f>
        <v>0</v>
      </c>
      <c r="R12" s="8"/>
      <c r="S12" s="56" cm="1">
        <f t="array" ref="S12">IF(R12="X",(_xlfn.XLOOKUP($B12,Tabla1[SERVICIO],Tabla1[VALOR])*1),IF(R12&gt;=1,_xlfn.XLOOKUP($B12,Tabla1[SERVICIO],Tabla1[VALOR]*R12),0))</f>
        <v>0</v>
      </c>
      <c r="T12" s="8"/>
      <c r="U12" s="56" cm="1">
        <f t="array" ref="U12">IF(T12="X",(_xlfn.XLOOKUP($B12,Tabla1[SERVICIO],Tabla1[VALOR])*1),IF(T12&gt;=1,_xlfn.XLOOKUP($B12,Tabla1[SERVICIO],Tabla1[VALOR]*T12),0))</f>
        <v>0</v>
      </c>
      <c r="V12" s="8"/>
      <c r="W12" s="56" cm="1">
        <f t="array" ref="W12">IF(V12="X",(_xlfn.XLOOKUP($B12,Tabla1[SERVICIO],Tabla1[VALOR])*1),IF(V12&gt;=1,_xlfn.XLOOKUP($B12,Tabla1[SERVICIO],Tabla1[VALOR]*V12),0))</f>
        <v>0</v>
      </c>
      <c r="X12" s="8"/>
      <c r="Y12" s="56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6" cm="1">
        <f t="array" ref="AA12">IF(Z12="X",(_xlfn.XLOOKUP($B12,Tabla1[SERVICIO],Tabla1[VALOR])*1),IF(Z12&gt;=1,_xlfn.XLOOKUP($B12,Tabla1[SERVICIO],Tabla1[VALOR]*Z12),0))</f>
        <v>21014.396674037816</v>
      </c>
      <c r="AB12" s="168">
        <f t="shared" si="0"/>
        <v>21014.396674037816</v>
      </c>
      <c r="AC12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2" s="37" t="s">
        <v>319</v>
      </c>
      <c r="AE12" s="127">
        <v>0</v>
      </c>
      <c r="AF12" s="121">
        <f>+Tabla46789101146[[#This Row],[% de las personas que lo usaron]]*Tabla46789101146[[#This Row],[TOTAL]]</f>
        <v>0</v>
      </c>
      <c r="AG12" s="246" t="s">
        <v>357</v>
      </c>
      <c r="AH12" s="246">
        <v>12</v>
      </c>
    </row>
    <row r="13" spans="1:34" x14ac:dyDescent="0.25">
      <c r="A13" s="7" t="s">
        <v>40</v>
      </c>
      <c r="B13" s="55" t="s">
        <v>41</v>
      </c>
      <c r="C13" s="96" t="str">
        <f>_xlfn.XLOOKUP(Tabla46789101146[[#This Row],[Servicios del Programa:]],Tabla151[CODIGO],Tabla151[VALOR])</f>
        <v>Gestion y seguimiento</v>
      </c>
      <c r="D13" s="14">
        <v>1</v>
      </c>
      <c r="E13" s="56" cm="1">
        <f t="array" ref="E13">IF(D13="X",(_xlfn.XLOOKUP($B13,Tabla1[SERVICIO],Tabla1[VALOR])*1),IF(D13&gt;=1,_xlfn.XLOOKUP($B13,Tabla1[SERVICIO],Tabla1[VALOR]*D13),0))</f>
        <v>15634.853025719462</v>
      </c>
      <c r="F13" s="14">
        <v>1</v>
      </c>
      <c r="G13" s="56" cm="1">
        <f t="array" ref="G13">IF(F13="X",(_xlfn.XLOOKUP($B13,Tabla1[SERVICIO],Tabla1[VALOR])*1),IF(F13&gt;=1,_xlfn.XLOOKUP($B13,Tabla1[SERVICIO],Tabla1[VALOR]*F13),0))</f>
        <v>15634.853025719462</v>
      </c>
      <c r="H13" s="14">
        <v>1</v>
      </c>
      <c r="I13" s="56" cm="1">
        <f t="array" ref="I13">IF(H13="X",(_xlfn.XLOOKUP($B13,Tabla1[SERVICIO],Tabla1[VALOR])*1),IF(H13&gt;=1,_xlfn.XLOOKUP($B13,Tabla1[SERVICIO],Tabla1[VALOR]*H13),0))</f>
        <v>15634.853025719462</v>
      </c>
      <c r="J13" s="14">
        <v>1</v>
      </c>
      <c r="K13" s="56" cm="1">
        <f t="array" ref="K13">IF(J13="X",(_xlfn.XLOOKUP($B13,Tabla1[SERVICIO],Tabla1[VALOR])*1),IF(J13&gt;=1,_xlfn.XLOOKUP($B13,Tabla1[SERVICIO],Tabla1[VALOR]*J13),0))</f>
        <v>15634.853025719462</v>
      </c>
      <c r="L13" s="14">
        <v>1</v>
      </c>
      <c r="M13" s="56" cm="1">
        <f t="array" ref="M13">IF(L13="X",(_xlfn.XLOOKUP($B13,Tabla1[SERVICIO],Tabla1[VALOR])*1),IF(L13&gt;=1,_xlfn.XLOOKUP($B13,Tabla1[SERVICIO],Tabla1[VALOR]*L13),0))</f>
        <v>15634.853025719462</v>
      </c>
      <c r="N13" s="14">
        <v>1</v>
      </c>
      <c r="O13" s="56" cm="1">
        <f t="array" ref="O13">IF(N13="X",(_xlfn.XLOOKUP($B13,Tabla1[SERVICIO],Tabla1[VALOR])*1),IF(N13&gt;=1,_xlfn.XLOOKUP($B13,Tabla1[SERVICIO],Tabla1[VALOR]*N13),0))</f>
        <v>15634.853025719462</v>
      </c>
      <c r="P13" s="14">
        <v>1</v>
      </c>
      <c r="Q13" s="56" cm="1">
        <f t="array" ref="Q13">IF(P13="X",(_xlfn.XLOOKUP($B13,Tabla1[SERVICIO],Tabla1[VALOR])*1),IF(P13&gt;=1,_xlfn.XLOOKUP($B13,Tabla1[SERVICIO],Tabla1[VALOR]*P13),0))</f>
        <v>15634.853025719462</v>
      </c>
      <c r="R13" s="14">
        <v>1</v>
      </c>
      <c r="S13" s="56" cm="1">
        <f t="array" ref="S13">IF(R13="X",(_xlfn.XLOOKUP($B13,Tabla1[SERVICIO],Tabla1[VALOR])*1),IF(R13&gt;=1,_xlfn.XLOOKUP($B13,Tabla1[SERVICIO],Tabla1[VALOR]*R13),0))</f>
        <v>15634.853025719462</v>
      </c>
      <c r="T13" s="14">
        <v>1</v>
      </c>
      <c r="U13" s="56" cm="1">
        <f t="array" ref="U13">IF(T13="X",(_xlfn.XLOOKUP($B13,Tabla1[SERVICIO],Tabla1[VALOR])*1),IF(T13&gt;=1,_xlfn.XLOOKUP($B13,Tabla1[SERVICIO],Tabla1[VALOR]*T13),0))</f>
        <v>15634.853025719462</v>
      </c>
      <c r="V13" s="14">
        <v>1</v>
      </c>
      <c r="W13" s="56" cm="1">
        <f t="array" ref="W13">IF(V13="X",(_xlfn.XLOOKUP($B13,Tabla1[SERVICIO],Tabla1[VALOR])*1),IF(V13&gt;=1,_xlfn.XLOOKUP($B13,Tabla1[SERVICIO],Tabla1[VALOR]*V13),0))</f>
        <v>15634.853025719462</v>
      </c>
      <c r="X13" s="14">
        <v>1</v>
      </c>
      <c r="Y13" s="56" cm="1">
        <f t="array" ref="Y13">IF(X13="X",(_xlfn.XLOOKUP($B13,Tabla1[SERVICIO],Tabla1[VALOR])*1),IF(X13&gt;=1,_xlfn.XLOOKUP($B13,Tabla1[SERVICIO],Tabla1[VALOR]*X13),0))</f>
        <v>15634.853025719462</v>
      </c>
      <c r="Z13" s="14">
        <v>1</v>
      </c>
      <c r="AA13" s="56" cm="1">
        <f t="array" ref="AA13">IF(Z13="X",(_xlfn.XLOOKUP($B13,Tabla1[SERVICIO],Tabla1[VALOR])*1),IF(Z13&gt;=1,_xlfn.XLOOKUP($B13,Tabla1[SERVICIO],Tabla1[VALOR]*Z13),0))</f>
        <v>15634.853025719462</v>
      </c>
      <c r="AB13" s="168">
        <f t="shared" si="0"/>
        <v>187618.23630863355</v>
      </c>
      <c r="AC13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12</v>
      </c>
      <c r="AD13" s="122" t="s">
        <v>318</v>
      </c>
      <c r="AE13" s="127">
        <v>1</v>
      </c>
      <c r="AF13" s="121">
        <f>+Tabla46789101146[[#This Row],[% de las personas que lo usaron]]*Tabla46789101146[[#This Row],[TOTAL]]</f>
        <v>187618.23630863355</v>
      </c>
      <c r="AG13" s="246" t="s">
        <v>357</v>
      </c>
      <c r="AH13" s="246">
        <v>12</v>
      </c>
    </row>
    <row r="14" spans="1:34" x14ac:dyDescent="0.25">
      <c r="A14" s="7" t="s">
        <v>11</v>
      </c>
      <c r="B14" s="55" t="s">
        <v>12</v>
      </c>
      <c r="C14" s="96" t="str">
        <f>_xlfn.XLOOKUP(Tabla46789101146[[#This Row],[Servicios del Programa:]],Tabla151[CODIGO],Tabla151[VALOR])</f>
        <v>Educacion</v>
      </c>
      <c r="D14" s="14">
        <v>1</v>
      </c>
      <c r="E14" s="56" cm="1">
        <f t="array" ref="E14">IF(D14="X",(_xlfn.XLOOKUP($B14,Tabla1[SERVICIO],Tabla1[VALOR])*1),IF(D14&gt;=1,_xlfn.XLOOKUP($B14,Tabla1[SERVICIO],Tabla1[VALOR]*D14),0))</f>
        <v>12743.421642219637</v>
      </c>
      <c r="F14" s="14">
        <v>1</v>
      </c>
      <c r="G14" s="56" cm="1">
        <f t="array" ref="G14">IF(F14="X",(_xlfn.XLOOKUP($B14,Tabla1[SERVICIO],Tabla1[VALOR])*1),IF(F14&gt;=1,_xlfn.XLOOKUP($B14,Tabla1[SERVICIO],Tabla1[VALOR]*F14),0))</f>
        <v>12743.421642219637</v>
      </c>
      <c r="H14" s="14">
        <v>1</v>
      </c>
      <c r="I14" s="56" cm="1">
        <f t="array" ref="I14">IF(H14="X",(_xlfn.XLOOKUP($B14,Tabla1[SERVICIO],Tabla1[VALOR])*1),IF(H14&gt;=1,_xlfn.XLOOKUP($B14,Tabla1[SERVICIO],Tabla1[VALOR]*H14),0))</f>
        <v>12743.421642219637</v>
      </c>
      <c r="J14" s="14">
        <v>1</v>
      </c>
      <c r="K14" s="56" cm="1">
        <f t="array" ref="K14">IF(J14="X",(_xlfn.XLOOKUP($B14,Tabla1[SERVICIO],Tabla1[VALOR])*1),IF(J14&gt;=1,_xlfn.XLOOKUP($B14,Tabla1[SERVICIO],Tabla1[VALOR]*J14),0))</f>
        <v>12743.421642219637</v>
      </c>
      <c r="L14" s="14">
        <v>1</v>
      </c>
      <c r="M14" s="56" cm="1">
        <f t="array" ref="M14">IF(L14="X",(_xlfn.XLOOKUP($B14,Tabla1[SERVICIO],Tabla1[VALOR])*1),IF(L14&gt;=1,_xlfn.XLOOKUP($B14,Tabla1[SERVICIO],Tabla1[VALOR]*L14),0))</f>
        <v>12743.421642219637</v>
      </c>
      <c r="N14" s="14">
        <v>1</v>
      </c>
      <c r="O14" s="56" cm="1">
        <f t="array" ref="O14">IF(N14="X",(_xlfn.XLOOKUP($B14,Tabla1[SERVICIO],Tabla1[VALOR])*1),IF(N14&gt;=1,_xlfn.XLOOKUP($B14,Tabla1[SERVICIO],Tabla1[VALOR]*N14),0))</f>
        <v>12743.421642219637</v>
      </c>
      <c r="P14" s="14">
        <v>1</v>
      </c>
      <c r="Q14" s="56" cm="1">
        <f t="array" ref="Q14">IF(P14="X",(_xlfn.XLOOKUP($B14,Tabla1[SERVICIO],Tabla1[VALOR])*1),IF(P14&gt;=1,_xlfn.XLOOKUP($B14,Tabla1[SERVICIO],Tabla1[VALOR]*P14),0))</f>
        <v>12743.421642219637</v>
      </c>
      <c r="R14" s="14">
        <v>1</v>
      </c>
      <c r="S14" s="56" cm="1">
        <f t="array" ref="S14">IF(R14="X",(_xlfn.XLOOKUP($B14,Tabla1[SERVICIO],Tabla1[VALOR])*1),IF(R14&gt;=1,_xlfn.XLOOKUP($B14,Tabla1[SERVICIO],Tabla1[VALOR]*R14),0))</f>
        <v>12743.421642219637</v>
      </c>
      <c r="T14" s="14">
        <v>1</v>
      </c>
      <c r="U14" s="56" cm="1">
        <f t="array" ref="U14">IF(T14="X",(_xlfn.XLOOKUP($B14,Tabla1[SERVICIO],Tabla1[VALOR])*1),IF(T14&gt;=1,_xlfn.XLOOKUP($B14,Tabla1[SERVICIO],Tabla1[VALOR]*T14),0))</f>
        <v>12743.421642219637</v>
      </c>
      <c r="V14" s="14">
        <v>1</v>
      </c>
      <c r="W14" s="56" cm="1">
        <f t="array" ref="W14">IF(V14="X",(_xlfn.XLOOKUP($B14,Tabla1[SERVICIO],Tabla1[VALOR])*1),IF(V14&gt;=1,_xlfn.XLOOKUP($B14,Tabla1[SERVICIO],Tabla1[VALOR]*V14),0))</f>
        <v>12743.421642219637</v>
      </c>
      <c r="X14" s="14">
        <v>1</v>
      </c>
      <c r="Y14" s="56" cm="1">
        <f t="array" ref="Y14">IF(X14="X",(_xlfn.XLOOKUP($B14,Tabla1[SERVICIO],Tabla1[VALOR])*1),IF(X14&gt;=1,_xlfn.XLOOKUP($B14,Tabla1[SERVICIO],Tabla1[VALOR]*X14),0))</f>
        <v>12743.421642219637</v>
      </c>
      <c r="Z14" s="14">
        <v>1</v>
      </c>
      <c r="AA14" s="56" cm="1">
        <f t="array" ref="AA14">IF(Z14="X",(_xlfn.XLOOKUP($B14,Tabla1[SERVICIO],Tabla1[VALOR])*1),IF(Z14&gt;=1,_xlfn.XLOOKUP($B14,Tabla1[SERVICIO],Tabla1[VALOR]*Z14),0))</f>
        <v>12743.421642219637</v>
      </c>
      <c r="AB14" s="168">
        <f t="shared" si="0"/>
        <v>152921.05970663566</v>
      </c>
      <c r="AC14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12</v>
      </c>
      <c r="AD14" s="122" t="s">
        <v>318</v>
      </c>
      <c r="AE14" s="127">
        <v>1</v>
      </c>
      <c r="AF14" s="121">
        <f>+Tabla46789101146[[#This Row],[% de las personas que lo usaron]]*Tabla46789101146[[#This Row],[TOTAL]]</f>
        <v>152921.05970663566</v>
      </c>
      <c r="AG14" s="246" t="s">
        <v>357</v>
      </c>
      <c r="AH14" s="246">
        <v>12</v>
      </c>
    </row>
    <row r="15" spans="1:34" x14ac:dyDescent="0.25">
      <c r="A15" s="7" t="s">
        <v>38</v>
      </c>
      <c r="B15" s="55" t="s">
        <v>102</v>
      </c>
      <c r="C15" s="96" t="str">
        <f>_xlfn.XLOOKUP(Tabla46789101146[[#This Row],[Servicios del Programa:]],Tabla151[CODIGO],Tabla151[VALOR])</f>
        <v>Consultas</v>
      </c>
      <c r="D15" s="14">
        <v>1</v>
      </c>
      <c r="E15" s="56" cm="1">
        <f t="array" ref="E15">IF(D15="X",(_xlfn.XLOOKUP($B15,Tabla1[SERVICIO],Tabla1[VALOR])*1),IF(D15&gt;=1,_xlfn.XLOOKUP($B15,Tabla1[SERVICIO],Tabla1[VALOR]*D15),0))</f>
        <v>56420.692787682223</v>
      </c>
      <c r="F15" s="14"/>
      <c r="G15" s="56" cm="1">
        <f t="array" ref="G15">IF(F15="X",(_xlfn.XLOOKUP($B15,Tabla1[SERVICIO],Tabla1[VALOR])*1),IF(F15&gt;=1,_xlfn.XLOOKUP($B15,Tabla1[SERVICIO],Tabla1[VALOR]*F15),0))</f>
        <v>0</v>
      </c>
      <c r="H15" s="14"/>
      <c r="I15" s="56" cm="1">
        <f t="array" ref="I15">IF(H15="X",(_xlfn.XLOOKUP($B15,Tabla1[SERVICIO],Tabla1[VALOR])*1),IF(H15&gt;=1,_xlfn.XLOOKUP($B15,Tabla1[SERVICIO],Tabla1[VALOR]*H15),0))</f>
        <v>0</v>
      </c>
      <c r="J15" s="14"/>
      <c r="K15" s="56" cm="1">
        <f t="array" ref="K15">IF(J15="X",(_xlfn.XLOOKUP($B15,Tabla1[SERVICIO],Tabla1[VALOR])*1),IF(J15&gt;=1,_xlfn.XLOOKUP($B15,Tabla1[SERVICIO],Tabla1[VALOR]*J15),0))</f>
        <v>0</v>
      </c>
      <c r="L15" s="14"/>
      <c r="M15" s="56" cm="1">
        <f t="array" ref="M15">IF(L15="X",(_xlfn.XLOOKUP($B15,Tabla1[SERVICIO],Tabla1[VALOR])*1),IF(L15&gt;=1,_xlfn.XLOOKUP($B15,Tabla1[SERVICIO],Tabla1[VALOR]*L15),0))</f>
        <v>0</v>
      </c>
      <c r="N15" s="14"/>
      <c r="O15" s="56" cm="1">
        <f t="array" ref="O15">IF(N15="X",(_xlfn.XLOOKUP($B15,Tabla1[SERVICIO],Tabla1[VALOR])*1),IF(N15&gt;=1,_xlfn.XLOOKUP($B15,Tabla1[SERVICIO],Tabla1[VALOR]*N15),0))</f>
        <v>0</v>
      </c>
      <c r="P15" s="14"/>
      <c r="Q15" s="56" cm="1">
        <f t="array" ref="Q15">IF(P15="X",(_xlfn.XLOOKUP($B15,Tabla1[SERVICIO],Tabla1[VALOR])*1),IF(P15&gt;=1,_xlfn.XLOOKUP($B15,Tabla1[SERVICIO],Tabla1[VALOR]*P15),0))</f>
        <v>0</v>
      </c>
      <c r="R15" s="14"/>
      <c r="S15" s="56" cm="1">
        <f t="array" ref="S15">IF(R15="X",(_xlfn.XLOOKUP($B15,Tabla1[SERVICIO],Tabla1[VALOR])*1),IF(R15&gt;=1,_xlfn.XLOOKUP($B15,Tabla1[SERVICIO],Tabla1[VALOR]*R15),0))</f>
        <v>0</v>
      </c>
      <c r="T15" s="14"/>
      <c r="U15" s="56" cm="1">
        <f t="array" ref="U15">IF(T15="X",(_xlfn.XLOOKUP($B15,Tabla1[SERVICIO],Tabla1[VALOR])*1),IF(T15&gt;=1,_xlfn.XLOOKUP($B15,Tabla1[SERVICIO],Tabla1[VALOR]*T15),0))</f>
        <v>0</v>
      </c>
      <c r="V15" s="14"/>
      <c r="W15" s="56" cm="1">
        <f t="array" ref="W15">IF(V15="X",(_xlfn.XLOOKUP($B15,Tabla1[SERVICIO],Tabla1[VALOR])*1),IF(V15&gt;=1,_xlfn.XLOOKUP($B15,Tabla1[SERVICIO],Tabla1[VALOR]*V15),0))</f>
        <v>0</v>
      </c>
      <c r="X15" s="14"/>
      <c r="Y15" s="56" cm="1">
        <f t="array" ref="Y15">IF(X15="X",(_xlfn.XLOOKUP($B15,Tabla1[SERVICIO],Tabla1[VALOR])*1),IF(X15&gt;=1,_xlfn.XLOOKUP($B15,Tabla1[SERVICIO],Tabla1[VALOR]*X15),0))</f>
        <v>0</v>
      </c>
      <c r="Z15" s="14"/>
      <c r="AA15" s="56" cm="1">
        <f t="array" ref="AA15">IF(Z15="X",(_xlfn.XLOOKUP($B15,Tabla1[SERVICIO],Tabla1[VALOR])*1),IF(Z15&gt;=1,_xlfn.XLOOKUP($B15,Tabla1[SERVICIO],Tabla1[VALOR]*Z15),0))</f>
        <v>0</v>
      </c>
      <c r="AB15" s="168">
        <f t="shared" si="0"/>
        <v>56420.692787682223</v>
      </c>
      <c r="AC15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5" s="37" t="s">
        <v>319</v>
      </c>
      <c r="AE15" s="127">
        <v>6.8965517241379309E-2</v>
      </c>
      <c r="AF15" s="121">
        <f>+Tabla46789101146[[#This Row],[% de las personas que lo usaron]]*Tabla46789101146[[#This Row],[TOTAL]]</f>
        <v>3891.0822612194638</v>
      </c>
      <c r="AG15" s="246" t="s">
        <v>357</v>
      </c>
      <c r="AH15" s="246">
        <v>12</v>
      </c>
    </row>
    <row r="16" spans="1:34" x14ac:dyDescent="0.25">
      <c r="A16" s="7" t="s">
        <v>34</v>
      </c>
      <c r="B16" s="96" t="s">
        <v>35</v>
      </c>
      <c r="C16" s="96" t="str">
        <f>_xlfn.XLOOKUP(Tabla46789101146[[#This Row],[Servicios del Programa:]],Tabla151[CODIGO],Tabla151[VALOR])</f>
        <v>Consultas</v>
      </c>
      <c r="D16" s="14">
        <v>1</v>
      </c>
      <c r="E16" s="56" cm="1">
        <f t="array" ref="E16">IF(D16="X",(_xlfn.XLOOKUP($B16,Tabla1[SERVICIO],Tabla1[VALOR])*1),IF(D16&gt;=1,_xlfn.XLOOKUP($B16,Tabla1[SERVICIO],Tabla1[VALOR]*D16),0))</f>
        <v>24009.730401318589</v>
      </c>
      <c r="F16" s="8"/>
      <c r="G16" s="56" cm="1">
        <f t="array" ref="G16">IF(F16="X",(_xlfn.XLOOKUP($B16,Tabla1[SERVICIO],Tabla1[VALOR])*1),IF(F16&gt;=1,_xlfn.XLOOKUP($B16,Tabla1[SERVICIO],Tabla1[VALOR]*F16),0))</f>
        <v>0</v>
      </c>
      <c r="H16" s="8"/>
      <c r="I16" s="56" cm="1">
        <f t="array" ref="I16">IF(H16="X",(_xlfn.XLOOKUP($B16,Tabla1[SERVICIO],Tabla1[VALOR])*1),IF(H16&gt;=1,_xlfn.XLOOKUP($B16,Tabla1[SERVICIO],Tabla1[VALOR]*H16),0))</f>
        <v>0</v>
      </c>
      <c r="J16" s="8"/>
      <c r="K16" s="56" cm="1">
        <f t="array" ref="K16">IF(J16="X",(_xlfn.XLOOKUP($B16,Tabla1[SERVICIO],Tabla1[VALOR])*1),IF(J16&gt;=1,_xlfn.XLOOKUP($B16,Tabla1[SERVICIO],Tabla1[VALOR]*J16),0))</f>
        <v>0</v>
      </c>
      <c r="L16" s="8"/>
      <c r="M16" s="56" cm="1">
        <f t="array" ref="M16">IF(L16="X",(_xlfn.XLOOKUP($B16,Tabla1[SERVICIO],Tabla1[VALOR])*1),IF(L16&gt;=1,_xlfn.XLOOKUP($B16,Tabla1[SERVICIO],Tabla1[VALOR]*L16),0))</f>
        <v>0</v>
      </c>
      <c r="N16" s="8"/>
      <c r="O16" s="56" cm="1">
        <f t="array" ref="O16">IF(N16="X",(_xlfn.XLOOKUP($B16,Tabla1[SERVICIO],Tabla1[VALOR])*1),IF(N16&gt;=1,_xlfn.XLOOKUP($B16,Tabla1[SERVICIO],Tabla1[VALOR]*N16),0))</f>
        <v>0</v>
      </c>
      <c r="P16" s="8"/>
      <c r="Q16" s="56" cm="1">
        <f t="array" ref="Q16">IF(P16="X",(_xlfn.XLOOKUP($B16,Tabla1[SERVICIO],Tabla1[VALOR])*1),IF(P16&gt;=1,_xlfn.XLOOKUP($B16,Tabla1[SERVICIO],Tabla1[VALOR]*P16),0))</f>
        <v>0</v>
      </c>
      <c r="R16" s="8"/>
      <c r="S16" s="56" cm="1">
        <f t="array" ref="S16">IF(R16="X",(_xlfn.XLOOKUP($B16,Tabla1[SERVICIO],Tabla1[VALOR])*1),IF(R16&gt;=1,_xlfn.XLOOKUP($B16,Tabla1[SERVICIO],Tabla1[VALOR]*R16),0))</f>
        <v>0</v>
      </c>
      <c r="T16" s="8"/>
      <c r="U16" s="56" cm="1">
        <f t="array" ref="U16">IF(T16="X",(_xlfn.XLOOKUP($B16,Tabla1[SERVICIO],Tabla1[VALOR])*1),IF(T16&gt;=1,_xlfn.XLOOKUP($B16,Tabla1[SERVICIO],Tabla1[VALOR]*T16),0))</f>
        <v>0</v>
      </c>
      <c r="V16" s="8"/>
      <c r="W16" s="56" cm="1">
        <f t="array" ref="W16">IF(V16="X",(_xlfn.XLOOKUP($B16,Tabla1[SERVICIO],Tabla1[VALOR])*1),IF(V16&gt;=1,_xlfn.XLOOKUP($B16,Tabla1[SERVICIO],Tabla1[VALOR]*V16),0))</f>
        <v>0</v>
      </c>
      <c r="X16" s="8"/>
      <c r="Y16" s="56" cm="1">
        <f t="array" ref="Y16">IF(X16="X",(_xlfn.XLOOKUP($B16,Tabla1[SERVICIO],Tabla1[VALOR])*1),IF(X16&gt;=1,_xlfn.XLOOKUP($B16,Tabla1[SERVICIO],Tabla1[VALOR]*X16),0))</f>
        <v>0</v>
      </c>
      <c r="Z16" s="8"/>
      <c r="AA16" s="56" cm="1">
        <f t="array" ref="AA16">IF(Z16="X",(_xlfn.XLOOKUP($B16,Tabla1[SERVICIO],Tabla1[VALOR])*1),IF(Z16&gt;=1,_xlfn.XLOOKUP($B16,Tabla1[SERVICIO],Tabla1[VALOR]*Z16),0))</f>
        <v>0</v>
      </c>
      <c r="AB16" s="168">
        <f t="shared" si="0"/>
        <v>24009.730401318589</v>
      </c>
      <c r="AC16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6" s="37" t="s">
        <v>319</v>
      </c>
      <c r="AE16" s="127">
        <v>0</v>
      </c>
      <c r="AF16" s="121">
        <f>+Tabla46789101146[[#This Row],[% de las personas que lo usaron]]*Tabla46789101146[[#This Row],[TOTAL]]</f>
        <v>0</v>
      </c>
      <c r="AG16" s="246" t="s">
        <v>357</v>
      </c>
      <c r="AH16" s="246">
        <v>12</v>
      </c>
    </row>
    <row r="17" spans="1:46" x14ac:dyDescent="0.25">
      <c r="A17" s="7" t="s">
        <v>19</v>
      </c>
      <c r="B17" s="55" t="s">
        <v>20</v>
      </c>
      <c r="C17" s="96" t="str">
        <f>_xlfn.XLOOKUP(Tabla46789101146[[#This Row],[Servicios del Programa:]],Tabla151[CODIGO],Tabla151[VALOR])</f>
        <v>Consultas</v>
      </c>
      <c r="D17" s="14">
        <v>1</v>
      </c>
      <c r="E17" s="56" cm="1">
        <f t="array" ref="E17">IF(D17="X",(_xlfn.XLOOKUP($B17,Tabla1[SERVICIO],Tabla1[VALOR])*1),IF(D17&gt;=1,_xlfn.XLOOKUP($B17,Tabla1[SERVICIO],Tabla1[VALOR]*D17),0))</f>
        <v>67398.098568534639</v>
      </c>
      <c r="F17" s="8"/>
      <c r="G17" s="56" cm="1">
        <f t="array" ref="G17">IF(F17="X",(_xlfn.XLOOKUP($B17,Tabla1[SERVICIO],Tabla1[VALOR])*1),IF(F17&gt;=1,_xlfn.XLOOKUP($B17,Tabla1[SERVICIO],Tabla1[VALOR]*F17),0))</f>
        <v>0</v>
      </c>
      <c r="H17" s="8"/>
      <c r="I17" s="56" cm="1">
        <f t="array" ref="I17">IF(H17="X",(_xlfn.XLOOKUP($B17,Tabla1[SERVICIO],Tabla1[VALOR])*1),IF(H17&gt;=1,_xlfn.XLOOKUP($B17,Tabla1[SERVICIO],Tabla1[VALOR]*H17),0))</f>
        <v>0</v>
      </c>
      <c r="J17" s="8"/>
      <c r="K17" s="56" cm="1">
        <f t="array" ref="K17">IF(J17="X",(_xlfn.XLOOKUP($B17,Tabla1[SERVICIO],Tabla1[VALOR])*1),IF(J17&gt;=1,_xlfn.XLOOKUP($B17,Tabla1[SERVICIO],Tabla1[VALOR]*J17),0))</f>
        <v>0</v>
      </c>
      <c r="L17" s="8"/>
      <c r="M17" s="56" cm="1">
        <f t="array" ref="M17">IF(L17="X",(_xlfn.XLOOKUP($B17,Tabla1[SERVICIO],Tabla1[VALOR])*1),IF(L17&gt;=1,_xlfn.XLOOKUP($B17,Tabla1[SERVICIO],Tabla1[VALOR]*L17),0))</f>
        <v>0</v>
      </c>
      <c r="N17" s="8"/>
      <c r="O17" s="56" cm="1">
        <f t="array" ref="O17">IF(N17="X",(_xlfn.XLOOKUP($B17,Tabla1[SERVICIO],Tabla1[VALOR])*1),IF(N17&gt;=1,_xlfn.XLOOKUP($B17,Tabla1[SERVICIO],Tabla1[VALOR]*N17),0))</f>
        <v>0</v>
      </c>
      <c r="P17" s="8"/>
      <c r="Q17" s="56" cm="1">
        <f t="array" ref="Q17">IF(P17="X",(_xlfn.XLOOKUP($B17,Tabla1[SERVICIO],Tabla1[VALOR])*1),IF(P17&gt;=1,_xlfn.XLOOKUP($B17,Tabla1[SERVICIO],Tabla1[VALOR]*P17),0))</f>
        <v>0</v>
      </c>
      <c r="R17" s="8"/>
      <c r="S17" s="56" cm="1">
        <f t="array" ref="S17">IF(R17="X",(_xlfn.XLOOKUP($B17,Tabla1[SERVICIO],Tabla1[VALOR])*1),IF(R17&gt;=1,_xlfn.XLOOKUP($B17,Tabla1[SERVICIO],Tabla1[VALOR]*R17),0))</f>
        <v>0</v>
      </c>
      <c r="T17" s="8"/>
      <c r="U17" s="56" cm="1">
        <f t="array" ref="U17">IF(T17="X",(_xlfn.XLOOKUP($B17,Tabla1[SERVICIO],Tabla1[VALOR])*1),IF(T17&gt;=1,_xlfn.XLOOKUP($B17,Tabla1[SERVICIO],Tabla1[VALOR]*T17),0))</f>
        <v>0</v>
      </c>
      <c r="V17" s="8"/>
      <c r="W17" s="56" cm="1">
        <f t="array" ref="W17">IF(V17="X",(_xlfn.XLOOKUP($B17,Tabla1[SERVICIO],Tabla1[VALOR])*1),IF(V17&gt;=1,_xlfn.XLOOKUP($B17,Tabla1[SERVICIO],Tabla1[VALOR]*V17),0))</f>
        <v>0</v>
      </c>
      <c r="X17" s="8"/>
      <c r="Y17" s="56" cm="1">
        <f t="array" ref="Y17">IF(X17="X",(_xlfn.XLOOKUP($B17,Tabla1[SERVICIO],Tabla1[VALOR])*1),IF(X17&gt;=1,_xlfn.XLOOKUP($B17,Tabla1[SERVICIO],Tabla1[VALOR]*X17),0))</f>
        <v>0</v>
      </c>
      <c r="Z17" s="8"/>
      <c r="AA17" s="56" cm="1">
        <f t="array" ref="AA17">IF(Z17="X",(_xlfn.XLOOKUP($B17,Tabla1[SERVICIO],Tabla1[VALOR])*1),IF(Z17&gt;=1,_xlfn.XLOOKUP($B17,Tabla1[SERVICIO],Tabla1[VALOR]*Z17),0))</f>
        <v>0</v>
      </c>
      <c r="AB17" s="168">
        <f t="shared" si="0"/>
        <v>67398.098568534639</v>
      </c>
      <c r="AC17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7" s="37" t="s">
        <v>319</v>
      </c>
      <c r="AE17" s="127">
        <v>0.1206896551724138</v>
      </c>
      <c r="AF17" s="121">
        <f>+Tabla46789101146[[#This Row],[% de las personas que lo usaron]]*Tabla46789101146[[#This Row],[TOTAL]]</f>
        <v>8134.2532755128013</v>
      </c>
      <c r="AG17" s="246" t="s">
        <v>357</v>
      </c>
      <c r="AH17" s="246">
        <v>12</v>
      </c>
    </row>
    <row r="18" spans="1:46" x14ac:dyDescent="0.25">
      <c r="A18" s="7" t="s">
        <v>21</v>
      </c>
      <c r="B18" s="55" t="s">
        <v>221</v>
      </c>
      <c r="C18" s="96" t="str">
        <f>_xlfn.XLOOKUP(Tabla46789101146[[#This Row],[Servicios del Programa:]],Tabla151[CODIGO],Tabla151[VALOR])</f>
        <v>Consultas</v>
      </c>
      <c r="D18" s="14">
        <v>1</v>
      </c>
      <c r="E18" s="56" cm="1">
        <f t="array" ref="E18">IF(D18="X",(_xlfn.XLOOKUP($B18,Tabla1[SERVICIO],Tabla1[VALOR])*1),IF(D18&gt;=1,_xlfn.XLOOKUP($B18,Tabla1[SERVICIO],Tabla1[VALOR]*D18),0))</f>
        <v>67398.098568534639</v>
      </c>
      <c r="F18" s="14"/>
      <c r="G18" s="56" cm="1">
        <f t="array" ref="G18">IF(F18="X",(_xlfn.XLOOKUP($B18,Tabla1[SERVICIO],Tabla1[VALOR])*1),IF(F18&gt;=1,_xlfn.XLOOKUP($B18,Tabla1[SERVICIO],Tabla1[VALOR]*F18),0))</f>
        <v>0</v>
      </c>
      <c r="H18" s="14"/>
      <c r="I18" s="56" cm="1">
        <f t="array" ref="I18">IF(H18="X",(_xlfn.XLOOKUP($B18,Tabla1[SERVICIO],Tabla1[VALOR])*1),IF(H18&gt;=1,_xlfn.XLOOKUP($B18,Tabla1[SERVICIO],Tabla1[VALOR]*H18),0))</f>
        <v>0</v>
      </c>
      <c r="J18" s="14"/>
      <c r="K18" s="56" cm="1">
        <f t="array" ref="K18">IF(J18="X",(_xlfn.XLOOKUP($B18,Tabla1[SERVICIO],Tabla1[VALOR])*1),IF(J18&gt;=1,_xlfn.XLOOKUP($B18,Tabla1[SERVICIO],Tabla1[VALOR]*J18),0))</f>
        <v>0</v>
      </c>
      <c r="L18" s="14"/>
      <c r="M18" s="56" cm="1">
        <f t="array" ref="M18">IF(L18="X",(_xlfn.XLOOKUP($B18,Tabla1[SERVICIO],Tabla1[VALOR])*1),IF(L18&gt;=1,_xlfn.XLOOKUP($B18,Tabla1[SERVICIO],Tabla1[VALOR]*L18),0))</f>
        <v>0</v>
      </c>
      <c r="N18" s="14"/>
      <c r="O18" s="56" cm="1">
        <f t="array" ref="O18">IF(N18="X",(_xlfn.XLOOKUP($B18,Tabla1[SERVICIO],Tabla1[VALOR])*1),IF(N18&gt;=1,_xlfn.XLOOKUP($B18,Tabla1[SERVICIO],Tabla1[VALOR]*N18),0))</f>
        <v>0</v>
      </c>
      <c r="P18" s="14"/>
      <c r="Q18" s="56" cm="1">
        <f t="array" ref="Q18">IF(P18="X",(_xlfn.XLOOKUP($B18,Tabla1[SERVICIO],Tabla1[VALOR])*1),IF(P18&gt;=1,_xlfn.XLOOKUP($B18,Tabla1[SERVICIO],Tabla1[VALOR]*P18),0))</f>
        <v>0</v>
      </c>
      <c r="R18" s="14"/>
      <c r="S18" s="56" cm="1">
        <f t="array" ref="S18">IF(R18="X",(_xlfn.XLOOKUP($B18,Tabla1[SERVICIO],Tabla1[VALOR])*1),IF(R18&gt;=1,_xlfn.XLOOKUP($B18,Tabla1[SERVICIO],Tabla1[VALOR]*R18),0))</f>
        <v>0</v>
      </c>
      <c r="T18" s="14"/>
      <c r="U18" s="56" cm="1">
        <f t="array" ref="U18">IF(T18="X",(_xlfn.XLOOKUP($B18,Tabla1[SERVICIO],Tabla1[VALOR])*1),IF(T18&gt;=1,_xlfn.XLOOKUP($B18,Tabla1[SERVICIO],Tabla1[VALOR]*T18),0))</f>
        <v>0</v>
      </c>
      <c r="V18" s="14"/>
      <c r="W18" s="56" cm="1">
        <f t="array" ref="W18">IF(V18="X",(_xlfn.XLOOKUP($B18,Tabla1[SERVICIO],Tabla1[VALOR])*1),IF(V18&gt;=1,_xlfn.XLOOKUP($B18,Tabla1[SERVICIO],Tabla1[VALOR]*V18),0))</f>
        <v>0</v>
      </c>
      <c r="X18" s="14"/>
      <c r="Y18" s="56" cm="1">
        <f t="array" ref="Y18">IF(X18="X",(_xlfn.XLOOKUP($B18,Tabla1[SERVICIO],Tabla1[VALOR])*1),IF(X18&gt;=1,_xlfn.XLOOKUP($B18,Tabla1[SERVICIO],Tabla1[VALOR]*X18),0))</f>
        <v>0</v>
      </c>
      <c r="Z18" s="14"/>
      <c r="AA18" s="56" cm="1">
        <f t="array" ref="AA18">IF(Z18="X",(_xlfn.XLOOKUP($B18,Tabla1[SERVICIO],Tabla1[VALOR])*1),IF(Z18&gt;=1,_xlfn.XLOOKUP($B18,Tabla1[SERVICIO],Tabla1[VALOR]*Z18),0))</f>
        <v>0</v>
      </c>
      <c r="AB18" s="168">
        <f t="shared" si="0"/>
        <v>67398.098568534639</v>
      </c>
      <c r="AC18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8" s="122" t="s">
        <v>318</v>
      </c>
      <c r="AE18" s="127">
        <v>1</v>
      </c>
      <c r="AF18" s="121">
        <f>+Tabla46789101146[[#This Row],[% de las personas que lo usaron]]*Tabla46789101146[[#This Row],[TOTAL]]</f>
        <v>67398.098568534639</v>
      </c>
      <c r="AG18" s="246" t="s">
        <v>357</v>
      </c>
      <c r="AH18" s="246">
        <v>12</v>
      </c>
    </row>
    <row r="19" spans="1:46" x14ac:dyDescent="0.25">
      <c r="A19" s="7" t="s">
        <v>27</v>
      </c>
      <c r="B19" s="55" t="s">
        <v>223</v>
      </c>
      <c r="C19" s="96" t="str">
        <f>_xlfn.XLOOKUP(Tabla46789101146[[#This Row],[Servicios del Programa:]],Tabla151[CODIGO],Tabla151[VALOR])</f>
        <v>Diagnosticos</v>
      </c>
      <c r="D19" s="14">
        <v>1</v>
      </c>
      <c r="E19" s="56" cm="1">
        <f t="array" ref="E19">IF(D19="X",(_xlfn.XLOOKUP($B19,Tabla1[SERVICIO],Tabla1[VALOR])*1),IF(D19&gt;=1,_xlfn.XLOOKUP($B19,Tabla1[SERVICIO],Tabla1[VALOR]*D19),0))</f>
        <v>43480.816890660324</v>
      </c>
      <c r="F19" s="8"/>
      <c r="G19" s="56" cm="1">
        <f t="array" ref="G19">IF(F19="X",(_xlfn.XLOOKUP($B19,Tabla1[SERVICIO],Tabla1[VALOR])*1),IF(F19&gt;=1,_xlfn.XLOOKUP($B19,Tabla1[SERVICIO],Tabla1[VALOR]*F19),0))</f>
        <v>0</v>
      </c>
      <c r="H19" s="8"/>
      <c r="I19" s="56" cm="1">
        <f t="array" ref="I19">IF(H19="X",(_xlfn.XLOOKUP($B19,Tabla1[SERVICIO],Tabla1[VALOR])*1),IF(H19&gt;=1,_xlfn.XLOOKUP($B19,Tabla1[SERVICIO],Tabla1[VALOR]*H19),0))</f>
        <v>0</v>
      </c>
      <c r="J19" s="8"/>
      <c r="K19" s="56" cm="1">
        <f t="array" ref="K19">IF(J19="X",(_xlfn.XLOOKUP($B19,Tabla1[SERVICIO],Tabla1[VALOR])*1),IF(J19&gt;=1,_xlfn.XLOOKUP($B19,Tabla1[SERVICIO],Tabla1[VALOR]*J19),0))</f>
        <v>0</v>
      </c>
      <c r="L19" s="8"/>
      <c r="M19" s="56" cm="1">
        <f t="array" ref="M19">IF(L19="X",(_xlfn.XLOOKUP($B19,Tabla1[SERVICIO],Tabla1[VALOR])*1),IF(L19&gt;=1,_xlfn.XLOOKUP($B19,Tabla1[SERVICIO],Tabla1[VALOR]*L19),0))</f>
        <v>0</v>
      </c>
      <c r="N19" s="8"/>
      <c r="O19" s="56" cm="1">
        <f t="array" ref="O19">IF(N19="X",(_xlfn.XLOOKUP($B19,Tabla1[SERVICIO],Tabla1[VALOR])*1),IF(N19&gt;=1,_xlfn.XLOOKUP($B19,Tabla1[SERVICIO],Tabla1[VALOR]*N19),0))</f>
        <v>0</v>
      </c>
      <c r="P19" s="8"/>
      <c r="Q19" s="56" cm="1">
        <f t="array" ref="Q19">IF(P19="X",(_xlfn.XLOOKUP($B19,Tabla1[SERVICIO],Tabla1[VALOR])*1),IF(P19&gt;=1,_xlfn.XLOOKUP($B19,Tabla1[SERVICIO],Tabla1[VALOR]*P19),0))</f>
        <v>0</v>
      </c>
      <c r="R19" s="8"/>
      <c r="S19" s="56" cm="1">
        <f t="array" ref="S19">IF(R19="X",(_xlfn.XLOOKUP($B19,Tabla1[SERVICIO],Tabla1[VALOR])*1),IF(R19&gt;=1,_xlfn.XLOOKUP($B19,Tabla1[SERVICIO],Tabla1[VALOR]*R19),0))</f>
        <v>0</v>
      </c>
      <c r="T19" s="8"/>
      <c r="U19" s="56" cm="1">
        <f t="array" ref="U19">IF(T19="X",(_xlfn.XLOOKUP($B19,Tabla1[SERVICIO],Tabla1[VALOR])*1),IF(T19&gt;=1,_xlfn.XLOOKUP($B19,Tabla1[SERVICIO],Tabla1[VALOR]*T19),0))</f>
        <v>0</v>
      </c>
      <c r="V19" s="8"/>
      <c r="W19" s="56" cm="1">
        <f t="array" ref="W19">IF(V19="X",(_xlfn.XLOOKUP($B19,Tabla1[SERVICIO],Tabla1[VALOR])*1),IF(V19&gt;=1,_xlfn.XLOOKUP($B19,Tabla1[SERVICIO],Tabla1[VALOR]*V19),0))</f>
        <v>0</v>
      </c>
      <c r="X19" s="8"/>
      <c r="Y19" s="56" cm="1">
        <f t="array" ref="Y19">IF(X19="X",(_xlfn.XLOOKUP($B19,Tabla1[SERVICIO],Tabla1[VALOR])*1),IF(X19&gt;=1,_xlfn.XLOOKUP($B19,Tabla1[SERVICIO],Tabla1[VALOR]*X19),0))</f>
        <v>0</v>
      </c>
      <c r="Z19" s="14"/>
      <c r="AA19" s="56" cm="1">
        <f t="array" ref="AA19">IF(Z19="X",(_xlfn.XLOOKUP($B19,Tabla1[SERVICIO],Tabla1[VALOR])*1),IF(Z19&gt;=1,_xlfn.XLOOKUP($B19,Tabla1[SERVICIO],Tabla1[VALOR]*Z19),0))</f>
        <v>0</v>
      </c>
      <c r="AB19" s="168">
        <f t="shared" si="0"/>
        <v>43480.816890660324</v>
      </c>
      <c r="AC19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9" s="37" t="s">
        <v>319</v>
      </c>
      <c r="AE19" s="127">
        <v>0.39655172413793105</v>
      </c>
      <c r="AF19" s="121">
        <f>+Tabla46789101146[[#This Row],[% de las personas que lo usaron]]*Tabla46789101146[[#This Row],[TOTAL]]</f>
        <v>17242.392904917026</v>
      </c>
      <c r="AG19" s="246" t="s">
        <v>357</v>
      </c>
      <c r="AH19" s="246">
        <v>12</v>
      </c>
    </row>
    <row r="20" spans="1:46" x14ac:dyDescent="0.25">
      <c r="A20" s="7" t="s">
        <v>25</v>
      </c>
      <c r="B20" s="55" t="s">
        <v>226</v>
      </c>
      <c r="C20" s="96" t="str">
        <f>_xlfn.XLOOKUP(Tabla46789101146[[#This Row],[Servicios del Programa:]],Tabla151[CODIGO],Tabla151[VALOR])</f>
        <v>Diagnosticos</v>
      </c>
      <c r="D20" s="14">
        <v>1</v>
      </c>
      <c r="E20" s="56" cm="1">
        <f t="array" ref="E20">IF(D20="X",(_xlfn.XLOOKUP($B20,Tabla1[SERVICIO],Tabla1[VALOR])*1),IF(D20&gt;=1,_xlfn.XLOOKUP($B20,Tabla1[SERVICIO],Tabla1[VALOR]*D20),0))</f>
        <v>19392.627189167735</v>
      </c>
      <c r="F20" s="8"/>
      <c r="G20" s="56" cm="1">
        <f t="array" ref="G20">IF(F20="X",(_xlfn.XLOOKUP($B20,Tabla1[SERVICIO],Tabla1[VALOR])*1),IF(F20&gt;=1,_xlfn.XLOOKUP($B20,Tabla1[SERVICIO],Tabla1[VALOR]*F20),0))</f>
        <v>0</v>
      </c>
      <c r="H20" s="8"/>
      <c r="I20" s="56" cm="1">
        <f t="array" ref="I20">IF(H20="X",(_xlfn.XLOOKUP($B20,Tabla1[SERVICIO],Tabla1[VALOR])*1),IF(H20&gt;=1,_xlfn.XLOOKUP($B20,Tabla1[SERVICIO],Tabla1[VALOR]*H20),0))</f>
        <v>0</v>
      </c>
      <c r="J20" s="8"/>
      <c r="K20" s="56" cm="1">
        <f t="array" ref="K20">IF(J20="X",(_xlfn.XLOOKUP($B20,Tabla1[SERVICIO],Tabla1[VALOR])*1),IF(J20&gt;=1,_xlfn.XLOOKUP($B20,Tabla1[SERVICIO],Tabla1[VALOR]*J20),0))</f>
        <v>0</v>
      </c>
      <c r="L20" s="8"/>
      <c r="M20" s="56" cm="1">
        <f t="array" ref="M20">IF(L20="X",(_xlfn.XLOOKUP($B20,Tabla1[SERVICIO],Tabla1[VALOR])*1),IF(L20&gt;=1,_xlfn.XLOOKUP($B20,Tabla1[SERVICIO],Tabla1[VALOR]*L20),0))</f>
        <v>0</v>
      </c>
      <c r="N20" s="8"/>
      <c r="O20" s="56" cm="1">
        <f t="array" ref="O20">IF(N20="X",(_xlfn.XLOOKUP($B20,Tabla1[SERVICIO],Tabla1[VALOR])*1),IF(N20&gt;=1,_xlfn.XLOOKUP($B20,Tabla1[SERVICIO],Tabla1[VALOR]*N20),0))</f>
        <v>0</v>
      </c>
      <c r="P20" s="8"/>
      <c r="Q20" s="56" cm="1">
        <f t="array" ref="Q20">IF(P20="X",(_xlfn.XLOOKUP($B20,Tabla1[SERVICIO],Tabla1[VALOR])*1),IF(P20&gt;=1,_xlfn.XLOOKUP($B20,Tabla1[SERVICIO],Tabla1[VALOR]*P20),0))</f>
        <v>0</v>
      </c>
      <c r="R20" s="8"/>
      <c r="S20" s="56" cm="1">
        <f t="array" ref="S20">IF(R20="X",(_xlfn.XLOOKUP($B20,Tabla1[SERVICIO],Tabla1[VALOR])*1),IF(R20&gt;=1,_xlfn.XLOOKUP($B20,Tabla1[SERVICIO],Tabla1[VALOR]*R20),0))</f>
        <v>0</v>
      </c>
      <c r="T20" s="8"/>
      <c r="U20" s="56" cm="1">
        <f t="array" ref="U20">IF(T20="X",(_xlfn.XLOOKUP($B20,Tabla1[SERVICIO],Tabla1[VALOR])*1),IF(T20&gt;=1,_xlfn.XLOOKUP($B20,Tabla1[SERVICIO],Tabla1[VALOR]*T20),0))</f>
        <v>0</v>
      </c>
      <c r="V20" s="8"/>
      <c r="W20" s="56" cm="1">
        <f t="array" ref="W20">IF(V20="X",(_xlfn.XLOOKUP($B20,Tabla1[SERVICIO],Tabla1[VALOR])*1),IF(V20&gt;=1,_xlfn.XLOOKUP($B20,Tabla1[SERVICIO],Tabla1[VALOR]*V20),0))</f>
        <v>0</v>
      </c>
      <c r="X20" s="8"/>
      <c r="Y20" s="56" cm="1">
        <f t="array" ref="Y20">IF(X20="X",(_xlfn.XLOOKUP($B20,Tabla1[SERVICIO],Tabla1[VALOR])*1),IF(X20&gt;=1,_xlfn.XLOOKUP($B20,Tabla1[SERVICIO],Tabla1[VALOR]*X20),0))</f>
        <v>0</v>
      </c>
      <c r="Z20" s="14"/>
      <c r="AA20" s="56" cm="1">
        <f t="array" ref="AA20">IF(Z20="X",(_xlfn.XLOOKUP($B20,Tabla1[SERVICIO],Tabla1[VALOR])*1),IF(Z20&gt;=1,_xlfn.XLOOKUP($B20,Tabla1[SERVICIO],Tabla1[VALOR]*Z20),0))</f>
        <v>0</v>
      </c>
      <c r="AB20" s="168">
        <f t="shared" si="0"/>
        <v>19392.627189167735</v>
      </c>
      <c r="AC20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0" s="37" t="s">
        <v>319</v>
      </c>
      <c r="AE20" s="127">
        <v>0.22413793103448276</v>
      </c>
      <c r="AF20" s="121">
        <f>+Tabla46789101146[[#This Row],[% de las personas que lo usaron]]*Tabla46789101146[[#This Row],[TOTAL]]</f>
        <v>4346.6233355031127</v>
      </c>
      <c r="AG20" s="246" t="s">
        <v>357</v>
      </c>
      <c r="AH20" s="246">
        <v>12</v>
      </c>
    </row>
    <row r="21" spans="1:46" x14ac:dyDescent="0.25">
      <c r="A21" s="7" t="s">
        <v>42</v>
      </c>
      <c r="B21" s="55" t="s">
        <v>228</v>
      </c>
      <c r="C21" s="96" t="str">
        <f>_xlfn.XLOOKUP(Tabla46789101146[[#This Row],[Servicios del Programa:]],Tabla151[CODIGO],Tabla151[VALOR])</f>
        <v>Terapias</v>
      </c>
      <c r="D21" s="14">
        <v>1</v>
      </c>
      <c r="E21" s="56" cm="1">
        <f t="array" ref="E21">IF(D21="X",(_xlfn.XLOOKUP($B21,Tabla1[SERVICIO],Tabla1[VALOR])*1),IF(D21&gt;=1,_xlfn.XLOOKUP($B21,Tabla1[SERVICIO],Tabla1[VALOR]*D21),0))</f>
        <v>31714.220952863223</v>
      </c>
      <c r="F21" s="8"/>
      <c r="G21" s="56" cm="1">
        <f t="array" ref="G21">IF(F21="X",(_xlfn.XLOOKUP($B21,Tabla1[SERVICIO],Tabla1[VALOR])*1),IF(F21&gt;=1,_xlfn.XLOOKUP($B21,Tabla1[SERVICIO],Tabla1[VALOR]*F21),0))</f>
        <v>0</v>
      </c>
      <c r="H21" s="8"/>
      <c r="I21" s="56" cm="1">
        <f t="array" ref="I21">IF(H21="X",(_xlfn.XLOOKUP($B21,Tabla1[SERVICIO],Tabla1[VALOR])*1),IF(H21&gt;=1,_xlfn.XLOOKUP($B21,Tabla1[SERVICIO],Tabla1[VALOR]*H21),0))</f>
        <v>0</v>
      </c>
      <c r="J21" s="8"/>
      <c r="K21" s="56" cm="1">
        <f t="array" ref="K21">IF(J21="X",(_xlfn.XLOOKUP($B21,Tabla1[SERVICIO],Tabla1[VALOR])*1),IF(J21&gt;=1,_xlfn.XLOOKUP($B21,Tabla1[SERVICIO],Tabla1[VALOR]*J21),0))</f>
        <v>0</v>
      </c>
      <c r="L21" s="8"/>
      <c r="M21" s="56" cm="1">
        <f t="array" ref="M21">IF(L21="X",(_xlfn.XLOOKUP($B21,Tabla1[SERVICIO],Tabla1[VALOR])*1),IF(L21&gt;=1,_xlfn.XLOOKUP($B21,Tabla1[SERVICIO],Tabla1[VALOR]*L21),0))</f>
        <v>0</v>
      </c>
      <c r="N21" s="8"/>
      <c r="O21" s="56" cm="1">
        <f t="array" ref="O21">IF(N21="X",(_xlfn.XLOOKUP($B21,Tabla1[SERVICIO],Tabla1[VALOR])*1),IF(N21&gt;=1,_xlfn.XLOOKUP($B21,Tabla1[SERVICIO],Tabla1[VALOR]*N21),0))</f>
        <v>0</v>
      </c>
      <c r="P21" s="8"/>
      <c r="Q21" s="56" cm="1">
        <f t="array" ref="Q21">IF(P21="X",(_xlfn.XLOOKUP($B21,Tabla1[SERVICIO],Tabla1[VALOR])*1),IF(P21&gt;=1,_xlfn.XLOOKUP($B21,Tabla1[SERVICIO],Tabla1[VALOR]*P21),0))</f>
        <v>0</v>
      </c>
      <c r="R21" s="8"/>
      <c r="S21" s="56" cm="1">
        <f t="array" ref="S21">IF(R21="X",(_xlfn.XLOOKUP($B21,Tabla1[SERVICIO],Tabla1[VALOR])*1),IF(R21&gt;=1,_xlfn.XLOOKUP($B21,Tabla1[SERVICIO],Tabla1[VALOR]*R21),0))</f>
        <v>0</v>
      </c>
      <c r="T21" s="8"/>
      <c r="U21" s="56" cm="1">
        <f t="array" ref="U21">IF(T21="X",(_xlfn.XLOOKUP($B21,Tabla1[SERVICIO],Tabla1[VALOR])*1),IF(T21&gt;=1,_xlfn.XLOOKUP($B21,Tabla1[SERVICIO],Tabla1[VALOR]*T21),0))</f>
        <v>0</v>
      </c>
      <c r="V21" s="8"/>
      <c r="W21" s="56" cm="1">
        <f t="array" ref="W21">IF(V21="X",(_xlfn.XLOOKUP($B21,Tabla1[SERVICIO],Tabla1[VALOR])*1),IF(V21&gt;=1,_xlfn.XLOOKUP($B21,Tabla1[SERVICIO],Tabla1[VALOR]*V21),0))</f>
        <v>0</v>
      </c>
      <c r="X21" s="8"/>
      <c r="Y21" s="56" cm="1">
        <f t="array" ref="Y21">IF(X21="X",(_xlfn.XLOOKUP($B21,Tabla1[SERVICIO],Tabla1[VALOR])*1),IF(X21&gt;=1,_xlfn.XLOOKUP($B21,Tabla1[SERVICIO],Tabla1[VALOR]*X21),0))</f>
        <v>0</v>
      </c>
      <c r="Z21" s="14"/>
      <c r="AA21" s="56" cm="1">
        <f t="array" ref="AA21">IF(Z21="X",(_xlfn.XLOOKUP($B21,Tabla1[SERVICIO],Tabla1[VALOR])*1),IF(Z21&gt;=1,_xlfn.XLOOKUP($B21,Tabla1[SERVICIO],Tabla1[VALOR]*Z21),0))</f>
        <v>0</v>
      </c>
      <c r="AB21" s="168">
        <f>SUM(E21,G21,I21,K21+M21,O21,Q21,S21,U21,W21,Y21,AA21)</f>
        <v>31714.220952863223</v>
      </c>
      <c r="AC21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1" s="37" t="s">
        <v>319</v>
      </c>
      <c r="AE21" s="127">
        <v>1.7241379310344827E-2</v>
      </c>
      <c r="AF21" s="121">
        <f>+Tabla46789101146[[#This Row],[% de las personas que lo usaron]]*Tabla46789101146[[#This Row],[TOTAL]]</f>
        <v>546.79691298040041</v>
      </c>
      <c r="AG21" s="246" t="s">
        <v>357</v>
      </c>
      <c r="AH21" s="246">
        <v>12</v>
      </c>
    </row>
    <row r="22" spans="1:46" x14ac:dyDescent="0.25">
      <c r="A22" s="7" t="s">
        <v>44</v>
      </c>
      <c r="B22" s="55" t="s">
        <v>229</v>
      </c>
      <c r="C22" s="96" t="str">
        <f>_xlfn.XLOOKUP(Tabla46789101146[[#This Row],[Servicios del Programa:]],Tabla151[CODIGO],Tabla151[VALOR])</f>
        <v>Terapias</v>
      </c>
      <c r="D22" s="14"/>
      <c r="E22" s="56" cm="1">
        <f t="array" ref="E22">IF(D22="X",(_xlfn.XLOOKUP($B22,Tabla1[SERVICIO],Tabla1[VALOR])*1),IF(D22&gt;=1,_xlfn.XLOOKUP($B22,Tabla1[SERVICIO],Tabla1[VALOR]*D22),0))</f>
        <v>0</v>
      </c>
      <c r="F22" s="14">
        <v>1</v>
      </c>
      <c r="G22" s="56" cm="1">
        <f t="array" ref="G22">IF(F22="X",(_xlfn.XLOOKUP($B22,Tabla1[SERVICIO],Tabla1[VALOR])*1),IF(F22&gt;=1,_xlfn.XLOOKUP($B22,Tabla1[SERVICIO],Tabla1[VALOR]*F22),0))</f>
        <v>31714.220952863223</v>
      </c>
      <c r="H22" s="14"/>
      <c r="I22" s="56" cm="1">
        <f t="array" ref="I22">IF(H22="X",(_xlfn.XLOOKUP($B22,Tabla1[SERVICIO],Tabla1[VALOR])*1),IF(H22&gt;=1,_xlfn.XLOOKUP($B22,Tabla1[SERVICIO],Tabla1[VALOR]*H22),0))</f>
        <v>0</v>
      </c>
      <c r="J22" s="14"/>
      <c r="K22" s="56" cm="1">
        <f t="array" ref="K22">IF(J22="X",(_xlfn.XLOOKUP($B22,Tabla1[SERVICIO],Tabla1[VALOR])*1),IF(J22&gt;=1,_xlfn.XLOOKUP($B22,Tabla1[SERVICIO],Tabla1[VALOR]*J22),0))</f>
        <v>0</v>
      </c>
      <c r="L22" s="14"/>
      <c r="M22" s="56" cm="1">
        <f t="array" ref="M22">IF(L22="X",(_xlfn.XLOOKUP($B22,Tabla1[SERVICIO],Tabla1[VALOR])*1),IF(L22&gt;=1,_xlfn.XLOOKUP($B22,Tabla1[SERVICIO],Tabla1[VALOR]*L22),0))</f>
        <v>0</v>
      </c>
      <c r="N22" s="14"/>
      <c r="O22" s="56" cm="1">
        <f t="array" ref="O22">IF(N22="X",(_xlfn.XLOOKUP($B22,Tabla1[SERVICIO],Tabla1[VALOR])*1),IF(N22&gt;=1,_xlfn.XLOOKUP($B22,Tabla1[SERVICIO],Tabla1[VALOR]*N22),0))</f>
        <v>0</v>
      </c>
      <c r="P22" s="14"/>
      <c r="Q22" s="56" cm="1">
        <f t="array" ref="Q22">IF(P22="X",(_xlfn.XLOOKUP($B22,Tabla1[SERVICIO],Tabla1[VALOR])*1),IF(P22&gt;=1,_xlfn.XLOOKUP($B22,Tabla1[SERVICIO],Tabla1[VALOR]*P22),0))</f>
        <v>0</v>
      </c>
      <c r="R22" s="14"/>
      <c r="S22" s="56" cm="1">
        <f t="array" ref="S22">IF(R22="X",(_xlfn.XLOOKUP($B22,Tabla1[SERVICIO],Tabla1[VALOR])*1),IF(R22&gt;=1,_xlfn.XLOOKUP($B22,Tabla1[SERVICIO],Tabla1[VALOR]*R22),0))</f>
        <v>0</v>
      </c>
      <c r="T22" s="14"/>
      <c r="U22" s="56" cm="1">
        <f t="array" ref="U22">IF(T22="X",(_xlfn.XLOOKUP($B22,Tabla1[SERVICIO],Tabla1[VALOR])*1),IF(T22&gt;=1,_xlfn.XLOOKUP($B22,Tabla1[SERVICIO],Tabla1[VALOR]*T22),0))</f>
        <v>0</v>
      </c>
      <c r="V22" s="14"/>
      <c r="W22" s="56" cm="1">
        <f t="array" ref="W22">IF(V22="X",(_xlfn.XLOOKUP($B22,Tabla1[SERVICIO],Tabla1[VALOR])*1),IF(V22&gt;=1,_xlfn.XLOOKUP($B22,Tabla1[SERVICIO],Tabla1[VALOR]*V22),0))</f>
        <v>0</v>
      </c>
      <c r="X22" s="14"/>
      <c r="Y22" s="56" cm="1">
        <f t="array" ref="Y22">IF(X22="X",(_xlfn.XLOOKUP($B22,Tabla1[SERVICIO],Tabla1[VALOR])*1),IF(X22&gt;=1,_xlfn.XLOOKUP($B22,Tabla1[SERVICIO],Tabla1[VALOR]*X22),0))</f>
        <v>0</v>
      </c>
      <c r="Z22" s="14"/>
      <c r="AA22" s="56" cm="1">
        <f t="array" ref="AA22">IF(Z22="X",(_xlfn.XLOOKUP($B22,Tabla1[SERVICIO],Tabla1[VALOR])*1),IF(Z22&gt;=1,_xlfn.XLOOKUP($B22,Tabla1[SERVICIO],Tabla1[VALOR]*Z22),0))</f>
        <v>0</v>
      </c>
      <c r="AB22" s="168">
        <f t="shared" si="0"/>
        <v>31714.220952863223</v>
      </c>
      <c r="AC22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2" s="37" t="s">
        <v>319</v>
      </c>
      <c r="AE22" s="127">
        <v>0.13793103448275862</v>
      </c>
      <c r="AF22" s="121">
        <f>+Tabla46789101146[[#This Row],[% de las personas que lo usaron]]*Tabla46789101146[[#This Row],[TOTAL]]</f>
        <v>4374.3753038432033</v>
      </c>
      <c r="AG22" s="246" t="s">
        <v>357</v>
      </c>
      <c r="AH22" s="246">
        <v>12</v>
      </c>
    </row>
    <row r="23" spans="1:46" x14ac:dyDescent="0.25">
      <c r="A23" s="7" t="s">
        <v>52</v>
      </c>
      <c r="B23" s="55" t="s">
        <v>191</v>
      </c>
      <c r="C23" s="96" t="str">
        <f>_xlfn.XLOOKUP(Tabla46789101146[[#This Row],[Servicios del Programa:]],Tabla151[CODIGO],Tabla151[VALOR])</f>
        <v>Consultas</v>
      </c>
      <c r="D23" s="14">
        <v>1</v>
      </c>
      <c r="E23" s="56" cm="1">
        <f t="array" ref="E23">IF(D23="X",(_xlfn.XLOOKUP($B23,Tabla1[SERVICIO],Tabla1[VALOR])*1),IF(D23&gt;=1,_xlfn.XLOOKUP($B23,Tabla1[SERVICIO],Tabla1[VALOR]*D23),0))</f>
        <v>26897.079640267821</v>
      </c>
      <c r="F23" s="8"/>
      <c r="G23" s="56" cm="1">
        <f t="array" ref="G23">IF(F23="X",(_xlfn.XLOOKUP($B23,Tabla1[SERVICIO],Tabla1[VALOR])*1),IF(F23&gt;=1,_xlfn.XLOOKUP($B23,Tabla1[SERVICIO],Tabla1[VALOR]*F23),0))</f>
        <v>0</v>
      </c>
      <c r="H23" s="8"/>
      <c r="I23" s="56" cm="1">
        <f t="array" ref="I23">IF(H23="X",(_xlfn.XLOOKUP($B23,Tabla1[SERVICIO],Tabla1[VALOR])*1),IF(H23&gt;=1,_xlfn.XLOOKUP($B23,Tabla1[SERVICIO],Tabla1[VALOR]*H23),0))</f>
        <v>0</v>
      </c>
      <c r="J23" s="8"/>
      <c r="K23" s="56" cm="1">
        <f t="array" ref="K23">IF(J23="X",(_xlfn.XLOOKUP($B23,Tabla1[SERVICIO],Tabla1[VALOR])*1),IF(J23&gt;=1,_xlfn.XLOOKUP($B23,Tabla1[SERVICIO],Tabla1[VALOR]*J23),0))</f>
        <v>0</v>
      </c>
      <c r="L23" s="8"/>
      <c r="M23" s="56" cm="1">
        <f t="array" ref="M23">IF(L23="X",(_xlfn.XLOOKUP($B23,Tabla1[SERVICIO],Tabla1[VALOR])*1),IF(L23&gt;=1,_xlfn.XLOOKUP($B23,Tabla1[SERVICIO],Tabla1[VALOR]*L23),0))</f>
        <v>0</v>
      </c>
      <c r="N23" s="8"/>
      <c r="O23" s="56" cm="1">
        <f t="array" ref="O23">IF(N23="X",(_xlfn.XLOOKUP($B23,Tabla1[SERVICIO],Tabla1[VALOR])*1),IF(N23&gt;=1,_xlfn.XLOOKUP($B23,Tabla1[SERVICIO],Tabla1[VALOR]*N23),0))</f>
        <v>0</v>
      </c>
      <c r="P23" s="8"/>
      <c r="Q23" s="56" cm="1">
        <f t="array" ref="Q23">IF(P23="X",(_xlfn.XLOOKUP($B23,Tabla1[SERVICIO],Tabla1[VALOR])*1),IF(P23&gt;=1,_xlfn.XLOOKUP($B23,Tabla1[SERVICIO],Tabla1[VALOR]*P23),0))</f>
        <v>0</v>
      </c>
      <c r="R23" s="8"/>
      <c r="S23" s="56" cm="1">
        <f t="array" ref="S23">IF(R23="X",(_xlfn.XLOOKUP($B23,Tabla1[SERVICIO],Tabla1[VALOR])*1),IF(R23&gt;=1,_xlfn.XLOOKUP($B23,Tabla1[SERVICIO],Tabla1[VALOR]*R23),0))</f>
        <v>0</v>
      </c>
      <c r="T23" s="8"/>
      <c r="U23" s="56" cm="1">
        <f t="array" ref="U23">IF(T23="X",(_xlfn.XLOOKUP($B23,Tabla1[SERVICIO],Tabla1[VALOR])*1),IF(T23&gt;=1,_xlfn.XLOOKUP($B23,Tabla1[SERVICIO],Tabla1[VALOR]*T23),0))</f>
        <v>0</v>
      </c>
      <c r="V23" s="8"/>
      <c r="W23" s="56" cm="1">
        <f t="array" ref="W23">IF(V23="X",(_xlfn.XLOOKUP($B23,Tabla1[SERVICIO],Tabla1[VALOR])*1),IF(V23&gt;=1,_xlfn.XLOOKUP($B23,Tabla1[SERVICIO],Tabla1[VALOR]*V23),0))</f>
        <v>0</v>
      </c>
      <c r="X23" s="8"/>
      <c r="Y23" s="56" cm="1">
        <f t="array" ref="Y23">IF(X23="X",(_xlfn.XLOOKUP($B23,Tabla1[SERVICIO],Tabla1[VALOR])*1),IF(X23&gt;=1,_xlfn.XLOOKUP($B23,Tabla1[SERVICIO],Tabla1[VALOR]*X23),0))</f>
        <v>0</v>
      </c>
      <c r="Z23" s="8"/>
      <c r="AA23" s="56" cm="1">
        <f t="array" ref="AA23">IF(Z23="X",(_xlfn.XLOOKUP($B23,Tabla1[SERVICIO],Tabla1[VALOR])*1),IF(Z23&gt;=1,_xlfn.XLOOKUP($B23,Tabla1[SERVICIO],Tabla1[VALOR]*Z23),0))</f>
        <v>0</v>
      </c>
      <c r="AB23" s="168">
        <f t="shared" si="0"/>
        <v>26897.079640267821</v>
      </c>
      <c r="AC23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3" s="37" t="s">
        <v>319</v>
      </c>
      <c r="AE23" s="127">
        <v>0.15517241379310345</v>
      </c>
      <c r="AF23" s="121">
        <f>+Tabla46789101146[[#This Row],[% de las personas que lo usaron]]*Tabla46789101146[[#This Row],[TOTAL]]</f>
        <v>4173.6847717656965</v>
      </c>
      <c r="AG23" s="246" t="s">
        <v>357</v>
      </c>
      <c r="AH23" s="246">
        <v>12</v>
      </c>
    </row>
    <row r="24" spans="1:46" x14ac:dyDescent="0.25">
      <c r="A24" s="7" t="s">
        <v>53</v>
      </c>
      <c r="B24" s="55" t="s">
        <v>231</v>
      </c>
      <c r="C24" s="96" t="str">
        <f>_xlfn.XLOOKUP(Tabla46789101146[[#This Row],[Servicios del Programa:]],Tabla151[CODIGO],Tabla151[VALOR])</f>
        <v>Consultas</v>
      </c>
      <c r="D24" s="14">
        <v>1</v>
      </c>
      <c r="E24" s="56" cm="1">
        <f t="array" ref="E24">IF(D24="X",(_xlfn.XLOOKUP($B24,Tabla1[SERVICIO],Tabla1[VALOR])*1),IF(D24&gt;=1,_xlfn.XLOOKUP($B24,Tabla1[SERVICIO],Tabla1[VALOR]*D24),0))</f>
        <v>26897.079640267817</v>
      </c>
      <c r="F24" s="14"/>
      <c r="G24" s="56" cm="1">
        <f t="array" ref="G24">IF(F24="X",(_xlfn.XLOOKUP($B24,Tabla1[SERVICIO],Tabla1[VALOR])*1),IF(F24&gt;=1,_xlfn.XLOOKUP($B24,Tabla1[SERVICIO],Tabla1[VALOR]*F24),0))</f>
        <v>0</v>
      </c>
      <c r="H24" s="14"/>
      <c r="I24" s="56" cm="1">
        <f t="array" ref="I24">IF(H24="X",(_xlfn.XLOOKUP($B24,Tabla1[SERVICIO],Tabla1[VALOR])*1),IF(H24&gt;=1,_xlfn.XLOOKUP($B24,Tabla1[SERVICIO],Tabla1[VALOR]*H24),0))</f>
        <v>0</v>
      </c>
      <c r="J24" s="14"/>
      <c r="K24" s="56" cm="1">
        <f t="array" ref="K24">IF(J24="X",(_xlfn.XLOOKUP($B24,Tabla1[SERVICIO],Tabla1[VALOR])*1),IF(J24&gt;=1,_xlfn.XLOOKUP($B24,Tabla1[SERVICIO],Tabla1[VALOR]*J24),0))</f>
        <v>0</v>
      </c>
      <c r="L24" s="14"/>
      <c r="M24" s="56" cm="1">
        <f t="array" ref="M24">IF(L24="X",(_xlfn.XLOOKUP($B24,Tabla1[SERVICIO],Tabla1[VALOR])*1),IF(L24&gt;=1,_xlfn.XLOOKUP($B24,Tabla1[SERVICIO],Tabla1[VALOR]*L24),0))</f>
        <v>0</v>
      </c>
      <c r="N24" s="14"/>
      <c r="O24" s="56" cm="1">
        <f t="array" ref="O24">IF(N24="X",(_xlfn.XLOOKUP($B24,Tabla1[SERVICIO],Tabla1[VALOR])*1),IF(N24&gt;=1,_xlfn.XLOOKUP($B24,Tabla1[SERVICIO],Tabla1[VALOR]*N24),0))</f>
        <v>0</v>
      </c>
      <c r="P24" s="14"/>
      <c r="Q24" s="56" cm="1">
        <f t="array" ref="Q24">IF(P24="X",(_xlfn.XLOOKUP($B24,Tabla1[SERVICIO],Tabla1[VALOR])*1),IF(P24&gt;=1,_xlfn.XLOOKUP($B24,Tabla1[SERVICIO],Tabla1[VALOR]*P24),0))</f>
        <v>0</v>
      </c>
      <c r="R24" s="14"/>
      <c r="S24" s="56" cm="1">
        <f t="array" ref="S24">IF(R24="X",(_xlfn.XLOOKUP($B24,Tabla1[SERVICIO],Tabla1[VALOR])*1),IF(R24&gt;=1,_xlfn.XLOOKUP($B24,Tabla1[SERVICIO],Tabla1[VALOR]*R24),0))</f>
        <v>0</v>
      </c>
      <c r="T24" s="14"/>
      <c r="U24" s="56" cm="1">
        <f t="array" ref="U24">IF(T24="X",(_xlfn.XLOOKUP($B24,Tabla1[SERVICIO],Tabla1[VALOR])*1),IF(T24&gt;=1,_xlfn.XLOOKUP($B24,Tabla1[SERVICIO],Tabla1[VALOR]*T24),0))</f>
        <v>0</v>
      </c>
      <c r="V24" s="14"/>
      <c r="W24" s="56" cm="1">
        <f t="array" ref="W24">IF(V24="X",(_xlfn.XLOOKUP($B24,Tabla1[SERVICIO],Tabla1[VALOR])*1),IF(V24&gt;=1,_xlfn.XLOOKUP($B24,Tabla1[SERVICIO],Tabla1[VALOR]*V24),0))</f>
        <v>0</v>
      </c>
      <c r="X24" s="14"/>
      <c r="Y24" s="56" cm="1">
        <f t="array" ref="Y24">IF(X24="X",(_xlfn.XLOOKUP($B24,Tabla1[SERVICIO],Tabla1[VALOR])*1),IF(X24&gt;=1,_xlfn.XLOOKUP($B24,Tabla1[SERVICIO],Tabla1[VALOR]*X24),0))</f>
        <v>0</v>
      </c>
      <c r="Z24" s="14"/>
      <c r="AA24" s="56" cm="1">
        <f t="array" ref="AA24">IF(Z24="X",(_xlfn.XLOOKUP($B24,Tabla1[SERVICIO],Tabla1[VALOR])*1),IF(Z24&gt;=1,_xlfn.XLOOKUP($B24,Tabla1[SERVICIO],Tabla1[VALOR]*Z24),0))</f>
        <v>0</v>
      </c>
      <c r="AB24" s="168">
        <f t="shared" si="0"/>
        <v>26897.079640267817</v>
      </c>
      <c r="AC24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4" s="122" t="s">
        <v>318</v>
      </c>
      <c r="AE24" s="127">
        <v>1</v>
      </c>
      <c r="AF24" s="121">
        <f>+Tabla46789101146[[#This Row],[% de las personas que lo usaron]]*Tabla46789101146[[#This Row],[TOTAL]]</f>
        <v>26897.079640267817</v>
      </c>
      <c r="AG24" s="246" t="s">
        <v>357</v>
      </c>
      <c r="AH24" s="246">
        <v>12</v>
      </c>
    </row>
    <row r="25" spans="1:46" x14ac:dyDescent="0.25">
      <c r="A25" s="7" t="s">
        <v>30</v>
      </c>
      <c r="B25" s="55" t="s">
        <v>31</v>
      </c>
      <c r="C25" s="96" t="str">
        <f>_xlfn.XLOOKUP(Tabla46789101146[[#This Row],[Servicios del Programa:]],Tabla151[CODIGO],Tabla151[VALOR])</f>
        <v>Gestion y seguimiento</v>
      </c>
      <c r="D25" s="8"/>
      <c r="E25" s="56" cm="1">
        <f t="array" ref="E25">IF(D25="X",(_xlfn.XLOOKUP($B25,Tabla1[SERVICIO],Tabla1[VALOR])*1),IF(D25&gt;=1,_xlfn.XLOOKUP($B25,Tabla1[SERVICIO],Tabla1[VALOR]*D25),0))</f>
        <v>0</v>
      </c>
      <c r="F25" s="8"/>
      <c r="G25" s="56" cm="1">
        <f t="array" ref="G25">IF(F25="X",(_xlfn.XLOOKUP($B25,Tabla1[SERVICIO],Tabla1[VALOR])*1),IF(F25&gt;=1,_xlfn.XLOOKUP($B25,Tabla1[SERVICIO],Tabla1[VALOR]*F25),0))</f>
        <v>0</v>
      </c>
      <c r="H25" s="8"/>
      <c r="I25" s="56" cm="1">
        <f t="array" ref="I25">IF(H25="X",(_xlfn.XLOOKUP($B25,Tabla1[SERVICIO],Tabla1[VALOR])*1),IF(H25&gt;=1,_xlfn.XLOOKUP($B25,Tabla1[SERVICIO],Tabla1[VALOR]*H25),0))</f>
        <v>0</v>
      </c>
      <c r="J25" s="8"/>
      <c r="K25" s="56" cm="1">
        <f t="array" ref="K25">IF(J25="X",(_xlfn.XLOOKUP($B25,Tabla1[SERVICIO],Tabla1[VALOR])*1),IF(J25&gt;=1,_xlfn.XLOOKUP($B25,Tabla1[SERVICIO],Tabla1[VALOR]*J25),0))</f>
        <v>0</v>
      </c>
      <c r="L25" s="8"/>
      <c r="M25" s="56" cm="1">
        <f t="array" ref="M25">IF(L25="X",(_xlfn.XLOOKUP($B25,Tabla1[SERVICIO],Tabla1[VALOR])*1),IF(L25&gt;=1,_xlfn.XLOOKUP($B25,Tabla1[SERVICIO],Tabla1[VALOR]*L25),0))</f>
        <v>0</v>
      </c>
      <c r="N25" s="8"/>
      <c r="O25" s="56" cm="1">
        <f t="array" ref="O25">IF(N25="X",(_xlfn.XLOOKUP($B25,Tabla1[SERVICIO],Tabla1[VALOR])*1),IF(N25&gt;=1,_xlfn.XLOOKUP($B25,Tabla1[SERVICIO],Tabla1[VALOR]*N25),0))</f>
        <v>0</v>
      </c>
      <c r="P25" s="8"/>
      <c r="Q25" s="56" cm="1">
        <f t="array" ref="Q25">IF(P25="X",(_xlfn.XLOOKUP($B25,Tabla1[SERVICIO],Tabla1[VALOR])*1),IF(P25&gt;=1,_xlfn.XLOOKUP($B25,Tabla1[SERVICIO],Tabla1[VALOR]*P25),0))</f>
        <v>0</v>
      </c>
      <c r="R25" s="8"/>
      <c r="S25" s="56" cm="1">
        <f t="array" ref="S25">IF(R25="X",(_xlfn.XLOOKUP($B25,Tabla1[SERVICIO],Tabla1[VALOR])*1),IF(R25&gt;=1,_xlfn.XLOOKUP($B25,Tabla1[SERVICIO],Tabla1[VALOR]*R25),0))</f>
        <v>0</v>
      </c>
      <c r="T25" s="8"/>
      <c r="U25" s="56" cm="1">
        <f t="array" ref="U25">IF(T25="X",(_xlfn.XLOOKUP($B25,Tabla1[SERVICIO],Tabla1[VALOR])*1),IF(T25&gt;=1,_xlfn.XLOOKUP($B25,Tabla1[SERVICIO],Tabla1[VALOR]*T25),0))</f>
        <v>0</v>
      </c>
      <c r="V25" s="8"/>
      <c r="W25" s="56" cm="1">
        <f t="array" ref="W25">IF(V25="X",(_xlfn.XLOOKUP($B25,Tabla1[SERVICIO],Tabla1[VALOR])*1),IF(V25&gt;=1,_xlfn.XLOOKUP($B25,Tabla1[SERVICIO],Tabla1[VALOR]*V25),0))</f>
        <v>0</v>
      </c>
      <c r="X25" s="8"/>
      <c r="Y25" s="56" cm="1">
        <f t="array" ref="Y25">IF(X25="X",(_xlfn.XLOOKUP($B25,Tabla1[SERVICIO],Tabla1[VALOR])*1),IF(X25&gt;=1,_xlfn.XLOOKUP($B25,Tabla1[SERVICIO],Tabla1[VALOR]*X25),0))</f>
        <v>0</v>
      </c>
      <c r="Z25" s="14">
        <v>1</v>
      </c>
      <c r="AA25" s="56" cm="1">
        <f t="array" ref="AA25">IF(Z25="X",(_xlfn.XLOOKUP($B25,Tabla1[SERVICIO],Tabla1[VALOR])*1),IF(Z25&gt;=1,_xlfn.XLOOKUP($B25,Tabla1[SERVICIO],Tabla1[VALOR]*Z25),0))</f>
        <v>12908.291642219636</v>
      </c>
      <c r="AB25" s="168">
        <f t="shared" si="0"/>
        <v>12908.291642219636</v>
      </c>
      <c r="AC25" s="153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5" s="122" t="s">
        <v>318</v>
      </c>
      <c r="AE25" s="127">
        <v>1</v>
      </c>
      <c r="AF25" s="121">
        <f>+Tabla46789101146[[#This Row],[% de las personas que lo usaron]]*Tabla46789101146[[#This Row],[TOTAL]]</f>
        <v>12908.291642219636</v>
      </c>
      <c r="AG25" s="246" t="s">
        <v>357</v>
      </c>
      <c r="AH25" s="246">
        <v>12</v>
      </c>
    </row>
    <row r="26" spans="1:46" x14ac:dyDescent="0.25">
      <c r="A26" s="9"/>
      <c r="B26" s="10" t="s">
        <v>247</v>
      </c>
      <c r="C26" s="75"/>
      <c r="D26" s="16">
        <f t="shared" ref="D26:AA26" si="1">SUBTOTAL(109,D3:D25)</f>
        <v>17</v>
      </c>
      <c r="E26" s="72">
        <f t="shared" si="1"/>
        <v>509983.76966944709</v>
      </c>
      <c r="F26" s="10">
        <f t="shared" si="1"/>
        <v>3</v>
      </c>
      <c r="G26" s="72">
        <f t="shared" si="1"/>
        <v>60092.495620802321</v>
      </c>
      <c r="H26" s="10">
        <f t="shared" si="1"/>
        <v>2</v>
      </c>
      <c r="I26" s="72">
        <f t="shared" si="1"/>
        <v>28378.274667939098</v>
      </c>
      <c r="J26" s="10">
        <f t="shared" si="1"/>
        <v>2</v>
      </c>
      <c r="K26" s="72">
        <f t="shared" si="1"/>
        <v>28378.274667939098</v>
      </c>
      <c r="L26" s="10">
        <f t="shared" si="1"/>
        <v>2</v>
      </c>
      <c r="M26" s="72">
        <f t="shared" si="1"/>
        <v>28378.274667939098</v>
      </c>
      <c r="N26" s="10">
        <f t="shared" si="1"/>
        <v>4</v>
      </c>
      <c r="O26" s="72">
        <f t="shared" si="1"/>
        <v>70845.551325863213</v>
      </c>
      <c r="P26" s="10">
        <f t="shared" si="1"/>
        <v>2</v>
      </c>
      <c r="Q26" s="72">
        <f t="shared" si="1"/>
        <v>28378.274667939098</v>
      </c>
      <c r="R26" s="10">
        <f t="shared" si="1"/>
        <v>2</v>
      </c>
      <c r="S26" s="72">
        <f t="shared" si="1"/>
        <v>28378.274667939098</v>
      </c>
      <c r="T26" s="10">
        <f t="shared" si="1"/>
        <v>2</v>
      </c>
      <c r="U26" s="72">
        <f t="shared" si="1"/>
        <v>28378.274667939098</v>
      </c>
      <c r="V26" s="10">
        <f t="shared" si="1"/>
        <v>2</v>
      </c>
      <c r="W26" s="72">
        <f t="shared" si="1"/>
        <v>28378.274667939098</v>
      </c>
      <c r="X26" s="10">
        <f t="shared" si="1"/>
        <v>2</v>
      </c>
      <c r="Y26" s="72">
        <f t="shared" si="1"/>
        <v>28378.274667939098</v>
      </c>
      <c r="Z26" s="16">
        <f t="shared" si="1"/>
        <v>7</v>
      </c>
      <c r="AA26" s="87">
        <f t="shared" si="1"/>
        <v>122655.62845253016</v>
      </c>
      <c r="AB26" s="125">
        <f>SUBTOTAL(109,Tabla46789101146[TOTAL])</f>
        <v>990603.64241215552</v>
      </c>
      <c r="AC26" s="237">
        <f>SUBTOTAL(109,Tabla46789101146[TOTAL SERVICIOS])</f>
        <v>47</v>
      </c>
      <c r="AD26" s="37"/>
      <c r="AE26" s="95"/>
      <c r="AF26" s="125">
        <f>SUBTOTAL(109,Tabla46789101146[VALOR COSTO])</f>
        <v>674015.56967324426</v>
      </c>
      <c r="AG26" s="95"/>
      <c r="AH26" s="95"/>
    </row>
    <row r="30" spans="1:46" ht="33.75" customHeight="1" x14ac:dyDescent="0.25">
      <c r="A30" s="44" t="s">
        <v>219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</row>
    <row r="31" spans="1:46" ht="26.25" x14ac:dyDescent="0.25">
      <c r="A31" s="20" t="s">
        <v>0</v>
      </c>
      <c r="B31" s="17" t="s">
        <v>218</v>
      </c>
      <c r="C31" s="183" t="s">
        <v>347</v>
      </c>
      <c r="D31" s="18" t="s">
        <v>56</v>
      </c>
      <c r="E31" s="18" t="s">
        <v>303</v>
      </c>
      <c r="F31" s="18" t="s">
        <v>57</v>
      </c>
      <c r="G31" s="18" t="s">
        <v>293</v>
      </c>
      <c r="H31" s="18" t="s">
        <v>58</v>
      </c>
      <c r="I31" s="18" t="s">
        <v>294</v>
      </c>
      <c r="J31" s="18" t="s">
        <v>59</v>
      </c>
      <c r="K31" s="18" t="s">
        <v>295</v>
      </c>
      <c r="L31" s="18" t="s">
        <v>60</v>
      </c>
      <c r="M31" s="18" t="s">
        <v>296</v>
      </c>
      <c r="N31" s="18" t="s">
        <v>61</v>
      </c>
      <c r="O31" s="18" t="s">
        <v>297</v>
      </c>
      <c r="P31" s="18" t="s">
        <v>62</v>
      </c>
      <c r="Q31" s="18" t="s">
        <v>298</v>
      </c>
      <c r="R31" s="18" t="s">
        <v>63</v>
      </c>
      <c r="S31" s="18" t="s">
        <v>299</v>
      </c>
      <c r="T31" s="18" t="s">
        <v>64</v>
      </c>
      <c r="U31" s="18" t="s">
        <v>300</v>
      </c>
      <c r="V31" s="18" t="s">
        <v>65</v>
      </c>
      <c r="W31" s="18" t="s">
        <v>301</v>
      </c>
      <c r="X31" s="18" t="s">
        <v>66</v>
      </c>
      <c r="Y31" s="18" t="s">
        <v>302</v>
      </c>
      <c r="Z31" s="18" t="s">
        <v>67</v>
      </c>
      <c r="AA31" s="18" t="s">
        <v>304</v>
      </c>
      <c r="AB31" s="18" t="s">
        <v>68</v>
      </c>
      <c r="AC31" s="94" t="s">
        <v>305</v>
      </c>
      <c r="AD31" s="94" t="s">
        <v>69</v>
      </c>
      <c r="AE31" s="94" t="s">
        <v>306</v>
      </c>
      <c r="AF31" s="94" t="s">
        <v>70</v>
      </c>
      <c r="AG31" s="94" t="s">
        <v>307</v>
      </c>
      <c r="AH31" s="94" t="s">
        <v>71</v>
      </c>
      <c r="AI31" s="94" t="s">
        <v>308</v>
      </c>
      <c r="AJ31" s="94" t="s">
        <v>72</v>
      </c>
      <c r="AK31" s="178" t="s">
        <v>309</v>
      </c>
      <c r="AL31" s="178" t="s">
        <v>73</v>
      </c>
      <c r="AM31" s="105" t="s">
        <v>310</v>
      </c>
      <c r="AN31" s="105" t="s">
        <v>312</v>
      </c>
      <c r="AO31" s="105" t="s">
        <v>313</v>
      </c>
      <c r="AP31" s="155" t="s">
        <v>187</v>
      </c>
      <c r="AQ31" s="105" t="s">
        <v>316</v>
      </c>
      <c r="AR31" s="105" t="s">
        <v>317</v>
      </c>
      <c r="AS31" s="66" t="s">
        <v>348</v>
      </c>
      <c r="AT31" s="165" t="s">
        <v>406</v>
      </c>
    </row>
    <row r="32" spans="1:46" x14ac:dyDescent="0.25">
      <c r="A32" s="7" t="s">
        <v>13</v>
      </c>
      <c r="B32" s="8" t="s">
        <v>14</v>
      </c>
      <c r="C32" s="96" t="str">
        <f>_xlfn.XLOOKUP(Tabla4678910112247[[#This Row],[Servicios del Programa:]],Tabla151[CODIGO],Tabla151[VALOR])</f>
        <v>Gestion y seguimiento</v>
      </c>
      <c r="D32" s="14">
        <v>1</v>
      </c>
      <c r="E32" s="56" cm="1">
        <f t="array" ref="E32">IF(D32="X",(_xlfn.XLOOKUP($B32,Tabla1[SERVICIO],Tabla1[VALOR])*1),IF(D32&gt;=1,_xlfn.XLOOKUP($B32,Tabla1[SERVICIO],Tabla1[VALOR]*D32),0))</f>
        <v>20552.755657371155</v>
      </c>
      <c r="F32" s="8"/>
      <c r="G32" s="56" cm="1">
        <f t="array" ref="G32">IF(F32="X",(_xlfn.XLOOKUP($B32,Tabla1[SERVICIO],Tabla1[VALOR])*1),IF(F32&gt;=1,_xlfn.XLOOKUP($B32,Tabla1[SERVICIO],Tabla1[VALOR]*F32),0))</f>
        <v>0</v>
      </c>
      <c r="H32" s="8"/>
      <c r="I32" s="56" cm="1">
        <f t="array" ref="I32">IF(H32="X",(_xlfn.XLOOKUP($B32,Tabla1[SERVICIO],Tabla1[VALOR])*1),IF(H32&gt;=1,_xlfn.XLOOKUP($B32,Tabla1[SERVICIO],Tabla1[VALOR]*H32),0))</f>
        <v>0</v>
      </c>
      <c r="J32" s="8"/>
      <c r="K32" s="56" cm="1">
        <f t="array" ref="K32">IF(J32="X",(_xlfn.XLOOKUP($B32,Tabla1[SERVICIO],Tabla1[VALOR])*1),IF(J32&gt;=1,_xlfn.XLOOKUP($B32,Tabla1[SERVICIO],Tabla1[VALOR]*J32),0))</f>
        <v>0</v>
      </c>
      <c r="L32" s="8"/>
      <c r="M32" s="56" cm="1">
        <f t="array" ref="M32">IF(L32="X",(_xlfn.XLOOKUP($B32,Tabla1[SERVICIO],Tabla1[VALOR])*1),IF(L32&gt;=1,_xlfn.XLOOKUP($B32,Tabla1[SERVICIO],Tabla1[VALOR]*L32),0))</f>
        <v>0</v>
      </c>
      <c r="N32" s="8"/>
      <c r="O32" s="56" cm="1">
        <f t="array" ref="O32">IF(N32="X",(_xlfn.XLOOKUP($B32,Tabla1[SERVICIO],Tabla1[VALOR])*1),IF(N32&gt;=1,_xlfn.XLOOKUP($B32,Tabla1[SERVICIO],Tabla1[VALOR]*N32),0))</f>
        <v>0</v>
      </c>
      <c r="P32" s="8"/>
      <c r="Q32" s="56" cm="1">
        <f t="array" ref="Q32">IF(P32="X",(_xlfn.XLOOKUP($B32,Tabla1[SERVICIO],Tabla1[VALOR])*1),IF(P32&gt;=1,_xlfn.XLOOKUP($B32,Tabla1[SERVICIO],Tabla1[VALOR]*P32),0))</f>
        <v>0</v>
      </c>
      <c r="R32" s="8"/>
      <c r="S32" s="56" cm="1">
        <f t="array" ref="S32">IF(R32="X",(_xlfn.XLOOKUP($B32,Tabla1[SERVICIO],Tabla1[VALOR])*1),IF(R32&gt;=1,_xlfn.XLOOKUP($B32,Tabla1[SERVICIO],Tabla1[VALOR]*R32),0))</f>
        <v>0</v>
      </c>
      <c r="T32" s="8"/>
      <c r="U32" s="56" cm="1">
        <f t="array" ref="U32">IF(T32="X",(_xlfn.XLOOKUP($B32,Tabla1[SERVICIO],Tabla1[VALOR])*1),IF(T32&gt;=1,_xlfn.XLOOKUP($B32,Tabla1[SERVICIO],Tabla1[VALOR]*T32),0))</f>
        <v>0</v>
      </c>
      <c r="V32" s="8"/>
      <c r="W32" s="56" cm="1">
        <f t="array" ref="W32">IF(V32="X",(_xlfn.XLOOKUP($B32,Tabla1[SERVICIO],Tabla1[VALOR])*1),IF(V32&gt;=1,_xlfn.XLOOKUP($B32,Tabla1[SERVICIO],Tabla1[VALOR]*V32),0))</f>
        <v>0</v>
      </c>
      <c r="X32" s="8"/>
      <c r="Y32" s="56" cm="1">
        <f t="array" ref="Y32">IF(X32="X",(_xlfn.XLOOKUP($B32,Tabla1[SERVICIO],Tabla1[VALOR])*1),IF(X32&gt;=1,_xlfn.XLOOKUP($B32,Tabla1[SERVICIO],Tabla1[VALOR]*X32),0))</f>
        <v>0</v>
      </c>
      <c r="Z32" s="8"/>
      <c r="AA32" s="56" cm="1">
        <f t="array" ref="AA32">IF(Z32="X",(_xlfn.XLOOKUP($B32,Tabla1[SERVICIO],Tabla1[VALOR])*1),IF(Z32&gt;=1,_xlfn.XLOOKUP($B32,Tabla1[SERVICIO],Tabla1[VALOR]*Z32),0))</f>
        <v>0</v>
      </c>
      <c r="AB32" s="8"/>
      <c r="AC32" s="56" cm="1">
        <f t="array" ref="AC32">IF(AB32="X",(_xlfn.XLOOKUP($B32,Tabla1[SERVICIO],Tabla1[VALOR])*1),IF(AB32&gt;=1,_xlfn.XLOOKUP($B32,Tabla1[SERVICIO],Tabla1[VALOR]*AB32),0))</f>
        <v>0</v>
      </c>
      <c r="AD32" s="8"/>
      <c r="AE32" s="56" cm="1">
        <f t="array" ref="AE32">IF(AD32="X",(_xlfn.XLOOKUP($B32,Tabla1[SERVICIO],Tabla1[VALOR])*1),IF(AD32&gt;=1,_xlfn.XLOOKUP($B32,Tabla1[SERVICIO],Tabla1[VALOR]*AD32),0))</f>
        <v>0</v>
      </c>
      <c r="AF32" s="8"/>
      <c r="AG32" s="56" cm="1">
        <f t="array" ref="AG32">IF(AF32="X",(_xlfn.XLOOKUP($B32,Tabla1[SERVICIO],Tabla1[VALOR])*1),IF(AF32&gt;=1,_xlfn.XLOOKUP($B32,Tabla1[SERVICIO],Tabla1[VALOR]*AF32),0))</f>
        <v>0</v>
      </c>
      <c r="AH32" s="8"/>
      <c r="AI32" s="56" cm="1">
        <f t="array" ref="AI32">IF(AH32="X",(_xlfn.XLOOKUP($B32,Tabla1[SERVICIO],Tabla1[VALOR])*1),IF(AH32&gt;=1,_xlfn.XLOOKUP($B32,Tabla1[SERVICIO],Tabla1[VALOR]*AH32),0))</f>
        <v>0</v>
      </c>
      <c r="AJ32" s="8"/>
      <c r="AK32" s="56" cm="1">
        <f t="array" ref="AK32">IF(AJ32="X",(_xlfn.XLOOKUP($B32,Tabla1[SERVICIO],Tabla1[VALOR])*1),IF(AJ32&gt;=1,_xlfn.XLOOKUP($B32,Tabla1[SERVICIO],Tabla1[VALOR]*AJ32),0))</f>
        <v>0</v>
      </c>
      <c r="AL32" s="8"/>
      <c r="AM32" s="56" cm="1">
        <f t="array" ref="AM32">IF(AL32="X",(_xlfn.XLOOKUP($B32,Tabla1[SERVICIO],Tabla1[VALOR])*1),IF(AL32&gt;=1,_xlfn.XLOOKUP($B32,Tabla1[SERVICIO],Tabla1[VALOR]*AL32),0))</f>
        <v>0</v>
      </c>
      <c r="AN32" s="89">
        <f>SUM(E32,G32,I32,K32,M32,O32,Q32,S32,U32,W32+Y32,AA32,AC32,AE32,AG32,AI32,AK32,AM32)</f>
        <v>20552.755657371155</v>
      </c>
      <c r="AO32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2" s="122" t="s">
        <v>318</v>
      </c>
      <c r="AQ32" s="127">
        <v>1</v>
      </c>
      <c r="AR32" s="121">
        <f>+Tabla4678910112247[[#This Row],[MES 1723]]*Tabla4678910112247[[#This Row],[% de las personas que lo usaron]]</f>
        <v>20552.755657371155</v>
      </c>
      <c r="AS32" s="246" t="s">
        <v>357</v>
      </c>
      <c r="AT32" s="340">
        <v>18</v>
      </c>
    </row>
    <row r="33" spans="1:46" x14ac:dyDescent="0.25">
      <c r="A33" s="7">
        <v>890305</v>
      </c>
      <c r="B33" s="8" t="s">
        <v>123</v>
      </c>
      <c r="C33" s="96" t="str">
        <f>_xlfn.XLOOKUP(Tabla4678910112247[[#This Row],[Servicios del Programa:]],Tabla151[CODIGO],Tabla151[VALOR])</f>
        <v>Consultas</v>
      </c>
      <c r="D33" s="14">
        <v>1</v>
      </c>
      <c r="E33" s="56" cm="1">
        <f t="array" ref="E33">IF(D33="X",(_xlfn.XLOOKUP($B33,Tabla1[SERVICIO],Tabla1[VALOR])*1),IF(D33&gt;=1,_xlfn.XLOOKUP($B33,Tabla1[SERVICIO],Tabla1[VALOR]*D33),0))</f>
        <v>21014.396674037816</v>
      </c>
      <c r="F33" s="8"/>
      <c r="G33" s="56" cm="1">
        <f t="array" ref="G33">IF(F33="X",(_xlfn.XLOOKUP($B33,Tabla1[SERVICIO],Tabla1[VALOR])*1),IF(F33&gt;=1,_xlfn.XLOOKUP($B33,Tabla1[SERVICIO],Tabla1[VALOR]*F33),0))</f>
        <v>0</v>
      </c>
      <c r="H33" s="8"/>
      <c r="I33" s="56" cm="1">
        <f t="array" ref="I33">IF(H33="X",(_xlfn.XLOOKUP($B33,Tabla1[SERVICIO],Tabla1[VALOR])*1),IF(H33&gt;=1,_xlfn.XLOOKUP($B33,Tabla1[SERVICIO],Tabla1[VALOR]*H33),0))</f>
        <v>0</v>
      </c>
      <c r="J33" s="8"/>
      <c r="K33" s="56" cm="1">
        <f t="array" ref="K33">IF(J33="X",(_xlfn.XLOOKUP($B33,Tabla1[SERVICIO],Tabla1[VALOR])*1),IF(J33&gt;=1,_xlfn.XLOOKUP($B33,Tabla1[SERVICIO],Tabla1[VALOR]*J33),0))</f>
        <v>0</v>
      </c>
      <c r="L33" s="8"/>
      <c r="M33" s="56" cm="1">
        <f t="array" ref="M33">IF(L33="X",(_xlfn.XLOOKUP($B33,Tabla1[SERVICIO],Tabla1[VALOR])*1),IF(L33&gt;=1,_xlfn.XLOOKUP($B33,Tabla1[SERVICIO],Tabla1[VALOR]*L33),0))</f>
        <v>0</v>
      </c>
      <c r="N33" s="8"/>
      <c r="O33" s="56" cm="1">
        <f t="array" ref="O33">IF(N33="X",(_xlfn.XLOOKUP($B33,Tabla1[SERVICIO],Tabla1[VALOR])*1),IF(N33&gt;=1,_xlfn.XLOOKUP($B33,Tabla1[SERVICIO],Tabla1[VALOR]*N33),0))</f>
        <v>0</v>
      </c>
      <c r="P33" s="8"/>
      <c r="Q33" s="56" cm="1">
        <f t="array" ref="Q33">IF(P33="X",(_xlfn.XLOOKUP($B33,Tabla1[SERVICIO],Tabla1[VALOR])*1),IF(P33&gt;=1,_xlfn.XLOOKUP($B33,Tabla1[SERVICIO],Tabla1[VALOR]*P33),0))</f>
        <v>0</v>
      </c>
      <c r="R33" s="8"/>
      <c r="S33" s="56" cm="1">
        <f t="array" ref="S33">IF(R33="X",(_xlfn.XLOOKUP($B33,Tabla1[SERVICIO],Tabla1[VALOR])*1),IF(R33&gt;=1,_xlfn.XLOOKUP($B33,Tabla1[SERVICIO],Tabla1[VALOR]*R33),0))</f>
        <v>0</v>
      </c>
      <c r="T33" s="8"/>
      <c r="U33" s="56" cm="1">
        <f t="array" ref="U33">IF(T33="X",(_xlfn.XLOOKUP($B33,Tabla1[SERVICIO],Tabla1[VALOR])*1),IF(T33&gt;=1,_xlfn.XLOOKUP($B33,Tabla1[SERVICIO],Tabla1[VALOR]*T33),0))</f>
        <v>0</v>
      </c>
      <c r="V33" s="8"/>
      <c r="W33" s="56" cm="1">
        <f t="array" ref="W33">IF(V33="X",(_xlfn.XLOOKUP($B33,Tabla1[SERVICIO],Tabla1[VALOR])*1),IF(V33&gt;=1,_xlfn.XLOOKUP($B33,Tabla1[SERVICIO],Tabla1[VALOR]*V33),0))</f>
        <v>0</v>
      </c>
      <c r="X33" s="8"/>
      <c r="Y33" s="56" cm="1">
        <f t="array" ref="Y33">IF(X33="X",(_xlfn.XLOOKUP($B33,Tabla1[SERVICIO],Tabla1[VALOR])*1),IF(X33&gt;=1,_xlfn.XLOOKUP($B33,Tabla1[SERVICIO],Tabla1[VALOR]*X33),0))</f>
        <v>0</v>
      </c>
      <c r="Z33" s="8"/>
      <c r="AA33" s="56" cm="1">
        <f t="array" ref="AA33">IF(Z33="X",(_xlfn.XLOOKUP($B33,Tabla1[SERVICIO],Tabla1[VALOR])*1),IF(Z33&gt;=1,_xlfn.XLOOKUP($B33,Tabla1[SERVICIO],Tabla1[VALOR]*Z33),0))</f>
        <v>0</v>
      </c>
      <c r="AB33" s="8"/>
      <c r="AC33" s="56" cm="1">
        <f t="array" ref="AC33">IF(AB33="X",(_xlfn.XLOOKUP($B33,Tabla1[SERVICIO],Tabla1[VALOR])*1),IF(AB33&gt;=1,_xlfn.XLOOKUP($B33,Tabla1[SERVICIO],Tabla1[VALOR]*AB33),0))</f>
        <v>0</v>
      </c>
      <c r="AD33" s="8"/>
      <c r="AE33" s="56" cm="1">
        <f t="array" ref="AE33">IF(AD33="X",(_xlfn.XLOOKUP($B33,Tabla1[SERVICIO],Tabla1[VALOR])*1),IF(AD33&gt;=1,_xlfn.XLOOKUP($B33,Tabla1[SERVICIO],Tabla1[VALOR]*AD33),0))</f>
        <v>0</v>
      </c>
      <c r="AF33" s="8"/>
      <c r="AG33" s="56" cm="1">
        <f t="array" ref="AG33">IF(AF33="X",(_xlfn.XLOOKUP($B33,Tabla1[SERVICIO],Tabla1[VALOR])*1),IF(AF33&gt;=1,_xlfn.XLOOKUP($B33,Tabla1[SERVICIO],Tabla1[VALOR]*AF33),0))</f>
        <v>0</v>
      </c>
      <c r="AH33" s="8"/>
      <c r="AI33" s="56" cm="1">
        <f t="array" ref="AI33">IF(AH33="X",(_xlfn.XLOOKUP($B33,Tabla1[SERVICIO],Tabla1[VALOR])*1),IF(AH33&gt;=1,_xlfn.XLOOKUP($B33,Tabla1[SERVICIO],Tabla1[VALOR]*AH33),0))</f>
        <v>0</v>
      </c>
      <c r="AJ33" s="8"/>
      <c r="AK33" s="56" cm="1">
        <f t="array" ref="AK33">IF(AJ33="X",(_xlfn.XLOOKUP($B33,Tabla1[SERVICIO],Tabla1[VALOR])*1),IF(AJ33&gt;=1,_xlfn.XLOOKUP($B33,Tabla1[SERVICIO],Tabla1[VALOR]*AJ33),0))</f>
        <v>0</v>
      </c>
      <c r="AL33" s="8"/>
      <c r="AM33" s="56" cm="1">
        <f t="array" ref="AM33">IF(AL33="X",(_xlfn.XLOOKUP($B33,Tabla1[SERVICIO],Tabla1[VALOR])*1),IF(AL33&gt;=1,_xlfn.XLOOKUP($B33,Tabla1[SERVICIO],Tabla1[VALOR]*AL33),0))</f>
        <v>0</v>
      </c>
      <c r="AN33" s="89">
        <f t="shared" ref="AN33:AN54" si="2">SUM(E33,G33,I33,K33,M33,O33,Q33,S33,U33,W33+Y33,AA33,AC33,AE33,AG33,AI33,AK33,AM33)</f>
        <v>21014.396674037816</v>
      </c>
      <c r="AO33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3" s="122" t="s">
        <v>318</v>
      </c>
      <c r="AQ33" s="127">
        <v>1</v>
      </c>
      <c r="AR33" s="121">
        <f>+Tabla4678910112247[[#This Row],[MES 1723]]*Tabla4678910112247[[#This Row],[% de las personas que lo usaron]]</f>
        <v>21014.396674037816</v>
      </c>
      <c r="AS33" s="246" t="s">
        <v>357</v>
      </c>
      <c r="AT33" s="246">
        <v>18</v>
      </c>
    </row>
    <row r="34" spans="1:46" x14ac:dyDescent="0.25">
      <c r="A34" s="7" t="s">
        <v>98</v>
      </c>
      <c r="B34" s="8" t="s">
        <v>99</v>
      </c>
      <c r="C34" s="96" t="str">
        <f>_xlfn.XLOOKUP(Tabla4678910112247[[#This Row],[Servicios del Programa:]],Tabla151[CODIGO],Tabla151[VALOR])</f>
        <v>Consultas</v>
      </c>
      <c r="D34" s="14">
        <v>1</v>
      </c>
      <c r="E34" s="56" cm="1">
        <f t="array" ref="E34">IF(D34="X",(_xlfn.XLOOKUP($B34,Tabla1[SERVICIO],Tabla1[VALOR])*1),IF(D34&gt;=1,_xlfn.XLOOKUP($B34,Tabla1[SERVICIO],Tabla1[VALOR]*D34),0))</f>
        <v>17887.388810409495</v>
      </c>
      <c r="F34" s="8"/>
      <c r="G34" s="56" cm="1">
        <f t="array" ref="G34">IF(F34="X",(_xlfn.XLOOKUP($B34,Tabla1[SERVICIO],Tabla1[VALOR])*1),IF(F34&gt;=1,_xlfn.XLOOKUP($B34,Tabla1[SERVICIO],Tabla1[VALOR]*F34),0))</f>
        <v>0</v>
      </c>
      <c r="H34" s="8"/>
      <c r="I34" s="56" cm="1">
        <f t="array" ref="I34">IF(H34="X",(_xlfn.XLOOKUP($B34,Tabla1[SERVICIO],Tabla1[VALOR])*1),IF(H34&gt;=1,_xlfn.XLOOKUP($B34,Tabla1[SERVICIO],Tabla1[VALOR]*H34),0))</f>
        <v>0</v>
      </c>
      <c r="J34" s="8"/>
      <c r="K34" s="56" cm="1">
        <f t="array" ref="K34">IF(J34="X",(_xlfn.XLOOKUP($B34,Tabla1[SERVICIO],Tabla1[VALOR])*1),IF(J34&gt;=1,_xlfn.XLOOKUP($B34,Tabla1[SERVICIO],Tabla1[VALOR]*J34),0))</f>
        <v>0</v>
      </c>
      <c r="L34" s="8"/>
      <c r="M34" s="56" cm="1">
        <f t="array" ref="M34">IF(L34="X",(_xlfn.XLOOKUP($B34,Tabla1[SERVICIO],Tabla1[VALOR])*1),IF(L34&gt;=1,_xlfn.XLOOKUP($B34,Tabla1[SERVICIO],Tabla1[VALOR]*L34),0))</f>
        <v>0</v>
      </c>
      <c r="N34" s="8"/>
      <c r="O34" s="56" cm="1">
        <f t="array" ref="O34">IF(N34="X",(_xlfn.XLOOKUP($B34,Tabla1[SERVICIO],Tabla1[VALOR])*1),IF(N34&gt;=1,_xlfn.XLOOKUP($B34,Tabla1[SERVICIO],Tabla1[VALOR]*N34),0))</f>
        <v>0</v>
      </c>
      <c r="P34" s="8"/>
      <c r="Q34" s="56" cm="1">
        <f t="array" ref="Q34">IF(P34="X",(_xlfn.XLOOKUP($B34,Tabla1[SERVICIO],Tabla1[VALOR])*1),IF(P34&gt;=1,_xlfn.XLOOKUP($B34,Tabla1[SERVICIO],Tabla1[VALOR]*P34),0))</f>
        <v>0</v>
      </c>
      <c r="R34" s="8"/>
      <c r="S34" s="56" cm="1">
        <f t="array" ref="S34">IF(R34="X",(_xlfn.XLOOKUP($B34,Tabla1[SERVICIO],Tabla1[VALOR])*1),IF(R34&gt;=1,_xlfn.XLOOKUP($B34,Tabla1[SERVICIO],Tabla1[VALOR]*R34),0))</f>
        <v>0</v>
      </c>
      <c r="T34" s="8"/>
      <c r="U34" s="56" cm="1">
        <f t="array" ref="U34">IF(T34="X",(_xlfn.XLOOKUP($B34,Tabla1[SERVICIO],Tabla1[VALOR])*1),IF(T34&gt;=1,_xlfn.XLOOKUP($B34,Tabla1[SERVICIO],Tabla1[VALOR]*T34),0))</f>
        <v>0</v>
      </c>
      <c r="V34" s="8"/>
      <c r="W34" s="56" cm="1">
        <f t="array" ref="W34">IF(V34="X",(_xlfn.XLOOKUP($B34,Tabla1[SERVICIO],Tabla1[VALOR])*1),IF(V34&gt;=1,_xlfn.XLOOKUP($B34,Tabla1[SERVICIO],Tabla1[VALOR]*V34),0))</f>
        <v>0</v>
      </c>
      <c r="X34" s="8"/>
      <c r="Y34" s="56" cm="1">
        <f t="array" ref="Y34">IF(X34="X",(_xlfn.XLOOKUP($B34,Tabla1[SERVICIO],Tabla1[VALOR])*1),IF(X34&gt;=1,_xlfn.XLOOKUP($B34,Tabla1[SERVICIO],Tabla1[VALOR]*X34),0))</f>
        <v>0</v>
      </c>
      <c r="Z34" s="8"/>
      <c r="AA34" s="56" cm="1">
        <f t="array" ref="AA34">IF(Z34="X",(_xlfn.XLOOKUP($B34,Tabla1[SERVICIO],Tabla1[VALOR])*1),IF(Z34&gt;=1,_xlfn.XLOOKUP($B34,Tabla1[SERVICIO],Tabla1[VALOR]*Z34),0))</f>
        <v>0</v>
      </c>
      <c r="AB34" s="8"/>
      <c r="AC34" s="56" cm="1">
        <f t="array" ref="AC34">IF(AB34="X",(_xlfn.XLOOKUP($B34,Tabla1[SERVICIO],Tabla1[VALOR])*1),IF(AB34&gt;=1,_xlfn.XLOOKUP($B34,Tabla1[SERVICIO],Tabla1[VALOR]*AB34),0))</f>
        <v>0</v>
      </c>
      <c r="AD34" s="8"/>
      <c r="AE34" s="56" cm="1">
        <f t="array" ref="AE34">IF(AD34="X",(_xlfn.XLOOKUP($B34,Tabla1[SERVICIO],Tabla1[VALOR])*1),IF(AD34&gt;=1,_xlfn.XLOOKUP($B34,Tabla1[SERVICIO],Tabla1[VALOR]*AD34),0))</f>
        <v>0</v>
      </c>
      <c r="AF34" s="8"/>
      <c r="AG34" s="56" cm="1">
        <f t="array" ref="AG34">IF(AF34="X",(_xlfn.XLOOKUP($B34,Tabla1[SERVICIO],Tabla1[VALOR])*1),IF(AF34&gt;=1,_xlfn.XLOOKUP($B34,Tabla1[SERVICIO],Tabla1[VALOR]*AF34),0))</f>
        <v>0</v>
      </c>
      <c r="AH34" s="8"/>
      <c r="AI34" s="56" cm="1">
        <f t="array" ref="AI34">IF(AH34="X",(_xlfn.XLOOKUP($B34,Tabla1[SERVICIO],Tabla1[VALOR])*1),IF(AH34&gt;=1,_xlfn.XLOOKUP($B34,Tabla1[SERVICIO],Tabla1[VALOR]*AH34),0))</f>
        <v>0</v>
      </c>
      <c r="AJ34" s="8"/>
      <c r="AK34" s="56" cm="1">
        <f t="array" ref="AK34">IF(AJ34="X",(_xlfn.XLOOKUP($B34,Tabla1[SERVICIO],Tabla1[VALOR])*1),IF(AJ34&gt;=1,_xlfn.XLOOKUP($B34,Tabla1[SERVICIO],Tabla1[VALOR]*AJ34),0))</f>
        <v>0</v>
      </c>
      <c r="AL34" s="8"/>
      <c r="AM34" s="56" cm="1">
        <f t="array" ref="AM34">IF(AL34="X",(_xlfn.XLOOKUP($B34,Tabla1[SERVICIO],Tabla1[VALOR])*1),IF(AL34&gt;=1,_xlfn.XLOOKUP($B34,Tabla1[SERVICIO],Tabla1[VALOR]*AL34),0))</f>
        <v>0</v>
      </c>
      <c r="AN34" s="89">
        <f t="shared" si="2"/>
        <v>17887.388810409495</v>
      </c>
      <c r="AO34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4" s="122" t="s">
        <v>318</v>
      </c>
      <c r="AQ34" s="127">
        <v>1</v>
      </c>
      <c r="AR34" s="121">
        <f>+Tabla4678910112247[[#This Row],[MES 1723]]*Tabla4678910112247[[#This Row],[% de las personas que lo usaron]]</f>
        <v>17887.388810409495</v>
      </c>
      <c r="AS34" s="246" t="s">
        <v>357</v>
      </c>
      <c r="AT34" s="246">
        <v>18</v>
      </c>
    </row>
    <row r="35" spans="1:46" x14ac:dyDescent="0.25">
      <c r="A35" s="7" t="s">
        <v>104</v>
      </c>
      <c r="B35" s="8" t="s">
        <v>105</v>
      </c>
      <c r="C35" s="96" t="str">
        <f>_xlfn.XLOOKUP(Tabla4678910112247[[#This Row],[Servicios del Programa:]],Tabla151[CODIGO],Tabla151[VALOR])</f>
        <v>Consultas</v>
      </c>
      <c r="D35" s="14"/>
      <c r="E35" s="56" cm="1">
        <f t="array" ref="E35">IF(D35="X",(_xlfn.XLOOKUP($B35,Tabla1[SERVICIO],Tabla1[VALOR])*1),IF(D35&gt;=1,_xlfn.XLOOKUP($B35,Tabla1[SERVICIO],Tabla1[VALOR]*D35),0))</f>
        <v>0</v>
      </c>
      <c r="F35" s="8"/>
      <c r="G35" s="56" cm="1">
        <f t="array" ref="G35">IF(F35="X",(_xlfn.XLOOKUP($B35,Tabla1[SERVICIO],Tabla1[VALOR])*1),IF(F35&gt;=1,_xlfn.XLOOKUP($B35,Tabla1[SERVICIO],Tabla1[VALOR]*F35),0))</f>
        <v>0</v>
      </c>
      <c r="H35" s="8"/>
      <c r="I35" s="56" cm="1">
        <f t="array" ref="I35">IF(H35="X",(_xlfn.XLOOKUP($B35,Tabla1[SERVICIO],Tabla1[VALOR])*1),IF(H35&gt;=1,_xlfn.XLOOKUP($B35,Tabla1[SERVICIO],Tabla1[VALOR]*H35),0))</f>
        <v>0</v>
      </c>
      <c r="J35" s="8"/>
      <c r="K35" s="56" cm="1">
        <f t="array" ref="K35">IF(J35="X",(_xlfn.XLOOKUP($B35,Tabla1[SERVICIO],Tabla1[VALOR])*1),IF(J35&gt;=1,_xlfn.XLOOKUP($B35,Tabla1[SERVICIO],Tabla1[VALOR]*J35),0))</f>
        <v>0</v>
      </c>
      <c r="L35" s="8"/>
      <c r="M35" s="56" cm="1">
        <f t="array" ref="M35">IF(L35="X",(_xlfn.XLOOKUP($B35,Tabla1[SERVICIO],Tabla1[VALOR])*1),IF(L35&gt;=1,_xlfn.XLOOKUP($B35,Tabla1[SERVICIO],Tabla1[VALOR]*L35),0))</f>
        <v>0</v>
      </c>
      <c r="N35" s="14"/>
      <c r="O35" s="56" cm="1">
        <f t="array" ref="O35">IF(N35="X",(_xlfn.XLOOKUP($B35,Tabla1[SERVICIO],Tabla1[VALOR])*1),IF(N35&gt;=1,_xlfn.XLOOKUP($B35,Tabla1[SERVICIO],Tabla1[VALOR]*N35),0))</f>
        <v>0</v>
      </c>
      <c r="P35" s="8"/>
      <c r="Q35" s="56" cm="1">
        <f t="array" ref="Q35">IF(P35="X",(_xlfn.XLOOKUP($B35,Tabla1[SERVICIO],Tabla1[VALOR])*1),IF(P35&gt;=1,_xlfn.XLOOKUP($B35,Tabla1[SERVICIO],Tabla1[VALOR]*P35),0))</f>
        <v>0</v>
      </c>
      <c r="R35" s="8"/>
      <c r="S35" s="56" cm="1">
        <f t="array" ref="S35">IF(R35="X",(_xlfn.XLOOKUP($B35,Tabla1[SERVICIO],Tabla1[VALOR])*1),IF(R35&gt;=1,_xlfn.XLOOKUP($B35,Tabla1[SERVICIO],Tabla1[VALOR]*R35),0))</f>
        <v>0</v>
      </c>
      <c r="T35" s="8"/>
      <c r="U35" s="56" cm="1">
        <f t="array" ref="U35">IF(T35="X",(_xlfn.XLOOKUP($B35,Tabla1[SERVICIO],Tabla1[VALOR])*1),IF(T35&gt;=1,_xlfn.XLOOKUP($B35,Tabla1[SERVICIO],Tabla1[VALOR]*T35),0))</f>
        <v>0</v>
      </c>
      <c r="V35" s="8"/>
      <c r="W35" s="56" cm="1">
        <f t="array" ref="W35">IF(V35="X",(_xlfn.XLOOKUP($B35,Tabla1[SERVICIO],Tabla1[VALOR])*1),IF(V35&gt;=1,_xlfn.XLOOKUP($B35,Tabla1[SERVICIO],Tabla1[VALOR]*V35),0))</f>
        <v>0</v>
      </c>
      <c r="X35" s="8"/>
      <c r="Y35" s="56" cm="1">
        <f t="array" ref="Y35">IF(X35="X",(_xlfn.XLOOKUP($B35,Tabla1[SERVICIO],Tabla1[VALOR])*1),IF(X35&gt;=1,_xlfn.XLOOKUP($B35,Tabla1[SERVICIO],Tabla1[VALOR]*X35),0))</f>
        <v>0</v>
      </c>
      <c r="Z35" s="8"/>
      <c r="AA35" s="56" cm="1">
        <f t="array" ref="AA35">IF(Z35="X",(_xlfn.XLOOKUP($B35,Tabla1[SERVICIO],Tabla1[VALOR])*1),IF(Z35&gt;=1,_xlfn.XLOOKUP($B35,Tabla1[SERVICIO],Tabla1[VALOR]*Z35),0))</f>
        <v>0</v>
      </c>
      <c r="AB35" s="8"/>
      <c r="AC35" s="56" cm="1">
        <f t="array" ref="AC35">IF(AB35="X",(_xlfn.XLOOKUP($B35,Tabla1[SERVICIO],Tabla1[VALOR])*1),IF(AB35&gt;=1,_xlfn.XLOOKUP($B35,Tabla1[SERVICIO],Tabla1[VALOR]*AB35),0))</f>
        <v>0</v>
      </c>
      <c r="AD35" s="8"/>
      <c r="AE35" s="56" cm="1">
        <f t="array" ref="AE35">IF(AD35="X",(_xlfn.XLOOKUP($B35,Tabla1[SERVICIO],Tabla1[VALOR])*1),IF(AD35&gt;=1,_xlfn.XLOOKUP($B35,Tabla1[SERVICIO],Tabla1[VALOR]*AD35),0))</f>
        <v>0</v>
      </c>
      <c r="AF35" s="8"/>
      <c r="AG35" s="56" cm="1">
        <f t="array" ref="AG35">IF(AF35="X",(_xlfn.XLOOKUP($B35,Tabla1[SERVICIO],Tabla1[VALOR])*1),IF(AF35&gt;=1,_xlfn.XLOOKUP($B35,Tabla1[SERVICIO],Tabla1[VALOR]*AF35),0))</f>
        <v>0</v>
      </c>
      <c r="AH35" s="8"/>
      <c r="AI35" s="56" cm="1">
        <f t="array" ref="AI35">IF(AH35="X",(_xlfn.XLOOKUP($B35,Tabla1[SERVICIO],Tabla1[VALOR])*1),IF(AH35&gt;=1,_xlfn.XLOOKUP($B35,Tabla1[SERVICIO],Tabla1[VALOR]*AH35),0))</f>
        <v>0</v>
      </c>
      <c r="AJ35" s="8"/>
      <c r="AK35" s="56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6" cm="1">
        <f t="array" ref="AM35">IF(AL35="X",(_xlfn.XLOOKUP($B35,Tabla1[SERVICIO],Tabla1[VALOR])*1),IF(AL35&gt;=1,_xlfn.XLOOKUP($B35,Tabla1[SERVICIO],Tabla1[VALOR]*AL35),0))</f>
        <v>17887.388810409495</v>
      </c>
      <c r="AN35" s="89">
        <f t="shared" si="2"/>
        <v>17887.388810409495</v>
      </c>
      <c r="AO35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5" s="37" t="s">
        <v>319</v>
      </c>
      <c r="AQ35" s="127">
        <v>1</v>
      </c>
      <c r="AR35" s="121">
        <f>+Tabla4678910112247[[#This Row],[MES 1723]]*Tabla4678910112247[[#This Row],[% de las personas que lo usaron]]</f>
        <v>17887.388810409495</v>
      </c>
      <c r="AS35" s="246" t="s">
        <v>357</v>
      </c>
      <c r="AT35" s="246">
        <v>18</v>
      </c>
    </row>
    <row r="36" spans="1:46" x14ac:dyDescent="0.25">
      <c r="A36" s="7" t="s">
        <v>3</v>
      </c>
      <c r="B36" s="8" t="s">
        <v>4</v>
      </c>
      <c r="C36" s="96" t="str">
        <f>_xlfn.XLOOKUP(Tabla4678910112247[[#This Row],[Servicios del Programa:]],Tabla151[CODIGO],Tabla151[VALOR])</f>
        <v>Consultas</v>
      </c>
      <c r="D36" s="14">
        <v>1</v>
      </c>
      <c r="E36" s="56" cm="1">
        <f t="array" ref="E36">IF(D36="X",(_xlfn.XLOOKUP($B36,Tabla1[SERVICIO],Tabla1[VALOR])*1),IF(D36&gt;=1,_xlfn.XLOOKUP($B36,Tabla1[SERVICIO],Tabla1[VALOR]*D36),0))</f>
        <v>20406.13276336317</v>
      </c>
      <c r="F36" s="8"/>
      <c r="G36" s="56" cm="1">
        <f t="array" ref="G36">IF(F36="X",(_xlfn.XLOOKUP($B36,Tabla1[SERVICIO],Tabla1[VALOR])*1),IF(F36&gt;=1,_xlfn.XLOOKUP($B36,Tabla1[SERVICIO],Tabla1[VALOR]*F36),0))</f>
        <v>0</v>
      </c>
      <c r="H36" s="8"/>
      <c r="I36" s="56" cm="1">
        <f t="array" ref="I36">IF(H36="X",(_xlfn.XLOOKUP($B36,Tabla1[SERVICIO],Tabla1[VALOR])*1),IF(H36&gt;=1,_xlfn.XLOOKUP($B36,Tabla1[SERVICIO],Tabla1[VALOR]*H36),0))</f>
        <v>0</v>
      </c>
      <c r="J36" s="8"/>
      <c r="K36" s="56" cm="1">
        <f t="array" ref="K36">IF(J36="X",(_xlfn.XLOOKUP($B36,Tabla1[SERVICIO],Tabla1[VALOR])*1),IF(J36&gt;=1,_xlfn.XLOOKUP($B36,Tabla1[SERVICIO],Tabla1[VALOR]*J36),0))</f>
        <v>0</v>
      </c>
      <c r="L36" s="8"/>
      <c r="M36" s="56" cm="1">
        <f t="array" ref="M36">IF(L36="X",(_xlfn.XLOOKUP($B36,Tabla1[SERVICIO],Tabla1[VALOR])*1),IF(L36&gt;=1,_xlfn.XLOOKUP($B36,Tabla1[SERVICIO],Tabla1[VALOR]*L36),0))</f>
        <v>0</v>
      </c>
      <c r="N36" s="8"/>
      <c r="O36" s="56" cm="1">
        <f t="array" ref="O36">IF(N36="X",(_xlfn.XLOOKUP($B36,Tabla1[SERVICIO],Tabla1[VALOR])*1),IF(N36&gt;=1,_xlfn.XLOOKUP($B36,Tabla1[SERVICIO],Tabla1[VALOR]*N36),0))</f>
        <v>0</v>
      </c>
      <c r="P36" s="8"/>
      <c r="Q36" s="56" cm="1">
        <f t="array" ref="Q36">IF(P36="X",(_xlfn.XLOOKUP($B36,Tabla1[SERVICIO],Tabla1[VALOR])*1),IF(P36&gt;=1,_xlfn.XLOOKUP($B36,Tabla1[SERVICIO],Tabla1[VALOR]*P36),0))</f>
        <v>0</v>
      </c>
      <c r="R36" s="8"/>
      <c r="S36" s="56" cm="1">
        <f t="array" ref="S36">IF(R36="X",(_xlfn.XLOOKUP($B36,Tabla1[SERVICIO],Tabla1[VALOR])*1),IF(R36&gt;=1,_xlfn.XLOOKUP($B36,Tabla1[SERVICIO],Tabla1[VALOR]*R36),0))</f>
        <v>0</v>
      </c>
      <c r="T36" s="8"/>
      <c r="U36" s="56" cm="1">
        <f t="array" ref="U36">IF(T36="X",(_xlfn.XLOOKUP($B36,Tabla1[SERVICIO],Tabla1[VALOR])*1),IF(T36&gt;=1,_xlfn.XLOOKUP($B36,Tabla1[SERVICIO],Tabla1[VALOR]*T36),0))</f>
        <v>0</v>
      </c>
      <c r="V36" s="8"/>
      <c r="W36" s="56" cm="1">
        <f t="array" ref="W36">IF(V36="X",(_xlfn.XLOOKUP($B36,Tabla1[SERVICIO],Tabla1[VALOR])*1),IF(V36&gt;=1,_xlfn.XLOOKUP($B36,Tabla1[SERVICIO],Tabla1[VALOR]*V36),0))</f>
        <v>0</v>
      </c>
      <c r="X36" s="8"/>
      <c r="Y36" s="56" cm="1">
        <f t="array" ref="Y36">IF(X36="X",(_xlfn.XLOOKUP($B36,Tabla1[SERVICIO],Tabla1[VALOR])*1),IF(X36&gt;=1,_xlfn.XLOOKUP($B36,Tabla1[SERVICIO],Tabla1[VALOR]*X36),0))</f>
        <v>0</v>
      </c>
      <c r="Z36" s="8"/>
      <c r="AA36" s="56" cm="1">
        <f t="array" ref="AA36">IF(Z36="X",(_xlfn.XLOOKUP($B36,Tabla1[SERVICIO],Tabla1[VALOR])*1),IF(Z36&gt;=1,_xlfn.XLOOKUP($B36,Tabla1[SERVICIO],Tabla1[VALOR]*Z36),0))</f>
        <v>0</v>
      </c>
      <c r="AB36" s="8"/>
      <c r="AC36" s="56" cm="1">
        <f t="array" ref="AC36">IF(AB36="X",(_xlfn.XLOOKUP($B36,Tabla1[SERVICIO],Tabla1[VALOR])*1),IF(AB36&gt;=1,_xlfn.XLOOKUP($B36,Tabla1[SERVICIO],Tabla1[VALOR]*AB36),0))</f>
        <v>0</v>
      </c>
      <c r="AD36" s="8"/>
      <c r="AE36" s="56" cm="1">
        <f t="array" ref="AE36">IF(AD36="X",(_xlfn.XLOOKUP($B36,Tabla1[SERVICIO],Tabla1[VALOR])*1),IF(AD36&gt;=1,_xlfn.XLOOKUP($B36,Tabla1[SERVICIO],Tabla1[VALOR]*AD36),0))</f>
        <v>0</v>
      </c>
      <c r="AF36" s="8"/>
      <c r="AG36" s="56" cm="1">
        <f t="array" ref="AG36">IF(AF36="X",(_xlfn.XLOOKUP($B36,Tabla1[SERVICIO],Tabla1[VALOR])*1),IF(AF36&gt;=1,_xlfn.XLOOKUP($B36,Tabla1[SERVICIO],Tabla1[VALOR]*AF36),0))</f>
        <v>0</v>
      </c>
      <c r="AH36" s="8"/>
      <c r="AI36" s="56" cm="1">
        <f t="array" ref="AI36">IF(AH36="X",(_xlfn.XLOOKUP($B36,Tabla1[SERVICIO],Tabla1[VALOR])*1),IF(AH36&gt;=1,_xlfn.XLOOKUP($B36,Tabla1[SERVICIO],Tabla1[VALOR]*AH36),0))</f>
        <v>0</v>
      </c>
      <c r="AJ36" s="8"/>
      <c r="AK36" s="56" cm="1">
        <f t="array" ref="AK36">IF(AJ36="X",(_xlfn.XLOOKUP($B36,Tabla1[SERVICIO],Tabla1[VALOR])*1),IF(AJ36&gt;=1,_xlfn.XLOOKUP($B36,Tabla1[SERVICIO],Tabla1[VALOR]*AJ36),0))</f>
        <v>0</v>
      </c>
      <c r="AL36" s="8"/>
      <c r="AM36" s="56" cm="1">
        <f t="array" ref="AM36">IF(AL36="X",(_xlfn.XLOOKUP($B36,Tabla1[SERVICIO],Tabla1[VALOR])*1),IF(AL36&gt;=1,_xlfn.XLOOKUP($B36,Tabla1[SERVICIO],Tabla1[VALOR]*AL36),0))</f>
        <v>0</v>
      </c>
      <c r="AN36" s="89">
        <f t="shared" si="2"/>
        <v>20406.13276336317</v>
      </c>
      <c r="AO36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6" s="122" t="s">
        <v>318</v>
      </c>
      <c r="AQ36" s="127">
        <v>1</v>
      </c>
      <c r="AR36" s="121">
        <f>+Tabla4678910112247[[#This Row],[MES 1723]]*Tabla4678910112247[[#This Row],[% de las personas que lo usaron]]</f>
        <v>20406.13276336317</v>
      </c>
      <c r="AS36" s="246" t="s">
        <v>357</v>
      </c>
      <c r="AT36" s="246">
        <v>18</v>
      </c>
    </row>
    <row r="37" spans="1:46" x14ac:dyDescent="0.25">
      <c r="A37" s="7" t="s">
        <v>15</v>
      </c>
      <c r="B37" s="8" t="s">
        <v>16</v>
      </c>
      <c r="C37" s="96" t="str">
        <f>_xlfn.XLOOKUP(Tabla4678910112247[[#This Row],[Servicios del Programa:]],Tabla151[CODIGO],Tabla151[VALOR])</f>
        <v>Consultas</v>
      </c>
      <c r="D37" s="8"/>
      <c r="E37" s="56" cm="1">
        <f t="array" ref="E37">IF(D37="X",(_xlfn.XLOOKUP($B37,Tabla1[SERVICIO],Tabla1[VALOR])*1),IF(D37&gt;=1,_xlfn.XLOOKUP($B37,Tabla1[SERVICIO],Tabla1[VALOR]*D37),0))</f>
        <v>0</v>
      </c>
      <c r="F37" s="8"/>
      <c r="G37" s="56" cm="1">
        <f t="array" ref="G37">IF(F37="X",(_xlfn.XLOOKUP($B37,Tabla1[SERVICIO],Tabla1[VALOR])*1),IF(F37&gt;=1,_xlfn.XLOOKUP($B37,Tabla1[SERVICIO],Tabla1[VALOR]*F37),0))</f>
        <v>0</v>
      </c>
      <c r="H37" s="8"/>
      <c r="I37" s="56" cm="1">
        <f t="array" ref="I37">IF(H37="X",(_xlfn.XLOOKUP($B37,Tabla1[SERVICIO],Tabla1[VALOR])*1),IF(H37&gt;=1,_xlfn.XLOOKUP($B37,Tabla1[SERVICIO],Tabla1[VALOR]*H37),0))</f>
        <v>0</v>
      </c>
      <c r="J37" s="8"/>
      <c r="K37" s="56" cm="1">
        <f t="array" ref="K37">IF(J37="X",(_xlfn.XLOOKUP($B37,Tabla1[SERVICIO],Tabla1[VALOR])*1),IF(J37&gt;=1,_xlfn.XLOOKUP($B37,Tabla1[SERVICIO],Tabla1[VALOR]*J37),0))</f>
        <v>0</v>
      </c>
      <c r="L37" s="8"/>
      <c r="M37" s="56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6" cm="1">
        <f t="array" ref="O37">IF(N37="X",(_xlfn.XLOOKUP($B37,Tabla1[SERVICIO],Tabla1[VALOR])*1),IF(N37&gt;=1,_xlfn.XLOOKUP($B37,Tabla1[SERVICIO],Tabla1[VALOR]*N37),0))</f>
        <v>22052.520800552971</v>
      </c>
      <c r="P37" s="8"/>
      <c r="Q37" s="56" cm="1">
        <f t="array" ref="Q37">IF(P37="X",(_xlfn.XLOOKUP($B37,Tabla1[SERVICIO],Tabla1[VALOR])*1),IF(P37&gt;=1,_xlfn.XLOOKUP($B37,Tabla1[SERVICIO],Tabla1[VALOR]*P37),0))</f>
        <v>0</v>
      </c>
      <c r="R37" s="8"/>
      <c r="S37" s="56" cm="1">
        <f t="array" ref="S37">IF(R37="X",(_xlfn.XLOOKUP($B37,Tabla1[SERVICIO],Tabla1[VALOR])*1),IF(R37&gt;=1,_xlfn.XLOOKUP($B37,Tabla1[SERVICIO],Tabla1[VALOR]*R37),0))</f>
        <v>0</v>
      </c>
      <c r="T37" s="8"/>
      <c r="U37" s="56" cm="1">
        <f t="array" ref="U37">IF(T37="X",(_xlfn.XLOOKUP($B37,Tabla1[SERVICIO],Tabla1[VALOR])*1),IF(T37&gt;=1,_xlfn.XLOOKUP($B37,Tabla1[SERVICIO],Tabla1[VALOR]*T37),0))</f>
        <v>0</v>
      </c>
      <c r="V37" s="8"/>
      <c r="W37" s="56" cm="1">
        <f t="array" ref="W37">IF(V37="X",(_xlfn.XLOOKUP($B37,Tabla1[SERVICIO],Tabla1[VALOR])*1),IF(V37&gt;=1,_xlfn.XLOOKUP($B37,Tabla1[SERVICIO],Tabla1[VALOR]*V37),0))</f>
        <v>0</v>
      </c>
      <c r="X37" s="8"/>
      <c r="Y37" s="56" cm="1">
        <f t="array" ref="Y37">IF(X37="X",(_xlfn.XLOOKUP($B37,Tabla1[SERVICIO],Tabla1[VALOR])*1),IF(X37&gt;=1,_xlfn.XLOOKUP($B37,Tabla1[SERVICIO],Tabla1[VALOR]*X37),0))</f>
        <v>0</v>
      </c>
      <c r="Z37" s="8"/>
      <c r="AA37" s="56" cm="1">
        <f t="array" ref="AA37">IF(Z37="X",(_xlfn.XLOOKUP($B37,Tabla1[SERVICIO],Tabla1[VALOR])*1),IF(Z37&gt;=1,_xlfn.XLOOKUP($B37,Tabla1[SERVICIO],Tabla1[VALOR]*Z37),0))</f>
        <v>0</v>
      </c>
      <c r="AB37" s="8"/>
      <c r="AC37" s="56" cm="1">
        <f t="array" ref="AC37">IF(AB37="X",(_xlfn.XLOOKUP($B37,Tabla1[SERVICIO],Tabla1[VALOR])*1),IF(AB37&gt;=1,_xlfn.XLOOKUP($B37,Tabla1[SERVICIO],Tabla1[VALOR]*AB37),0))</f>
        <v>0</v>
      </c>
      <c r="AD37" s="8"/>
      <c r="AE37" s="56" cm="1">
        <f t="array" ref="AE37">IF(AD37="X",(_xlfn.XLOOKUP($B37,Tabla1[SERVICIO],Tabla1[VALOR])*1),IF(AD37&gt;=1,_xlfn.XLOOKUP($B37,Tabla1[SERVICIO],Tabla1[VALOR]*AD37),0))</f>
        <v>0</v>
      </c>
      <c r="AF37" s="8"/>
      <c r="AG37" s="56" cm="1">
        <f t="array" ref="AG37">IF(AF37="X",(_xlfn.XLOOKUP($B37,Tabla1[SERVICIO],Tabla1[VALOR])*1),IF(AF37&gt;=1,_xlfn.XLOOKUP($B37,Tabla1[SERVICIO],Tabla1[VALOR]*AF37),0))</f>
        <v>0</v>
      </c>
      <c r="AH37" s="8"/>
      <c r="AI37" s="56" cm="1">
        <f t="array" ref="AI37">IF(AH37="X",(_xlfn.XLOOKUP($B37,Tabla1[SERVICIO],Tabla1[VALOR])*1),IF(AH37&gt;=1,_xlfn.XLOOKUP($B37,Tabla1[SERVICIO],Tabla1[VALOR]*AH37),0))</f>
        <v>0</v>
      </c>
      <c r="AJ37" s="8"/>
      <c r="AK37" s="56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6" cm="1">
        <f t="array" ref="AM37">IF(AL37="X",(_xlfn.XLOOKUP($B37,Tabla1[SERVICIO],Tabla1[VALOR])*1),IF(AL37&gt;=1,_xlfn.XLOOKUP($B37,Tabla1[SERVICIO],Tabla1[VALOR]*AL37),0))</f>
        <v>22052.520800552971</v>
      </c>
      <c r="AN37" s="89">
        <f t="shared" si="2"/>
        <v>44105.041601105942</v>
      </c>
      <c r="AO37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2</v>
      </c>
      <c r="AP37" s="122" t="s">
        <v>318</v>
      </c>
      <c r="AQ37" s="127">
        <v>1</v>
      </c>
      <c r="AR37" s="121">
        <f>+Tabla4678910112247[[#This Row],[MES 1723]]*Tabla4678910112247[[#This Row],[% de las personas que lo usaron]]</f>
        <v>44105.041601105942</v>
      </c>
      <c r="AS37" s="246" t="s">
        <v>357</v>
      </c>
      <c r="AT37" s="246">
        <v>18</v>
      </c>
    </row>
    <row r="38" spans="1:46" x14ac:dyDescent="0.25">
      <c r="A38" s="7" t="s">
        <v>5</v>
      </c>
      <c r="B38" s="8" t="s">
        <v>6</v>
      </c>
      <c r="C38" s="96" t="str">
        <f>_xlfn.XLOOKUP(Tabla4678910112247[[#This Row],[Servicios del Programa:]],Tabla151[CODIGO],Tabla151[VALOR])</f>
        <v>Consultas</v>
      </c>
      <c r="D38" s="14">
        <v>1</v>
      </c>
      <c r="E38" s="56" cm="1">
        <f t="array" ref="E38">IF(D38="X",(_xlfn.XLOOKUP($B38,Tabla1[SERVICIO],Tabla1[VALOR])*1),IF(D38&gt;=1,_xlfn.XLOOKUP($B38,Tabla1[SERVICIO],Tabla1[VALOR]*D38),0))</f>
        <v>18768.367820181349</v>
      </c>
      <c r="F38" s="8"/>
      <c r="G38" s="56" cm="1">
        <f t="array" ref="G38">IF(F38="X",(_xlfn.XLOOKUP($B38,Tabla1[SERVICIO],Tabla1[VALOR])*1),IF(F38&gt;=1,_xlfn.XLOOKUP($B38,Tabla1[SERVICIO],Tabla1[VALOR]*F38),0))</f>
        <v>0</v>
      </c>
      <c r="H38" s="8"/>
      <c r="I38" s="56" cm="1">
        <f t="array" ref="I38">IF(H38="X",(_xlfn.XLOOKUP($B38,Tabla1[SERVICIO],Tabla1[VALOR])*1),IF(H38&gt;=1,_xlfn.XLOOKUP($B38,Tabla1[SERVICIO],Tabla1[VALOR]*H38),0))</f>
        <v>0</v>
      </c>
      <c r="J38" s="8"/>
      <c r="K38" s="56" cm="1">
        <f t="array" ref="K38">IF(J38="X",(_xlfn.XLOOKUP($B38,Tabla1[SERVICIO],Tabla1[VALOR])*1),IF(J38&gt;=1,_xlfn.XLOOKUP($B38,Tabla1[SERVICIO],Tabla1[VALOR]*J38),0))</f>
        <v>0</v>
      </c>
      <c r="L38" s="8"/>
      <c r="M38" s="56" cm="1">
        <f t="array" ref="M38">IF(L38="X",(_xlfn.XLOOKUP($B38,Tabla1[SERVICIO],Tabla1[VALOR])*1),IF(L38&gt;=1,_xlfn.XLOOKUP($B38,Tabla1[SERVICIO],Tabla1[VALOR]*L38),0))</f>
        <v>0</v>
      </c>
      <c r="N38" s="8"/>
      <c r="O38" s="56" cm="1">
        <f t="array" ref="O38">IF(N38="X",(_xlfn.XLOOKUP($B38,Tabla1[SERVICIO],Tabla1[VALOR])*1),IF(N38&gt;=1,_xlfn.XLOOKUP($B38,Tabla1[SERVICIO],Tabla1[VALOR]*N38),0))</f>
        <v>0</v>
      </c>
      <c r="P38" s="8"/>
      <c r="Q38" s="56" cm="1">
        <f t="array" ref="Q38">IF(P38="X",(_xlfn.XLOOKUP($B38,Tabla1[SERVICIO],Tabla1[VALOR])*1),IF(P38&gt;=1,_xlfn.XLOOKUP($B38,Tabla1[SERVICIO],Tabla1[VALOR]*P38),0))</f>
        <v>0</v>
      </c>
      <c r="R38" s="8"/>
      <c r="S38" s="56" cm="1">
        <f t="array" ref="S38">IF(R38="X",(_xlfn.XLOOKUP($B38,Tabla1[SERVICIO],Tabla1[VALOR])*1),IF(R38&gt;=1,_xlfn.XLOOKUP($B38,Tabla1[SERVICIO],Tabla1[VALOR]*R38),0))</f>
        <v>0</v>
      </c>
      <c r="T38" s="8"/>
      <c r="U38" s="56" cm="1">
        <f t="array" ref="U38">IF(T38="X",(_xlfn.XLOOKUP($B38,Tabla1[SERVICIO],Tabla1[VALOR])*1),IF(T38&gt;=1,_xlfn.XLOOKUP($B38,Tabla1[SERVICIO],Tabla1[VALOR]*T38),0))</f>
        <v>0</v>
      </c>
      <c r="V38" s="8"/>
      <c r="W38" s="56" cm="1">
        <f t="array" ref="W38">IF(V38="X",(_xlfn.XLOOKUP($B38,Tabla1[SERVICIO],Tabla1[VALOR])*1),IF(V38&gt;=1,_xlfn.XLOOKUP($B38,Tabla1[SERVICIO],Tabla1[VALOR]*V38),0))</f>
        <v>0</v>
      </c>
      <c r="X38" s="8"/>
      <c r="Y38" s="56" cm="1">
        <f t="array" ref="Y38">IF(X38="X",(_xlfn.XLOOKUP($B38,Tabla1[SERVICIO],Tabla1[VALOR])*1),IF(X38&gt;=1,_xlfn.XLOOKUP($B38,Tabla1[SERVICIO],Tabla1[VALOR]*X38),0))</f>
        <v>0</v>
      </c>
      <c r="Z38" s="8"/>
      <c r="AA38" s="56" cm="1">
        <f t="array" ref="AA38">IF(Z38="X",(_xlfn.XLOOKUP($B38,Tabla1[SERVICIO],Tabla1[VALOR])*1),IF(Z38&gt;=1,_xlfn.XLOOKUP($B38,Tabla1[SERVICIO],Tabla1[VALOR]*Z38),0))</f>
        <v>0</v>
      </c>
      <c r="AB38" s="8"/>
      <c r="AC38" s="56" cm="1">
        <f t="array" ref="AC38">IF(AB38="X",(_xlfn.XLOOKUP($B38,Tabla1[SERVICIO],Tabla1[VALOR])*1),IF(AB38&gt;=1,_xlfn.XLOOKUP($B38,Tabla1[SERVICIO],Tabla1[VALOR]*AB38),0))</f>
        <v>0</v>
      </c>
      <c r="AD38" s="8"/>
      <c r="AE38" s="56" cm="1">
        <f t="array" ref="AE38">IF(AD38="X",(_xlfn.XLOOKUP($B38,Tabla1[SERVICIO],Tabla1[VALOR])*1),IF(AD38&gt;=1,_xlfn.XLOOKUP($B38,Tabla1[SERVICIO],Tabla1[VALOR]*AD38),0))</f>
        <v>0</v>
      </c>
      <c r="AF38" s="8"/>
      <c r="AG38" s="56" cm="1">
        <f t="array" ref="AG38">IF(AF38="X",(_xlfn.XLOOKUP($B38,Tabla1[SERVICIO],Tabla1[VALOR])*1),IF(AF38&gt;=1,_xlfn.XLOOKUP($B38,Tabla1[SERVICIO],Tabla1[VALOR]*AF38),0))</f>
        <v>0</v>
      </c>
      <c r="AH38" s="8"/>
      <c r="AI38" s="56" cm="1">
        <f t="array" ref="AI38">IF(AH38="X",(_xlfn.XLOOKUP($B38,Tabla1[SERVICIO],Tabla1[VALOR])*1),IF(AH38&gt;=1,_xlfn.XLOOKUP($B38,Tabla1[SERVICIO],Tabla1[VALOR]*AH38),0))</f>
        <v>0</v>
      </c>
      <c r="AJ38" s="8"/>
      <c r="AK38" s="56" cm="1">
        <f t="array" ref="AK38">IF(AJ38="X",(_xlfn.XLOOKUP($B38,Tabla1[SERVICIO],Tabla1[VALOR])*1),IF(AJ38&gt;=1,_xlfn.XLOOKUP($B38,Tabla1[SERVICIO],Tabla1[VALOR]*AJ38),0))</f>
        <v>0</v>
      </c>
      <c r="AL38" s="8"/>
      <c r="AM38" s="56" cm="1">
        <f t="array" ref="AM38">IF(AL38="X",(_xlfn.XLOOKUP($B38,Tabla1[SERVICIO],Tabla1[VALOR])*1),IF(AL38&gt;=1,_xlfn.XLOOKUP($B38,Tabla1[SERVICIO],Tabla1[VALOR]*AL38),0))</f>
        <v>0</v>
      </c>
      <c r="AN38" s="89">
        <f t="shared" si="2"/>
        <v>18768.367820181349</v>
      </c>
      <c r="AO38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8" s="122" t="s">
        <v>318</v>
      </c>
      <c r="AQ38" s="127">
        <v>1</v>
      </c>
      <c r="AR38" s="121">
        <f>+Tabla4678910112247[[#This Row],[MES 1723]]*Tabla4678910112247[[#This Row],[% de las personas que lo usaron]]</f>
        <v>18768.367820181349</v>
      </c>
      <c r="AS38" s="246" t="s">
        <v>357</v>
      </c>
      <c r="AT38" s="246">
        <v>18</v>
      </c>
    </row>
    <row r="39" spans="1:46" x14ac:dyDescent="0.25">
      <c r="A39" s="22" t="s">
        <v>17</v>
      </c>
      <c r="B39" s="23" t="s">
        <v>18</v>
      </c>
      <c r="C39" s="96" t="str">
        <f>_xlfn.XLOOKUP(Tabla4678910112247[[#This Row],[Servicios del Programa:]],Tabla151[CODIGO],Tabla151[VALOR])</f>
        <v>Consultas</v>
      </c>
      <c r="D39" s="23"/>
      <c r="E39" s="56" cm="1">
        <f t="array" ref="E39">IF(D39="X",(_xlfn.XLOOKUP($B39,Tabla1[SERVICIO],Tabla1[VALOR])*1),IF(D39&gt;=1,_xlfn.XLOOKUP($B39,Tabla1[SERVICIO],Tabla1[VALOR]*D39),0))</f>
        <v>0</v>
      </c>
      <c r="F39" s="23"/>
      <c r="G39" s="56" cm="1">
        <f t="array" ref="G39">IF(F39="X",(_xlfn.XLOOKUP($B39,Tabla1[SERVICIO],Tabla1[VALOR])*1),IF(F39&gt;=1,_xlfn.XLOOKUP($B39,Tabla1[SERVICIO],Tabla1[VALOR]*F39),0))</f>
        <v>0</v>
      </c>
      <c r="H39" s="23"/>
      <c r="I39" s="56" cm="1">
        <f t="array" ref="I39">IF(H39="X",(_xlfn.XLOOKUP($B39,Tabla1[SERVICIO],Tabla1[VALOR])*1),IF(H39&gt;=1,_xlfn.XLOOKUP($B39,Tabla1[SERVICIO],Tabla1[VALOR]*H39),0))</f>
        <v>0</v>
      </c>
      <c r="J39" s="23"/>
      <c r="K39" s="56" cm="1">
        <f t="array" ref="K39">IF(J39="X",(_xlfn.XLOOKUP($B39,Tabla1[SERVICIO],Tabla1[VALOR])*1),IF(J39&gt;=1,_xlfn.XLOOKUP($B39,Tabla1[SERVICIO],Tabla1[VALOR]*J39),0))</f>
        <v>0</v>
      </c>
      <c r="L39" s="23"/>
      <c r="M39" s="56" cm="1">
        <f t="array" ref="M39">IF(L39="X",(_xlfn.XLOOKUP($B39,Tabla1[SERVICIO],Tabla1[VALOR])*1),IF(L39&gt;=1,_xlfn.XLOOKUP($B39,Tabla1[SERVICIO],Tabla1[VALOR]*L39),0))</f>
        <v>0</v>
      </c>
      <c r="N39" s="14">
        <v>1</v>
      </c>
      <c r="O39" s="56" cm="1">
        <f t="array" ref="O39">IF(N39="X",(_xlfn.XLOOKUP($B39,Tabla1[SERVICIO],Tabla1[VALOR])*1),IF(N39&gt;=1,_xlfn.XLOOKUP($B39,Tabla1[SERVICIO],Tabla1[VALOR]*N39),0))</f>
        <v>20414.75585737115</v>
      </c>
      <c r="P39" s="23"/>
      <c r="Q39" s="56" cm="1">
        <f t="array" ref="Q39">IF(P39="X",(_xlfn.XLOOKUP($B39,Tabla1[SERVICIO],Tabla1[VALOR])*1),IF(P39&gt;=1,_xlfn.XLOOKUP($B39,Tabla1[SERVICIO],Tabla1[VALOR]*P39),0))</f>
        <v>0</v>
      </c>
      <c r="R39" s="23"/>
      <c r="S39" s="56" cm="1">
        <f t="array" ref="S39">IF(R39="X",(_xlfn.XLOOKUP($B39,Tabla1[SERVICIO],Tabla1[VALOR])*1),IF(R39&gt;=1,_xlfn.XLOOKUP($B39,Tabla1[SERVICIO],Tabla1[VALOR]*R39),0))</f>
        <v>0</v>
      </c>
      <c r="T39" s="23"/>
      <c r="U39" s="56" cm="1">
        <f t="array" ref="U39">IF(T39="X",(_xlfn.XLOOKUP($B39,Tabla1[SERVICIO],Tabla1[VALOR])*1),IF(T39&gt;=1,_xlfn.XLOOKUP($B39,Tabla1[SERVICIO],Tabla1[VALOR]*T39),0))</f>
        <v>0</v>
      </c>
      <c r="V39" s="23"/>
      <c r="W39" s="56" cm="1">
        <f t="array" ref="W39">IF(V39="X",(_xlfn.XLOOKUP($B39,Tabla1[SERVICIO],Tabla1[VALOR])*1),IF(V39&gt;=1,_xlfn.XLOOKUP($B39,Tabla1[SERVICIO],Tabla1[VALOR]*V39),0))</f>
        <v>0</v>
      </c>
      <c r="X39" s="23"/>
      <c r="Y39" s="56" cm="1">
        <f t="array" ref="Y39">IF(X39="X",(_xlfn.XLOOKUP($B39,Tabla1[SERVICIO],Tabla1[VALOR])*1),IF(X39&gt;=1,_xlfn.XLOOKUP($B39,Tabla1[SERVICIO],Tabla1[VALOR]*X39),0))</f>
        <v>0</v>
      </c>
      <c r="Z39" s="23"/>
      <c r="AA39" s="56" cm="1">
        <f t="array" ref="AA39">IF(Z39="X",(_xlfn.XLOOKUP($B39,Tabla1[SERVICIO],Tabla1[VALOR])*1),IF(Z39&gt;=1,_xlfn.XLOOKUP($B39,Tabla1[SERVICIO],Tabla1[VALOR]*Z39),0))</f>
        <v>0</v>
      </c>
      <c r="AB39" s="23"/>
      <c r="AC39" s="56" cm="1">
        <f t="array" ref="AC39">IF(AB39="X",(_xlfn.XLOOKUP($B39,Tabla1[SERVICIO],Tabla1[VALOR])*1),IF(AB39&gt;=1,_xlfn.XLOOKUP($B39,Tabla1[SERVICIO],Tabla1[VALOR]*AB39),0))</f>
        <v>0</v>
      </c>
      <c r="AD39" s="23"/>
      <c r="AE39" s="56" cm="1">
        <f t="array" ref="AE39">IF(AD39="X",(_xlfn.XLOOKUP($B39,Tabla1[SERVICIO],Tabla1[VALOR])*1),IF(AD39&gt;=1,_xlfn.XLOOKUP($B39,Tabla1[SERVICIO],Tabla1[VALOR]*AD39),0))</f>
        <v>0</v>
      </c>
      <c r="AF39" s="23"/>
      <c r="AG39" s="56" cm="1">
        <f t="array" ref="AG39">IF(AF39="X",(_xlfn.XLOOKUP($B39,Tabla1[SERVICIO],Tabla1[VALOR])*1),IF(AF39&gt;=1,_xlfn.XLOOKUP($B39,Tabla1[SERVICIO],Tabla1[VALOR]*AF39),0))</f>
        <v>0</v>
      </c>
      <c r="AH39" s="23"/>
      <c r="AI39" s="56" cm="1">
        <f t="array" ref="AI39">IF(AH39="X",(_xlfn.XLOOKUP($B39,Tabla1[SERVICIO],Tabla1[VALOR])*1),IF(AH39&gt;=1,_xlfn.XLOOKUP($B39,Tabla1[SERVICIO],Tabla1[VALOR]*AH39),0))</f>
        <v>0</v>
      </c>
      <c r="AJ39" s="23"/>
      <c r="AK39" s="56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6" cm="1">
        <f t="array" ref="AM39">IF(AL39="X",(_xlfn.XLOOKUP($B39,Tabla1[SERVICIO],Tabla1[VALOR])*1),IF(AL39&gt;=1,_xlfn.XLOOKUP($B39,Tabla1[SERVICIO],Tabla1[VALOR]*AL39),0))</f>
        <v>20414.75585737115</v>
      </c>
      <c r="AN39" s="89">
        <f t="shared" si="2"/>
        <v>40829.511714742301</v>
      </c>
      <c r="AO39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2</v>
      </c>
      <c r="AP39" s="122" t="s">
        <v>318</v>
      </c>
      <c r="AQ39" s="127">
        <v>1</v>
      </c>
      <c r="AR39" s="121">
        <f>+Tabla4678910112247[[#This Row],[MES 1723]]*Tabla4678910112247[[#This Row],[% de las personas que lo usaron]]</f>
        <v>40829.511714742301</v>
      </c>
      <c r="AS39" s="246" t="s">
        <v>357</v>
      </c>
      <c r="AT39" s="246">
        <v>18</v>
      </c>
    </row>
    <row r="40" spans="1:46" x14ac:dyDescent="0.25">
      <c r="A40" s="7" t="s">
        <v>74</v>
      </c>
      <c r="B40" s="8" t="s">
        <v>75</v>
      </c>
      <c r="C40" s="96" t="str">
        <f>_xlfn.XLOOKUP(Tabla4678910112247[[#This Row],[Servicios del Programa:]],Tabla151[CODIGO],Tabla151[VALOR])</f>
        <v>Consultas</v>
      </c>
      <c r="D40" s="14">
        <v>1</v>
      </c>
      <c r="E40" s="56" cm="1">
        <f t="array" ref="E40">IF(D40="X",(_xlfn.XLOOKUP($B40,Tabla1[SERVICIO],Tabla1[VALOR])*1),IF(D40&gt;=1,_xlfn.XLOOKUP($B40,Tabla1[SERVICIO],Tabla1[VALOR]*D40),0))</f>
        <v>19368.008636848015</v>
      </c>
      <c r="F40" s="8"/>
      <c r="G40" s="56" cm="1">
        <f t="array" ref="G40">IF(F40="X",(_xlfn.XLOOKUP($B40,Tabla1[SERVICIO],Tabla1[VALOR])*1),IF(F40&gt;=1,_xlfn.XLOOKUP($B40,Tabla1[SERVICIO],Tabla1[VALOR]*F40),0))</f>
        <v>0</v>
      </c>
      <c r="H40" s="8"/>
      <c r="I40" s="56" cm="1">
        <f t="array" ref="I40">IF(H40="X",(_xlfn.XLOOKUP($B40,Tabla1[SERVICIO],Tabla1[VALOR])*1),IF(H40&gt;=1,_xlfn.XLOOKUP($B40,Tabla1[SERVICIO],Tabla1[VALOR]*H40),0))</f>
        <v>0</v>
      </c>
      <c r="J40" s="8"/>
      <c r="K40" s="56" cm="1">
        <f t="array" ref="K40">IF(J40="X",(_xlfn.XLOOKUP($B40,Tabla1[SERVICIO],Tabla1[VALOR])*1),IF(J40&gt;=1,_xlfn.XLOOKUP($B40,Tabla1[SERVICIO],Tabla1[VALOR]*J40),0))</f>
        <v>0</v>
      </c>
      <c r="L40" s="8"/>
      <c r="M40" s="56" cm="1">
        <f t="array" ref="M40">IF(L40="X",(_xlfn.XLOOKUP($B40,Tabla1[SERVICIO],Tabla1[VALOR])*1),IF(L40&gt;=1,_xlfn.XLOOKUP($B40,Tabla1[SERVICIO],Tabla1[VALOR]*L40),0))</f>
        <v>0</v>
      </c>
      <c r="N40" s="8"/>
      <c r="O40" s="56" cm="1">
        <f t="array" ref="O40">IF(N40="X",(_xlfn.XLOOKUP($B40,Tabla1[SERVICIO],Tabla1[VALOR])*1),IF(N40&gt;=1,_xlfn.XLOOKUP($B40,Tabla1[SERVICIO],Tabla1[VALOR]*N40),0))</f>
        <v>0</v>
      </c>
      <c r="P40" s="8"/>
      <c r="Q40" s="56" cm="1">
        <f t="array" ref="Q40">IF(P40="X",(_xlfn.XLOOKUP($B40,Tabla1[SERVICIO],Tabla1[VALOR])*1),IF(P40&gt;=1,_xlfn.XLOOKUP($B40,Tabla1[SERVICIO],Tabla1[VALOR]*P40),0))</f>
        <v>0</v>
      </c>
      <c r="R40" s="8"/>
      <c r="S40" s="56" cm="1">
        <f t="array" ref="S40">IF(R40="X",(_xlfn.XLOOKUP($B40,Tabla1[SERVICIO],Tabla1[VALOR])*1),IF(R40&gt;=1,_xlfn.XLOOKUP($B40,Tabla1[SERVICIO],Tabla1[VALOR]*R40),0))</f>
        <v>0</v>
      </c>
      <c r="T40" s="8"/>
      <c r="U40" s="56" cm="1">
        <f t="array" ref="U40">IF(T40="X",(_xlfn.XLOOKUP($B40,Tabla1[SERVICIO],Tabla1[VALOR])*1),IF(T40&gt;=1,_xlfn.XLOOKUP($B40,Tabla1[SERVICIO],Tabla1[VALOR]*T40),0))</f>
        <v>0</v>
      </c>
      <c r="V40" s="8"/>
      <c r="W40" s="56" cm="1">
        <f t="array" ref="W40">IF(V40="X",(_xlfn.XLOOKUP($B40,Tabla1[SERVICIO],Tabla1[VALOR])*1),IF(V40&gt;=1,_xlfn.XLOOKUP($B40,Tabla1[SERVICIO],Tabla1[VALOR]*V40),0))</f>
        <v>0</v>
      </c>
      <c r="X40" s="8"/>
      <c r="Y40" s="56" cm="1">
        <f t="array" ref="Y40">IF(X40="X",(_xlfn.XLOOKUP($B40,Tabla1[SERVICIO],Tabla1[VALOR])*1),IF(X40&gt;=1,_xlfn.XLOOKUP($B40,Tabla1[SERVICIO],Tabla1[VALOR]*X40),0))</f>
        <v>0</v>
      </c>
      <c r="Z40" s="8"/>
      <c r="AA40" s="56" cm="1">
        <f t="array" ref="AA40">IF(Z40="X",(_xlfn.XLOOKUP($B40,Tabla1[SERVICIO],Tabla1[VALOR])*1),IF(Z40&gt;=1,_xlfn.XLOOKUP($B40,Tabla1[SERVICIO],Tabla1[VALOR]*Z40),0))</f>
        <v>0</v>
      </c>
      <c r="AB40" s="8"/>
      <c r="AC40" s="56" cm="1">
        <f t="array" ref="AC40">IF(AB40="X",(_xlfn.XLOOKUP($B40,Tabla1[SERVICIO],Tabla1[VALOR])*1),IF(AB40&gt;=1,_xlfn.XLOOKUP($B40,Tabla1[SERVICIO],Tabla1[VALOR]*AB40),0))</f>
        <v>0</v>
      </c>
      <c r="AD40" s="8"/>
      <c r="AE40" s="56" cm="1">
        <f t="array" ref="AE40">IF(AD40="X",(_xlfn.XLOOKUP($B40,Tabla1[SERVICIO],Tabla1[VALOR])*1),IF(AD40&gt;=1,_xlfn.XLOOKUP($B40,Tabla1[SERVICIO],Tabla1[VALOR]*AD40),0))</f>
        <v>0</v>
      </c>
      <c r="AF40" s="8"/>
      <c r="AG40" s="56" cm="1">
        <f t="array" ref="AG40">IF(AF40="X",(_xlfn.XLOOKUP($B40,Tabla1[SERVICIO],Tabla1[VALOR])*1),IF(AF40&gt;=1,_xlfn.XLOOKUP($B40,Tabla1[SERVICIO],Tabla1[VALOR]*AF40),0))</f>
        <v>0</v>
      </c>
      <c r="AH40" s="8"/>
      <c r="AI40" s="56" cm="1">
        <f t="array" ref="AI40">IF(AH40="X",(_xlfn.XLOOKUP($B40,Tabla1[SERVICIO],Tabla1[VALOR])*1),IF(AH40&gt;=1,_xlfn.XLOOKUP($B40,Tabla1[SERVICIO],Tabla1[VALOR]*AH40),0))</f>
        <v>0</v>
      </c>
      <c r="AJ40" s="8"/>
      <c r="AK40" s="56" cm="1">
        <f t="array" ref="AK40">IF(AJ40="X",(_xlfn.XLOOKUP($B40,Tabla1[SERVICIO],Tabla1[VALOR])*1),IF(AJ40&gt;=1,_xlfn.XLOOKUP($B40,Tabla1[SERVICIO],Tabla1[VALOR]*AJ40),0))</f>
        <v>0</v>
      </c>
      <c r="AL40" s="8"/>
      <c r="AM40" s="56" cm="1">
        <f t="array" ref="AM40">IF(AL40="X",(_xlfn.XLOOKUP($B40,Tabla1[SERVICIO],Tabla1[VALOR])*1),IF(AL40&gt;=1,_xlfn.XLOOKUP($B40,Tabla1[SERVICIO],Tabla1[VALOR]*AL40),0))</f>
        <v>0</v>
      </c>
      <c r="AN40" s="89">
        <f t="shared" si="2"/>
        <v>19368.008636848015</v>
      </c>
      <c r="AO40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0" s="37" t="s">
        <v>319</v>
      </c>
      <c r="AQ40" s="127">
        <v>0</v>
      </c>
      <c r="AR40" s="121">
        <f>+Tabla4678910112247[[#This Row],[MES 1723]]*Tabla4678910112247[[#This Row],[% de las personas que lo usaron]]</f>
        <v>0</v>
      </c>
      <c r="AS40" s="246" t="s">
        <v>357</v>
      </c>
      <c r="AT40" s="246">
        <v>18</v>
      </c>
    </row>
    <row r="41" spans="1:46" x14ac:dyDescent="0.25">
      <c r="A41" s="7" t="s">
        <v>76</v>
      </c>
      <c r="B41" s="8" t="s">
        <v>77</v>
      </c>
      <c r="C41" s="96" t="str">
        <f>_xlfn.XLOOKUP(Tabla4678910112247[[#This Row],[Servicios del Programa:]],Tabla151[CODIGO],Tabla151[VALOR])</f>
        <v>Consultas</v>
      </c>
      <c r="D41" s="8"/>
      <c r="E41" s="56" cm="1">
        <f t="array" ref="E41">IF(D41="X",(_xlfn.XLOOKUP($B41,Tabla1[SERVICIO],Tabla1[VALOR])*1),IF(D41&gt;=1,_xlfn.XLOOKUP($B41,Tabla1[SERVICIO],Tabla1[VALOR]*D41),0))</f>
        <v>0</v>
      </c>
      <c r="F41" s="8"/>
      <c r="G41" s="56" cm="1">
        <f t="array" ref="G41">IF(F41="X",(_xlfn.XLOOKUP($B41,Tabla1[SERVICIO],Tabla1[VALOR])*1),IF(F41&gt;=1,_xlfn.XLOOKUP($B41,Tabla1[SERVICIO],Tabla1[VALOR]*F41),0))</f>
        <v>0</v>
      </c>
      <c r="H41" s="8"/>
      <c r="I41" s="56" cm="1">
        <f t="array" ref="I41">IF(H41="X",(_xlfn.XLOOKUP($B41,Tabla1[SERVICIO],Tabla1[VALOR])*1),IF(H41&gt;=1,_xlfn.XLOOKUP($B41,Tabla1[SERVICIO],Tabla1[VALOR]*H41),0))</f>
        <v>0</v>
      </c>
      <c r="J41" s="8"/>
      <c r="K41" s="56" cm="1">
        <f t="array" ref="K41">IF(J41="X",(_xlfn.XLOOKUP($B41,Tabla1[SERVICIO],Tabla1[VALOR])*1),IF(J41&gt;=1,_xlfn.XLOOKUP($B41,Tabla1[SERVICIO],Tabla1[VALOR]*J41),0))</f>
        <v>0</v>
      </c>
      <c r="L41" s="8"/>
      <c r="M41" s="56" cm="1">
        <f t="array" ref="M41">IF(L41="X",(_xlfn.XLOOKUP($B41,Tabla1[SERVICIO],Tabla1[VALOR])*1),IF(L41&gt;=1,_xlfn.XLOOKUP($B41,Tabla1[SERVICIO],Tabla1[VALOR]*L41),0))</f>
        <v>0</v>
      </c>
      <c r="N41" s="8"/>
      <c r="O41" s="56" cm="1">
        <f t="array" ref="O41">IF(N41="X",(_xlfn.XLOOKUP($B41,Tabla1[SERVICIO],Tabla1[VALOR])*1),IF(N41&gt;=1,_xlfn.XLOOKUP($B41,Tabla1[SERVICIO],Tabla1[VALOR]*N41),0))</f>
        <v>0</v>
      </c>
      <c r="P41" s="8"/>
      <c r="Q41" s="56" cm="1">
        <f t="array" ref="Q41">IF(P41="X",(_xlfn.XLOOKUP($B41,Tabla1[SERVICIO],Tabla1[VALOR])*1),IF(P41&gt;=1,_xlfn.XLOOKUP($B41,Tabla1[SERVICIO],Tabla1[VALOR]*P41),0))</f>
        <v>0</v>
      </c>
      <c r="R41" s="8"/>
      <c r="S41" s="56" cm="1">
        <f t="array" ref="S41">IF(R41="X",(_xlfn.XLOOKUP($B41,Tabla1[SERVICIO],Tabla1[VALOR])*1),IF(R41&gt;=1,_xlfn.XLOOKUP($B41,Tabla1[SERVICIO],Tabla1[VALOR]*R41),0))</f>
        <v>0</v>
      </c>
      <c r="T41" s="8"/>
      <c r="U41" s="56" cm="1">
        <f t="array" ref="U41">IF(T41="X",(_xlfn.XLOOKUP($B41,Tabla1[SERVICIO],Tabla1[VALOR])*1),IF(T41&gt;=1,_xlfn.XLOOKUP($B41,Tabla1[SERVICIO],Tabla1[VALOR]*T41),0))</f>
        <v>0</v>
      </c>
      <c r="V41" s="8"/>
      <c r="W41" s="56" cm="1">
        <f t="array" ref="W41">IF(V41="X",(_xlfn.XLOOKUP($B41,Tabla1[SERVICIO],Tabla1[VALOR])*1),IF(V41&gt;=1,_xlfn.XLOOKUP($B41,Tabla1[SERVICIO],Tabla1[VALOR]*V41),0))</f>
        <v>0</v>
      </c>
      <c r="X41" s="8"/>
      <c r="Y41" s="56" cm="1">
        <f t="array" ref="Y41">IF(X41="X",(_xlfn.XLOOKUP($B41,Tabla1[SERVICIO],Tabla1[VALOR])*1),IF(X41&gt;=1,_xlfn.XLOOKUP($B41,Tabla1[SERVICIO],Tabla1[VALOR]*X41),0))</f>
        <v>0</v>
      </c>
      <c r="Z41" s="8"/>
      <c r="AA41" s="56" cm="1">
        <f t="array" ref="AA41">IF(Z41="X",(_xlfn.XLOOKUP($B41,Tabla1[SERVICIO],Tabla1[VALOR])*1),IF(Z41&gt;=1,_xlfn.XLOOKUP($B41,Tabla1[SERVICIO],Tabla1[VALOR]*Z41),0))</f>
        <v>0</v>
      </c>
      <c r="AB41" s="8"/>
      <c r="AC41" s="56" cm="1">
        <f t="array" ref="AC41">IF(AB41="X",(_xlfn.XLOOKUP($B41,Tabla1[SERVICIO],Tabla1[VALOR])*1),IF(AB41&gt;=1,_xlfn.XLOOKUP($B41,Tabla1[SERVICIO],Tabla1[VALOR]*AB41),0))</f>
        <v>0</v>
      </c>
      <c r="AD41" s="8"/>
      <c r="AE41" s="56" cm="1">
        <f t="array" ref="AE41">IF(AD41="X",(_xlfn.XLOOKUP($B41,Tabla1[SERVICIO],Tabla1[VALOR])*1),IF(AD41&gt;=1,_xlfn.XLOOKUP($B41,Tabla1[SERVICIO],Tabla1[VALOR]*AD41),0))</f>
        <v>0</v>
      </c>
      <c r="AF41" s="8"/>
      <c r="AG41" s="56" cm="1">
        <f t="array" ref="AG41">IF(AF41="X",(_xlfn.XLOOKUP($B41,Tabla1[SERVICIO],Tabla1[VALOR])*1),IF(AF41&gt;=1,_xlfn.XLOOKUP($B41,Tabla1[SERVICIO],Tabla1[VALOR]*AF41),0))</f>
        <v>0</v>
      </c>
      <c r="AH41" s="8"/>
      <c r="AI41" s="56" cm="1">
        <f t="array" ref="AI41">IF(AH41="X",(_xlfn.XLOOKUP($B41,Tabla1[SERVICIO],Tabla1[VALOR])*1),IF(AH41&gt;=1,_xlfn.XLOOKUP($B41,Tabla1[SERVICIO],Tabla1[VALOR]*AH41),0))</f>
        <v>0</v>
      </c>
      <c r="AJ41" s="8"/>
      <c r="AK41" s="56" cm="1">
        <f t="array" ref="AK41">IF(AJ41="X",(_xlfn.XLOOKUP($B41,Tabla1[SERVICIO],Tabla1[VALOR])*1),IF(AJ41&gt;=1,_xlfn.XLOOKUP($B41,Tabla1[SERVICIO],Tabla1[VALOR]*AJ41),0))</f>
        <v>0</v>
      </c>
      <c r="AL41" s="14">
        <v>1</v>
      </c>
      <c r="AM41" s="56" cm="1">
        <f t="array" ref="AM41">IF(AL41="X",(_xlfn.XLOOKUP($B41,Tabla1[SERVICIO],Tabla1[VALOR])*1),IF(AL41&gt;=1,_xlfn.XLOOKUP($B41,Tabla1[SERVICIO],Tabla1[VALOR]*AL41),0))</f>
        <v>21014.396674037816</v>
      </c>
      <c r="AN41" s="89">
        <f t="shared" si="2"/>
        <v>21014.396674037816</v>
      </c>
      <c r="AO41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1" s="37" t="s">
        <v>319</v>
      </c>
      <c r="AQ41" s="127">
        <v>0</v>
      </c>
      <c r="AR41" s="121">
        <f>+Tabla4678910112247[[#This Row],[MES 1723]]*Tabla4678910112247[[#This Row],[% de las personas que lo usaron]]</f>
        <v>0</v>
      </c>
      <c r="AS41" s="246" t="s">
        <v>357</v>
      </c>
      <c r="AT41" s="246">
        <v>18</v>
      </c>
    </row>
    <row r="42" spans="1:46" x14ac:dyDescent="0.25">
      <c r="A42" s="7" t="s">
        <v>40</v>
      </c>
      <c r="B42" s="8" t="s">
        <v>41</v>
      </c>
      <c r="C42" s="96" t="str">
        <f>_xlfn.XLOOKUP(Tabla4678910112247[[#This Row],[Servicios del Programa:]],Tabla151[CODIGO],Tabla151[VALOR])</f>
        <v>Gestion y seguimiento</v>
      </c>
      <c r="D42" s="14">
        <v>1</v>
      </c>
      <c r="E42" s="56" cm="1">
        <f t="array" ref="E42">IF(D42="X",(_xlfn.XLOOKUP($B42,Tabla1[SERVICIO],Tabla1[VALOR])*1),IF(D42&gt;=1,_xlfn.XLOOKUP($B42,Tabla1[SERVICIO],Tabla1[VALOR]*D42),0))</f>
        <v>15634.853025719462</v>
      </c>
      <c r="F42" s="14">
        <v>1</v>
      </c>
      <c r="G42" s="56" cm="1">
        <f t="array" ref="G42">IF(F42="X",(_xlfn.XLOOKUP($B42,Tabla1[SERVICIO],Tabla1[VALOR])*1),IF(F42&gt;=1,_xlfn.XLOOKUP($B42,Tabla1[SERVICIO],Tabla1[VALOR]*F42),0))</f>
        <v>15634.853025719462</v>
      </c>
      <c r="H42" s="14">
        <v>1</v>
      </c>
      <c r="I42" s="56" cm="1">
        <f t="array" ref="I42">IF(H42="X",(_xlfn.XLOOKUP($B42,Tabla1[SERVICIO],Tabla1[VALOR])*1),IF(H42&gt;=1,_xlfn.XLOOKUP($B42,Tabla1[SERVICIO],Tabla1[VALOR]*H42),0))</f>
        <v>15634.853025719462</v>
      </c>
      <c r="J42" s="14">
        <v>1</v>
      </c>
      <c r="K42" s="56" cm="1">
        <f t="array" ref="K42">IF(J42="X",(_xlfn.XLOOKUP($B42,Tabla1[SERVICIO],Tabla1[VALOR])*1),IF(J42&gt;=1,_xlfn.XLOOKUP($B42,Tabla1[SERVICIO],Tabla1[VALOR]*J42),0))</f>
        <v>15634.853025719462</v>
      </c>
      <c r="L42" s="14">
        <v>1</v>
      </c>
      <c r="M42" s="56" cm="1">
        <f t="array" ref="M42">IF(L42="X",(_xlfn.XLOOKUP($B42,Tabla1[SERVICIO],Tabla1[VALOR])*1),IF(L42&gt;=1,_xlfn.XLOOKUP($B42,Tabla1[SERVICIO],Tabla1[VALOR]*L42),0))</f>
        <v>15634.853025719462</v>
      </c>
      <c r="N42" s="14">
        <v>1</v>
      </c>
      <c r="O42" s="56" cm="1">
        <f t="array" ref="O42">IF(N42="X",(_xlfn.XLOOKUP($B42,Tabla1[SERVICIO],Tabla1[VALOR])*1),IF(N42&gt;=1,_xlfn.XLOOKUP($B42,Tabla1[SERVICIO],Tabla1[VALOR]*N42),0))</f>
        <v>15634.853025719462</v>
      </c>
      <c r="P42" s="14">
        <v>1</v>
      </c>
      <c r="Q42" s="56" cm="1">
        <f t="array" ref="Q42">IF(P42="X",(_xlfn.XLOOKUP($B42,Tabla1[SERVICIO],Tabla1[VALOR])*1),IF(P42&gt;=1,_xlfn.XLOOKUP($B42,Tabla1[SERVICIO],Tabla1[VALOR]*P42),0))</f>
        <v>15634.853025719462</v>
      </c>
      <c r="R42" s="14">
        <v>1</v>
      </c>
      <c r="S42" s="56" cm="1">
        <f t="array" ref="S42">IF(R42="X",(_xlfn.XLOOKUP($B42,Tabla1[SERVICIO],Tabla1[VALOR])*1),IF(R42&gt;=1,_xlfn.XLOOKUP($B42,Tabla1[SERVICIO],Tabla1[VALOR]*R42),0))</f>
        <v>15634.853025719462</v>
      </c>
      <c r="T42" s="14">
        <v>1</v>
      </c>
      <c r="U42" s="56" cm="1">
        <f t="array" ref="U42">IF(T42="X",(_xlfn.XLOOKUP($B42,Tabla1[SERVICIO],Tabla1[VALOR])*1),IF(T42&gt;=1,_xlfn.XLOOKUP($B42,Tabla1[SERVICIO],Tabla1[VALOR]*T42),0))</f>
        <v>15634.853025719462</v>
      </c>
      <c r="V42" s="14">
        <v>1</v>
      </c>
      <c r="W42" s="56" cm="1">
        <f t="array" ref="W42">IF(V42="X",(_xlfn.XLOOKUP($B42,Tabla1[SERVICIO],Tabla1[VALOR])*1),IF(V42&gt;=1,_xlfn.XLOOKUP($B42,Tabla1[SERVICIO],Tabla1[VALOR]*V42),0))</f>
        <v>15634.853025719462</v>
      </c>
      <c r="X42" s="14">
        <v>1</v>
      </c>
      <c r="Y42" s="56" cm="1">
        <f t="array" ref="Y42">IF(X42="X",(_xlfn.XLOOKUP($B42,Tabla1[SERVICIO],Tabla1[VALOR])*1),IF(X42&gt;=1,_xlfn.XLOOKUP($B42,Tabla1[SERVICIO],Tabla1[VALOR]*X42),0))</f>
        <v>15634.853025719462</v>
      </c>
      <c r="Z42" s="14">
        <v>1</v>
      </c>
      <c r="AA42" s="56" cm="1">
        <f t="array" ref="AA42">IF(Z42="X",(_xlfn.XLOOKUP($B42,Tabla1[SERVICIO],Tabla1[VALOR])*1),IF(Z42&gt;=1,_xlfn.XLOOKUP($B42,Tabla1[SERVICIO],Tabla1[VALOR]*Z42),0))</f>
        <v>15634.853025719462</v>
      </c>
      <c r="AB42" s="14">
        <v>1</v>
      </c>
      <c r="AC42" s="56" cm="1">
        <f t="array" ref="AC42">IF(AB42="X",(_xlfn.XLOOKUP($B42,Tabla1[SERVICIO],Tabla1[VALOR])*1),IF(AB42&gt;=1,_xlfn.XLOOKUP($B42,Tabla1[SERVICIO],Tabla1[VALOR]*AB42),0))</f>
        <v>15634.853025719462</v>
      </c>
      <c r="AD42" s="14">
        <v>1</v>
      </c>
      <c r="AE42" s="56" cm="1">
        <f t="array" ref="AE42">IF(AD42="X",(_xlfn.XLOOKUP($B42,Tabla1[SERVICIO],Tabla1[VALOR])*1),IF(AD42&gt;=1,_xlfn.XLOOKUP($B42,Tabla1[SERVICIO],Tabla1[VALOR]*AD42),0))</f>
        <v>15634.853025719462</v>
      </c>
      <c r="AF42" s="14">
        <v>1</v>
      </c>
      <c r="AG42" s="56" cm="1">
        <f t="array" ref="AG42">IF(AF42="X",(_xlfn.XLOOKUP($B42,Tabla1[SERVICIO],Tabla1[VALOR])*1),IF(AF42&gt;=1,_xlfn.XLOOKUP($B42,Tabla1[SERVICIO],Tabla1[VALOR]*AF42),0))</f>
        <v>15634.853025719462</v>
      </c>
      <c r="AH42" s="14">
        <v>1</v>
      </c>
      <c r="AI42" s="56" cm="1">
        <f t="array" ref="AI42">IF(AH42="X",(_xlfn.XLOOKUP($B42,Tabla1[SERVICIO],Tabla1[VALOR])*1),IF(AH42&gt;=1,_xlfn.XLOOKUP($B42,Tabla1[SERVICIO],Tabla1[VALOR]*AH42),0))</f>
        <v>15634.853025719462</v>
      </c>
      <c r="AJ42" s="14">
        <v>1</v>
      </c>
      <c r="AK42" s="56" cm="1">
        <f t="array" ref="AK42">IF(AJ42="X",(_xlfn.XLOOKUP($B42,Tabla1[SERVICIO],Tabla1[VALOR])*1),IF(AJ42&gt;=1,_xlfn.XLOOKUP($B42,Tabla1[SERVICIO],Tabla1[VALOR]*AJ42),0))</f>
        <v>15634.853025719462</v>
      </c>
      <c r="AL42" s="14">
        <v>1</v>
      </c>
      <c r="AM42" s="56" cm="1">
        <f t="array" ref="AM42">IF(AL42="X",(_xlfn.XLOOKUP($B42,Tabla1[SERVICIO],Tabla1[VALOR])*1),IF(AL42&gt;=1,_xlfn.XLOOKUP($B42,Tabla1[SERVICIO],Tabla1[VALOR]*AL42),0))</f>
        <v>15634.853025719462</v>
      </c>
      <c r="AN42" s="89">
        <f t="shared" si="2"/>
        <v>281427.35446295032</v>
      </c>
      <c r="AO42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18</v>
      </c>
      <c r="AP42" s="122" t="s">
        <v>318</v>
      </c>
      <c r="AQ42" s="127">
        <v>1</v>
      </c>
      <c r="AR42" s="121">
        <f>+Tabla4678910112247[[#This Row],[MES 1723]]*Tabla4678910112247[[#This Row],[% de las personas que lo usaron]]</f>
        <v>281427.35446295032</v>
      </c>
      <c r="AS42" s="246" t="s">
        <v>357</v>
      </c>
      <c r="AT42" s="246">
        <v>18</v>
      </c>
    </row>
    <row r="43" spans="1:46" x14ac:dyDescent="0.25">
      <c r="A43" s="7" t="s">
        <v>11</v>
      </c>
      <c r="B43" s="8" t="s">
        <v>12</v>
      </c>
      <c r="C43" s="96" t="str">
        <f>_xlfn.XLOOKUP(Tabla4678910112247[[#This Row],[Servicios del Programa:]],Tabla151[CODIGO],Tabla151[VALOR])</f>
        <v>Educacion</v>
      </c>
      <c r="D43" s="14">
        <v>1</v>
      </c>
      <c r="E43" s="56" cm="1">
        <f t="array" ref="E43">IF(D43="X",(_xlfn.XLOOKUP($B43,Tabla1[SERVICIO],Tabla1[VALOR])*1),IF(D43&gt;=1,_xlfn.XLOOKUP($B43,Tabla1[SERVICIO],Tabla1[VALOR]*D43),0))</f>
        <v>12743.421642219637</v>
      </c>
      <c r="F43" s="14">
        <v>1</v>
      </c>
      <c r="G43" s="56" cm="1">
        <f t="array" ref="G43">IF(F43="X",(_xlfn.XLOOKUP($B43,Tabla1[SERVICIO],Tabla1[VALOR])*1),IF(F43&gt;=1,_xlfn.XLOOKUP($B43,Tabla1[SERVICIO],Tabla1[VALOR]*F43),0))</f>
        <v>12743.421642219637</v>
      </c>
      <c r="H43" s="14">
        <v>1</v>
      </c>
      <c r="I43" s="56" cm="1">
        <f t="array" ref="I43">IF(H43="X",(_xlfn.XLOOKUP($B43,Tabla1[SERVICIO],Tabla1[VALOR])*1),IF(H43&gt;=1,_xlfn.XLOOKUP($B43,Tabla1[SERVICIO],Tabla1[VALOR]*H43),0))</f>
        <v>12743.421642219637</v>
      </c>
      <c r="J43" s="14">
        <v>1</v>
      </c>
      <c r="K43" s="56" cm="1">
        <f t="array" ref="K43">IF(J43="X",(_xlfn.XLOOKUP($B43,Tabla1[SERVICIO],Tabla1[VALOR])*1),IF(J43&gt;=1,_xlfn.XLOOKUP($B43,Tabla1[SERVICIO],Tabla1[VALOR]*J43),0))</f>
        <v>12743.421642219637</v>
      </c>
      <c r="L43" s="14">
        <v>1</v>
      </c>
      <c r="M43" s="56" cm="1">
        <f t="array" ref="M43">IF(L43="X",(_xlfn.XLOOKUP($B43,Tabla1[SERVICIO],Tabla1[VALOR])*1),IF(L43&gt;=1,_xlfn.XLOOKUP($B43,Tabla1[SERVICIO],Tabla1[VALOR]*L43),0))</f>
        <v>12743.421642219637</v>
      </c>
      <c r="N43" s="14">
        <v>1</v>
      </c>
      <c r="O43" s="56" cm="1">
        <f t="array" ref="O43">IF(N43="X",(_xlfn.XLOOKUP($B43,Tabla1[SERVICIO],Tabla1[VALOR])*1),IF(N43&gt;=1,_xlfn.XLOOKUP($B43,Tabla1[SERVICIO],Tabla1[VALOR]*N43),0))</f>
        <v>12743.421642219637</v>
      </c>
      <c r="P43" s="14">
        <v>1</v>
      </c>
      <c r="Q43" s="56" cm="1">
        <f t="array" ref="Q43">IF(P43="X",(_xlfn.XLOOKUP($B43,Tabla1[SERVICIO],Tabla1[VALOR])*1),IF(P43&gt;=1,_xlfn.XLOOKUP($B43,Tabla1[SERVICIO],Tabla1[VALOR]*P43),0))</f>
        <v>12743.421642219637</v>
      </c>
      <c r="R43" s="14">
        <v>1</v>
      </c>
      <c r="S43" s="56" cm="1">
        <f t="array" ref="S43">IF(R43="X",(_xlfn.XLOOKUP($B43,Tabla1[SERVICIO],Tabla1[VALOR])*1),IF(R43&gt;=1,_xlfn.XLOOKUP($B43,Tabla1[SERVICIO],Tabla1[VALOR]*R43),0))</f>
        <v>12743.421642219637</v>
      </c>
      <c r="T43" s="14">
        <v>1</v>
      </c>
      <c r="U43" s="56" cm="1">
        <f t="array" ref="U43">IF(T43="X",(_xlfn.XLOOKUP($B43,Tabla1[SERVICIO],Tabla1[VALOR])*1),IF(T43&gt;=1,_xlfn.XLOOKUP($B43,Tabla1[SERVICIO],Tabla1[VALOR]*T43),0))</f>
        <v>12743.421642219637</v>
      </c>
      <c r="V43" s="14">
        <v>1</v>
      </c>
      <c r="W43" s="56" cm="1">
        <f t="array" ref="W43">IF(V43="X",(_xlfn.XLOOKUP($B43,Tabla1[SERVICIO],Tabla1[VALOR])*1),IF(V43&gt;=1,_xlfn.XLOOKUP($B43,Tabla1[SERVICIO],Tabla1[VALOR]*V43),0))</f>
        <v>12743.421642219637</v>
      </c>
      <c r="X43" s="14">
        <v>1</v>
      </c>
      <c r="Y43" s="56" cm="1">
        <f t="array" ref="Y43">IF(X43="X",(_xlfn.XLOOKUP($B43,Tabla1[SERVICIO],Tabla1[VALOR])*1),IF(X43&gt;=1,_xlfn.XLOOKUP($B43,Tabla1[SERVICIO],Tabla1[VALOR]*X43),0))</f>
        <v>12743.421642219637</v>
      </c>
      <c r="Z43" s="14">
        <v>1</v>
      </c>
      <c r="AA43" s="56" cm="1">
        <f t="array" ref="AA43">IF(Z43="X",(_xlfn.XLOOKUP($B43,Tabla1[SERVICIO],Tabla1[VALOR])*1),IF(Z43&gt;=1,_xlfn.XLOOKUP($B43,Tabla1[SERVICIO],Tabla1[VALOR]*Z43),0))</f>
        <v>12743.421642219637</v>
      </c>
      <c r="AB43" s="14">
        <v>1</v>
      </c>
      <c r="AC43" s="56" cm="1">
        <f t="array" ref="AC43">IF(AB43="X",(_xlfn.XLOOKUP($B43,Tabla1[SERVICIO],Tabla1[VALOR])*1),IF(AB43&gt;=1,_xlfn.XLOOKUP($B43,Tabla1[SERVICIO],Tabla1[VALOR]*AB43),0))</f>
        <v>12743.421642219637</v>
      </c>
      <c r="AD43" s="14">
        <v>1</v>
      </c>
      <c r="AE43" s="56" cm="1">
        <f t="array" ref="AE43">IF(AD43="X",(_xlfn.XLOOKUP($B43,Tabla1[SERVICIO],Tabla1[VALOR])*1),IF(AD43&gt;=1,_xlfn.XLOOKUP($B43,Tabla1[SERVICIO],Tabla1[VALOR]*AD43),0))</f>
        <v>12743.421642219637</v>
      </c>
      <c r="AF43" s="14">
        <v>1</v>
      </c>
      <c r="AG43" s="56" cm="1">
        <f t="array" ref="AG43">IF(AF43="X",(_xlfn.XLOOKUP($B43,Tabla1[SERVICIO],Tabla1[VALOR])*1),IF(AF43&gt;=1,_xlfn.XLOOKUP($B43,Tabla1[SERVICIO],Tabla1[VALOR]*AF43),0))</f>
        <v>12743.421642219637</v>
      </c>
      <c r="AH43" s="14">
        <v>1</v>
      </c>
      <c r="AI43" s="56" cm="1">
        <f t="array" ref="AI43">IF(AH43="X",(_xlfn.XLOOKUP($B43,Tabla1[SERVICIO],Tabla1[VALOR])*1),IF(AH43&gt;=1,_xlfn.XLOOKUP($B43,Tabla1[SERVICIO],Tabla1[VALOR]*AH43),0))</f>
        <v>12743.421642219637</v>
      </c>
      <c r="AJ43" s="14">
        <v>1</v>
      </c>
      <c r="AK43" s="56" cm="1">
        <f t="array" ref="AK43">IF(AJ43="X",(_xlfn.XLOOKUP($B43,Tabla1[SERVICIO],Tabla1[VALOR])*1),IF(AJ43&gt;=1,_xlfn.XLOOKUP($B43,Tabla1[SERVICIO],Tabla1[VALOR]*AJ43),0))</f>
        <v>12743.421642219637</v>
      </c>
      <c r="AL43" s="14">
        <v>1</v>
      </c>
      <c r="AM43" s="56" cm="1">
        <f t="array" ref="AM43">IF(AL43="X",(_xlfn.XLOOKUP($B43,Tabla1[SERVICIO],Tabla1[VALOR])*1),IF(AL43&gt;=1,_xlfn.XLOOKUP($B43,Tabla1[SERVICIO],Tabla1[VALOR]*AL43),0))</f>
        <v>12743.421642219637</v>
      </c>
      <c r="AN43" s="89">
        <f t="shared" si="2"/>
        <v>229381.58955995351</v>
      </c>
      <c r="AO43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18</v>
      </c>
      <c r="AP43" s="122" t="s">
        <v>318</v>
      </c>
      <c r="AQ43" s="127">
        <v>1</v>
      </c>
      <c r="AR43" s="121">
        <f>+Tabla4678910112247[[#This Row],[MES 1723]]*Tabla4678910112247[[#This Row],[% de las personas que lo usaron]]</f>
        <v>229381.58955995351</v>
      </c>
      <c r="AS43" s="246" t="s">
        <v>357</v>
      </c>
      <c r="AT43" s="246">
        <v>18</v>
      </c>
    </row>
    <row r="44" spans="1:46" x14ac:dyDescent="0.25">
      <c r="A44" s="7" t="s">
        <v>38</v>
      </c>
      <c r="B44" s="8" t="s">
        <v>102</v>
      </c>
      <c r="C44" s="96" t="str">
        <f>_xlfn.XLOOKUP(Tabla4678910112247[[#This Row],[Servicios del Programa:]],Tabla151[CODIGO],Tabla151[VALOR])</f>
        <v>Consultas</v>
      </c>
      <c r="D44" s="14">
        <v>1</v>
      </c>
      <c r="E44" s="56" cm="1">
        <f t="array" ref="E44">IF(D44="X",(_xlfn.XLOOKUP($B44,Tabla1[SERVICIO],Tabla1[VALOR])*1),IF(D44&gt;=1,_xlfn.XLOOKUP($B44,Tabla1[SERVICIO],Tabla1[VALOR]*D44),0))</f>
        <v>56420.692787682223</v>
      </c>
      <c r="F44" s="14"/>
      <c r="G44" s="56" cm="1">
        <f t="array" ref="G44">IF(F44="X",(_xlfn.XLOOKUP($B44,Tabla1[SERVICIO],Tabla1[VALOR])*1),IF(F44&gt;=1,_xlfn.XLOOKUP($B44,Tabla1[SERVICIO],Tabla1[VALOR]*F44),0))</f>
        <v>0</v>
      </c>
      <c r="H44" s="14"/>
      <c r="I44" s="56" cm="1">
        <f t="array" ref="I44">IF(H44="X",(_xlfn.XLOOKUP($B44,Tabla1[SERVICIO],Tabla1[VALOR])*1),IF(H44&gt;=1,_xlfn.XLOOKUP($B44,Tabla1[SERVICIO],Tabla1[VALOR]*H44),0))</f>
        <v>0</v>
      </c>
      <c r="J44" s="14"/>
      <c r="K44" s="56" cm="1">
        <f t="array" ref="K44">IF(J44="X",(_xlfn.XLOOKUP($B44,Tabla1[SERVICIO],Tabla1[VALOR])*1),IF(J44&gt;=1,_xlfn.XLOOKUP($B44,Tabla1[SERVICIO],Tabla1[VALOR]*J44),0))</f>
        <v>0</v>
      </c>
      <c r="L44" s="14"/>
      <c r="M44" s="56" cm="1">
        <f t="array" ref="M44">IF(L44="X",(_xlfn.XLOOKUP($B44,Tabla1[SERVICIO],Tabla1[VALOR])*1),IF(L44&gt;=1,_xlfn.XLOOKUP($B44,Tabla1[SERVICIO],Tabla1[VALOR]*L44),0))</f>
        <v>0</v>
      </c>
      <c r="N44" s="14"/>
      <c r="O44" s="56" cm="1">
        <f t="array" ref="O44">IF(N44="X",(_xlfn.XLOOKUP($B44,Tabla1[SERVICIO],Tabla1[VALOR])*1),IF(N44&gt;=1,_xlfn.XLOOKUP($B44,Tabla1[SERVICIO],Tabla1[VALOR]*N44),0))</f>
        <v>0</v>
      </c>
      <c r="P44" s="14"/>
      <c r="Q44" s="56" cm="1">
        <f t="array" ref="Q44">IF(P44="X",(_xlfn.XLOOKUP($B44,Tabla1[SERVICIO],Tabla1[VALOR])*1),IF(P44&gt;=1,_xlfn.XLOOKUP($B44,Tabla1[SERVICIO],Tabla1[VALOR]*P44),0))</f>
        <v>0</v>
      </c>
      <c r="R44" s="14"/>
      <c r="S44" s="56" cm="1">
        <f t="array" ref="S44">IF(R44="X",(_xlfn.XLOOKUP($B44,Tabla1[SERVICIO],Tabla1[VALOR])*1),IF(R44&gt;=1,_xlfn.XLOOKUP($B44,Tabla1[SERVICIO],Tabla1[VALOR]*R44),0))</f>
        <v>0</v>
      </c>
      <c r="T44" s="14"/>
      <c r="U44" s="56" cm="1">
        <f t="array" ref="U44">IF(T44="X",(_xlfn.XLOOKUP($B44,Tabla1[SERVICIO],Tabla1[VALOR])*1),IF(T44&gt;=1,_xlfn.XLOOKUP($B44,Tabla1[SERVICIO],Tabla1[VALOR]*T44),0))</f>
        <v>0</v>
      </c>
      <c r="V44" s="14"/>
      <c r="W44" s="56" cm="1">
        <f t="array" ref="W44">IF(V44="X",(_xlfn.XLOOKUP($B44,Tabla1[SERVICIO],Tabla1[VALOR])*1),IF(V44&gt;=1,_xlfn.XLOOKUP($B44,Tabla1[SERVICIO],Tabla1[VALOR]*V44),0))</f>
        <v>0</v>
      </c>
      <c r="X44" s="14"/>
      <c r="Y44" s="56" cm="1">
        <f t="array" ref="Y44">IF(X44="X",(_xlfn.XLOOKUP($B44,Tabla1[SERVICIO],Tabla1[VALOR])*1),IF(X44&gt;=1,_xlfn.XLOOKUP($B44,Tabla1[SERVICIO],Tabla1[VALOR]*X44),0))</f>
        <v>0</v>
      </c>
      <c r="Z44" s="14"/>
      <c r="AA44" s="56" cm="1">
        <f t="array" ref="AA44">IF(Z44="X",(_xlfn.XLOOKUP($B44,Tabla1[SERVICIO],Tabla1[VALOR])*1),IF(Z44&gt;=1,_xlfn.XLOOKUP($B44,Tabla1[SERVICIO],Tabla1[VALOR]*Z44),0))</f>
        <v>0</v>
      </c>
      <c r="AB44" s="14"/>
      <c r="AC44" s="56" cm="1">
        <f t="array" ref="AC44">IF(AB44="X",(_xlfn.XLOOKUP($B44,Tabla1[SERVICIO],Tabla1[VALOR])*1),IF(AB44&gt;=1,_xlfn.XLOOKUP($B44,Tabla1[SERVICIO],Tabla1[VALOR]*AB44),0))</f>
        <v>0</v>
      </c>
      <c r="AD44" s="14"/>
      <c r="AE44" s="56" cm="1">
        <f t="array" ref="AE44">IF(AD44="X",(_xlfn.XLOOKUP($B44,Tabla1[SERVICIO],Tabla1[VALOR])*1),IF(AD44&gt;=1,_xlfn.XLOOKUP($B44,Tabla1[SERVICIO],Tabla1[VALOR]*AD44),0))</f>
        <v>0</v>
      </c>
      <c r="AF44" s="14"/>
      <c r="AG44" s="56" cm="1">
        <f t="array" ref="AG44">IF(AF44="X",(_xlfn.XLOOKUP($B44,Tabla1[SERVICIO],Tabla1[VALOR])*1),IF(AF44&gt;=1,_xlfn.XLOOKUP($B44,Tabla1[SERVICIO],Tabla1[VALOR]*AF44),0))</f>
        <v>0</v>
      </c>
      <c r="AH44" s="14"/>
      <c r="AI44" s="56" cm="1">
        <f t="array" ref="AI44">IF(AH44="X",(_xlfn.XLOOKUP($B44,Tabla1[SERVICIO],Tabla1[VALOR])*1),IF(AH44&gt;=1,_xlfn.XLOOKUP($B44,Tabla1[SERVICIO],Tabla1[VALOR]*AH44),0))</f>
        <v>0</v>
      </c>
      <c r="AJ44" s="14"/>
      <c r="AK44" s="56" cm="1">
        <f t="array" ref="AK44">IF(AJ44="X",(_xlfn.XLOOKUP($B44,Tabla1[SERVICIO],Tabla1[VALOR])*1),IF(AJ44&gt;=1,_xlfn.XLOOKUP($B44,Tabla1[SERVICIO],Tabla1[VALOR]*AJ44),0))</f>
        <v>0</v>
      </c>
      <c r="AL44" s="14"/>
      <c r="AM44" s="56" cm="1">
        <f t="array" ref="AM44">IF(AL44="X",(_xlfn.XLOOKUP($B44,Tabla1[SERVICIO],Tabla1[VALOR])*1),IF(AL44&gt;=1,_xlfn.XLOOKUP($B44,Tabla1[SERVICIO],Tabla1[VALOR]*AL44),0))</f>
        <v>0</v>
      </c>
      <c r="AN44" s="89">
        <f t="shared" si="2"/>
        <v>56420.692787682223</v>
      </c>
      <c r="AO44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4" s="37" t="s">
        <v>319</v>
      </c>
      <c r="AQ44" s="127">
        <v>6.8965517241379309E-2</v>
      </c>
      <c r="AR44" s="121">
        <f>+Tabla4678910112247[[#This Row],[MES 1723]]*Tabla4678910112247[[#This Row],[% de las personas que lo usaron]]</f>
        <v>3891.0822612194638</v>
      </c>
      <c r="AS44" s="246" t="s">
        <v>357</v>
      </c>
      <c r="AT44" s="246">
        <v>18</v>
      </c>
    </row>
    <row r="45" spans="1:46" x14ac:dyDescent="0.25">
      <c r="A45" s="7" t="s">
        <v>34</v>
      </c>
      <c r="B45" s="8" t="s">
        <v>35</v>
      </c>
      <c r="C45" s="96" t="str">
        <f>_xlfn.XLOOKUP(Tabla4678910112247[[#This Row],[Servicios del Programa:]],Tabla151[CODIGO],Tabla151[VALOR])</f>
        <v>Consultas</v>
      </c>
      <c r="D45" s="14">
        <v>1</v>
      </c>
      <c r="E45" s="56" cm="1">
        <f t="array" ref="E45">IF(D45="X",(_xlfn.XLOOKUP($B45,Tabla1[SERVICIO],Tabla1[VALOR])*1),IF(D45&gt;=1,_xlfn.XLOOKUP($B45,Tabla1[SERVICIO],Tabla1[VALOR]*D45),0))</f>
        <v>24009.730401318589</v>
      </c>
      <c r="F45" s="8"/>
      <c r="G45" s="56" cm="1">
        <f t="array" ref="G45">IF(F45="X",(_xlfn.XLOOKUP($B45,Tabla1[SERVICIO],Tabla1[VALOR])*1),IF(F45&gt;=1,_xlfn.XLOOKUP($B45,Tabla1[SERVICIO],Tabla1[VALOR]*F45),0))</f>
        <v>0</v>
      </c>
      <c r="H45" s="8"/>
      <c r="I45" s="56" cm="1">
        <f t="array" ref="I45">IF(H45="X",(_xlfn.XLOOKUP($B45,Tabla1[SERVICIO],Tabla1[VALOR])*1),IF(H45&gt;=1,_xlfn.XLOOKUP($B45,Tabla1[SERVICIO],Tabla1[VALOR]*H45),0))</f>
        <v>0</v>
      </c>
      <c r="J45" s="8"/>
      <c r="K45" s="56" cm="1">
        <f t="array" ref="K45">IF(J45="X",(_xlfn.XLOOKUP($B45,Tabla1[SERVICIO],Tabla1[VALOR])*1),IF(J45&gt;=1,_xlfn.XLOOKUP($B45,Tabla1[SERVICIO],Tabla1[VALOR]*J45),0))</f>
        <v>0</v>
      </c>
      <c r="L45" s="8"/>
      <c r="M45" s="56" cm="1">
        <f t="array" ref="M45">IF(L45="X",(_xlfn.XLOOKUP($B45,Tabla1[SERVICIO],Tabla1[VALOR])*1),IF(L45&gt;=1,_xlfn.XLOOKUP($B45,Tabla1[SERVICIO],Tabla1[VALOR]*L45),0))</f>
        <v>0</v>
      </c>
      <c r="N45" s="8"/>
      <c r="O45" s="56" cm="1">
        <f t="array" ref="O45">IF(N45="X",(_xlfn.XLOOKUP($B45,Tabla1[SERVICIO],Tabla1[VALOR])*1),IF(N45&gt;=1,_xlfn.XLOOKUP($B45,Tabla1[SERVICIO],Tabla1[VALOR]*N45),0))</f>
        <v>0</v>
      </c>
      <c r="P45" s="8"/>
      <c r="Q45" s="56" cm="1">
        <f t="array" ref="Q45">IF(P45="X",(_xlfn.XLOOKUP($B45,Tabla1[SERVICIO],Tabla1[VALOR])*1),IF(P45&gt;=1,_xlfn.XLOOKUP($B45,Tabla1[SERVICIO],Tabla1[VALOR]*P45),0))</f>
        <v>0</v>
      </c>
      <c r="R45" s="8"/>
      <c r="S45" s="56" cm="1">
        <f t="array" ref="S45">IF(R45="X",(_xlfn.XLOOKUP($B45,Tabla1[SERVICIO],Tabla1[VALOR])*1),IF(R45&gt;=1,_xlfn.XLOOKUP($B45,Tabla1[SERVICIO],Tabla1[VALOR]*R45),0))</f>
        <v>0</v>
      </c>
      <c r="T45" s="8"/>
      <c r="U45" s="56" cm="1">
        <f t="array" ref="U45">IF(T45="X",(_xlfn.XLOOKUP($B45,Tabla1[SERVICIO],Tabla1[VALOR])*1),IF(T45&gt;=1,_xlfn.XLOOKUP($B45,Tabla1[SERVICIO],Tabla1[VALOR]*T45),0))</f>
        <v>0</v>
      </c>
      <c r="V45" s="8"/>
      <c r="W45" s="56" cm="1">
        <f t="array" ref="W45">IF(V45="X",(_xlfn.XLOOKUP($B45,Tabla1[SERVICIO],Tabla1[VALOR])*1),IF(V45&gt;=1,_xlfn.XLOOKUP($B45,Tabla1[SERVICIO],Tabla1[VALOR]*V45),0))</f>
        <v>0</v>
      </c>
      <c r="X45" s="8"/>
      <c r="Y45" s="56" cm="1">
        <f t="array" ref="Y45">IF(X45="X",(_xlfn.XLOOKUP($B45,Tabla1[SERVICIO],Tabla1[VALOR])*1),IF(X45&gt;=1,_xlfn.XLOOKUP($B45,Tabla1[SERVICIO],Tabla1[VALOR]*X45),0))</f>
        <v>0</v>
      </c>
      <c r="Z45" s="8"/>
      <c r="AA45" s="56" cm="1">
        <f t="array" ref="AA45">IF(Z45="X",(_xlfn.XLOOKUP($B45,Tabla1[SERVICIO],Tabla1[VALOR])*1),IF(Z45&gt;=1,_xlfn.XLOOKUP($B45,Tabla1[SERVICIO],Tabla1[VALOR]*Z45),0))</f>
        <v>0</v>
      </c>
      <c r="AB45" s="8"/>
      <c r="AC45" s="56" cm="1">
        <f t="array" ref="AC45">IF(AB45="X",(_xlfn.XLOOKUP($B45,Tabla1[SERVICIO],Tabla1[VALOR])*1),IF(AB45&gt;=1,_xlfn.XLOOKUP($B45,Tabla1[SERVICIO],Tabla1[VALOR]*AB45),0))</f>
        <v>0</v>
      </c>
      <c r="AD45" s="8"/>
      <c r="AE45" s="56" cm="1">
        <f t="array" ref="AE45">IF(AD45="X",(_xlfn.XLOOKUP($B45,Tabla1[SERVICIO],Tabla1[VALOR])*1),IF(AD45&gt;=1,_xlfn.XLOOKUP($B45,Tabla1[SERVICIO],Tabla1[VALOR]*AD45),0))</f>
        <v>0</v>
      </c>
      <c r="AF45" s="8"/>
      <c r="AG45" s="56" cm="1">
        <f t="array" ref="AG45">IF(AF45="X",(_xlfn.XLOOKUP($B45,Tabla1[SERVICIO],Tabla1[VALOR])*1),IF(AF45&gt;=1,_xlfn.XLOOKUP($B45,Tabla1[SERVICIO],Tabla1[VALOR]*AF45),0))</f>
        <v>0</v>
      </c>
      <c r="AH45" s="8"/>
      <c r="AI45" s="56" cm="1">
        <f t="array" ref="AI45">IF(AH45="X",(_xlfn.XLOOKUP($B45,Tabla1[SERVICIO],Tabla1[VALOR])*1),IF(AH45&gt;=1,_xlfn.XLOOKUP($B45,Tabla1[SERVICIO],Tabla1[VALOR]*AH45),0))</f>
        <v>0</v>
      </c>
      <c r="AJ45" s="8"/>
      <c r="AK45" s="56" cm="1">
        <f t="array" ref="AK45">IF(AJ45="X",(_xlfn.XLOOKUP($B45,Tabla1[SERVICIO],Tabla1[VALOR])*1),IF(AJ45&gt;=1,_xlfn.XLOOKUP($B45,Tabla1[SERVICIO],Tabla1[VALOR]*AJ45),0))</f>
        <v>0</v>
      </c>
      <c r="AL45" s="8"/>
      <c r="AM45" s="56" cm="1">
        <f t="array" ref="AM45">IF(AL45="X",(_xlfn.XLOOKUP($B45,Tabla1[SERVICIO],Tabla1[VALOR])*1),IF(AL45&gt;=1,_xlfn.XLOOKUP($B45,Tabla1[SERVICIO],Tabla1[VALOR]*AL45),0))</f>
        <v>0</v>
      </c>
      <c r="AN45" s="89">
        <f t="shared" si="2"/>
        <v>24009.730401318589</v>
      </c>
      <c r="AO45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5" s="37" t="s">
        <v>319</v>
      </c>
      <c r="AQ45" s="127">
        <v>0</v>
      </c>
      <c r="AR45" s="121">
        <f>+Tabla4678910112247[[#This Row],[MES 1723]]*Tabla4678910112247[[#This Row],[% de las personas que lo usaron]]</f>
        <v>0</v>
      </c>
      <c r="AS45" s="246" t="s">
        <v>357</v>
      </c>
      <c r="AT45" s="246">
        <v>18</v>
      </c>
    </row>
    <row r="46" spans="1:46" x14ac:dyDescent="0.25">
      <c r="A46" s="7" t="s">
        <v>19</v>
      </c>
      <c r="B46" s="8" t="s">
        <v>20</v>
      </c>
      <c r="C46" s="96" t="str">
        <f>_xlfn.XLOOKUP(Tabla4678910112247[[#This Row],[Servicios del Programa:]],Tabla151[CODIGO],Tabla151[VALOR])</f>
        <v>Consultas</v>
      </c>
      <c r="D46" s="14">
        <v>1</v>
      </c>
      <c r="E46" s="56" cm="1">
        <f t="array" ref="E46">IF(D46="X",(_xlfn.XLOOKUP($B46,Tabla1[SERVICIO],Tabla1[VALOR])*1),IF(D46&gt;=1,_xlfn.XLOOKUP($B46,Tabla1[SERVICIO],Tabla1[VALOR]*D46),0))</f>
        <v>67398.098568534639</v>
      </c>
      <c r="F46" s="8"/>
      <c r="G46" s="56" cm="1">
        <f t="array" ref="G46">IF(F46="X",(_xlfn.XLOOKUP($B46,Tabla1[SERVICIO],Tabla1[VALOR])*1),IF(F46&gt;=1,_xlfn.XLOOKUP($B46,Tabla1[SERVICIO],Tabla1[VALOR]*F46),0))</f>
        <v>0</v>
      </c>
      <c r="H46" s="8"/>
      <c r="I46" s="56" cm="1">
        <f t="array" ref="I46">IF(H46="X",(_xlfn.XLOOKUP($B46,Tabla1[SERVICIO],Tabla1[VALOR])*1),IF(H46&gt;=1,_xlfn.XLOOKUP($B46,Tabla1[SERVICIO],Tabla1[VALOR]*H46),0))</f>
        <v>0</v>
      </c>
      <c r="J46" s="8"/>
      <c r="K46" s="56" cm="1">
        <f t="array" ref="K46">IF(J46="X",(_xlfn.XLOOKUP($B46,Tabla1[SERVICIO],Tabla1[VALOR])*1),IF(J46&gt;=1,_xlfn.XLOOKUP($B46,Tabla1[SERVICIO],Tabla1[VALOR]*J46),0))</f>
        <v>0</v>
      </c>
      <c r="L46" s="8"/>
      <c r="M46" s="56" cm="1">
        <f t="array" ref="M46">IF(L46="X",(_xlfn.XLOOKUP($B46,Tabla1[SERVICIO],Tabla1[VALOR])*1),IF(L46&gt;=1,_xlfn.XLOOKUP($B46,Tabla1[SERVICIO],Tabla1[VALOR]*L46),0))</f>
        <v>0</v>
      </c>
      <c r="N46" s="8"/>
      <c r="O46" s="56" cm="1">
        <f t="array" ref="O46">IF(N46="X",(_xlfn.XLOOKUP($B46,Tabla1[SERVICIO],Tabla1[VALOR])*1),IF(N46&gt;=1,_xlfn.XLOOKUP($B46,Tabla1[SERVICIO],Tabla1[VALOR]*N46),0))</f>
        <v>0</v>
      </c>
      <c r="P46" s="8"/>
      <c r="Q46" s="56" cm="1">
        <f t="array" ref="Q46">IF(P46="X",(_xlfn.XLOOKUP($B46,Tabla1[SERVICIO],Tabla1[VALOR])*1),IF(P46&gt;=1,_xlfn.XLOOKUP($B46,Tabla1[SERVICIO],Tabla1[VALOR]*P46),0))</f>
        <v>0</v>
      </c>
      <c r="R46" s="8"/>
      <c r="S46" s="56" cm="1">
        <f t="array" ref="S46">IF(R46="X",(_xlfn.XLOOKUP($B46,Tabla1[SERVICIO],Tabla1[VALOR])*1),IF(R46&gt;=1,_xlfn.XLOOKUP($B46,Tabla1[SERVICIO],Tabla1[VALOR]*R46),0))</f>
        <v>0</v>
      </c>
      <c r="T46" s="8"/>
      <c r="U46" s="56" cm="1">
        <f t="array" ref="U46">IF(T46="X",(_xlfn.XLOOKUP($B46,Tabla1[SERVICIO],Tabla1[VALOR])*1),IF(T46&gt;=1,_xlfn.XLOOKUP($B46,Tabla1[SERVICIO],Tabla1[VALOR]*T46),0))</f>
        <v>0</v>
      </c>
      <c r="V46" s="8"/>
      <c r="W46" s="56" cm="1">
        <f t="array" ref="W46">IF(V46="X",(_xlfn.XLOOKUP($B46,Tabla1[SERVICIO],Tabla1[VALOR])*1),IF(V46&gt;=1,_xlfn.XLOOKUP($B46,Tabla1[SERVICIO],Tabla1[VALOR]*V46),0))</f>
        <v>0</v>
      </c>
      <c r="X46" s="8"/>
      <c r="Y46" s="56" cm="1">
        <f t="array" ref="Y46">IF(X46="X",(_xlfn.XLOOKUP($B46,Tabla1[SERVICIO],Tabla1[VALOR])*1),IF(X46&gt;=1,_xlfn.XLOOKUP($B46,Tabla1[SERVICIO],Tabla1[VALOR]*X46),0))</f>
        <v>0</v>
      </c>
      <c r="Z46" s="8"/>
      <c r="AA46" s="56" cm="1">
        <f t="array" ref="AA46">IF(Z46="X",(_xlfn.XLOOKUP($B46,Tabla1[SERVICIO],Tabla1[VALOR])*1),IF(Z46&gt;=1,_xlfn.XLOOKUP($B46,Tabla1[SERVICIO],Tabla1[VALOR]*Z46),0))</f>
        <v>0</v>
      </c>
      <c r="AB46" s="8"/>
      <c r="AC46" s="56" cm="1">
        <f t="array" ref="AC46">IF(AB46="X",(_xlfn.XLOOKUP($B46,Tabla1[SERVICIO],Tabla1[VALOR])*1),IF(AB46&gt;=1,_xlfn.XLOOKUP($B46,Tabla1[SERVICIO],Tabla1[VALOR]*AB46),0))</f>
        <v>0</v>
      </c>
      <c r="AD46" s="8"/>
      <c r="AE46" s="56" cm="1">
        <f t="array" ref="AE46">IF(AD46="X",(_xlfn.XLOOKUP($B46,Tabla1[SERVICIO],Tabla1[VALOR])*1),IF(AD46&gt;=1,_xlfn.XLOOKUP($B46,Tabla1[SERVICIO],Tabla1[VALOR]*AD46),0))</f>
        <v>0</v>
      </c>
      <c r="AF46" s="8"/>
      <c r="AG46" s="56" cm="1">
        <f t="array" ref="AG46">IF(AF46="X",(_xlfn.XLOOKUP($B46,Tabla1[SERVICIO],Tabla1[VALOR])*1),IF(AF46&gt;=1,_xlfn.XLOOKUP($B46,Tabla1[SERVICIO],Tabla1[VALOR]*AF46),0))</f>
        <v>0</v>
      </c>
      <c r="AH46" s="8"/>
      <c r="AI46" s="56" cm="1">
        <f t="array" ref="AI46">IF(AH46="X",(_xlfn.XLOOKUP($B46,Tabla1[SERVICIO],Tabla1[VALOR])*1),IF(AH46&gt;=1,_xlfn.XLOOKUP($B46,Tabla1[SERVICIO],Tabla1[VALOR]*AH46),0))</f>
        <v>0</v>
      </c>
      <c r="AJ46" s="8"/>
      <c r="AK46" s="56" cm="1">
        <f t="array" ref="AK46">IF(AJ46="X",(_xlfn.XLOOKUP($B46,Tabla1[SERVICIO],Tabla1[VALOR])*1),IF(AJ46&gt;=1,_xlfn.XLOOKUP($B46,Tabla1[SERVICIO],Tabla1[VALOR]*AJ46),0))</f>
        <v>0</v>
      </c>
      <c r="AL46" s="8"/>
      <c r="AM46" s="56" cm="1">
        <f t="array" ref="AM46">IF(AL46="X",(_xlfn.XLOOKUP($B46,Tabla1[SERVICIO],Tabla1[VALOR])*1),IF(AL46&gt;=1,_xlfn.XLOOKUP($B46,Tabla1[SERVICIO],Tabla1[VALOR]*AL46),0))</f>
        <v>0</v>
      </c>
      <c r="AN46" s="89">
        <f t="shared" si="2"/>
        <v>67398.098568534639</v>
      </c>
      <c r="AO46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6" s="37" t="s">
        <v>319</v>
      </c>
      <c r="AQ46" s="127">
        <v>0.1206896551724138</v>
      </c>
      <c r="AR46" s="121">
        <f>+Tabla4678910112247[[#This Row],[MES 1723]]*Tabla4678910112247[[#This Row],[% de las personas que lo usaron]]</f>
        <v>8134.2532755128013</v>
      </c>
      <c r="AS46" s="246" t="s">
        <v>357</v>
      </c>
      <c r="AT46" s="246">
        <v>18</v>
      </c>
    </row>
    <row r="47" spans="1:46" x14ac:dyDescent="0.25">
      <c r="A47" s="7" t="s">
        <v>21</v>
      </c>
      <c r="B47" s="8" t="s">
        <v>221</v>
      </c>
      <c r="C47" s="96" t="str">
        <f>_xlfn.XLOOKUP(Tabla4678910112247[[#This Row],[Servicios del Programa:]],Tabla151[CODIGO],Tabla151[VALOR])</f>
        <v>Consultas</v>
      </c>
      <c r="D47" s="14">
        <v>1</v>
      </c>
      <c r="E47" s="56" cm="1">
        <f t="array" ref="E47">IF(D47="X",(_xlfn.XLOOKUP($B47,Tabla1[SERVICIO],Tabla1[VALOR])*1),IF(D47&gt;=1,_xlfn.XLOOKUP($B47,Tabla1[SERVICIO],Tabla1[VALOR]*D47),0))</f>
        <v>67398.098568534639</v>
      </c>
      <c r="F47" s="14"/>
      <c r="G47" s="56" cm="1">
        <f t="array" ref="G47">IF(F47="X",(_xlfn.XLOOKUP($B47,Tabla1[SERVICIO],Tabla1[VALOR])*1),IF(F47&gt;=1,_xlfn.XLOOKUP($B47,Tabla1[SERVICIO],Tabla1[VALOR]*F47),0))</f>
        <v>0</v>
      </c>
      <c r="H47" s="14"/>
      <c r="I47" s="56" cm="1">
        <f t="array" ref="I47">IF(H47="X",(_xlfn.XLOOKUP($B47,Tabla1[SERVICIO],Tabla1[VALOR])*1),IF(H47&gt;=1,_xlfn.XLOOKUP($B47,Tabla1[SERVICIO],Tabla1[VALOR]*H47),0))</f>
        <v>0</v>
      </c>
      <c r="J47" s="14"/>
      <c r="K47" s="56" cm="1">
        <f t="array" ref="K47">IF(J47="X",(_xlfn.XLOOKUP($B47,Tabla1[SERVICIO],Tabla1[VALOR])*1),IF(J47&gt;=1,_xlfn.XLOOKUP($B47,Tabla1[SERVICIO],Tabla1[VALOR]*J47),0))</f>
        <v>0</v>
      </c>
      <c r="L47" s="14"/>
      <c r="M47" s="56" cm="1">
        <f t="array" ref="M47">IF(L47="X",(_xlfn.XLOOKUP($B47,Tabla1[SERVICIO],Tabla1[VALOR])*1),IF(L47&gt;=1,_xlfn.XLOOKUP($B47,Tabla1[SERVICIO],Tabla1[VALOR]*L47),0))</f>
        <v>0</v>
      </c>
      <c r="N47" s="14"/>
      <c r="O47" s="56" cm="1">
        <f t="array" ref="O47">IF(N47="X",(_xlfn.XLOOKUP($B47,Tabla1[SERVICIO],Tabla1[VALOR])*1),IF(N47&gt;=1,_xlfn.XLOOKUP($B47,Tabla1[SERVICIO],Tabla1[VALOR]*N47),0))</f>
        <v>0</v>
      </c>
      <c r="P47" s="14"/>
      <c r="Q47" s="56" cm="1">
        <f t="array" ref="Q47">IF(P47="X",(_xlfn.XLOOKUP($B47,Tabla1[SERVICIO],Tabla1[VALOR])*1),IF(P47&gt;=1,_xlfn.XLOOKUP($B47,Tabla1[SERVICIO],Tabla1[VALOR]*P47),0))</f>
        <v>0</v>
      </c>
      <c r="R47" s="14"/>
      <c r="S47" s="56" cm="1">
        <f t="array" ref="S47">IF(R47="X",(_xlfn.XLOOKUP($B47,Tabla1[SERVICIO],Tabla1[VALOR])*1),IF(R47&gt;=1,_xlfn.XLOOKUP($B47,Tabla1[SERVICIO],Tabla1[VALOR]*R47),0))</f>
        <v>0</v>
      </c>
      <c r="T47" s="14"/>
      <c r="U47" s="56" cm="1">
        <f t="array" ref="U47">IF(T47="X",(_xlfn.XLOOKUP($B47,Tabla1[SERVICIO],Tabla1[VALOR])*1),IF(T47&gt;=1,_xlfn.XLOOKUP($B47,Tabla1[SERVICIO],Tabla1[VALOR]*T47),0))</f>
        <v>0</v>
      </c>
      <c r="V47" s="14"/>
      <c r="W47" s="56" cm="1">
        <f t="array" ref="W47">IF(V47="X",(_xlfn.XLOOKUP($B47,Tabla1[SERVICIO],Tabla1[VALOR])*1),IF(V47&gt;=1,_xlfn.XLOOKUP($B47,Tabla1[SERVICIO],Tabla1[VALOR]*V47),0))</f>
        <v>0</v>
      </c>
      <c r="X47" s="14"/>
      <c r="Y47" s="56" cm="1">
        <f t="array" ref="Y47">IF(X47="X",(_xlfn.XLOOKUP($B47,Tabla1[SERVICIO],Tabla1[VALOR])*1),IF(X47&gt;=1,_xlfn.XLOOKUP($B47,Tabla1[SERVICIO],Tabla1[VALOR]*X47),0))</f>
        <v>0</v>
      </c>
      <c r="Z47" s="14"/>
      <c r="AA47" s="56" cm="1">
        <f t="array" ref="AA47">IF(Z47="X",(_xlfn.XLOOKUP($B47,Tabla1[SERVICIO],Tabla1[VALOR])*1),IF(Z47&gt;=1,_xlfn.XLOOKUP($B47,Tabla1[SERVICIO],Tabla1[VALOR]*Z47),0))</f>
        <v>0</v>
      </c>
      <c r="AB47" s="14"/>
      <c r="AC47" s="56" cm="1">
        <f t="array" ref="AC47">IF(AB47="X",(_xlfn.XLOOKUP($B47,Tabla1[SERVICIO],Tabla1[VALOR])*1),IF(AB47&gt;=1,_xlfn.XLOOKUP($B47,Tabla1[SERVICIO],Tabla1[VALOR]*AB47),0))</f>
        <v>0</v>
      </c>
      <c r="AD47" s="14"/>
      <c r="AE47" s="56" cm="1">
        <f t="array" ref="AE47">IF(AD47="X",(_xlfn.XLOOKUP($B47,Tabla1[SERVICIO],Tabla1[VALOR])*1),IF(AD47&gt;=1,_xlfn.XLOOKUP($B47,Tabla1[SERVICIO],Tabla1[VALOR]*AD47),0))</f>
        <v>0</v>
      </c>
      <c r="AF47" s="14"/>
      <c r="AG47" s="56" cm="1">
        <f t="array" ref="AG47">IF(AF47="X",(_xlfn.XLOOKUP($B47,Tabla1[SERVICIO],Tabla1[VALOR])*1),IF(AF47&gt;=1,_xlfn.XLOOKUP($B47,Tabla1[SERVICIO],Tabla1[VALOR]*AF47),0))</f>
        <v>0</v>
      </c>
      <c r="AH47" s="14"/>
      <c r="AI47" s="56" cm="1">
        <f t="array" ref="AI47">IF(AH47="X",(_xlfn.XLOOKUP($B47,Tabla1[SERVICIO],Tabla1[VALOR])*1),IF(AH47&gt;=1,_xlfn.XLOOKUP($B47,Tabla1[SERVICIO],Tabla1[VALOR]*AH47),0))</f>
        <v>0</v>
      </c>
      <c r="AJ47" s="14"/>
      <c r="AK47" s="56" cm="1">
        <f t="array" ref="AK47">IF(AJ47="X",(_xlfn.XLOOKUP($B47,Tabla1[SERVICIO],Tabla1[VALOR])*1),IF(AJ47&gt;=1,_xlfn.XLOOKUP($B47,Tabla1[SERVICIO],Tabla1[VALOR]*AJ47),0))</f>
        <v>0</v>
      </c>
      <c r="AL47" s="14"/>
      <c r="AM47" s="56" cm="1">
        <f t="array" ref="AM47">IF(AL47="X",(_xlfn.XLOOKUP($B47,Tabla1[SERVICIO],Tabla1[VALOR])*1),IF(AL47&gt;=1,_xlfn.XLOOKUP($B47,Tabla1[SERVICIO],Tabla1[VALOR]*AL47),0))</f>
        <v>0</v>
      </c>
      <c r="AN47" s="89">
        <f t="shared" si="2"/>
        <v>67398.098568534639</v>
      </c>
      <c r="AO47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7" s="122" t="s">
        <v>318</v>
      </c>
      <c r="AQ47" s="127">
        <v>1</v>
      </c>
      <c r="AR47" s="121">
        <f>+Tabla4678910112247[[#This Row],[MES 1723]]*Tabla4678910112247[[#This Row],[% de las personas que lo usaron]]</f>
        <v>67398.098568534639</v>
      </c>
      <c r="AS47" s="246" t="s">
        <v>357</v>
      </c>
      <c r="AT47" s="246">
        <v>18</v>
      </c>
    </row>
    <row r="48" spans="1:46" x14ac:dyDescent="0.25">
      <c r="A48" s="7" t="s">
        <v>27</v>
      </c>
      <c r="B48" s="8" t="s">
        <v>223</v>
      </c>
      <c r="C48" s="96" t="str">
        <f>_xlfn.XLOOKUP(Tabla4678910112247[[#This Row],[Servicios del Programa:]],Tabla151[CODIGO],Tabla151[VALOR])</f>
        <v>Diagnosticos</v>
      </c>
      <c r="D48" s="14">
        <v>1</v>
      </c>
      <c r="E48" s="56" cm="1">
        <f t="array" ref="E48">IF(D48="X",(_xlfn.XLOOKUP($B48,Tabla1[SERVICIO],Tabla1[VALOR])*1),IF(D48&gt;=1,_xlfn.XLOOKUP($B48,Tabla1[SERVICIO],Tabla1[VALOR]*D48),0))</f>
        <v>43480.816890660324</v>
      </c>
      <c r="F48" s="8"/>
      <c r="G48" s="56" cm="1">
        <f t="array" ref="G48">IF(F48="X",(_xlfn.XLOOKUP($B48,Tabla1[SERVICIO],Tabla1[VALOR])*1),IF(F48&gt;=1,_xlfn.XLOOKUP($B48,Tabla1[SERVICIO],Tabla1[VALOR]*F48),0))</f>
        <v>0</v>
      </c>
      <c r="H48" s="8"/>
      <c r="I48" s="56" cm="1">
        <f t="array" ref="I48">IF(H48="X",(_xlfn.XLOOKUP($B48,Tabla1[SERVICIO],Tabla1[VALOR])*1),IF(H48&gt;=1,_xlfn.XLOOKUP($B48,Tabla1[SERVICIO],Tabla1[VALOR]*H48),0))</f>
        <v>0</v>
      </c>
      <c r="J48" s="8"/>
      <c r="K48" s="56" cm="1">
        <f t="array" ref="K48">IF(J48="X",(_xlfn.XLOOKUP($B48,Tabla1[SERVICIO],Tabla1[VALOR])*1),IF(J48&gt;=1,_xlfn.XLOOKUP($B48,Tabla1[SERVICIO],Tabla1[VALOR]*J48),0))</f>
        <v>0</v>
      </c>
      <c r="L48" s="8"/>
      <c r="M48" s="56" cm="1">
        <f t="array" ref="M48">IF(L48="X",(_xlfn.XLOOKUP($B48,Tabla1[SERVICIO],Tabla1[VALOR])*1),IF(L48&gt;=1,_xlfn.XLOOKUP($B48,Tabla1[SERVICIO],Tabla1[VALOR]*L48),0))</f>
        <v>0</v>
      </c>
      <c r="N48" s="8"/>
      <c r="O48" s="56" cm="1">
        <f t="array" ref="O48">IF(N48="X",(_xlfn.XLOOKUP($B48,Tabla1[SERVICIO],Tabla1[VALOR])*1),IF(N48&gt;=1,_xlfn.XLOOKUP($B48,Tabla1[SERVICIO],Tabla1[VALOR]*N48),0))</f>
        <v>0</v>
      </c>
      <c r="P48" s="8"/>
      <c r="Q48" s="56" cm="1">
        <f t="array" ref="Q48">IF(P48="X",(_xlfn.XLOOKUP($B48,Tabla1[SERVICIO],Tabla1[VALOR])*1),IF(P48&gt;=1,_xlfn.XLOOKUP($B48,Tabla1[SERVICIO],Tabla1[VALOR]*P48),0))</f>
        <v>0</v>
      </c>
      <c r="R48" s="8"/>
      <c r="S48" s="56" cm="1">
        <f t="array" ref="S48">IF(R48="X",(_xlfn.XLOOKUP($B48,Tabla1[SERVICIO],Tabla1[VALOR])*1),IF(R48&gt;=1,_xlfn.XLOOKUP($B48,Tabla1[SERVICIO],Tabla1[VALOR]*R48),0))</f>
        <v>0</v>
      </c>
      <c r="T48" s="8"/>
      <c r="U48" s="56" cm="1">
        <f t="array" ref="U48">IF(T48="X",(_xlfn.XLOOKUP($B48,Tabla1[SERVICIO],Tabla1[VALOR])*1),IF(T48&gt;=1,_xlfn.XLOOKUP($B48,Tabla1[SERVICIO],Tabla1[VALOR]*T48),0))</f>
        <v>0</v>
      </c>
      <c r="V48" s="8"/>
      <c r="W48" s="56" cm="1">
        <f t="array" ref="W48">IF(V48="X",(_xlfn.XLOOKUP($B48,Tabla1[SERVICIO],Tabla1[VALOR])*1),IF(V48&gt;=1,_xlfn.XLOOKUP($B48,Tabla1[SERVICIO],Tabla1[VALOR]*V48),0))</f>
        <v>0</v>
      </c>
      <c r="X48" s="8"/>
      <c r="Y48" s="56" cm="1">
        <f t="array" ref="Y48">IF(X48="X",(_xlfn.XLOOKUP($B48,Tabla1[SERVICIO],Tabla1[VALOR])*1),IF(X48&gt;=1,_xlfn.XLOOKUP($B48,Tabla1[SERVICIO],Tabla1[VALOR]*X48),0))</f>
        <v>0</v>
      </c>
      <c r="Z48" s="8"/>
      <c r="AA48" s="56" cm="1">
        <f t="array" ref="AA48">IF(Z48="X",(_xlfn.XLOOKUP($B48,Tabla1[SERVICIO],Tabla1[VALOR])*1),IF(Z48&gt;=1,_xlfn.XLOOKUP($B48,Tabla1[SERVICIO],Tabla1[VALOR]*Z48),0))</f>
        <v>0</v>
      </c>
      <c r="AB48" s="8"/>
      <c r="AC48" s="56" cm="1">
        <f t="array" ref="AC48">IF(AB48="X",(_xlfn.XLOOKUP($B48,Tabla1[SERVICIO],Tabla1[VALOR])*1),IF(AB48&gt;=1,_xlfn.XLOOKUP($B48,Tabla1[SERVICIO],Tabla1[VALOR]*AB48),0))</f>
        <v>0</v>
      </c>
      <c r="AD48" s="8"/>
      <c r="AE48" s="56" cm="1">
        <f t="array" ref="AE48">IF(AD48="X",(_xlfn.XLOOKUP($B48,Tabla1[SERVICIO],Tabla1[VALOR])*1),IF(AD48&gt;=1,_xlfn.XLOOKUP($B48,Tabla1[SERVICIO],Tabla1[VALOR]*AD48),0))</f>
        <v>0</v>
      </c>
      <c r="AF48" s="8"/>
      <c r="AG48" s="56" cm="1">
        <f t="array" ref="AG48">IF(AF48="X",(_xlfn.XLOOKUP($B48,Tabla1[SERVICIO],Tabla1[VALOR])*1),IF(AF48&gt;=1,_xlfn.XLOOKUP($B48,Tabla1[SERVICIO],Tabla1[VALOR]*AF48),0))</f>
        <v>0</v>
      </c>
      <c r="AH48" s="8"/>
      <c r="AI48" s="56" cm="1">
        <f t="array" ref="AI48">IF(AH48="X",(_xlfn.XLOOKUP($B48,Tabla1[SERVICIO],Tabla1[VALOR])*1),IF(AH48&gt;=1,_xlfn.XLOOKUP($B48,Tabla1[SERVICIO],Tabla1[VALOR]*AH48),0))</f>
        <v>0</v>
      </c>
      <c r="AJ48" s="8"/>
      <c r="AK48" s="56" cm="1">
        <f t="array" ref="AK48">IF(AJ48="X",(_xlfn.XLOOKUP($B48,Tabla1[SERVICIO],Tabla1[VALOR])*1),IF(AJ48&gt;=1,_xlfn.XLOOKUP($B48,Tabla1[SERVICIO],Tabla1[VALOR]*AJ48),0))</f>
        <v>0</v>
      </c>
      <c r="AL48" s="14"/>
      <c r="AM48" s="56" cm="1">
        <f t="array" ref="AM48">IF(AL48="X",(_xlfn.XLOOKUP($B48,Tabla1[SERVICIO],Tabla1[VALOR])*1),IF(AL48&gt;=1,_xlfn.XLOOKUP($B48,Tabla1[SERVICIO],Tabla1[VALOR]*AL48),0))</f>
        <v>0</v>
      </c>
      <c r="AN48" s="89">
        <f t="shared" si="2"/>
        <v>43480.816890660324</v>
      </c>
      <c r="AO48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8" s="37" t="s">
        <v>319</v>
      </c>
      <c r="AQ48" s="127">
        <v>0.39655172413793105</v>
      </c>
      <c r="AR48" s="121">
        <f>+Tabla4678910112247[[#This Row],[MES 1723]]*Tabla4678910112247[[#This Row],[% de las personas que lo usaron]]</f>
        <v>17242.392904917026</v>
      </c>
      <c r="AS48" s="246" t="s">
        <v>357</v>
      </c>
      <c r="AT48" s="246">
        <v>18</v>
      </c>
    </row>
    <row r="49" spans="1:46" x14ac:dyDescent="0.25">
      <c r="A49" s="7" t="s">
        <v>25</v>
      </c>
      <c r="B49" s="8" t="s">
        <v>226</v>
      </c>
      <c r="C49" s="96" t="str">
        <f>_xlfn.XLOOKUP(Tabla4678910112247[[#This Row],[Servicios del Programa:]],Tabla151[CODIGO],Tabla151[VALOR])</f>
        <v>Diagnosticos</v>
      </c>
      <c r="D49" s="14">
        <v>1</v>
      </c>
      <c r="E49" s="56" cm="1">
        <f t="array" ref="E49">IF(D49="X",(_xlfn.XLOOKUP($B49,Tabla1[SERVICIO],Tabla1[VALOR])*1),IF(D49&gt;=1,_xlfn.XLOOKUP($B49,Tabla1[SERVICIO],Tabla1[VALOR]*D49),0))</f>
        <v>19392.627189167735</v>
      </c>
      <c r="F49" s="8"/>
      <c r="G49" s="56" cm="1">
        <f t="array" ref="G49">IF(F49="X",(_xlfn.XLOOKUP($B49,Tabla1[SERVICIO],Tabla1[VALOR])*1),IF(F49&gt;=1,_xlfn.XLOOKUP($B49,Tabla1[SERVICIO],Tabla1[VALOR]*F49),0))</f>
        <v>0</v>
      </c>
      <c r="H49" s="8"/>
      <c r="I49" s="56" cm="1">
        <f t="array" ref="I49">IF(H49="X",(_xlfn.XLOOKUP($B49,Tabla1[SERVICIO],Tabla1[VALOR])*1),IF(H49&gt;=1,_xlfn.XLOOKUP($B49,Tabla1[SERVICIO],Tabla1[VALOR]*H49),0))</f>
        <v>0</v>
      </c>
      <c r="J49" s="8"/>
      <c r="K49" s="56" cm="1">
        <f t="array" ref="K49">IF(J49="X",(_xlfn.XLOOKUP($B49,Tabla1[SERVICIO],Tabla1[VALOR])*1),IF(J49&gt;=1,_xlfn.XLOOKUP($B49,Tabla1[SERVICIO],Tabla1[VALOR]*J49),0))</f>
        <v>0</v>
      </c>
      <c r="L49" s="8"/>
      <c r="M49" s="56" cm="1">
        <f t="array" ref="M49">IF(L49="X",(_xlfn.XLOOKUP($B49,Tabla1[SERVICIO],Tabla1[VALOR])*1),IF(L49&gt;=1,_xlfn.XLOOKUP($B49,Tabla1[SERVICIO],Tabla1[VALOR]*L49),0))</f>
        <v>0</v>
      </c>
      <c r="N49" s="8"/>
      <c r="O49" s="56" cm="1">
        <f t="array" ref="O49">IF(N49="X",(_xlfn.XLOOKUP($B49,Tabla1[SERVICIO],Tabla1[VALOR])*1),IF(N49&gt;=1,_xlfn.XLOOKUP($B49,Tabla1[SERVICIO],Tabla1[VALOR]*N49),0))</f>
        <v>0</v>
      </c>
      <c r="P49" s="8"/>
      <c r="Q49" s="56" cm="1">
        <f t="array" ref="Q49">IF(P49="X",(_xlfn.XLOOKUP($B49,Tabla1[SERVICIO],Tabla1[VALOR])*1),IF(P49&gt;=1,_xlfn.XLOOKUP($B49,Tabla1[SERVICIO],Tabla1[VALOR]*P49),0))</f>
        <v>0</v>
      </c>
      <c r="R49" s="8"/>
      <c r="S49" s="56" cm="1">
        <f t="array" ref="S49">IF(R49="X",(_xlfn.XLOOKUP($B49,Tabla1[SERVICIO],Tabla1[VALOR])*1),IF(R49&gt;=1,_xlfn.XLOOKUP($B49,Tabla1[SERVICIO],Tabla1[VALOR]*R49),0))</f>
        <v>0</v>
      </c>
      <c r="T49" s="8"/>
      <c r="U49" s="56" cm="1">
        <f t="array" ref="U49">IF(T49="X",(_xlfn.XLOOKUP($B49,Tabla1[SERVICIO],Tabla1[VALOR])*1),IF(T49&gt;=1,_xlfn.XLOOKUP($B49,Tabla1[SERVICIO],Tabla1[VALOR]*T49),0))</f>
        <v>0</v>
      </c>
      <c r="V49" s="8"/>
      <c r="W49" s="56" cm="1">
        <f t="array" ref="W49">IF(V49="X",(_xlfn.XLOOKUP($B49,Tabla1[SERVICIO],Tabla1[VALOR])*1),IF(V49&gt;=1,_xlfn.XLOOKUP($B49,Tabla1[SERVICIO],Tabla1[VALOR]*V49),0))</f>
        <v>0</v>
      </c>
      <c r="X49" s="8"/>
      <c r="Y49" s="56" cm="1">
        <f t="array" ref="Y49">IF(X49="X",(_xlfn.XLOOKUP($B49,Tabla1[SERVICIO],Tabla1[VALOR])*1),IF(X49&gt;=1,_xlfn.XLOOKUP($B49,Tabla1[SERVICIO],Tabla1[VALOR]*X49),0))</f>
        <v>0</v>
      </c>
      <c r="Z49" s="8"/>
      <c r="AA49" s="56" cm="1">
        <f t="array" ref="AA49">IF(Z49="X",(_xlfn.XLOOKUP($B49,Tabla1[SERVICIO],Tabla1[VALOR])*1),IF(Z49&gt;=1,_xlfn.XLOOKUP($B49,Tabla1[SERVICIO],Tabla1[VALOR]*Z49),0))</f>
        <v>0</v>
      </c>
      <c r="AB49" s="8"/>
      <c r="AC49" s="56" cm="1">
        <f t="array" ref="AC49">IF(AB49="X",(_xlfn.XLOOKUP($B49,Tabla1[SERVICIO],Tabla1[VALOR])*1),IF(AB49&gt;=1,_xlfn.XLOOKUP($B49,Tabla1[SERVICIO],Tabla1[VALOR]*AB49),0))</f>
        <v>0</v>
      </c>
      <c r="AD49" s="8"/>
      <c r="AE49" s="56" cm="1">
        <f t="array" ref="AE49">IF(AD49="X",(_xlfn.XLOOKUP($B49,Tabla1[SERVICIO],Tabla1[VALOR])*1),IF(AD49&gt;=1,_xlfn.XLOOKUP($B49,Tabla1[SERVICIO],Tabla1[VALOR]*AD49),0))</f>
        <v>0</v>
      </c>
      <c r="AF49" s="8"/>
      <c r="AG49" s="56" cm="1">
        <f t="array" ref="AG49">IF(AF49="X",(_xlfn.XLOOKUP($B49,Tabla1[SERVICIO],Tabla1[VALOR])*1),IF(AF49&gt;=1,_xlfn.XLOOKUP($B49,Tabla1[SERVICIO],Tabla1[VALOR]*AF49),0))</f>
        <v>0</v>
      </c>
      <c r="AH49" s="8"/>
      <c r="AI49" s="56" cm="1">
        <f t="array" ref="AI49">IF(AH49="X",(_xlfn.XLOOKUP($B49,Tabla1[SERVICIO],Tabla1[VALOR])*1),IF(AH49&gt;=1,_xlfn.XLOOKUP($B49,Tabla1[SERVICIO],Tabla1[VALOR]*AH49),0))</f>
        <v>0</v>
      </c>
      <c r="AJ49" s="8"/>
      <c r="AK49" s="56" cm="1">
        <f t="array" ref="AK49">IF(AJ49="X",(_xlfn.XLOOKUP($B49,Tabla1[SERVICIO],Tabla1[VALOR])*1),IF(AJ49&gt;=1,_xlfn.XLOOKUP($B49,Tabla1[SERVICIO],Tabla1[VALOR]*AJ49),0))</f>
        <v>0</v>
      </c>
      <c r="AL49" s="14"/>
      <c r="AM49" s="56" cm="1">
        <f t="array" ref="AM49">IF(AL49="X",(_xlfn.XLOOKUP($B49,Tabla1[SERVICIO],Tabla1[VALOR])*1),IF(AL49&gt;=1,_xlfn.XLOOKUP($B49,Tabla1[SERVICIO],Tabla1[VALOR]*AL49),0))</f>
        <v>0</v>
      </c>
      <c r="AN49" s="89">
        <f t="shared" si="2"/>
        <v>19392.627189167735</v>
      </c>
      <c r="AO49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9" s="37" t="s">
        <v>319</v>
      </c>
      <c r="AQ49" s="127">
        <v>0.22413793103448276</v>
      </c>
      <c r="AR49" s="121">
        <f>+Tabla4678910112247[[#This Row],[MES 1723]]*Tabla4678910112247[[#This Row],[% de las personas que lo usaron]]</f>
        <v>4346.6233355031127</v>
      </c>
      <c r="AS49" s="246" t="s">
        <v>357</v>
      </c>
      <c r="AT49" s="246">
        <v>18</v>
      </c>
    </row>
    <row r="50" spans="1:46" x14ac:dyDescent="0.25">
      <c r="A50" s="7" t="s">
        <v>42</v>
      </c>
      <c r="B50" s="55" t="s">
        <v>228</v>
      </c>
      <c r="C50" s="96" t="str">
        <f>_xlfn.XLOOKUP(Tabla4678910112247[[#This Row],[Servicios del Programa:]],Tabla151[CODIGO],Tabla151[VALOR])</f>
        <v>Terapias</v>
      </c>
      <c r="D50" s="14">
        <v>1</v>
      </c>
      <c r="E50" s="56" cm="1">
        <f t="array" ref="E50">IF(D50="X",(_xlfn.XLOOKUP($B50,Tabla1[SERVICIO],Tabla1[VALOR])*1),IF(D50&gt;=1,_xlfn.XLOOKUP($B50,Tabla1[SERVICIO],Tabla1[VALOR]*D50),0))</f>
        <v>31714.220952863223</v>
      </c>
      <c r="F50" s="8"/>
      <c r="G50" s="56" cm="1">
        <f t="array" ref="G50">IF(F50="X",(_xlfn.XLOOKUP($B50,Tabla1[SERVICIO],Tabla1[VALOR])*1),IF(F50&gt;=1,_xlfn.XLOOKUP($B50,Tabla1[SERVICIO],Tabla1[VALOR]*F50),0))</f>
        <v>0</v>
      </c>
      <c r="H50" s="8"/>
      <c r="I50" s="56" cm="1">
        <f t="array" ref="I50">IF(H50="X",(_xlfn.XLOOKUP($B50,Tabla1[SERVICIO],Tabla1[VALOR])*1),IF(H50&gt;=1,_xlfn.XLOOKUP($B50,Tabla1[SERVICIO],Tabla1[VALOR]*H50),0))</f>
        <v>0</v>
      </c>
      <c r="J50" s="8"/>
      <c r="K50" s="56" cm="1">
        <f t="array" ref="K50">IF(J50="X",(_xlfn.XLOOKUP($B50,Tabla1[SERVICIO],Tabla1[VALOR])*1),IF(J50&gt;=1,_xlfn.XLOOKUP($B50,Tabla1[SERVICIO],Tabla1[VALOR]*J50),0))</f>
        <v>0</v>
      </c>
      <c r="L50" s="8"/>
      <c r="M50" s="56" cm="1">
        <f t="array" ref="M50">IF(L50="X",(_xlfn.XLOOKUP($B50,Tabla1[SERVICIO],Tabla1[VALOR])*1),IF(L50&gt;=1,_xlfn.XLOOKUP($B50,Tabla1[SERVICIO],Tabla1[VALOR]*L50),0))</f>
        <v>0</v>
      </c>
      <c r="N50" s="8"/>
      <c r="O50" s="56" cm="1">
        <f t="array" ref="O50">IF(N50="X",(_xlfn.XLOOKUP($B50,Tabla1[SERVICIO],Tabla1[VALOR])*1),IF(N50&gt;=1,_xlfn.XLOOKUP($B50,Tabla1[SERVICIO],Tabla1[VALOR]*N50),0))</f>
        <v>0</v>
      </c>
      <c r="P50" s="8"/>
      <c r="Q50" s="56" cm="1">
        <f t="array" ref="Q50">IF(P50="X",(_xlfn.XLOOKUP($B50,Tabla1[SERVICIO],Tabla1[VALOR])*1),IF(P50&gt;=1,_xlfn.XLOOKUP($B50,Tabla1[SERVICIO],Tabla1[VALOR]*P50),0))</f>
        <v>0</v>
      </c>
      <c r="R50" s="8"/>
      <c r="S50" s="56" cm="1">
        <f t="array" ref="S50">IF(R50="X",(_xlfn.XLOOKUP($B50,Tabla1[SERVICIO],Tabla1[VALOR])*1),IF(R50&gt;=1,_xlfn.XLOOKUP($B50,Tabla1[SERVICIO],Tabla1[VALOR]*R50),0))</f>
        <v>0</v>
      </c>
      <c r="T50" s="8"/>
      <c r="U50" s="56" cm="1">
        <f t="array" ref="U50">IF(T50="X",(_xlfn.XLOOKUP($B50,Tabla1[SERVICIO],Tabla1[VALOR])*1),IF(T50&gt;=1,_xlfn.XLOOKUP($B50,Tabla1[SERVICIO],Tabla1[VALOR]*T50),0))</f>
        <v>0</v>
      </c>
      <c r="V50" s="8"/>
      <c r="W50" s="56" cm="1">
        <f t="array" ref="W50">IF(V50="X",(_xlfn.XLOOKUP($B50,Tabla1[SERVICIO],Tabla1[VALOR])*1),IF(V50&gt;=1,_xlfn.XLOOKUP($B50,Tabla1[SERVICIO],Tabla1[VALOR]*V50),0))</f>
        <v>0</v>
      </c>
      <c r="X50" s="8"/>
      <c r="Y50" s="56" cm="1">
        <f t="array" ref="Y50">IF(X50="X",(_xlfn.XLOOKUP($B50,Tabla1[SERVICIO],Tabla1[VALOR])*1),IF(X50&gt;=1,_xlfn.XLOOKUP($B50,Tabla1[SERVICIO],Tabla1[VALOR]*X50),0))</f>
        <v>0</v>
      </c>
      <c r="Z50" s="8"/>
      <c r="AA50" s="56" cm="1">
        <f t="array" ref="AA50">IF(Z50="X",(_xlfn.XLOOKUP($B50,Tabla1[SERVICIO],Tabla1[VALOR])*1),IF(Z50&gt;=1,_xlfn.XLOOKUP($B50,Tabla1[SERVICIO],Tabla1[VALOR]*Z50),0))</f>
        <v>0</v>
      </c>
      <c r="AB50" s="8"/>
      <c r="AC50" s="56" cm="1">
        <f t="array" ref="AC50">IF(AB50="X",(_xlfn.XLOOKUP($B50,Tabla1[SERVICIO],Tabla1[VALOR])*1),IF(AB50&gt;=1,_xlfn.XLOOKUP($B50,Tabla1[SERVICIO],Tabla1[VALOR]*AB50),0))</f>
        <v>0</v>
      </c>
      <c r="AD50" s="8"/>
      <c r="AE50" s="56" cm="1">
        <f t="array" ref="AE50">IF(AD50="X",(_xlfn.XLOOKUP($B50,Tabla1[SERVICIO],Tabla1[VALOR])*1),IF(AD50&gt;=1,_xlfn.XLOOKUP($B50,Tabla1[SERVICIO],Tabla1[VALOR]*AD50),0))</f>
        <v>0</v>
      </c>
      <c r="AF50" s="8"/>
      <c r="AG50" s="56" cm="1">
        <f t="array" ref="AG50">IF(AF50="X",(_xlfn.XLOOKUP($B50,Tabla1[SERVICIO],Tabla1[VALOR])*1),IF(AF50&gt;=1,_xlfn.XLOOKUP($B50,Tabla1[SERVICIO],Tabla1[VALOR]*AF50),0))</f>
        <v>0</v>
      </c>
      <c r="AH50" s="8"/>
      <c r="AI50" s="56" cm="1">
        <f t="array" ref="AI50">IF(AH50="X",(_xlfn.XLOOKUP($B50,Tabla1[SERVICIO],Tabla1[VALOR])*1),IF(AH50&gt;=1,_xlfn.XLOOKUP($B50,Tabla1[SERVICIO],Tabla1[VALOR]*AH50),0))</f>
        <v>0</v>
      </c>
      <c r="AJ50" s="8"/>
      <c r="AK50" s="56" cm="1">
        <f t="array" ref="AK50">IF(AJ50="X",(_xlfn.XLOOKUP($B50,Tabla1[SERVICIO],Tabla1[VALOR])*1),IF(AJ50&gt;=1,_xlfn.XLOOKUP($B50,Tabla1[SERVICIO],Tabla1[VALOR]*AJ50),0))</f>
        <v>0</v>
      </c>
      <c r="AL50" s="14"/>
      <c r="AM50" s="56" cm="1">
        <f t="array" ref="AM50">IF(AL50="X",(_xlfn.XLOOKUP($B50,Tabla1[SERVICIO],Tabla1[VALOR])*1),IF(AL50&gt;=1,_xlfn.XLOOKUP($B50,Tabla1[SERVICIO],Tabla1[VALOR]*AL50),0))</f>
        <v>0</v>
      </c>
      <c r="AN50" s="89">
        <f>SUM(E50,G50,I50,K50,M50,O50,Q50,S50,U50,W50+Y50,AA50,AC50,AE50,AG50,AI50,AK50,AM50)</f>
        <v>31714.220952863223</v>
      </c>
      <c r="AO50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0" s="37" t="s">
        <v>319</v>
      </c>
      <c r="AQ50" s="127">
        <v>1.7241379310344827E-2</v>
      </c>
      <c r="AR50" s="121">
        <f>+Tabla4678910112247[[#This Row],[MES 1723]]*Tabla4678910112247[[#This Row],[% de las personas que lo usaron]]</f>
        <v>546.79691298040041</v>
      </c>
      <c r="AS50" s="246" t="s">
        <v>357</v>
      </c>
      <c r="AT50" s="246">
        <v>18</v>
      </c>
    </row>
    <row r="51" spans="1:46" x14ac:dyDescent="0.25">
      <c r="A51" s="7" t="s">
        <v>44</v>
      </c>
      <c r="B51" s="8" t="s">
        <v>229</v>
      </c>
      <c r="C51" s="96" t="str">
        <f>_xlfn.XLOOKUP(Tabla4678910112247[[#This Row],[Servicios del Programa:]],Tabla151[CODIGO],Tabla151[VALOR])</f>
        <v>Terapias</v>
      </c>
      <c r="D51" s="14"/>
      <c r="E51" s="56" cm="1">
        <f t="array" ref="E51">IF(D51="X",(_xlfn.XLOOKUP($B51,Tabla1[SERVICIO],Tabla1[VALOR])*1),IF(D51&gt;=1,_xlfn.XLOOKUP($B51,Tabla1[SERVICIO],Tabla1[VALOR]*D51),0))</f>
        <v>0</v>
      </c>
      <c r="F51" s="14">
        <v>1</v>
      </c>
      <c r="G51" s="56" cm="1">
        <f t="array" ref="G51">IF(F51="X",(_xlfn.XLOOKUP($B51,Tabla1[SERVICIO],Tabla1[VALOR])*1),IF(F51&gt;=1,_xlfn.XLOOKUP($B51,Tabla1[SERVICIO],Tabla1[VALOR]*F51),0))</f>
        <v>31714.220952863223</v>
      </c>
      <c r="H51" s="14"/>
      <c r="I51" s="56" cm="1">
        <f t="array" ref="I51">IF(H51="X",(_xlfn.XLOOKUP($B51,Tabla1[SERVICIO],Tabla1[VALOR])*1),IF(H51&gt;=1,_xlfn.XLOOKUP($B51,Tabla1[SERVICIO],Tabla1[VALOR]*H51),0))</f>
        <v>0</v>
      </c>
      <c r="J51" s="14"/>
      <c r="K51" s="56" cm="1">
        <f t="array" ref="K51">IF(J51="X",(_xlfn.XLOOKUP($B51,Tabla1[SERVICIO],Tabla1[VALOR])*1),IF(J51&gt;=1,_xlfn.XLOOKUP($B51,Tabla1[SERVICIO],Tabla1[VALOR]*J51),0))</f>
        <v>0</v>
      </c>
      <c r="L51" s="14"/>
      <c r="M51" s="56" cm="1">
        <f t="array" ref="M51">IF(L51="X",(_xlfn.XLOOKUP($B51,Tabla1[SERVICIO],Tabla1[VALOR])*1),IF(L51&gt;=1,_xlfn.XLOOKUP($B51,Tabla1[SERVICIO],Tabla1[VALOR]*L51),0))</f>
        <v>0</v>
      </c>
      <c r="N51" s="14"/>
      <c r="O51" s="56" cm="1">
        <f t="array" ref="O51">IF(N51="X",(_xlfn.XLOOKUP($B51,Tabla1[SERVICIO],Tabla1[VALOR])*1),IF(N51&gt;=1,_xlfn.XLOOKUP($B51,Tabla1[SERVICIO],Tabla1[VALOR]*N51),0))</f>
        <v>0</v>
      </c>
      <c r="P51" s="14"/>
      <c r="Q51" s="56" cm="1">
        <f t="array" ref="Q51">IF(P51="X",(_xlfn.XLOOKUP($B51,Tabla1[SERVICIO],Tabla1[VALOR])*1),IF(P51&gt;=1,_xlfn.XLOOKUP($B51,Tabla1[SERVICIO],Tabla1[VALOR]*P51),0))</f>
        <v>0</v>
      </c>
      <c r="R51" s="14"/>
      <c r="S51" s="56" cm="1">
        <f t="array" ref="S51">IF(R51="X",(_xlfn.XLOOKUP($B51,Tabla1[SERVICIO],Tabla1[VALOR])*1),IF(R51&gt;=1,_xlfn.XLOOKUP($B51,Tabla1[SERVICIO],Tabla1[VALOR]*R51),0))</f>
        <v>0</v>
      </c>
      <c r="T51" s="14"/>
      <c r="U51" s="56" cm="1">
        <f t="array" ref="U51">IF(T51="X",(_xlfn.XLOOKUP($B51,Tabla1[SERVICIO],Tabla1[VALOR])*1),IF(T51&gt;=1,_xlfn.XLOOKUP($B51,Tabla1[SERVICIO],Tabla1[VALOR]*T51),0))</f>
        <v>0</v>
      </c>
      <c r="V51" s="14"/>
      <c r="W51" s="56" cm="1">
        <f t="array" ref="W51">IF(V51="X",(_xlfn.XLOOKUP($B51,Tabla1[SERVICIO],Tabla1[VALOR])*1),IF(V51&gt;=1,_xlfn.XLOOKUP($B51,Tabla1[SERVICIO],Tabla1[VALOR]*V51),0))</f>
        <v>0</v>
      </c>
      <c r="X51" s="14"/>
      <c r="Y51" s="56" cm="1">
        <f t="array" ref="Y51">IF(X51="X",(_xlfn.XLOOKUP($B51,Tabla1[SERVICIO],Tabla1[VALOR])*1),IF(X51&gt;=1,_xlfn.XLOOKUP($B51,Tabla1[SERVICIO],Tabla1[VALOR]*X51),0))</f>
        <v>0</v>
      </c>
      <c r="Z51" s="14"/>
      <c r="AA51" s="56" cm="1">
        <f t="array" ref="AA51">IF(Z51="X",(_xlfn.XLOOKUP($B51,Tabla1[SERVICIO],Tabla1[VALOR])*1),IF(Z51&gt;=1,_xlfn.XLOOKUP($B51,Tabla1[SERVICIO],Tabla1[VALOR]*Z51),0))</f>
        <v>0</v>
      </c>
      <c r="AB51" s="14"/>
      <c r="AC51" s="56" cm="1">
        <f t="array" ref="AC51">IF(AB51="X",(_xlfn.XLOOKUP($B51,Tabla1[SERVICIO],Tabla1[VALOR])*1),IF(AB51&gt;=1,_xlfn.XLOOKUP($B51,Tabla1[SERVICIO],Tabla1[VALOR]*AB51),0))</f>
        <v>0</v>
      </c>
      <c r="AD51" s="14"/>
      <c r="AE51" s="56" cm="1">
        <f t="array" ref="AE51">IF(AD51="X",(_xlfn.XLOOKUP($B51,Tabla1[SERVICIO],Tabla1[VALOR])*1),IF(AD51&gt;=1,_xlfn.XLOOKUP($B51,Tabla1[SERVICIO],Tabla1[VALOR]*AD51),0))</f>
        <v>0</v>
      </c>
      <c r="AF51" s="14"/>
      <c r="AG51" s="56" cm="1">
        <f t="array" ref="AG51">IF(AF51="X",(_xlfn.XLOOKUP($B51,Tabla1[SERVICIO],Tabla1[VALOR])*1),IF(AF51&gt;=1,_xlfn.XLOOKUP($B51,Tabla1[SERVICIO],Tabla1[VALOR]*AF51),0))</f>
        <v>0</v>
      </c>
      <c r="AH51" s="14"/>
      <c r="AI51" s="56" cm="1">
        <f t="array" ref="AI51">IF(AH51="X",(_xlfn.XLOOKUP($B51,Tabla1[SERVICIO],Tabla1[VALOR])*1),IF(AH51&gt;=1,_xlfn.XLOOKUP($B51,Tabla1[SERVICIO],Tabla1[VALOR]*AH51),0))</f>
        <v>0</v>
      </c>
      <c r="AJ51" s="14"/>
      <c r="AK51" s="56" cm="1">
        <f t="array" ref="AK51">IF(AJ51="X",(_xlfn.XLOOKUP($B51,Tabla1[SERVICIO],Tabla1[VALOR])*1),IF(AJ51&gt;=1,_xlfn.XLOOKUP($B51,Tabla1[SERVICIO],Tabla1[VALOR]*AJ51),0))</f>
        <v>0</v>
      </c>
      <c r="AL51" s="14"/>
      <c r="AM51" s="56" cm="1">
        <f t="array" ref="AM51">IF(AL51="X",(_xlfn.XLOOKUP($B51,Tabla1[SERVICIO],Tabla1[VALOR])*1),IF(AL51&gt;=1,_xlfn.XLOOKUP($B51,Tabla1[SERVICIO],Tabla1[VALOR]*AL51),0))</f>
        <v>0</v>
      </c>
      <c r="AN51" s="89">
        <f t="shared" si="2"/>
        <v>31714.220952863223</v>
      </c>
      <c r="AO51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1" s="37" t="s">
        <v>319</v>
      </c>
      <c r="AQ51" s="127">
        <v>0.13793103448275862</v>
      </c>
      <c r="AR51" s="121">
        <f>+Tabla4678910112247[[#This Row],[MES 1723]]*Tabla4678910112247[[#This Row],[% de las personas que lo usaron]]</f>
        <v>4374.3753038432033</v>
      </c>
      <c r="AS51" s="246" t="s">
        <v>357</v>
      </c>
      <c r="AT51" s="246">
        <v>18</v>
      </c>
    </row>
    <row r="52" spans="1:46" x14ac:dyDescent="0.25">
      <c r="A52" s="7" t="s">
        <v>52</v>
      </c>
      <c r="B52" s="8" t="s">
        <v>191</v>
      </c>
      <c r="C52" s="96" t="str">
        <f>_xlfn.XLOOKUP(Tabla4678910112247[[#This Row],[Servicios del Programa:]],Tabla151[CODIGO],Tabla151[VALOR])</f>
        <v>Consultas</v>
      </c>
      <c r="D52" s="14">
        <v>1</v>
      </c>
      <c r="E52" s="56" cm="1">
        <f t="array" ref="E52">IF(D52="X",(_xlfn.XLOOKUP($B52,Tabla1[SERVICIO],Tabla1[VALOR])*1),IF(D52&gt;=1,_xlfn.XLOOKUP($B52,Tabla1[SERVICIO],Tabla1[VALOR]*D52),0))</f>
        <v>26897.079640267821</v>
      </c>
      <c r="F52" s="8"/>
      <c r="G52" s="56" cm="1">
        <f t="array" ref="G52">IF(F52="X",(_xlfn.XLOOKUP($B52,Tabla1[SERVICIO],Tabla1[VALOR])*1),IF(F52&gt;=1,_xlfn.XLOOKUP($B52,Tabla1[SERVICIO],Tabla1[VALOR]*F52),0))</f>
        <v>0</v>
      </c>
      <c r="H52" s="8"/>
      <c r="I52" s="56" cm="1">
        <f t="array" ref="I52">IF(H52="X",(_xlfn.XLOOKUP($B52,Tabla1[SERVICIO],Tabla1[VALOR])*1),IF(H52&gt;=1,_xlfn.XLOOKUP($B52,Tabla1[SERVICIO],Tabla1[VALOR]*H52),0))</f>
        <v>0</v>
      </c>
      <c r="J52" s="8"/>
      <c r="K52" s="56" cm="1">
        <f t="array" ref="K52">IF(J52="X",(_xlfn.XLOOKUP($B52,Tabla1[SERVICIO],Tabla1[VALOR])*1),IF(J52&gt;=1,_xlfn.XLOOKUP($B52,Tabla1[SERVICIO],Tabla1[VALOR]*J52),0))</f>
        <v>0</v>
      </c>
      <c r="L52" s="8"/>
      <c r="M52" s="56" cm="1">
        <f t="array" ref="M52">IF(L52="X",(_xlfn.XLOOKUP($B52,Tabla1[SERVICIO],Tabla1[VALOR])*1),IF(L52&gt;=1,_xlfn.XLOOKUP($B52,Tabla1[SERVICIO],Tabla1[VALOR]*L52),0))</f>
        <v>0</v>
      </c>
      <c r="N52" s="8"/>
      <c r="O52" s="56" cm="1">
        <f t="array" ref="O52">IF(N52="X",(_xlfn.XLOOKUP($B52,Tabla1[SERVICIO],Tabla1[VALOR])*1),IF(N52&gt;=1,_xlfn.XLOOKUP($B52,Tabla1[SERVICIO],Tabla1[VALOR]*N52),0))</f>
        <v>0</v>
      </c>
      <c r="P52" s="8"/>
      <c r="Q52" s="56" cm="1">
        <f t="array" ref="Q52">IF(P52="X",(_xlfn.XLOOKUP($B52,Tabla1[SERVICIO],Tabla1[VALOR])*1),IF(P52&gt;=1,_xlfn.XLOOKUP($B52,Tabla1[SERVICIO],Tabla1[VALOR]*P52),0))</f>
        <v>0</v>
      </c>
      <c r="R52" s="8"/>
      <c r="S52" s="56" cm="1">
        <f t="array" ref="S52">IF(R52="X",(_xlfn.XLOOKUP($B52,Tabla1[SERVICIO],Tabla1[VALOR])*1),IF(R52&gt;=1,_xlfn.XLOOKUP($B52,Tabla1[SERVICIO],Tabla1[VALOR]*R52),0))</f>
        <v>0</v>
      </c>
      <c r="T52" s="8"/>
      <c r="U52" s="56" cm="1">
        <f t="array" ref="U52">IF(T52="X",(_xlfn.XLOOKUP($B52,Tabla1[SERVICIO],Tabla1[VALOR])*1),IF(T52&gt;=1,_xlfn.XLOOKUP($B52,Tabla1[SERVICIO],Tabla1[VALOR]*T52),0))</f>
        <v>0</v>
      </c>
      <c r="V52" s="8"/>
      <c r="W52" s="56" cm="1">
        <f t="array" ref="W52">IF(V52="X",(_xlfn.XLOOKUP($B52,Tabla1[SERVICIO],Tabla1[VALOR])*1),IF(V52&gt;=1,_xlfn.XLOOKUP($B52,Tabla1[SERVICIO],Tabla1[VALOR]*V52),0))</f>
        <v>0</v>
      </c>
      <c r="X52" s="8"/>
      <c r="Y52" s="56" cm="1">
        <f t="array" ref="Y52">IF(X52="X",(_xlfn.XLOOKUP($B52,Tabla1[SERVICIO],Tabla1[VALOR])*1),IF(X52&gt;=1,_xlfn.XLOOKUP($B52,Tabla1[SERVICIO],Tabla1[VALOR]*X52),0))</f>
        <v>0</v>
      </c>
      <c r="Z52" s="8"/>
      <c r="AA52" s="56" cm="1">
        <f t="array" ref="AA52">IF(Z52="X",(_xlfn.XLOOKUP($B52,Tabla1[SERVICIO],Tabla1[VALOR])*1),IF(Z52&gt;=1,_xlfn.XLOOKUP($B52,Tabla1[SERVICIO],Tabla1[VALOR]*Z52),0))</f>
        <v>0</v>
      </c>
      <c r="AB52" s="8"/>
      <c r="AC52" s="56" cm="1">
        <f t="array" ref="AC52">IF(AB52="X",(_xlfn.XLOOKUP($B52,Tabla1[SERVICIO],Tabla1[VALOR])*1),IF(AB52&gt;=1,_xlfn.XLOOKUP($B52,Tabla1[SERVICIO],Tabla1[VALOR]*AB52),0))</f>
        <v>0</v>
      </c>
      <c r="AD52" s="8"/>
      <c r="AE52" s="56" cm="1">
        <f t="array" ref="AE52">IF(AD52="X",(_xlfn.XLOOKUP($B52,Tabla1[SERVICIO],Tabla1[VALOR])*1),IF(AD52&gt;=1,_xlfn.XLOOKUP($B52,Tabla1[SERVICIO],Tabla1[VALOR]*AD52),0))</f>
        <v>0</v>
      </c>
      <c r="AF52" s="8"/>
      <c r="AG52" s="56" cm="1">
        <f t="array" ref="AG52">IF(AF52="X",(_xlfn.XLOOKUP($B52,Tabla1[SERVICIO],Tabla1[VALOR])*1),IF(AF52&gt;=1,_xlfn.XLOOKUP($B52,Tabla1[SERVICIO],Tabla1[VALOR]*AF52),0))</f>
        <v>0</v>
      </c>
      <c r="AH52" s="8"/>
      <c r="AI52" s="56" cm="1">
        <f t="array" ref="AI52">IF(AH52="X",(_xlfn.XLOOKUP($B52,Tabla1[SERVICIO],Tabla1[VALOR])*1),IF(AH52&gt;=1,_xlfn.XLOOKUP($B52,Tabla1[SERVICIO],Tabla1[VALOR]*AH52),0))</f>
        <v>0</v>
      </c>
      <c r="AJ52" s="8"/>
      <c r="AK52" s="56" cm="1">
        <f t="array" ref="AK52">IF(AJ52="X",(_xlfn.XLOOKUP($B52,Tabla1[SERVICIO],Tabla1[VALOR])*1),IF(AJ52&gt;=1,_xlfn.XLOOKUP($B52,Tabla1[SERVICIO],Tabla1[VALOR]*AJ52),0))</f>
        <v>0</v>
      </c>
      <c r="AL52" s="8"/>
      <c r="AM52" s="56" cm="1">
        <f t="array" ref="AM52">IF(AL52="X",(_xlfn.XLOOKUP($B52,Tabla1[SERVICIO],Tabla1[VALOR])*1),IF(AL52&gt;=1,_xlfn.XLOOKUP($B52,Tabla1[SERVICIO],Tabla1[VALOR]*AL52),0))</f>
        <v>0</v>
      </c>
      <c r="AN52" s="89">
        <f t="shared" si="2"/>
        <v>26897.079640267821</v>
      </c>
      <c r="AO52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2" s="37" t="s">
        <v>319</v>
      </c>
      <c r="AQ52" s="127">
        <v>0.15517241379310345</v>
      </c>
      <c r="AR52" s="121">
        <f>+Tabla4678910112247[[#This Row],[MES 1723]]*Tabla4678910112247[[#This Row],[% de las personas que lo usaron]]</f>
        <v>4173.6847717656965</v>
      </c>
      <c r="AS52" s="246" t="s">
        <v>357</v>
      </c>
      <c r="AT52" s="246">
        <v>18</v>
      </c>
    </row>
    <row r="53" spans="1:46" x14ac:dyDescent="0.25">
      <c r="A53" s="7" t="s">
        <v>53</v>
      </c>
      <c r="B53" s="8" t="s">
        <v>231</v>
      </c>
      <c r="C53" s="96" t="str">
        <f>_xlfn.XLOOKUP(Tabla4678910112247[[#This Row],[Servicios del Programa:]],Tabla151[CODIGO],Tabla151[VALOR])</f>
        <v>Consultas</v>
      </c>
      <c r="D53" s="14">
        <v>1</v>
      </c>
      <c r="E53" s="56" cm="1">
        <f t="array" ref="E53">IF(D53="X",(_xlfn.XLOOKUP($B53,Tabla1[SERVICIO],Tabla1[VALOR])*1),IF(D53&gt;=1,_xlfn.XLOOKUP($B53,Tabla1[SERVICIO],Tabla1[VALOR]*D53),0))</f>
        <v>26897.079640267817</v>
      </c>
      <c r="F53" s="14"/>
      <c r="G53" s="56" cm="1">
        <f t="array" ref="G53">IF(F53="X",(_xlfn.XLOOKUP($B53,Tabla1[SERVICIO],Tabla1[VALOR])*1),IF(F53&gt;=1,_xlfn.XLOOKUP($B53,Tabla1[SERVICIO],Tabla1[VALOR]*F53),0))</f>
        <v>0</v>
      </c>
      <c r="H53" s="14"/>
      <c r="I53" s="56" cm="1">
        <f t="array" ref="I53">IF(H53="X",(_xlfn.XLOOKUP($B53,Tabla1[SERVICIO],Tabla1[VALOR])*1),IF(H53&gt;=1,_xlfn.XLOOKUP($B53,Tabla1[SERVICIO],Tabla1[VALOR]*H53),0))</f>
        <v>0</v>
      </c>
      <c r="J53" s="14"/>
      <c r="K53" s="56" cm="1">
        <f t="array" ref="K53">IF(J53="X",(_xlfn.XLOOKUP($B53,Tabla1[SERVICIO],Tabla1[VALOR])*1),IF(J53&gt;=1,_xlfn.XLOOKUP($B53,Tabla1[SERVICIO],Tabla1[VALOR]*J53),0))</f>
        <v>0</v>
      </c>
      <c r="L53" s="14"/>
      <c r="M53" s="56" cm="1">
        <f t="array" ref="M53">IF(L53="X",(_xlfn.XLOOKUP($B53,Tabla1[SERVICIO],Tabla1[VALOR])*1),IF(L53&gt;=1,_xlfn.XLOOKUP($B53,Tabla1[SERVICIO],Tabla1[VALOR]*L53),0))</f>
        <v>0</v>
      </c>
      <c r="N53" s="14"/>
      <c r="O53" s="56" cm="1">
        <f t="array" ref="O53">IF(N53="X",(_xlfn.XLOOKUP($B53,Tabla1[SERVICIO],Tabla1[VALOR])*1),IF(N53&gt;=1,_xlfn.XLOOKUP($B53,Tabla1[SERVICIO],Tabla1[VALOR]*N53),0))</f>
        <v>0</v>
      </c>
      <c r="P53" s="14"/>
      <c r="Q53" s="56" cm="1">
        <f t="array" ref="Q53">IF(P53="X",(_xlfn.XLOOKUP($B53,Tabla1[SERVICIO],Tabla1[VALOR])*1),IF(P53&gt;=1,_xlfn.XLOOKUP($B53,Tabla1[SERVICIO],Tabla1[VALOR]*P53),0))</f>
        <v>0</v>
      </c>
      <c r="R53" s="14"/>
      <c r="S53" s="56" cm="1">
        <f t="array" ref="S53">IF(R53="X",(_xlfn.XLOOKUP($B53,Tabla1[SERVICIO],Tabla1[VALOR])*1),IF(R53&gt;=1,_xlfn.XLOOKUP($B53,Tabla1[SERVICIO],Tabla1[VALOR]*R53),0))</f>
        <v>0</v>
      </c>
      <c r="T53" s="14"/>
      <c r="U53" s="56" cm="1">
        <f t="array" ref="U53">IF(T53="X",(_xlfn.XLOOKUP($B53,Tabla1[SERVICIO],Tabla1[VALOR])*1),IF(T53&gt;=1,_xlfn.XLOOKUP($B53,Tabla1[SERVICIO],Tabla1[VALOR]*T53),0))</f>
        <v>0</v>
      </c>
      <c r="V53" s="14"/>
      <c r="W53" s="56" cm="1">
        <f t="array" ref="W53">IF(V53="X",(_xlfn.XLOOKUP($B53,Tabla1[SERVICIO],Tabla1[VALOR])*1),IF(V53&gt;=1,_xlfn.XLOOKUP($B53,Tabla1[SERVICIO],Tabla1[VALOR]*V53),0))</f>
        <v>0</v>
      </c>
      <c r="X53" s="14"/>
      <c r="Y53" s="56" cm="1">
        <f t="array" ref="Y53">IF(X53="X",(_xlfn.XLOOKUP($B53,Tabla1[SERVICIO],Tabla1[VALOR])*1),IF(X53&gt;=1,_xlfn.XLOOKUP($B53,Tabla1[SERVICIO],Tabla1[VALOR]*X53),0))</f>
        <v>0</v>
      </c>
      <c r="Z53" s="14"/>
      <c r="AA53" s="56" cm="1">
        <f t="array" ref="AA53">IF(Z53="X",(_xlfn.XLOOKUP($B53,Tabla1[SERVICIO],Tabla1[VALOR])*1),IF(Z53&gt;=1,_xlfn.XLOOKUP($B53,Tabla1[SERVICIO],Tabla1[VALOR]*Z53),0))</f>
        <v>0</v>
      </c>
      <c r="AB53" s="14"/>
      <c r="AC53" s="56" cm="1">
        <f t="array" ref="AC53">IF(AB53="X",(_xlfn.XLOOKUP($B53,Tabla1[SERVICIO],Tabla1[VALOR])*1),IF(AB53&gt;=1,_xlfn.XLOOKUP($B53,Tabla1[SERVICIO],Tabla1[VALOR]*AB53),0))</f>
        <v>0</v>
      </c>
      <c r="AD53" s="14"/>
      <c r="AE53" s="56" cm="1">
        <f t="array" ref="AE53">IF(AD53="X",(_xlfn.XLOOKUP($B53,Tabla1[SERVICIO],Tabla1[VALOR])*1),IF(AD53&gt;=1,_xlfn.XLOOKUP($B53,Tabla1[SERVICIO],Tabla1[VALOR]*AD53),0))</f>
        <v>0</v>
      </c>
      <c r="AF53" s="14"/>
      <c r="AG53" s="56" cm="1">
        <f t="array" ref="AG53">IF(AF53="X",(_xlfn.XLOOKUP($B53,Tabla1[SERVICIO],Tabla1[VALOR])*1),IF(AF53&gt;=1,_xlfn.XLOOKUP($B53,Tabla1[SERVICIO],Tabla1[VALOR]*AF53),0))</f>
        <v>0</v>
      </c>
      <c r="AH53" s="14"/>
      <c r="AI53" s="56" cm="1">
        <f t="array" ref="AI53">IF(AH53="X",(_xlfn.XLOOKUP($B53,Tabla1[SERVICIO],Tabla1[VALOR])*1),IF(AH53&gt;=1,_xlfn.XLOOKUP($B53,Tabla1[SERVICIO],Tabla1[VALOR]*AH53),0))</f>
        <v>0</v>
      </c>
      <c r="AJ53" s="14"/>
      <c r="AK53" s="56" cm="1">
        <f t="array" ref="AK53">IF(AJ53="X",(_xlfn.XLOOKUP($B53,Tabla1[SERVICIO],Tabla1[VALOR])*1),IF(AJ53&gt;=1,_xlfn.XLOOKUP($B53,Tabla1[SERVICIO],Tabla1[VALOR]*AJ53),0))</f>
        <v>0</v>
      </c>
      <c r="AL53" s="14"/>
      <c r="AM53" s="56" cm="1">
        <f t="array" ref="AM53">IF(AL53="X",(_xlfn.XLOOKUP($B53,Tabla1[SERVICIO],Tabla1[VALOR])*1),IF(AL53&gt;=1,_xlfn.XLOOKUP($B53,Tabla1[SERVICIO],Tabla1[VALOR]*AL53),0))</f>
        <v>0</v>
      </c>
      <c r="AN53" s="89">
        <f t="shared" si="2"/>
        <v>26897.079640267817</v>
      </c>
      <c r="AO53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3" s="122" t="s">
        <v>318</v>
      </c>
      <c r="AQ53" s="127">
        <v>1</v>
      </c>
      <c r="AR53" s="121">
        <f>+Tabla4678910112247[[#This Row],[MES 1723]]*Tabla4678910112247[[#This Row],[% de las personas que lo usaron]]</f>
        <v>26897.079640267817</v>
      </c>
      <c r="AS53" s="246" t="s">
        <v>357</v>
      </c>
      <c r="AT53" s="246">
        <v>18</v>
      </c>
    </row>
    <row r="54" spans="1:46" x14ac:dyDescent="0.25">
      <c r="A54" s="7" t="s">
        <v>30</v>
      </c>
      <c r="B54" s="8" t="s">
        <v>31</v>
      </c>
      <c r="C54" s="96" t="str">
        <f>_xlfn.XLOOKUP(Tabla4678910112247[[#This Row],[Servicios del Programa:]],Tabla151[CODIGO],Tabla151[VALOR])</f>
        <v>Gestion y seguimiento</v>
      </c>
      <c r="D54" s="8"/>
      <c r="E54" s="56" cm="1">
        <f t="array" ref="E54">IF(D54="X",(_xlfn.XLOOKUP($B54,Tabla1[SERVICIO],Tabla1[VALOR])*1),IF(D54&gt;=1,_xlfn.XLOOKUP($B54,Tabla1[SERVICIO],Tabla1[VALOR]*D54),0))</f>
        <v>0</v>
      </c>
      <c r="F54" s="8"/>
      <c r="G54" s="56" cm="1">
        <f t="array" ref="G54">IF(F54="X",(_xlfn.XLOOKUP($B54,Tabla1[SERVICIO],Tabla1[VALOR])*1),IF(F54&gt;=1,_xlfn.XLOOKUP($B54,Tabla1[SERVICIO],Tabla1[VALOR]*F54),0))</f>
        <v>0</v>
      </c>
      <c r="H54" s="8"/>
      <c r="I54" s="56" cm="1">
        <f t="array" ref="I54">IF(H54="X",(_xlfn.XLOOKUP($B54,Tabla1[SERVICIO],Tabla1[VALOR])*1),IF(H54&gt;=1,_xlfn.XLOOKUP($B54,Tabla1[SERVICIO],Tabla1[VALOR]*H54),0))</f>
        <v>0</v>
      </c>
      <c r="J54" s="8"/>
      <c r="K54" s="56" cm="1">
        <f t="array" ref="K54">IF(J54="X",(_xlfn.XLOOKUP($B54,Tabla1[SERVICIO],Tabla1[VALOR])*1),IF(J54&gt;=1,_xlfn.XLOOKUP($B54,Tabla1[SERVICIO],Tabla1[VALOR]*J54),0))</f>
        <v>0</v>
      </c>
      <c r="L54" s="8"/>
      <c r="M54" s="56" cm="1">
        <f t="array" ref="M54">IF(L54="X",(_xlfn.XLOOKUP($B54,Tabla1[SERVICIO],Tabla1[VALOR])*1),IF(L54&gt;=1,_xlfn.XLOOKUP($B54,Tabla1[SERVICIO],Tabla1[VALOR]*L54),0))</f>
        <v>0</v>
      </c>
      <c r="N54" s="8"/>
      <c r="O54" s="56" cm="1">
        <f t="array" ref="O54">IF(N54="X",(_xlfn.XLOOKUP($B54,Tabla1[SERVICIO],Tabla1[VALOR])*1),IF(N54&gt;=1,_xlfn.XLOOKUP($B54,Tabla1[SERVICIO],Tabla1[VALOR]*N54),0))</f>
        <v>0</v>
      </c>
      <c r="P54" s="8"/>
      <c r="Q54" s="56" cm="1">
        <f t="array" ref="Q54">IF(P54="X",(_xlfn.XLOOKUP($B54,Tabla1[SERVICIO],Tabla1[VALOR])*1),IF(P54&gt;=1,_xlfn.XLOOKUP($B54,Tabla1[SERVICIO],Tabla1[VALOR]*P54),0))</f>
        <v>0</v>
      </c>
      <c r="R54" s="8"/>
      <c r="S54" s="56" cm="1">
        <f t="array" ref="S54">IF(R54="X",(_xlfn.XLOOKUP($B54,Tabla1[SERVICIO],Tabla1[VALOR])*1),IF(R54&gt;=1,_xlfn.XLOOKUP($B54,Tabla1[SERVICIO],Tabla1[VALOR]*R54),0))</f>
        <v>0</v>
      </c>
      <c r="T54" s="8"/>
      <c r="U54" s="56" cm="1">
        <f t="array" ref="U54">IF(T54="X",(_xlfn.XLOOKUP($B54,Tabla1[SERVICIO],Tabla1[VALOR])*1),IF(T54&gt;=1,_xlfn.XLOOKUP($B54,Tabla1[SERVICIO],Tabla1[VALOR]*T54),0))</f>
        <v>0</v>
      </c>
      <c r="V54" s="8"/>
      <c r="W54" s="56" cm="1">
        <f t="array" ref="W54">IF(V54="X",(_xlfn.XLOOKUP($B54,Tabla1[SERVICIO],Tabla1[VALOR])*1),IF(V54&gt;=1,_xlfn.XLOOKUP($B54,Tabla1[SERVICIO],Tabla1[VALOR]*V54),0))</f>
        <v>0</v>
      </c>
      <c r="X54" s="8"/>
      <c r="Y54" s="56" cm="1">
        <f t="array" ref="Y54">IF(X54="X",(_xlfn.XLOOKUP($B54,Tabla1[SERVICIO],Tabla1[VALOR])*1),IF(X54&gt;=1,_xlfn.XLOOKUP($B54,Tabla1[SERVICIO],Tabla1[VALOR]*X54),0))</f>
        <v>0</v>
      </c>
      <c r="Z54" s="8"/>
      <c r="AA54" s="56" cm="1">
        <f t="array" ref="AA54">IF(Z54="X",(_xlfn.XLOOKUP($B54,Tabla1[SERVICIO],Tabla1[VALOR])*1),IF(Z54&gt;=1,_xlfn.XLOOKUP($B54,Tabla1[SERVICIO],Tabla1[VALOR]*Z54),0))</f>
        <v>0</v>
      </c>
      <c r="AB54" s="8"/>
      <c r="AC54" s="56" cm="1">
        <f t="array" ref="AC54">IF(AB54="X",(_xlfn.XLOOKUP($B54,Tabla1[SERVICIO],Tabla1[VALOR])*1),IF(AB54&gt;=1,_xlfn.XLOOKUP($B54,Tabla1[SERVICIO],Tabla1[VALOR]*AB54),0))</f>
        <v>0</v>
      </c>
      <c r="AD54" s="8"/>
      <c r="AE54" s="56" cm="1">
        <f t="array" ref="AE54">IF(AD54="X",(_xlfn.XLOOKUP($B54,Tabla1[SERVICIO],Tabla1[VALOR])*1),IF(AD54&gt;=1,_xlfn.XLOOKUP($B54,Tabla1[SERVICIO],Tabla1[VALOR]*AD54),0))</f>
        <v>0</v>
      </c>
      <c r="AF54" s="8"/>
      <c r="AG54" s="56" cm="1">
        <f t="array" ref="AG54">IF(AF54="X",(_xlfn.XLOOKUP($B54,Tabla1[SERVICIO],Tabla1[VALOR])*1),IF(AF54&gt;=1,_xlfn.XLOOKUP($B54,Tabla1[SERVICIO],Tabla1[VALOR]*AF54),0))</f>
        <v>0</v>
      </c>
      <c r="AH54" s="8"/>
      <c r="AI54" s="56" cm="1">
        <f t="array" ref="AI54">IF(AH54="X",(_xlfn.XLOOKUP($B54,Tabla1[SERVICIO],Tabla1[VALOR])*1),IF(AH54&gt;=1,_xlfn.XLOOKUP($B54,Tabla1[SERVICIO],Tabla1[VALOR]*AH54),0))</f>
        <v>0</v>
      </c>
      <c r="AJ54" s="8"/>
      <c r="AK54" s="56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6" cm="1">
        <f t="array" ref="AM54">IF(AL54="X",(_xlfn.XLOOKUP($B54,Tabla1[SERVICIO],Tabla1[VALOR])*1),IF(AL54&gt;=1,_xlfn.XLOOKUP($B54,Tabla1[SERVICIO],Tabla1[VALOR]*AL54),0))</f>
        <v>12908.291642219636</v>
      </c>
      <c r="AN54" s="89">
        <f t="shared" si="2"/>
        <v>12908.291642219636</v>
      </c>
      <c r="AO54" s="153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4" s="122" t="s">
        <v>318</v>
      </c>
      <c r="AQ54" s="127">
        <v>1</v>
      </c>
      <c r="AR54" s="121">
        <f>+Tabla4678910112247[[#This Row],[MES 1723]]*Tabla4678910112247[[#This Row],[% de las personas que lo usaron]]</f>
        <v>12908.291642219636</v>
      </c>
      <c r="AS54" s="246" t="s">
        <v>357</v>
      </c>
      <c r="AT54" s="246">
        <v>18</v>
      </c>
    </row>
    <row r="55" spans="1:46" x14ac:dyDescent="0.25">
      <c r="A55" s="9"/>
      <c r="B55" s="10"/>
      <c r="C55" s="10"/>
      <c r="D55" s="16"/>
      <c r="E55" s="72">
        <f>SUBTOTAL(109,Tabla4678910112247[MES 19])</f>
        <v>509983.76966944709</v>
      </c>
      <c r="F55" s="10"/>
      <c r="G55" s="72">
        <f>SUBTOTAL(109,Tabla4678910112247[MES 22])</f>
        <v>60092.495620802321</v>
      </c>
      <c r="H55" s="10"/>
      <c r="I55" s="72">
        <f>SUBTOTAL(109,Tabla4678910112247[MES 32])</f>
        <v>28378.274667939098</v>
      </c>
      <c r="J55" s="10"/>
      <c r="K55" s="72">
        <f>SUBTOTAL(109,Tabla4678910112247[MES 42])</f>
        <v>28378.274667939098</v>
      </c>
      <c r="L55" s="10"/>
      <c r="M55" s="72">
        <f>SUBTOTAL(109,Tabla4678910112247[MES 52])</f>
        <v>28378.274667939098</v>
      </c>
      <c r="N55" s="10"/>
      <c r="O55" s="72">
        <f>SUBTOTAL(109,Tabla4678910112247[MES 62])</f>
        <v>70845.551325863213</v>
      </c>
      <c r="P55" s="10"/>
      <c r="Q55" s="72">
        <f>SUBTOTAL(109,Tabla4678910112247[MES 72])</f>
        <v>28378.274667939098</v>
      </c>
      <c r="R55" s="10"/>
      <c r="S55" s="72">
        <f>SUBTOTAL(109,Tabla4678910112247[MES 82])</f>
        <v>28378.274667939098</v>
      </c>
      <c r="T55" s="10"/>
      <c r="U55" s="72">
        <f>SUBTOTAL(109,Tabla4678910112247[MES 92])</f>
        <v>28378.274667939098</v>
      </c>
      <c r="V55" s="10"/>
      <c r="W55" s="72">
        <f>SUBTOTAL(109,Tabla4678910112247[MES 102])</f>
        <v>28378.274667939098</v>
      </c>
      <c r="X55" s="10"/>
      <c r="Y55" s="72">
        <f>SUBTOTAL(109,Tabla4678910112247[MES 112])</f>
        <v>28378.274667939098</v>
      </c>
      <c r="Z55" s="16"/>
      <c r="AA55" s="72">
        <f>SUBTOTAL(109,Tabla4678910112247[MES 122])</f>
        <v>28378.274667939098</v>
      </c>
      <c r="AB55" s="10"/>
      <c r="AC55" s="72">
        <f>SUBTOTAL(109,Tabla4678910112247[MES 132])</f>
        <v>28378.274667939098</v>
      </c>
      <c r="AD55" s="10"/>
      <c r="AE55" s="72">
        <f>SUBTOTAL(109,Tabla4678910112247[MES 142])</f>
        <v>28378.274667939098</v>
      </c>
      <c r="AF55" s="10"/>
      <c r="AG55" s="72">
        <f>SUBTOTAL(109,Tabla4678910112247[MES 152])</f>
        <v>28378.274667939098</v>
      </c>
      <c r="AH55" s="10"/>
      <c r="AI55" s="72">
        <f>SUBTOTAL(109,Tabla4678910112247[MES 162])</f>
        <v>28378.274667939098</v>
      </c>
      <c r="AJ55" s="10"/>
      <c r="AK55" s="72">
        <f>SUBTOTAL(109,Tabla4678910112247[MES 172])</f>
        <v>28378.274667939098</v>
      </c>
      <c r="AL55" s="11"/>
      <c r="AM55" s="87">
        <f>SUBTOTAL(109,Tabla4678910112247[MES 1722])</f>
        <v>122655.62845253016</v>
      </c>
      <c r="AN55" s="125">
        <f>SUBTOTAL(109,Tabla4678910112247[MES 1723])</f>
        <v>1160873.2904197902</v>
      </c>
      <c r="AO55" s="95">
        <f>SUBTOTAL(109,Tabla4678910112247[TOTAL SERVICIOS])</f>
        <v>59</v>
      </c>
      <c r="AP55" s="95"/>
      <c r="AQ55" s="95"/>
      <c r="AR55" s="125">
        <f>SUBTOTAL(109,Tabla4678910112247[VALOR COSTO])</f>
        <v>862172.6064912884</v>
      </c>
      <c r="AS55" s="95"/>
      <c r="AT55" s="95"/>
    </row>
    <row r="58" spans="1:46" x14ac:dyDescent="0.25">
      <c r="B58" s="4" t="b">
        <f t="shared" ref="B58:B68" si="3">+B3=B32</f>
        <v>1</v>
      </c>
    </row>
    <row r="59" spans="1:46" x14ac:dyDescent="0.25">
      <c r="B59" s="4" t="b">
        <f t="shared" si="3"/>
        <v>1</v>
      </c>
    </row>
    <row r="60" spans="1:46" x14ac:dyDescent="0.25">
      <c r="B60" s="4" t="b">
        <f t="shared" si="3"/>
        <v>1</v>
      </c>
    </row>
    <row r="61" spans="1:46" x14ac:dyDescent="0.25">
      <c r="B61" s="4" t="b">
        <f t="shared" si="3"/>
        <v>1</v>
      </c>
    </row>
    <row r="62" spans="1:46" x14ac:dyDescent="0.25">
      <c r="B62" s="4" t="b">
        <f t="shared" si="3"/>
        <v>1</v>
      </c>
    </row>
    <row r="63" spans="1:46" x14ac:dyDescent="0.25">
      <c r="B63" s="4" t="b">
        <f t="shared" si="3"/>
        <v>1</v>
      </c>
    </row>
    <row r="64" spans="1:46" x14ac:dyDescent="0.25">
      <c r="B64" s="4" t="b">
        <f t="shared" si="3"/>
        <v>1</v>
      </c>
    </row>
    <row r="65" spans="2:2" x14ac:dyDescent="0.25">
      <c r="B65" s="4" t="b">
        <f t="shared" si="3"/>
        <v>1</v>
      </c>
    </row>
    <row r="66" spans="2:2" x14ac:dyDescent="0.25">
      <c r="B66" s="4" t="b">
        <f t="shared" si="3"/>
        <v>1</v>
      </c>
    </row>
    <row r="67" spans="2:2" x14ac:dyDescent="0.25">
      <c r="B67" s="4" t="b">
        <f t="shared" si="3"/>
        <v>1</v>
      </c>
    </row>
    <row r="68" spans="2:2" x14ac:dyDescent="0.25">
      <c r="B68" s="4" t="b">
        <f t="shared" si="3"/>
        <v>1</v>
      </c>
    </row>
    <row r="69" spans="2:2" x14ac:dyDescent="0.25">
      <c r="B69" s="4" t="b">
        <f t="shared" ref="B69:B76" si="4">+B14=B43</f>
        <v>1</v>
      </c>
    </row>
    <row r="70" spans="2:2" x14ac:dyDescent="0.25">
      <c r="B70" s="4" t="b">
        <f t="shared" si="4"/>
        <v>1</v>
      </c>
    </row>
    <row r="71" spans="2:2" x14ac:dyDescent="0.25">
      <c r="B71" s="4" t="b">
        <f t="shared" si="4"/>
        <v>1</v>
      </c>
    </row>
    <row r="72" spans="2:2" x14ac:dyDescent="0.25">
      <c r="B72" s="4" t="b">
        <f t="shared" si="4"/>
        <v>1</v>
      </c>
    </row>
    <row r="73" spans="2:2" x14ac:dyDescent="0.25">
      <c r="B73" s="4" t="b">
        <f t="shared" si="4"/>
        <v>1</v>
      </c>
    </row>
    <row r="74" spans="2:2" x14ac:dyDescent="0.25">
      <c r="B74" s="4" t="b">
        <f t="shared" si="4"/>
        <v>1</v>
      </c>
    </row>
    <row r="75" spans="2:2" x14ac:dyDescent="0.25">
      <c r="B75" s="4" t="b">
        <f t="shared" si="4"/>
        <v>1</v>
      </c>
    </row>
    <row r="76" spans="2:2" x14ac:dyDescent="0.25">
      <c r="B76" s="4" t="b">
        <f t="shared" si="4"/>
        <v>1</v>
      </c>
    </row>
    <row r="77" spans="2:2" x14ac:dyDescent="0.25">
      <c r="B77" s="4" t="b">
        <f>+B22=B51</f>
        <v>1</v>
      </c>
    </row>
    <row r="78" spans="2:2" x14ac:dyDescent="0.25">
      <c r="B78" s="4" t="b">
        <f t="shared" ref="B78:B79" si="5">+B23=B52</f>
        <v>1</v>
      </c>
    </row>
    <row r="79" spans="2:2" x14ac:dyDescent="0.25">
      <c r="B79" s="4" t="b">
        <f t="shared" si="5"/>
        <v>1</v>
      </c>
    </row>
    <row r="80" spans="2:2" x14ac:dyDescent="0.25">
      <c r="B80" s="4" t="b">
        <f>+B25=B54</f>
        <v>1</v>
      </c>
    </row>
  </sheetData>
  <phoneticPr fontId="13" type="noConversion"/>
  <conditionalFormatting sqref="A4">
    <cfRule type="duplicateValues" dxfId="18" priority="9"/>
  </conditionalFormatting>
  <conditionalFormatting sqref="A6">
    <cfRule type="duplicateValues" dxfId="17" priority="6"/>
  </conditionalFormatting>
  <conditionalFormatting sqref="A7">
    <cfRule type="duplicateValues" dxfId="16" priority="8"/>
  </conditionalFormatting>
  <conditionalFormatting sqref="A21">
    <cfRule type="duplicateValues" dxfId="15" priority="5"/>
  </conditionalFormatting>
  <conditionalFormatting sqref="A25">
    <cfRule type="duplicateValues" dxfId="14" priority="7"/>
  </conditionalFormatting>
  <conditionalFormatting sqref="A33">
    <cfRule type="duplicateValues" dxfId="13" priority="13"/>
  </conditionalFormatting>
  <conditionalFormatting sqref="A35">
    <cfRule type="duplicateValues" dxfId="12" priority="10"/>
  </conditionalFormatting>
  <conditionalFormatting sqref="A36">
    <cfRule type="duplicateValues" dxfId="11" priority="12"/>
  </conditionalFormatting>
  <conditionalFormatting sqref="A50">
    <cfRule type="duplicateValues" dxfId="10" priority="3"/>
  </conditionalFormatting>
  <conditionalFormatting sqref="A54">
    <cfRule type="duplicateValues" dxfId="9" priority="11"/>
  </conditionalFormatting>
  <conditionalFormatting sqref="AF3:AF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2:AR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6C3E-EC5F-45C3-92B1-2245F272EDCD}">
  <dimension ref="A1:BA48"/>
  <sheetViews>
    <sheetView zoomScale="55" zoomScaleNormal="55" workbookViewId="0">
      <selection activeCell="D26" sqref="D26"/>
    </sheetView>
    <sheetView workbookViewId="1"/>
  </sheetViews>
  <sheetFormatPr baseColWidth="10" defaultRowHeight="18" x14ac:dyDescent="0.25"/>
  <cols>
    <col min="1" max="1" width="66.28515625" style="362" bestFit="1" customWidth="1"/>
    <col min="2" max="2" width="85.85546875" style="362" bestFit="1" customWidth="1"/>
    <col min="3" max="3" width="18.85546875" style="362" bestFit="1" customWidth="1"/>
    <col min="4" max="4" width="20.7109375" style="362" bestFit="1" customWidth="1"/>
    <col min="5" max="5" width="13.5703125" style="362" bestFit="1" customWidth="1"/>
    <col min="6" max="6" width="14.42578125" style="362" bestFit="1" customWidth="1"/>
    <col min="7" max="7" width="12.140625" style="362" bestFit="1" customWidth="1"/>
    <col min="8" max="8" width="66" style="362" bestFit="1" customWidth="1"/>
    <col min="9" max="9" width="86" style="362" bestFit="1" customWidth="1"/>
    <col min="10" max="10" width="18.85546875" style="362" bestFit="1" customWidth="1"/>
    <col min="11" max="11" width="9.7109375" style="362" bestFit="1" customWidth="1"/>
    <col min="12" max="12" width="25.85546875" style="362" bestFit="1" customWidth="1"/>
    <col min="13" max="13" width="12.140625" style="362" bestFit="1" customWidth="1"/>
    <col min="14" max="14" width="13.140625" style="362" bestFit="1" customWidth="1"/>
    <col min="15" max="15" width="11.42578125" style="362"/>
    <col min="16" max="16" width="23.85546875" style="362" bestFit="1" customWidth="1"/>
    <col min="17" max="17" width="12.7109375" style="362" bestFit="1" customWidth="1"/>
    <col min="18" max="16384" width="11.42578125" style="362"/>
  </cols>
  <sheetData>
    <row r="1" spans="1:53" x14ac:dyDescent="0.25">
      <c r="A1" s="361" t="s">
        <v>359</v>
      </c>
      <c r="BA1" s="362" t="s">
        <v>419</v>
      </c>
    </row>
    <row r="2" spans="1:53" ht="18.75" thickBot="1" x14ac:dyDescent="0.3"/>
    <row r="3" spans="1:53" x14ac:dyDescent="0.25">
      <c r="A3" s="363" t="s">
        <v>360</v>
      </c>
      <c r="B3" s="364"/>
      <c r="C3" s="364"/>
      <c r="D3" s="364"/>
      <c r="E3" s="364"/>
      <c r="F3" s="365"/>
      <c r="H3" s="361" t="s">
        <v>366</v>
      </c>
      <c r="I3" s="362" t="str">
        <f>DASHBOARD!$C$3</f>
        <v>Cuidado Respiratorio</v>
      </c>
      <c r="P3" s="361" t="s">
        <v>397</v>
      </c>
    </row>
    <row r="4" spans="1:53" x14ac:dyDescent="0.25">
      <c r="A4" s="366" t="s">
        <v>361</v>
      </c>
      <c r="B4" s="361" t="s">
        <v>335</v>
      </c>
      <c r="C4" s="361" t="s">
        <v>339</v>
      </c>
      <c r="D4" s="361" t="s">
        <v>340</v>
      </c>
      <c r="E4" s="361" t="s">
        <v>362</v>
      </c>
      <c r="F4" s="367" t="s">
        <v>363</v>
      </c>
      <c r="H4" s="361" t="s">
        <v>367</v>
      </c>
      <c r="I4" s="362" t="str">
        <f>INDEX($A$5:$A$14,MATCH($I$3,$B$5:$B$14,0))</f>
        <v>CUIDADO RESPIRATORIO</v>
      </c>
      <c r="P4" s="361" t="s">
        <v>398</v>
      </c>
      <c r="Q4" s="361" t="s">
        <v>399</v>
      </c>
    </row>
    <row r="5" spans="1:53" x14ac:dyDescent="0.25">
      <c r="A5" s="368" t="s">
        <v>353</v>
      </c>
      <c r="B5" s="362" t="s">
        <v>338</v>
      </c>
      <c r="C5" s="369">
        <f>SUMIFS(BASE12MESES!$AF:$AF,BASE12MESES!$AG:$AG,$A5)</f>
        <v>2603272.8574974192</v>
      </c>
      <c r="D5" s="369">
        <f>SUMIFS(BASE18MESES!$AR:$AR,BASE18MESES!$AS:$AS,$A5)</f>
        <v>3621691.9982883041</v>
      </c>
      <c r="E5" s="370">
        <f>SUMIFS(BASE12MESES!$AC:$AC,BASE12MESES!$AG:$AG,$A5)</f>
        <v>191</v>
      </c>
      <c r="F5" s="371">
        <f>SUMIFS(BASE18MESES!$AO:$AO,BASE18MESES!$AS:$AS,$A5)</f>
        <v>275</v>
      </c>
      <c r="P5" s="372">
        <f>E5</f>
        <v>191</v>
      </c>
      <c r="Q5" s="373">
        <f>C5</f>
        <v>2603272.8574974192</v>
      </c>
    </row>
    <row r="6" spans="1:53" x14ac:dyDescent="0.25">
      <c r="A6" s="368" t="s">
        <v>355</v>
      </c>
      <c r="B6" s="362" t="s">
        <v>333</v>
      </c>
      <c r="C6" s="369">
        <f>SUMIFS(BASE12MESES!$AF:$AF,BASE12MESES!$AG:$AG,$A6)</f>
        <v>2725809.3393049096</v>
      </c>
      <c r="D6" s="369">
        <f>SUMIFS(BASE18MESES!$AR:$AR,BASE18MESES!$AS:$AS,$A6)</f>
        <v>3722812.6115518063</v>
      </c>
      <c r="E6" s="370">
        <f>SUMIFS(BASE12MESES!$AC:$AC,BASE12MESES!$AG:$AG,$A6)</f>
        <v>198</v>
      </c>
      <c r="F6" s="371">
        <f>SUMIFS(BASE18MESES!$AO:$AO,BASE18MESES!$AS:$AS,$A6)</f>
        <v>282</v>
      </c>
      <c r="H6" s="361" t="s">
        <v>368</v>
      </c>
      <c r="L6" s="361" t="s">
        <v>373</v>
      </c>
      <c r="P6" s="372">
        <f t="shared" ref="P6:P14" si="0">E6</f>
        <v>198</v>
      </c>
      <c r="Q6" s="373">
        <f t="shared" ref="Q6:Q14" si="1">C6</f>
        <v>2725809.3393049096</v>
      </c>
    </row>
    <row r="7" spans="1:53" x14ac:dyDescent="0.25">
      <c r="A7" s="368" t="s">
        <v>350</v>
      </c>
      <c r="B7" s="362" t="s">
        <v>330</v>
      </c>
      <c r="C7" s="369">
        <f>SUMIFS(BASE12MESES!$AF:$AF,BASE12MESES!$AG:$AG,$A7)</f>
        <v>1893343.8270447098</v>
      </c>
      <c r="D7" s="369">
        <f>SUMIFS(BASE18MESES!$AR:$AR,BASE18MESES!$AS:$AS,$A7)</f>
        <v>2438360.2444459889</v>
      </c>
      <c r="E7" s="370">
        <f>SUMIFS(BASE12MESES!$AC:$AC,BASE12MESES!$AG:$AG,$A7)</f>
        <v>135</v>
      </c>
      <c r="F7" s="371">
        <f>SUMIFS(BASE18MESES!$AO:$AO,BASE18MESES!$AS:$AS,$A7)</f>
        <v>194</v>
      </c>
      <c r="H7" s="361" t="s">
        <v>369</v>
      </c>
      <c r="I7" s="361" t="s">
        <v>370</v>
      </c>
      <c r="J7" s="361" t="s">
        <v>371</v>
      </c>
      <c r="K7" s="361" t="s">
        <v>372</v>
      </c>
      <c r="L7" s="361" t="s">
        <v>369</v>
      </c>
      <c r="M7" s="361" t="s">
        <v>374</v>
      </c>
      <c r="N7" s="361" t="s">
        <v>375</v>
      </c>
      <c r="P7" s="372">
        <f t="shared" si="0"/>
        <v>135</v>
      </c>
      <c r="Q7" s="373">
        <f t="shared" si="1"/>
        <v>1893343.8270447098</v>
      </c>
    </row>
    <row r="8" spans="1:53" x14ac:dyDescent="0.25">
      <c r="A8" s="368" t="s">
        <v>349</v>
      </c>
      <c r="B8" s="362" t="s">
        <v>329</v>
      </c>
      <c r="C8" s="369">
        <f>+'ASMA costo'!AF43</f>
        <v>1828395.5604669065</v>
      </c>
      <c r="D8" s="369">
        <f>SUMIFS(BASE18MESES!$AR:$AR,BASE18MESES!$AS:$AS,$A8)</f>
        <v>2402405.5751683982</v>
      </c>
      <c r="E8" s="370">
        <f>+'ASMA costo'!AC43</f>
        <v>137</v>
      </c>
      <c r="F8" s="371">
        <f>SUMIFS(BASE18MESES!$AO:$AO,BASE18MESES!$AS:$AS,$A8)</f>
        <v>193</v>
      </c>
      <c r="H8" s="361" t="s">
        <v>342</v>
      </c>
      <c r="I8" s="369">
        <f>SUMIFS(BASE12MESES!$AF:$AF,BASE12MESES!$AG:$AG,$I$4,BASE12MESES!$C:$C,$H8)</f>
        <v>273505.03790114046</v>
      </c>
      <c r="J8" s="369">
        <f>SUMIFS(BASE18MESES!$AR:$AR,BASE18MESES!$AS:$AS,$I$4,BASE18MESES!$C:$C,$H8)</f>
        <v>468767.21943367022</v>
      </c>
      <c r="K8" s="374">
        <f>I8/SUM($I$8:$I$12)</f>
        <v>0.40578445099381444</v>
      </c>
      <c r="L8" s="362" t="str" cm="1">
        <f t="array" ref="L8:M12">_xlfn._xlws.SORT(H8:I12,2,-1)</f>
        <v>Consultas</v>
      </c>
      <c r="M8" s="362">
        <v>273505.03790114046</v>
      </c>
      <c r="N8" s="375">
        <f>SUM($M$8:M8)/SUM($M$8:$M$12)</f>
        <v>0.40578445099381438</v>
      </c>
      <c r="P8" s="372">
        <f t="shared" si="0"/>
        <v>137</v>
      </c>
      <c r="Q8" s="373">
        <f t="shared" si="1"/>
        <v>1828395.5604669065</v>
      </c>
    </row>
    <row r="9" spans="1:53" x14ac:dyDescent="0.25">
      <c r="A9" s="368" t="s">
        <v>356</v>
      </c>
      <c r="B9" s="362" t="s">
        <v>356</v>
      </c>
      <c r="C9" s="369">
        <f>SUMIFS(BASE12MESES!$AF:$AF,BASE12MESES!$AG:$AG,$A9)</f>
        <v>1853151.4184918643</v>
      </c>
      <c r="D9" s="369">
        <f>SUMIFS(BASE18MESES!$AR:$AR,BASE18MESES!$AS:$AS,$A9)</f>
        <v>2468663.6666908506</v>
      </c>
      <c r="E9" s="370">
        <f>SUMIFS(BASE12MESES!$AC:$AC,BASE12MESES!$AG:$AG,$A9)</f>
        <v>140</v>
      </c>
      <c r="F9" s="371">
        <f>SUMIFS(BASE18MESES!$AO:$AO,BASE18MESES!$AS:$AS,$A9)</f>
        <v>194</v>
      </c>
      <c r="H9" s="361" t="s">
        <v>346</v>
      </c>
      <c r="I9" s="369">
        <f>SUMIFS(BASE12MESES!$AF:$AF,BASE12MESES!$AG:$AG,$I$4,BASE12MESES!$C:$C,$H9)</f>
        <v>21589.01624042014</v>
      </c>
      <c r="J9" s="369">
        <f>SUMIFS(BASE18MESES!$AR:$AR,BASE18MESES!$AS:$AS,$I$4,BASE18MESES!$C:$C,$H9)</f>
        <v>24441.101972840286</v>
      </c>
      <c r="K9" s="374">
        <f t="shared" ref="K9:K12" si="2">I9/SUM($I$8:$I$12)</f>
        <v>3.2030441449425677E-2</v>
      </c>
      <c r="L9" s="362" t="str">
        <v>Gestion y seguimiento</v>
      </c>
      <c r="M9" s="362">
        <v>221079.28360822436</v>
      </c>
      <c r="N9" s="375">
        <f>SUM($M$8:M9)/SUM($M$8:$M$12)</f>
        <v>0.73378768052662957</v>
      </c>
      <c r="P9" s="372">
        <f t="shared" si="0"/>
        <v>140</v>
      </c>
      <c r="Q9" s="373">
        <f t="shared" si="1"/>
        <v>1853151.4184918643</v>
      </c>
    </row>
    <row r="10" spans="1:53" x14ac:dyDescent="0.25">
      <c r="A10" s="368" t="s">
        <v>331</v>
      </c>
      <c r="B10" s="362" t="s">
        <v>331</v>
      </c>
      <c r="C10" s="369">
        <f>SUMIFS(BASE12MESES!$AF:$AF,BASE12MESES!$AG:$AG,$A10)</f>
        <v>1457032.9145659576</v>
      </c>
      <c r="D10" s="369">
        <f>SUMIFS(BASE18MESES!$AR:$AR,BASE18MESES!$AS:$AS,$A10)</f>
        <v>1910724.2176804843</v>
      </c>
      <c r="E10" s="370">
        <f>SUMIFS(BASE12MESES!$AC:$AC,BASE12MESES!$AG:$AG,$A10)</f>
        <v>126</v>
      </c>
      <c r="F10" s="371">
        <f>SUMIFS(BASE18MESES!$AO:$AO,BASE18MESES!$AS:$AS,$A10)</f>
        <v>174</v>
      </c>
      <c r="H10" s="361" t="s">
        <v>344</v>
      </c>
      <c r="I10" s="369">
        <f>SUMIFS(BASE12MESES!$AF:$AF,BASE12MESES!$AG:$AG,$I$4,BASE12MESES!$C:$C,$H10)</f>
        <v>4921.1722168236038</v>
      </c>
      <c r="J10" s="369">
        <f>SUMIFS(BASE18MESES!$AR:$AR,BASE18MESES!$AS:$AS,$I$4,BASE18MESES!$C:$C,$H10)</f>
        <v>4921.1722168236038</v>
      </c>
      <c r="K10" s="374">
        <f t="shared" si="2"/>
        <v>7.3012737958105889E-3</v>
      </c>
      <c r="L10" s="362" t="str">
        <v>Educacion</v>
      </c>
      <c r="M10" s="362">
        <v>152921.05970663566</v>
      </c>
      <c r="N10" s="375">
        <f>SUM($M$8:M10)/SUM($M$8:$M$12)</f>
        <v>0.96066828475476373</v>
      </c>
      <c r="P10" s="372">
        <f t="shared" si="0"/>
        <v>126</v>
      </c>
      <c r="Q10" s="373">
        <f t="shared" si="1"/>
        <v>1457032.9145659576</v>
      </c>
    </row>
    <row r="11" spans="1:53" x14ac:dyDescent="0.25">
      <c r="A11" s="368" t="s">
        <v>354</v>
      </c>
      <c r="B11" s="362" t="s">
        <v>332</v>
      </c>
      <c r="C11" s="369">
        <f>SUMIFS(BASE12MESES!$AF:$AF,BASE12MESES!$AG:$AG,$A11)</f>
        <v>1471331.3563234289</v>
      </c>
      <c r="D11" s="369">
        <f>SUMIFS(BASE18MESES!$AR:$AR,BASE18MESES!$AS:$AS,$A11)</f>
        <v>1924285.0155554828</v>
      </c>
      <c r="E11" s="370">
        <f>SUMIFS(BASE12MESES!$AC:$AC,BASE12MESES!$AG:$AG,$A11)</f>
        <v>126</v>
      </c>
      <c r="F11" s="371">
        <f>SUMIFS(BASE18MESES!$AO:$AO,BASE18MESES!$AS:$AS,$A11)</f>
        <v>174</v>
      </c>
      <c r="H11" s="361" t="s">
        <v>345</v>
      </c>
      <c r="I11" s="369">
        <f>SUMIFS(BASE12MESES!$AF:$AF,BASE12MESES!$AG:$AG,$I$4,BASE12MESES!$C:$C,$H11)</f>
        <v>152921.05970663566</v>
      </c>
      <c r="J11" s="369">
        <f>SUMIFS(BASE18MESES!$AR:$AR,BASE18MESES!$AS:$AS,$I$4,BASE18MESES!$C:$C,$H11)</f>
        <v>194981.5014917716</v>
      </c>
      <c r="K11" s="374">
        <f t="shared" si="2"/>
        <v>0.22688060422813411</v>
      </c>
      <c r="L11" s="362" t="str">
        <v>Diagnosticos</v>
      </c>
      <c r="M11" s="362">
        <v>21589.01624042014</v>
      </c>
      <c r="N11" s="375">
        <f>SUM($M$8:M11)/SUM($M$8:$M$12)</f>
        <v>0.99269872620418953</v>
      </c>
      <c r="P11" s="372">
        <f t="shared" si="0"/>
        <v>126</v>
      </c>
      <c r="Q11" s="373">
        <f t="shared" si="1"/>
        <v>1471331.3563234289</v>
      </c>
    </row>
    <row r="12" spans="1:53" x14ac:dyDescent="0.25">
      <c r="A12" s="368" t="s">
        <v>352</v>
      </c>
      <c r="B12" s="362" t="s">
        <v>364</v>
      </c>
      <c r="C12" s="369">
        <f>SUMIFS(BASE12MESES!$AF:$AF,BASE12MESES!$AG:$AG,$A12)</f>
        <v>1146281.1244100151</v>
      </c>
      <c r="D12" s="369">
        <f>SUMIFS(BASE18MESES!$AR:$AR,BASE18MESES!$AS:$AS,$A12)</f>
        <v>1603374.5579784799</v>
      </c>
      <c r="E12" s="370">
        <f>SUMIFS(BASE12MESES!$AC:$AC,BASE12MESES!$AG:$AG,$A12)</f>
        <v>125</v>
      </c>
      <c r="F12" s="371">
        <f>SUMIFS(BASE18MESES!$AO:$AO,BASE18MESES!$AS:$AS,$A12)</f>
        <v>173</v>
      </c>
      <c r="H12" s="361" t="s">
        <v>343</v>
      </c>
      <c r="I12" s="369">
        <f>SUMIFS(BASE12MESES!$AF:$AF,BASE12MESES!$AG:$AG,$I$4,BASE12MESES!$C:$C,$H12)</f>
        <v>221079.28360822436</v>
      </c>
      <c r="J12" s="369">
        <f>SUMIFS(BASE18MESES!$AR:$AR,BASE18MESES!$AS:$AS,$I$4,BASE18MESES!$C:$C,$H12)</f>
        <v>314888.40176254109</v>
      </c>
      <c r="K12" s="374">
        <f t="shared" si="2"/>
        <v>0.3280032295328153</v>
      </c>
      <c r="L12" s="362" t="str">
        <v>Terapias</v>
      </c>
      <c r="M12" s="362">
        <v>4921.1722168236038</v>
      </c>
      <c r="N12" s="375">
        <f>SUM($M$8:M12)/SUM($M$8:$M$12)</f>
        <v>1</v>
      </c>
      <c r="P12" s="372">
        <f t="shared" si="0"/>
        <v>125</v>
      </c>
      <c r="Q12" s="373">
        <f t="shared" si="1"/>
        <v>1146281.1244100151</v>
      </c>
    </row>
    <row r="13" spans="1:53" x14ac:dyDescent="0.25">
      <c r="A13" s="368" t="s">
        <v>351</v>
      </c>
      <c r="B13" s="362" t="s">
        <v>365</v>
      </c>
      <c r="C13" s="369">
        <f>SUMIFS(BASE12MESES!$AF:$AF,BASE12MESES!$AG:$AG,$A13)</f>
        <v>1123402.6588274152</v>
      </c>
      <c r="D13" s="369">
        <f>SUMIFS(BASE18MESES!$AR:$AR,BASE18MESES!$AS:$AS,$A13)</f>
        <v>1583587.7298586413</v>
      </c>
      <c r="E13" s="370">
        <f>SUMIFS(BASE12MESES!$AC:$AC,BASE12MESES!$AG:$AG,$A13)</f>
        <v>115</v>
      </c>
      <c r="F13" s="371">
        <f>SUMIFS(BASE18MESES!$AO:$AO,BASE18MESES!$AS:$AS,$A13)</f>
        <v>164</v>
      </c>
      <c r="H13" s="361"/>
      <c r="P13" s="372">
        <f t="shared" si="0"/>
        <v>115</v>
      </c>
      <c r="Q13" s="373">
        <f t="shared" si="1"/>
        <v>1123402.6588274152</v>
      </c>
    </row>
    <row r="14" spans="1:53" ht="18.75" thickBot="1" x14ac:dyDescent="0.3">
      <c r="A14" s="376" t="s">
        <v>357</v>
      </c>
      <c r="B14" s="377" t="s">
        <v>334</v>
      </c>
      <c r="C14" s="378">
        <f>SUMIFS(BASE12MESES!$AF:$AF,BASE12MESES!$AG:$AG,$A14)</f>
        <v>674015.56967324426</v>
      </c>
      <c r="D14" s="378">
        <f>SUMIFS(BASE18MESES!$AR:$AR,BASE18MESES!$AS:$AS,$A14)</f>
        <v>1007999.3968776469</v>
      </c>
      <c r="E14" s="379">
        <f>SUMIFS(BASE12MESES!$AC:$AC,BASE12MESES!$AG:$AG,$A14)</f>
        <v>47</v>
      </c>
      <c r="F14" s="380">
        <f>SUMIFS(BASE18MESES!$AO:$AO,BASE18MESES!$AS:$AS,$A14)</f>
        <v>59</v>
      </c>
      <c r="P14" s="372">
        <f t="shared" si="0"/>
        <v>47</v>
      </c>
      <c r="Q14" s="373">
        <f t="shared" si="1"/>
        <v>674015.56967324426</v>
      </c>
    </row>
    <row r="15" spans="1:53" ht="18.75" thickBot="1" x14ac:dyDescent="0.3">
      <c r="H15" s="361" t="s">
        <v>376</v>
      </c>
    </row>
    <row r="16" spans="1:53" x14ac:dyDescent="0.25">
      <c r="A16" s="363" t="s">
        <v>385</v>
      </c>
      <c r="B16" s="364"/>
      <c r="C16" s="364"/>
      <c r="D16" s="364"/>
      <c r="E16" s="364"/>
      <c r="F16" s="364"/>
      <c r="G16" s="365"/>
      <c r="H16" s="361" t="s">
        <v>377</v>
      </c>
      <c r="I16" s="361" t="s">
        <v>378</v>
      </c>
      <c r="J16" s="361" t="s">
        <v>379</v>
      </c>
      <c r="K16" s="361" t="s">
        <v>380</v>
      </c>
    </row>
    <row r="17" spans="1:11" x14ac:dyDescent="0.25">
      <c r="A17" s="368"/>
      <c r="G17" s="381"/>
      <c r="H17" s="361" t="s">
        <v>381</v>
      </c>
      <c r="I17" s="373">
        <f>INDEX($C$5:$C$14,MATCH($I$4,$A$5:$A$14,0))</f>
        <v>674015.56967324426</v>
      </c>
      <c r="J17" s="373">
        <f>INDEX($D$5:$D$14,MATCH($I$4,$A$5:$A$14,0))</f>
        <v>1007999.3968776469</v>
      </c>
      <c r="K17" s="382">
        <f>(J17-I17)/I17</f>
        <v>0.4955135196154512</v>
      </c>
    </row>
    <row r="18" spans="1:11" x14ac:dyDescent="0.25">
      <c r="A18" s="366" t="s">
        <v>369</v>
      </c>
      <c r="B18" s="361" t="s">
        <v>106</v>
      </c>
      <c r="C18" s="361" t="s">
        <v>386</v>
      </c>
      <c r="D18" s="361" t="s">
        <v>387</v>
      </c>
      <c r="E18" s="361" t="s">
        <v>388</v>
      </c>
      <c r="F18" s="361" t="s">
        <v>389</v>
      </c>
      <c r="G18" s="367" t="s">
        <v>407</v>
      </c>
      <c r="H18" s="361" t="s">
        <v>382</v>
      </c>
      <c r="I18" s="370">
        <f>INDEX($E$5:$E$14,MATCH($I$4,$A$5:$A$14,0))</f>
        <v>47</v>
      </c>
      <c r="J18" s="370">
        <f>INDEX($F$5:$F$14,MATCH($I$4,$A$5:$A$14,0))</f>
        <v>59</v>
      </c>
      <c r="K18" s="382">
        <f>(J18-I18)/I18</f>
        <v>0.25531914893617019</v>
      </c>
    </row>
    <row r="19" spans="1:11" x14ac:dyDescent="0.25">
      <c r="A19" s="368" t="str" cm="1">
        <f t="array" ref="A19:A42">_xlfn._xlws.FILTER(BASE12MESES!$C$2:$C$288,BASE12MESES!$AG$2:$AG$288=$I$4)</f>
        <v>Gestion y seguimiento</v>
      </c>
      <c r="B19" s="362" t="str" cm="1">
        <f t="array" ref="B19:B42">_xlfn._xlws.FILTER(BASE12MESES!$B$2:$B$288,BASE12MESES!$AG$2:$AG$288=$I$4)</f>
        <v>INGRESO PROGRAMAS INTEGRALES</v>
      </c>
      <c r="C19" s="370" cm="1">
        <f t="array" ref="C19:C42">_xlfn._xlws.FILTER(BASE12MESES!$AC$2:$AC$288,BASE12MESES!$AG$2:$AG$288=$I$4)</f>
        <v>1</v>
      </c>
      <c r="D19" s="373" cm="1">
        <f t="array" ref="D19:D42">_xlfn._xlws.FILTER(BASE12MESES!$AF$2:$AF$288,BASE12MESES!$AG$2:$AG$288=$I$4)</f>
        <v>20552.755657371155</v>
      </c>
      <c r="E19" s="373" cm="1">
        <f t="array" ref="E19:E42">_xlfn.ANCHORARRAY(D19)/_xlfn.ANCHORARRAY(C19)</f>
        <v>20552.755657371155</v>
      </c>
      <c r="F19" s="374" cm="1">
        <f t="array" ref="F19:F42">_xlfn.ANCHORARRAY(D19)/SUM(_xlfn.ANCHORARRAY(D19))</f>
        <v>3.0492998355119479E-2</v>
      </c>
      <c r="G19" s="383" cm="1">
        <f t="array" ref="G19:G42">_xlfn._xlws.FILTER(BASE12MESES!$AE$2:$AE$288,BASE12MESES!$AG$2:$AG$288=$I$4)</f>
        <v>1</v>
      </c>
      <c r="H19" s="361" t="s">
        <v>383</v>
      </c>
      <c r="I19" s="373">
        <f>I17/12</f>
        <v>56167.964139437019</v>
      </c>
      <c r="J19" s="373">
        <f>J17/18</f>
        <v>55999.966493202606</v>
      </c>
      <c r="K19" s="382">
        <f>(J19-I19)/I19</f>
        <v>-2.9909869230324722E-3</v>
      </c>
    </row>
    <row r="20" spans="1:11" x14ac:dyDescent="0.25">
      <c r="A20" s="368" t="str">
        <v>Consultas</v>
      </c>
      <c r="B20" s="362" t="str">
        <v>ENFERMERIA PRIMERA VEZ/PROGRAMAS</v>
      </c>
      <c r="C20" s="362">
        <v>1</v>
      </c>
      <c r="D20" s="362">
        <v>21014.396674037816</v>
      </c>
      <c r="E20" s="362">
        <v>21014.396674037816</v>
      </c>
      <c r="F20" s="362">
        <v>3.1177909857817345E-2</v>
      </c>
      <c r="G20" s="381">
        <v>1</v>
      </c>
      <c r="H20" s="361" t="s">
        <v>384</v>
      </c>
      <c r="I20" s="373">
        <f>I17/I18</f>
        <v>14340.756801558389</v>
      </c>
      <c r="J20" s="373">
        <f>J17/J18</f>
        <v>17084.735540299102</v>
      </c>
      <c r="K20" s="382">
        <f>(J20-I20)/I20</f>
        <v>0.19134127833773237</v>
      </c>
    </row>
    <row r="21" spans="1:11" x14ac:dyDescent="0.25">
      <c r="A21" s="368" t="str">
        <v>Consultas</v>
      </c>
      <c r="B21" s="362" t="str">
        <v>TRABAJO SOCIAL PRIMERA VEZ/PROGRAMAS</v>
      </c>
      <c r="C21" s="362">
        <v>1</v>
      </c>
      <c r="D21" s="362">
        <v>17887.388810409495</v>
      </c>
      <c r="E21" s="362">
        <v>17887.388810409495</v>
      </c>
      <c r="F21" s="362">
        <v>2.6538539486678496E-2</v>
      </c>
      <c r="G21" s="381">
        <v>1</v>
      </c>
    </row>
    <row r="22" spans="1:11" x14ac:dyDescent="0.25">
      <c r="A22" s="368" t="str">
        <v>Consultas</v>
      </c>
      <c r="B22" s="362" t="str">
        <v>TRABAJO SOCIAL CONTROL/PROGRAMAS</v>
      </c>
      <c r="C22" s="362">
        <v>1</v>
      </c>
      <c r="D22" s="362">
        <v>0</v>
      </c>
      <c r="E22" s="362">
        <v>0</v>
      </c>
      <c r="F22" s="362">
        <v>0</v>
      </c>
      <c r="G22" s="381">
        <v>0</v>
      </c>
      <c r="H22" s="361" t="s">
        <v>400</v>
      </c>
      <c r="I22" s="375">
        <f>(LARGE(C5:C14,1)+LARGE(C5:C14,2)+LARGE(C5:C14,3))/SUM(C5:C14)</f>
        <v>0.43052040148700371</v>
      </c>
    </row>
    <row r="23" spans="1:11" x14ac:dyDescent="0.25">
      <c r="A23" s="368" t="str">
        <v>Consultas</v>
      </c>
      <c r="B23" s="362" t="str">
        <v>NUTRICION PRIMERA VEZ / PROGRAMAS</v>
      </c>
      <c r="C23" s="362">
        <v>1</v>
      </c>
      <c r="D23" s="362">
        <v>20406.13276336317</v>
      </c>
      <c r="E23" s="362">
        <v>20406.13276336317</v>
      </c>
      <c r="F23" s="362">
        <v>3.0275461994529074E-2</v>
      </c>
      <c r="G23" s="381">
        <v>1</v>
      </c>
      <c r="H23" s="361" t="s">
        <v>401</v>
      </c>
      <c r="I23" s="362" t="str">
        <f>INDEX(H8:H12,MATCH(MAX(I8:I12),I8:I12,0))</f>
        <v>Consultas</v>
      </c>
    </row>
    <row r="24" spans="1:11" x14ac:dyDescent="0.25">
      <c r="A24" s="368" t="str">
        <v>Consultas</v>
      </c>
      <c r="B24" s="362" t="str">
        <v>NUTRICION CONTROL / PROGRAMAS</v>
      </c>
      <c r="C24" s="362">
        <v>2</v>
      </c>
      <c r="D24" s="362">
        <v>44105.041601105942</v>
      </c>
      <c r="E24" s="362">
        <v>22052.520800552971</v>
      </c>
      <c r="F24" s="362">
        <v>6.5436235579079585E-2</v>
      </c>
      <c r="G24" s="381">
        <v>1</v>
      </c>
      <c r="H24" s="361" t="s">
        <v>402</v>
      </c>
      <c r="I24" s="375">
        <f>MAX(I8:I12)/SUM(I8:I12)</f>
        <v>0.40578445099381444</v>
      </c>
    </row>
    <row r="25" spans="1:11" x14ac:dyDescent="0.25">
      <c r="A25" s="368" t="str">
        <v>Consultas</v>
      </c>
      <c r="B25" s="362" t="str">
        <v>PSICOLOGIA PRIMERA VEZ / PROGRAMAS</v>
      </c>
      <c r="C25" s="362">
        <v>1</v>
      </c>
      <c r="D25" s="362">
        <v>18768.367820181349</v>
      </c>
      <c r="E25" s="362">
        <v>18768.367820181349</v>
      </c>
      <c r="F25" s="362">
        <v>2.7845599812004431E-2</v>
      </c>
      <c r="G25" s="381">
        <v>1</v>
      </c>
      <c r="H25" s="361" t="s">
        <v>403</v>
      </c>
      <c r="I25" s="375">
        <f>INDEX(N8:N12,2)</f>
        <v>0.73378768052662957</v>
      </c>
    </row>
    <row r="26" spans="1:11" x14ac:dyDescent="0.25">
      <c r="A26" s="368" t="str">
        <v>Consultas</v>
      </c>
      <c r="B26" s="362" t="str">
        <v>PSICOLOGIA CONTROL / PROGRAMAS</v>
      </c>
      <c r="C26" s="362">
        <v>2</v>
      </c>
      <c r="D26" s="362">
        <v>40829.511714742301</v>
      </c>
      <c r="E26" s="362">
        <v>20414.75585737115</v>
      </c>
      <c r="F26" s="362">
        <v>6.05765112140303E-2</v>
      </c>
      <c r="G26" s="381">
        <v>1</v>
      </c>
    </row>
    <row r="27" spans="1:11" x14ac:dyDescent="0.25">
      <c r="A27" s="368" t="str">
        <v>Consultas</v>
      </c>
      <c r="B27" s="362" t="str">
        <v>FISIOTERAPIA PRIMERA VEZ / PROGRAMAS</v>
      </c>
      <c r="C27" s="362">
        <v>1</v>
      </c>
      <c r="D27" s="362">
        <v>0</v>
      </c>
      <c r="E27" s="362">
        <v>0</v>
      </c>
      <c r="F27" s="362">
        <v>0</v>
      </c>
      <c r="G27" s="381">
        <v>0</v>
      </c>
      <c r="H27" s="361" t="s">
        <v>408</v>
      </c>
    </row>
    <row r="28" spans="1:11" x14ac:dyDescent="0.25">
      <c r="A28" s="368" t="str">
        <v>Consultas</v>
      </c>
      <c r="B28" s="362" t="str">
        <v>FISIOTERAPIA CONTROL / PROGRAMAS</v>
      </c>
      <c r="C28" s="362">
        <v>1</v>
      </c>
      <c r="D28" s="362">
        <v>0</v>
      </c>
      <c r="E28" s="362">
        <v>0</v>
      </c>
      <c r="F28" s="362">
        <v>0</v>
      </c>
      <c r="G28" s="381">
        <v>0</v>
      </c>
      <c r="H28" s="361" t="s">
        <v>377</v>
      </c>
      <c r="I28" s="384" t="s">
        <v>107</v>
      </c>
    </row>
    <row r="29" spans="1:11" x14ac:dyDescent="0.25">
      <c r="A29" s="368" t="str">
        <v>Gestion y seguimiento</v>
      </c>
      <c r="B29" s="362" t="str">
        <v>CONTACTO DE SEGUIMIENTO Y/O TELEFONICO / PROGRAMAS</v>
      </c>
      <c r="C29" s="362">
        <v>12</v>
      </c>
      <c r="D29" s="362">
        <v>187618.23630863355</v>
      </c>
      <c r="E29" s="362">
        <v>15634.853025719463</v>
      </c>
      <c r="F29" s="362">
        <v>0.2783589055659188</v>
      </c>
      <c r="G29" s="381">
        <v>1</v>
      </c>
      <c r="H29" s="361" t="s">
        <v>409</v>
      </c>
      <c r="I29" s="370">
        <f>COUNTA(_xlfn.ANCHORARRAY(B19))</f>
        <v>24</v>
      </c>
    </row>
    <row r="30" spans="1:11" x14ac:dyDescent="0.25">
      <c r="A30" s="368" t="str">
        <v>Educacion</v>
      </c>
      <c r="B30" s="362" t="str">
        <v>ACTIVIDAD EDUCATIVA / PROGRAMAS</v>
      </c>
      <c r="C30" s="362">
        <v>12</v>
      </c>
      <c r="D30" s="362">
        <v>152921.05970663566</v>
      </c>
      <c r="E30" s="362">
        <v>12743.421642219639</v>
      </c>
      <c r="F30" s="362">
        <v>0.22688060422813408</v>
      </c>
      <c r="G30" s="381">
        <v>1</v>
      </c>
      <c r="H30" s="361" t="s">
        <v>410</v>
      </c>
      <c r="I30" s="385">
        <f>AVERAGE(_xlfn.ANCHORARRAY(G19))</f>
        <v>0.5466954022988505</v>
      </c>
    </row>
    <row r="31" spans="1:11" x14ac:dyDescent="0.25">
      <c r="A31" s="368" t="str">
        <v>Consultas</v>
      </c>
      <c r="B31" s="362" t="str">
        <v>CONSULTA PRIORITARIA/ PROGRAMAS (Todas las que requiera el paciente)</v>
      </c>
      <c r="C31" s="362">
        <v>1</v>
      </c>
      <c r="D31" s="362">
        <v>3891.0822612194638</v>
      </c>
      <c r="E31" s="362">
        <v>3891.0822612194638</v>
      </c>
      <c r="F31" s="362">
        <v>5.7729857236173644E-3</v>
      </c>
      <c r="G31" s="381">
        <v>6.8965517241379309E-2</v>
      </c>
      <c r="H31" s="361" t="s">
        <v>411</v>
      </c>
      <c r="I31" s="386" t="str">
        <f>INDEX(_xlfn.ANCHORARRAY(B19),MATCH(MAX(_xlfn.ANCHORARRAY(G19)),_xlfn.ANCHORARRAY(G19),0))</f>
        <v>INGRESO PROGRAMAS INTEGRALES</v>
      </c>
    </row>
    <row r="32" spans="1:11" x14ac:dyDescent="0.25">
      <c r="A32" s="368" t="str">
        <v>Consultas</v>
      </c>
      <c r="B32" s="362" t="str">
        <v>CONSULTA PRIMERA VEZ MEDICINA GENERAL / PROGRAMAS</v>
      </c>
      <c r="C32" s="362">
        <v>1</v>
      </c>
      <c r="D32" s="362">
        <v>0</v>
      </c>
      <c r="E32" s="362">
        <v>0</v>
      </c>
      <c r="F32" s="362">
        <v>0</v>
      </c>
      <c r="G32" s="381">
        <v>0</v>
      </c>
      <c r="H32" s="361" t="s">
        <v>412</v>
      </c>
      <c r="I32" s="385">
        <f>MAX(_xlfn.ANCHORARRAY(G19))</f>
        <v>1</v>
      </c>
    </row>
    <row r="33" spans="1:12" x14ac:dyDescent="0.25">
      <c r="A33" s="368" t="str">
        <v>Consultas</v>
      </c>
      <c r="B33" s="362" t="str">
        <v>CONSULTA PRIMERA VEZ NEUMOLOGIA ADULTO / PROGRAMAS</v>
      </c>
      <c r="C33" s="362">
        <v>1</v>
      </c>
      <c r="D33" s="362">
        <v>8134.2532755128013</v>
      </c>
      <c r="E33" s="362">
        <v>8134.2532755128013</v>
      </c>
      <c r="F33" s="362">
        <v>1.2068346254161758E-2</v>
      </c>
      <c r="G33" s="381">
        <v>0.1206896551724138</v>
      </c>
      <c r="H33" s="361" t="s">
        <v>413</v>
      </c>
      <c r="I33" s="370" cm="1">
        <f t="array" ref="I33">SUMPRODUCT(--(_xlfn.ANCHORARRAY(G19)&lt;0.25))</f>
        <v>11</v>
      </c>
    </row>
    <row r="34" spans="1:12" x14ac:dyDescent="0.25">
      <c r="A34" s="368" t="str">
        <v>Consultas</v>
      </c>
      <c r="B34" s="362" t="str">
        <v>CONSULTA CONTROL NEUMOLOGIA ADULTO / PROGRAMAS (Segun indicacion medica)</v>
      </c>
      <c r="C34" s="362">
        <v>1</v>
      </c>
      <c r="D34" s="362">
        <v>67398.098568534639</v>
      </c>
      <c r="E34" s="362">
        <v>67398.098568534639</v>
      </c>
      <c r="F34" s="362">
        <v>9.9994868963054567E-2</v>
      </c>
      <c r="G34" s="381">
        <v>1</v>
      </c>
    </row>
    <row r="35" spans="1:12" x14ac:dyDescent="0.25">
      <c r="A35" s="368" t="str">
        <v>Diagnosticos</v>
      </c>
      <c r="B35" s="362" t="str">
        <v>ESPIROMETRIA PRE Y POST BRONCODILATADORES / PROGRAMAS (Segun condicion de salud)</v>
      </c>
      <c r="C35" s="362">
        <v>1</v>
      </c>
      <c r="D35" s="362">
        <v>17242.392904917026</v>
      </c>
      <c r="E35" s="362">
        <v>17242.392904917026</v>
      </c>
      <c r="F35" s="362">
        <v>2.5581594373667003E-2</v>
      </c>
      <c r="G35" s="381">
        <v>0.39655172413793105</v>
      </c>
    </row>
    <row r="36" spans="1:12" x14ac:dyDescent="0.25">
      <c r="A36" s="368" t="str">
        <v>Diagnosticos</v>
      </c>
      <c r="B36" s="362" t="str">
        <v>CAMINATA 6 MINUTOS / PROGRAMAS (Segun condicion de salud)</v>
      </c>
      <c r="C36" s="362">
        <v>1</v>
      </c>
      <c r="D36" s="362">
        <v>4346.6233355031127</v>
      </c>
      <c r="E36" s="362">
        <v>4346.6233355031127</v>
      </c>
      <c r="F36" s="362">
        <v>6.4488470757586664E-3</v>
      </c>
      <c r="G36" s="381">
        <v>0.22413793103448276</v>
      </c>
      <c r="H36" s="361" t="s">
        <v>414</v>
      </c>
    </row>
    <row r="37" spans="1:12" x14ac:dyDescent="0.25">
      <c r="A37" s="368" t="str">
        <v>Terapias</v>
      </c>
      <c r="B37" s="362" t="str">
        <v>PRIMERA VEZ TERAPIA RESPIRATORIA/ PROGRAMAS (Segun indicacion medica)</v>
      </c>
      <c r="C37" s="362">
        <v>1</v>
      </c>
      <c r="D37" s="362">
        <v>546.79691298040041</v>
      </c>
      <c r="E37" s="362">
        <v>546.79691298040041</v>
      </c>
      <c r="F37" s="362">
        <v>8.1125264397895419E-4</v>
      </c>
      <c r="G37" s="381">
        <v>1.7241379310344827E-2</v>
      </c>
      <c r="H37" s="361" t="s">
        <v>335</v>
      </c>
      <c r="I37" s="384" t="s">
        <v>415</v>
      </c>
      <c r="J37" s="384" t="s">
        <v>416</v>
      </c>
      <c r="K37" s="384" t="s">
        <v>417</v>
      </c>
      <c r="L37" s="384" t="s">
        <v>418</v>
      </c>
    </row>
    <row r="38" spans="1:12" x14ac:dyDescent="0.25">
      <c r="A38" s="368" t="str">
        <v>Terapias</v>
      </c>
      <c r="B38" s="362" t="str">
        <v>CONTROL TERAPIA RESPIRATORIA/ PROGRAMAS (Segun indicacion medica)</v>
      </c>
      <c r="C38" s="362">
        <v>1</v>
      </c>
      <c r="D38" s="362">
        <v>4374.3753038432033</v>
      </c>
      <c r="E38" s="362">
        <v>4374.3753038432033</v>
      </c>
      <c r="F38" s="362">
        <v>6.4900211518316335E-3</v>
      </c>
      <c r="G38" s="381">
        <v>0.13793103448275862</v>
      </c>
      <c r="H38" s="362" t="str">
        <f>B5</f>
        <v>Cesación Tabáquica</v>
      </c>
      <c r="I38" s="369">
        <f>SUMIFS(BASE12MESES!$AF:$AF,BASE12MESES!$AG:$AG,$A5,BASE12MESES!$AD:$AD,"FIJO")</f>
        <v>2476111.7269854341</v>
      </c>
      <c r="J38" s="369">
        <f>SUMIFS(BASE12MESES!$AF:$AF,BASE12MESES!$AG:$AG,$A5,BASE12MESES!$AD:$AD,"&lt;&gt;FIJO")</f>
        <v>127161.13051198517</v>
      </c>
      <c r="K38" s="374">
        <f>I38/(I38+J38)</f>
        <v>0.95115336060691391</v>
      </c>
      <c r="L38" s="374">
        <f>J38/(I38+J38)</f>
        <v>4.8846639393086068E-2</v>
      </c>
    </row>
    <row r="39" spans="1:12" x14ac:dyDescent="0.25">
      <c r="A39" s="368" t="str">
        <v>Consultas</v>
      </c>
      <c r="B39" s="362" t="str">
        <v>CONSULTA ESPECIALIZADA PRIMERA VEZ REHABILITACIoN/PROGRAMAS</v>
      </c>
      <c r="C39" s="362">
        <v>1</v>
      </c>
      <c r="D39" s="362">
        <v>4173.6847717656965</v>
      </c>
      <c r="E39" s="362">
        <v>4173.6847717656965</v>
      </c>
      <c r="F39" s="362">
        <v>6.1922675967100516E-3</v>
      </c>
      <c r="G39" s="381">
        <v>0.15517241379310345</v>
      </c>
      <c r="H39" s="362" t="str">
        <f t="shared" ref="H39:H47" si="3">B6</f>
        <v>Nódulo Pulmonar</v>
      </c>
      <c r="I39" s="369">
        <f>SUMIFS(BASE12MESES!$AF:$AF,BASE12MESES!$AG:$AG,$A6,BASE12MESES!$AD:$AD,"FIJO")</f>
        <v>2485659.4276367445</v>
      </c>
      <c r="J39" s="369">
        <f>SUMIFS(BASE12MESES!$AF:$AF,BASE12MESES!$AG:$AG,$A6,BASE12MESES!$AD:$AD,"&lt;&gt;FIJO")</f>
        <v>240149.91166816416</v>
      </c>
      <c r="K39" s="374">
        <f t="shared" ref="K39:K47" si="4">I39/(I39+J39)</f>
        <v>0.91189775887648716</v>
      </c>
      <c r="L39" s="374">
        <f t="shared" ref="L39:L47" si="5">J39/(I39+J39)</f>
        <v>8.8102241123512795E-2</v>
      </c>
    </row>
    <row r="40" spans="1:12" x14ac:dyDescent="0.25">
      <c r="A40" s="368" t="str">
        <v>Consultas</v>
      </c>
      <c r="B40" s="362" t="str">
        <v>CONSULTA ESPECIALIZADA CONTROL REHABILITACIoN/PROGRAMAS (Segun indicacion medica)</v>
      </c>
      <c r="C40" s="362">
        <v>1</v>
      </c>
      <c r="D40" s="362">
        <v>26897.079640267817</v>
      </c>
      <c r="E40" s="362">
        <v>26897.079640267817</v>
      </c>
      <c r="F40" s="362">
        <v>3.9905724512131438E-2</v>
      </c>
      <c r="G40" s="381">
        <v>1</v>
      </c>
      <c r="H40" s="362" t="str">
        <f t="shared" si="3"/>
        <v>Hipertensión Pulmonar</v>
      </c>
      <c r="I40" s="369">
        <f>SUMIFS(BASE12MESES!$AF:$AF,BASE12MESES!$AG:$AG,$A7,BASE12MESES!$AD:$AD,"FIJO")</f>
        <v>1582208.6327998687</v>
      </c>
      <c r="J40" s="369">
        <f>SUMIFS(BASE12MESES!$AF:$AF,BASE12MESES!$AG:$AG,$A7,BASE12MESES!$AD:$AD,"&lt;&gt;FIJO")</f>
        <v>311135.19424484111</v>
      </c>
      <c r="K40" s="374">
        <f t="shared" si="4"/>
        <v>0.83566894200590758</v>
      </c>
      <c r="L40" s="374">
        <f t="shared" si="5"/>
        <v>0.16433105799409242</v>
      </c>
    </row>
    <row r="41" spans="1:12" ht="18.75" thickBot="1" x14ac:dyDescent="0.3">
      <c r="A41" s="376" t="str">
        <v>Gestion y seguimiento</v>
      </c>
      <c r="B41" s="377" t="str">
        <v>EGRESO PROGRAMAS INTEGRALES</v>
      </c>
      <c r="C41" s="377">
        <v>1</v>
      </c>
      <c r="D41" s="377">
        <v>12908.291642219636</v>
      </c>
      <c r="E41" s="377">
        <v>12908.291642219636</v>
      </c>
      <c r="F41" s="377">
        <v>1.9151325611776952E-2</v>
      </c>
      <c r="G41" s="387">
        <v>1</v>
      </c>
      <c r="H41" s="362" t="str">
        <f t="shared" si="3"/>
        <v>Asma</v>
      </c>
      <c r="I41" s="369">
        <f>SUMIFS(BASE12MESES!$AF:$AF,BASE12MESES!$AG:$AG,$A8,BASE12MESES!$AD:$AD,"FIJO")</f>
        <v>1692846.8540544768</v>
      </c>
      <c r="J41" s="369">
        <f>SUMIFS(BASE12MESES!$AF:$AF,BASE12MESES!$AG:$AG,$A8,BASE12MESES!$AD:$AD,"&lt;&gt;FIJO")</f>
        <v>135548.70641242995</v>
      </c>
      <c r="K41" s="374">
        <f t="shared" si="4"/>
        <v>0.92586467100269287</v>
      </c>
      <c r="L41" s="374">
        <f t="shared" si="5"/>
        <v>7.4135328997307154E-2</v>
      </c>
    </row>
    <row r="42" spans="1:12" x14ac:dyDescent="0.25">
      <c r="A42" s="362" t="str">
        <v>Medicamentos</v>
      </c>
      <c r="B42" s="362" t="str">
        <v>MEDICAMENTOS</v>
      </c>
      <c r="C42" s="362">
        <v>0</v>
      </c>
      <c r="D42" s="362">
        <v>0</v>
      </c>
      <c r="E42" s="362" t="e">
        <v>#DIV/0!</v>
      </c>
      <c r="F42" s="362">
        <v>0</v>
      </c>
      <c r="G42" s="362">
        <v>0</v>
      </c>
      <c r="H42" s="362" t="str">
        <f t="shared" si="3"/>
        <v>EPI</v>
      </c>
      <c r="I42" s="369">
        <f>SUMIFS(BASE12MESES!$AF:$AF,BASE12MESES!$AG:$AG,$A9,BASE12MESES!$AD:$AD,"FIJO")</f>
        <v>1509093.2298846834</v>
      </c>
      <c r="J42" s="369">
        <f>SUMIFS(BASE12MESES!$AF:$AF,BASE12MESES!$AG:$AG,$A9,BASE12MESES!$AD:$AD,"&lt;&gt;FIJO")</f>
        <v>344058.18860718084</v>
      </c>
      <c r="K42" s="374">
        <f t="shared" si="4"/>
        <v>0.81433886881883455</v>
      </c>
      <c r="L42" s="374">
        <f t="shared" si="5"/>
        <v>0.18566113118116545</v>
      </c>
    </row>
    <row r="43" spans="1:12" x14ac:dyDescent="0.25">
      <c r="H43" s="362" t="str">
        <f t="shared" si="3"/>
        <v>EPOC</v>
      </c>
      <c r="I43" s="369">
        <f>SUMIFS(BASE12MESES!$AF:$AF,BASE12MESES!$AG:$AG,$A10,BASE12MESES!$AD:$AD,"FIJO")</f>
        <v>1402127.6190908232</v>
      </c>
      <c r="J43" s="369">
        <f>SUMIFS(BASE12MESES!$AF:$AF,BASE12MESES!$AG:$AG,$A10,BASE12MESES!$AD:$AD,"&lt;&gt;FIJO")</f>
        <v>54905.295475134437</v>
      </c>
      <c r="K43" s="374">
        <f t="shared" si="4"/>
        <v>0.96231705205404339</v>
      </c>
      <c r="L43" s="374">
        <f t="shared" si="5"/>
        <v>3.768294794595662E-2</v>
      </c>
    </row>
    <row r="44" spans="1:12" x14ac:dyDescent="0.25">
      <c r="H44" s="362" t="str">
        <f t="shared" si="3"/>
        <v>Disnea - Obesidad</v>
      </c>
      <c r="I44" s="369">
        <f>SUMIFS(BASE12MESES!$AF:$AF,BASE12MESES!$AG:$AG,$A11,BASE12MESES!$AD:$AD,"FIJO")</f>
        <v>1396874.0859278534</v>
      </c>
      <c r="J44" s="369">
        <f>SUMIFS(BASE12MESES!$AF:$AF,BASE12MESES!$AG:$AG,$A11,BASE12MESES!$AD:$AD,"&lt;&gt;FIJO")</f>
        <v>74457.270395575586</v>
      </c>
      <c r="K44" s="374">
        <f t="shared" si="4"/>
        <v>0.94939462815389875</v>
      </c>
      <c r="L44" s="374">
        <f t="shared" si="5"/>
        <v>5.0605371846101227E-2</v>
      </c>
    </row>
    <row r="45" spans="1:12" x14ac:dyDescent="0.25">
      <c r="H45" s="362" t="str">
        <f t="shared" si="3"/>
        <v>Trastornos de Sueño</v>
      </c>
      <c r="I45" s="369">
        <f>SUMIFS(BASE12MESES!$AF:$AF,BASE12MESES!$AG:$AG,$A12,BASE12MESES!$AD:$AD,"FIJO")</f>
        <v>1076574.4183129591</v>
      </c>
      <c r="J45" s="369">
        <f>SUMIFS(BASE12MESES!$AF:$AF,BASE12MESES!$AG:$AG,$A12,BASE12MESES!$AD:$AD,"&lt;&gt;FIJO")</f>
        <v>69706.706097056172</v>
      </c>
      <c r="K45" s="374">
        <f t="shared" si="4"/>
        <v>0.93918882147437099</v>
      </c>
      <c r="L45" s="374">
        <f t="shared" si="5"/>
        <v>6.0811178525628985E-2</v>
      </c>
    </row>
    <row r="46" spans="1:12" x14ac:dyDescent="0.25">
      <c r="H46" s="362" t="str">
        <f t="shared" si="3"/>
        <v>Ejercicio Físico</v>
      </c>
      <c r="I46" s="369">
        <f>SUMIFS(BASE12MESES!$AF:$AF,BASE12MESES!$AG:$AG,$A13,BASE12MESES!$AD:$AD,"FIJO")</f>
        <v>1010381.6329506516</v>
      </c>
      <c r="J46" s="369">
        <f>SUMIFS(BASE12MESES!$AF:$AF,BASE12MESES!$AG:$AG,$A13,BASE12MESES!$AD:$AD,"&lt;&gt;FIJO")</f>
        <v>113021.02587676355</v>
      </c>
      <c r="K46" s="374">
        <f t="shared" si="4"/>
        <v>0.89939401959869614</v>
      </c>
      <c r="L46" s="374">
        <f t="shared" si="5"/>
        <v>0.10060598040130384</v>
      </c>
    </row>
    <row r="47" spans="1:12" x14ac:dyDescent="0.25">
      <c r="H47" s="362" t="str">
        <f t="shared" si="3"/>
        <v>Cuidado Respiratorio</v>
      </c>
      <c r="I47" s="369">
        <f>SUMIFS(BASE12MESES!$AF:$AF,BASE12MESES!$AG:$AG,$A14,BASE12MESES!$AD:$AD,"FIJO")</f>
        <v>631306.36090750247</v>
      </c>
      <c r="J47" s="369">
        <f>SUMIFS(BASE12MESES!$AF:$AF,BASE12MESES!$AG:$AG,$A14,BASE12MESES!$AD:$AD,"&lt;&gt;FIJO")</f>
        <v>42709.2087657417</v>
      </c>
      <c r="K47" s="374">
        <f t="shared" si="4"/>
        <v>0.9366346851802746</v>
      </c>
      <c r="L47" s="374">
        <f t="shared" si="5"/>
        <v>6.3365314819725432E-2</v>
      </c>
    </row>
    <row r="48" spans="1:12" x14ac:dyDescent="0.25">
      <c r="H48" s="361" t="s">
        <v>247</v>
      </c>
      <c r="I48" s="388">
        <f>SUM(I38:I47)</f>
        <v>15263183.988550998</v>
      </c>
      <c r="J48" s="388">
        <f>SUM(J38:J47)</f>
        <v>1512852.6380548726</v>
      </c>
      <c r="K48" s="389">
        <f>I48/(I48+J48)</f>
        <v>0.90982061664937175</v>
      </c>
      <c r="L48" s="389">
        <f>J48/(I48+J48)</f>
        <v>9.0179383350628334E-2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DASHBOARD</vt:lpstr>
      <vt:lpstr>COSTOS SERVICIOS</vt:lpstr>
      <vt:lpstr>BASE12MESES</vt:lpstr>
      <vt:lpstr>BASE18MESES</vt:lpstr>
      <vt:lpstr>Categorias</vt:lpstr>
      <vt:lpstr>ASMA costo</vt:lpstr>
      <vt:lpstr>HIP. PUL con costo</vt:lpstr>
      <vt:lpstr>EJERCICIO FISICO costo</vt:lpstr>
      <vt:lpstr>TRASTORNOS DE SUEÑO costo</vt:lpstr>
      <vt:lpstr>EPOC costo</vt:lpstr>
      <vt:lpstr>CESACION TAB. costo</vt:lpstr>
      <vt:lpstr>DISNEA - OBESIDAD costo</vt:lpstr>
      <vt:lpstr>NODULO PULMONAR costo</vt:lpstr>
      <vt:lpstr>EPI costo</vt:lpstr>
      <vt:lpstr>CUIDADO RESP. costo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Porras</dc:creator>
  <cp:lastModifiedBy>Pablo Ramírez</cp:lastModifiedBy>
  <dcterms:created xsi:type="dcterms:W3CDTF">2025-07-30T21:03:04Z</dcterms:created>
  <dcterms:modified xsi:type="dcterms:W3CDTF">2026-06-17T12:50:23Z</dcterms:modified>
</cp:coreProperties>
</file>